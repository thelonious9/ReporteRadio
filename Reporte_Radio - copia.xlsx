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C21E7A5B-1A8B-49BB-9789-C3167733857C}"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56" i="2"/>
  <c r="B88" i="2"/>
  <c r="B91" i="2"/>
  <c r="B94" i="2"/>
  <c r="B97" i="2"/>
  <c r="B100" i="2"/>
  <c r="B103" i="2"/>
  <c r="B106" i="2"/>
  <c r="B109" i="2"/>
  <c r="B29" i="2"/>
  <c r="B30" i="2"/>
  <c r="B31" i="2"/>
  <c r="B32" i="2"/>
  <c r="B33" i="2"/>
  <c r="B34" i="2"/>
  <c r="B35" i="2"/>
  <c r="B36" i="2"/>
  <c r="B37" i="2"/>
  <c r="B38" i="2"/>
  <c r="B39" i="2"/>
  <c r="B40" i="2"/>
  <c r="B41" i="2"/>
  <c r="B42" i="2"/>
  <c r="B43" i="2"/>
  <c r="B44" i="2"/>
  <c r="B45" i="2"/>
  <c r="B46" i="2"/>
  <c r="B47" i="2"/>
  <c r="B48" i="2"/>
  <c r="B49" i="2"/>
  <c r="B50" i="2"/>
  <c r="B51" i="2"/>
  <c r="B52" i="2"/>
  <c r="B53" i="2"/>
  <c r="B54" i="2"/>
  <c r="B55" i="2"/>
  <c r="B86" i="2"/>
  <c r="B89" i="2"/>
  <c r="B92" i="2"/>
  <c r="B95" i="2"/>
  <c r="B98" i="2"/>
  <c r="B101" i="2"/>
  <c r="B104" i="2"/>
  <c r="B107" i="2"/>
  <c r="B110"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7" i="2"/>
  <c r="B90" i="2"/>
  <c r="B93" i="2"/>
  <c r="B96" i="2"/>
  <c r="B99" i="2"/>
  <c r="B102" i="2"/>
  <c r="B105" i="2"/>
  <c r="B10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<sst xmlns="http://schemas.openxmlformats.org/spreadsheetml/2006/main" count="1102" uniqueCount="236">
  <si>
    <t>Fecha</t>
  </si>
  <si>
    <t>Titular</t>
  </si>
  <si>
    <t>Dependencia</t>
  </si>
  <si>
    <t>Canal</t>
  </si>
  <si>
    <t>Tema</t>
  </si>
  <si>
    <t>Estatus</t>
  </si>
  <si>
    <t>Sipdus</t>
  </si>
  <si>
    <t>Informativa</t>
  </si>
  <si>
    <t>Acir 92.5 FM</t>
  </si>
  <si>
    <t>Panorama Informativo Pachuca</t>
  </si>
  <si>
    <t>Positiva</t>
  </si>
  <si>
    <t>Eulalio Larrieta</t>
  </si>
  <si>
    <t>Semot</t>
  </si>
  <si>
    <t>Ayuntamiento</t>
  </si>
  <si>
    <t>SEPH</t>
  </si>
  <si>
    <t>Presidencia</t>
  </si>
  <si>
    <t>Otros</t>
  </si>
  <si>
    <t>Negativa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</si>
  <si>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</si>
  <si>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</si>
  <si>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</si>
  <si>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</si>
  <si>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</si>
  <si>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</si>
  <si>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</si>
  <si>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</si>
  <si>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</si>
  <si>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</si>
  <si>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</si>
  <si>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</si>
  <si>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</si>
  <si>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</si>
  <si>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</si>
  <si>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</si>
  <si>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</si>
  <si>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Segobh</t>
  </si>
  <si>
    <t>SSH</t>
  </si>
  <si>
    <t>RADIO LOCAL</t>
  </si>
  <si>
    <t>NQ 90.1 FM</t>
  </si>
  <si>
    <t>Enlace Hidalgo1</t>
  </si>
  <si>
    <t>Jesús Riveros</t>
  </si>
  <si>
    <t>Juan Carlos Santamaría</t>
  </si>
  <si>
    <t>PGJEH</t>
  </si>
  <si>
    <t>Enlace Hidalgo2</t>
  </si>
  <si>
    <t>Radioescucha</t>
  </si>
  <si>
    <t>Bienestar</t>
  </si>
  <si>
    <t>Planeación</t>
  </si>
  <si>
    <t>Ke Buena 106.7 FM</t>
  </si>
  <si>
    <t>Noticias 106.7</t>
  </si>
  <si>
    <t>David Cárdenas</t>
  </si>
  <si>
    <t>Detención</t>
  </si>
  <si>
    <t>Canal del Pueblo</t>
  </si>
  <si>
    <t>Vocales Radio</t>
  </si>
  <si>
    <t>Morena</t>
  </si>
  <si>
    <t>TV LOCAL</t>
  </si>
  <si>
    <t>Partidos</t>
  </si>
  <si>
    <t>Aldo Falcón</t>
  </si>
  <si>
    <t>Andrés Torres</t>
  </si>
  <si>
    <t>Candidaturas</t>
  </si>
  <si>
    <t>Ultra 102.9 FM</t>
  </si>
  <si>
    <t>Ultra Noticias1</t>
  </si>
  <si>
    <t>Daniel Martínez</t>
  </si>
  <si>
    <t>Auxilio a la ciudadanía</t>
  </si>
  <si>
    <t>Radio Lobo 96.7 FM</t>
  </si>
  <si>
    <t>Enlace Noticias</t>
  </si>
  <si>
    <t>Gina Lorenzo</t>
  </si>
  <si>
    <t>Abner Yáñez</t>
  </si>
  <si>
    <t>Participación</t>
  </si>
  <si>
    <t>Combate Al Narcomenudeo</t>
  </si>
  <si>
    <t>Afectaciones Por Lluvias</t>
  </si>
  <si>
    <t>Apoyo A Migrantes</t>
  </si>
  <si>
    <t>Enfoque Regional Meridiano</t>
  </si>
  <si>
    <t>Jesús González</t>
  </si>
  <si>
    <t>DIFH</t>
  </si>
  <si>
    <t>Vialidad En Mal Estado</t>
  </si>
  <si>
    <t>Abasto de agua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</si>
  <si>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</si>
  <si>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</si>
  <si>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</si>
  <si>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Carlos Gamiño por estar al pendiente de temas.</t>
  </si>
  <si>
    <t>Eulalio Larrieta agradece Paola García y Lic. Sarahi Pineda, por estar atentas a los mensajes de la ciudadanía y por atenderlos.</t>
  </si>
  <si>
    <t>Renuncia</t>
  </si>
  <si>
    <t>Paranacionales Conade</t>
  </si>
  <si>
    <t>IEEH</t>
  </si>
  <si>
    <t>Control lirio acuático</t>
  </si>
  <si>
    <t>Vía telefónica el reporte de Bombero y Protección Civil con Abner Yáñez informa de las diversas emergencias reportadas por la ciudadanía y que fueron atendidas. Asimismo, señala que las fiestas patrias dejaron saldo blanco en el municipio.</t>
  </si>
  <si>
    <t>Prevención De Riesgos</t>
  </si>
  <si>
    <t>Plan Nacional De Vivienda</t>
  </si>
  <si>
    <t>Innovación tecnológica</t>
  </si>
  <si>
    <t>Videovigilancia</t>
  </si>
  <si>
    <t>Combate Al Huachicol</t>
  </si>
  <si>
    <t>Localización de cuerpo</t>
  </si>
  <si>
    <t>OCSAD</t>
  </si>
  <si>
    <t>Entrevista vía telefónica, el subsecretario de Protección Civil y Gestión de Riesgos, Román Bernal, informó sobre las afectaciones y el pronóstico derivado de las intensas lluvias registradas en las últimas 96 horas en las zonas centro y norte de Hidalgo. El funcionario señaló que se esperan precipitaciones de hasta 250 milímetros, lo que mantiene el riesgo de escurrimientos, crecimiento de ríos, deslaves y derrumbes en la zona serrana, además de reportarse caminos alternos con afectaciones de tiempo en municipios como Tianguistengo, Tenango, Calnali y Molango. Asimismo, confirmó lamentables incidentes derivados de los riesgos meteorológicos, como un menor lesionado por el colapso de una barda en Chapulhuacán y la búsqueda de un joven arrastrado por la corriente en Aguablanca. Finalmente, hizo un llamado a la ciudadanía a monitorear los canales oficiales y evacuar ante cualquier indicio de vulnerabilidad en sus viviendas.</t>
  </si>
  <si>
    <t>ITESA desarrolla herramienta para mejorar el bienestar laboral en empresas.</t>
  </si>
  <si>
    <t>El IMSS Bienestar Hidalgo incorporó cinco refrigeradores solares a la red de frío del Programa de Vacunación Universal, con el propósito de mantener los biológicos en condiciones adecuadas de conservación, incluso en comunidades donde se presentan cortes de energía eléctrica. Los equipos fueron donados por UNICEF y cuentan con garantía de la Organización Panamericana de la Salud (OPS). Actualmente operan en unidades de salud de las regiones del Valle del Mezquital, Huasteca, Altiplano y Otomí-Tepehua. Los refrigeradores fueron instalados en las unidades de salud de El Salto y Cardonal, en la región de Ixmiquilpan; el Hospital Básico Comunitario de Huehuetla, en Tulancingo; Rancho Viejo, en la Huasteca, y Emiliano Zapata, en la región de Apan.</t>
  </si>
  <si>
    <t>Equipamiento médico</t>
  </si>
  <si>
    <t>Tras horas de búsqueda, un joven de 26 años fue localizado con vida, aunque en estado grave, luego de que presuntamente la noche del domingo ingresó a caballo a un cauce y fue arrastrado por la corriente del río Carrizal Chico “Zacyalpan”, en Agua Blanca, Hidalgo. El gobierno de Agua Blanca de Iturbide, a través de su página oficial de Facebook, informó que el hombre, identificado como Honorio Chávez, fue encontrado durante las labores de búsqueda en las que participaron familiares, habitantes de comunidades cercanas y cuerpos de Emergencia. De acuerdo con la ficha difundida para solicitar apoyo ciudadano, el joven es originario de Xuchitl, Agua Blanca, aunque otras publicaciones lo ubican como vecino de Las Juntas del Río. Tras su localización, se reportó que el joven de Hidalgo permanecía con vida, pero presentaba un estado de salud grave, por lo que los equipos de Emergencia trabajaban en su traslado para que recibiera atención médica.</t>
  </si>
  <si>
    <t>Localización de persona</t>
  </si>
  <si>
    <t>Las lluvias recientes en el estado de Hidalgo han causado la destrucción de 10 pasos provisionales instalados originalmente tras los daños provocados por la vaguada monzónica de octubre de 2025. Las corrientes fluviales afectaron infraestructura en municipios como Tepehuacán de Guerrero, Tianguistengo, Huautla, Huejutla, San Bartolo Tutotepec, Tenango de Doria y Singuilucan. Pablo Octavio Olvera, director general del Centro SICT en Hidalgo, informó que las empresas constructoras ya se encuentran en campo a la espera de que bajen los niveles de agua para iniciar la reconstrucción, solicitando paciencia a la ciudadanía. Asimismo, destacó que la dependencia cuenta con contratos de obra activos en la red estatal y federal, personal especializado y más de 500 unidades de maquinaria pesada para hacer frente a estas contingencias.</t>
  </si>
  <si>
    <t>Más de 200 personas participan actualmente en los cursos y talleres que ofrece la Secretaría de Desarrollo Humano y Social, a través de los siete Centros de Desarrollo Comunitario y parques recreativos que operan en Tulancingo. La capacitación representa una oportunidad para que las y los tulancinguenses desarrollen sus habilidades y talentos, los conviertan en conocimientos útiles y los encausen hacia la generación de ingresos, el emprendimiento o una mejor preparación para incorporarse al mercado laboral. Por parte del Gobierno de Tulancingo se nformó que los cursos tienen costos accesibles y se imparten de lunes a viernes. Además, con motivo de la temporada de Día de Muertos, recientemente se incorporaron tres opciones: caracterización de catrinas, aplicación de uñas decorativas y elaboración de pan de muerto.</t>
  </si>
  <si>
    <t>Capacitación</t>
  </si>
  <si>
    <t>Estudiantes de la UTVM participan en Master Class de Gastronomía</t>
  </si>
  <si>
    <t>Conferencia magistral</t>
  </si>
  <si>
    <t>Una persona de 43 años recibió atención luego de que ciudadanos alertaran sobre una situación de riesgo en el puente peatonal de la carretera federal México-Tuxpan, a la altura de la colonia Los Pinos, en el punto conocido como “El Caballito”, en Tulancingo. Elementos de la Policía Municipal acudieron al sitio tras recibir el reporte y lograron poner a la persona a salvo. El seguimiento de las cámaras de videovigilancia del C2i acompañó la atención de la emergencia, mientras que el aviso ciudadano permitió activar la respuesta policial. Después de la intervención, la persona fue trasladada al Centro Especializado de Atención a la Violencia Familiar (CEAVIF) de Tulancingo, donde recibió atención durante la crisis y acompañamiento especializado. No se dieron a conocer más datos personales ni detalles sobre su situación.</t>
  </si>
  <si>
    <t>Evitan suicidio</t>
  </si>
  <si>
    <t>El titular del DIF en Hidalgo, Ricardo Alvizo, informó que el organismo estatal mantiene estrategias de respuesta inmediata ante contingencias. Señaló que se cuenta con el programa APSE (Atención a la Población en Condiciones de Emergencia), operado en coordinación con el Sistema Nacional DIF y los municipios, para identificar y certificar espacios como albergues seguros junto con Protección Civil. Asimismo, destacó que, por instrucciones del gobernador y de la presidenta del patronato, la licenciada Edid Terramos, se destinó un presupuesto de 360 millones de pesos para garantizar la cobertura al 100% del programa alimentario en situaciones de emergencia, tomando como referencia la entrega de aproximadamente 266,000 despensas realizadas el año anterior.</t>
  </si>
  <si>
    <t>Mañanera de Hidalgo</t>
  </si>
  <si>
    <t>Debido a las lluvias registradas durante las últimas horas y las bajas temperaturas, este lunes fueron suspendidas las clases en diversas escuelas del municipio de Ixmiquilpan, esto como medida preventiva ante las condiciones climatológicas que se presentan en la región. Desde temprano hora, las instituciones educativas a través de sus redes oficiales y grupos de WhatsApp con padres de familia, emitieron comunicados para informar sobre la suspensión de actividades, mismas que de acuerdo a la información, se espera sean retomadas mañana martes 6 de octubre. Entre las escuelas que adoptaron estas medidas se encuentra la secundaria Justo Sierra ubicada en el centro del municipio, así también la primaria Ignición Zaragoza del barrio del Fitzhi, la secundaria David Alfaro Siqueiros en el Tephe , entre otras más. Estas decisiones se derivan del comunicado emitido la noche de este domingo por el Instituto Hidalguense de Educación (IHE), ante el pronóstico de lluvias intensas y bajas temperaturas en distintas regiones del estado. En el documento, la autoridad educativa solicitó a los planteles valorar las condiciones climatológicas de cada zona y, en coordinación con madres, padres de familia y personas tutoras, determinar las medidas preventivas necesarias para proteger a la comunidad escolar.</t>
  </si>
  <si>
    <t>Suspensión De Clases</t>
  </si>
  <si>
    <t>Durante la conferencia matutina realizada en el edificio de gobierno del estado de Hidalgo, en Pachuca, el subsecretario de Protección Civil, Román Bernal, informó sobre las afectaciones provocadas por la vaguada monzónica en el Valle del Mezquital. Entre los puntos críticos destacó el municipio de San Salvador, específicamente en la comunidad de La Flor Xochitlán, donde se registró una zona susceptible a deslaves e inestabilidad con reducción de circulación a un carril como medida preventiva. Asimismo, en Ixmiquilpan se reportaron caídas de rocas y deslaves en comunidades de la zona norte como Cuesta Colorada, Gando, Huaflorida, La Pechuga, Manzú y La Lagunita, lugares donde se mantiene un monitoreo permanente por parte de Protección Civil municipal tras la atención inicial.</t>
  </si>
  <si>
    <t>Ante el incremento en los niveles de diversos cuerpos de agua ubicados en el municipio de Progreso de Obregón, autoridades mantienen un monitoreo constante de las zonas consideradas de mayor riesgo, con el objetivo de dar seguimiento a las condiciones y prevenir posibles afectaciones a la población. De acuerdo a la información oficial emitida por Protección Civil Municipal, los recorridos de vigilancia se mantienen desde la tarde de ayer derivado de las lluvias registradas durante las últimas horas en gran parte de la entidad. El monitoreo se mantiene en puntos estratégicos de la demarcación, poniendo especial atención en las riberas del río Tula y áreas de vulnerabilidad por las condiciones meteorológicas. Pese a que, hasta el momento, las autoridades no han emitido alguna alerta que represente un riesgo para la población, si han llamado a la misma a atender indicaciones para evitar accidentes. Entres estas destacan, evitar acercarse a los cuerpos de agua, no intentar cruzar a pie ni en vehículo por tramos inundados o acumulación de agua, asegurar objetos que puedan ser proyectados por rachas de viento , mantener limpias las coladeras y mantenerse informado y al tanto de cualquier indicación emitida a través de los canales oficiales.</t>
  </si>
  <si>
    <t>La Secretaría de Educación Pública destinará una hora semanal dentro de la jornada escolar para que más de 7 millones de estudiantes de tercero de secundaria a bachillerato aprendan a reconocer, nombrar y expresar sus emociones, como parte de la estrategia nacional “El ABC de las Emociones”. El secretario de Educación Pública, Mario Delgado, informó que la estrategia se reforzará durante el actual ciclo escolar y estará dirigida a jóvenes de entre 14 y 18 años. La estrategia también contempla cursos para maestros, directivos y personal administrativo, así como asambleas con madres y padres de familia.</t>
  </si>
  <si>
    <t>Salud Mental</t>
  </si>
  <si>
    <t>El viernes 2 de octubre de 2026, Miguel Ángel Tello Vargas presentó su renuncia al cargo de titular de la Unidad de Planeación y Prospectiva del Gobierno del Estado de Hidalgo, función que desempeñaba desde el inicio de la administración del gobernador Julio Menchaca. Su salida fue oficializada a través de un video en redes sociales, donde indicó que su determinación se tomó con la cabeza y con el corazón, solicitando formalmente el inicio del proceso de entrega-recepción ante la Secretaría de Contraloría estatal. Tello Vargas señaló que su salida responde a la necesidad de servir donde el movimiento lo requiera, en un contexto marcado por registros de aspirantes a la defensa de la 4T y especulaciones sobre sus siguientes actividades políticas.</t>
  </si>
  <si>
    <t>El Instituto Mexicano del Seguro Social (IMSS) en Hidalgo exhorta a la población a adoptar hábitos saludables con el propósito de proteger la salud cardiovascular, toda vez que las enfermedades del corazón representan la primera causa de mortalidad en México, tanto en mujeres como en hombres, seguidas por la diabetes y los tumores malignos. El sobrepeso, la obesidad, la diabetes, las dislipidemias y la hipertensión arterial constituyen factores de riesgo que incrementan la probabilidad de desarrollar enfermedades cardiovasculares y sus complicaciones. “Los estilos de vida poco saludables como el consumo de tabaco, bebidas azucaradas, productos ultraprocesados y la falta de actividad física contribuyen de manera significativa al desarrollo de padecimientos del corazón”, destacó El coordinador de Atención y Prevención a la Salud, Rafael Monroy Arias.</t>
  </si>
  <si>
    <t>Promoción De La Salud</t>
  </si>
  <si>
    <t>Durante la parte final de su participación, Ricardo Alviso Contreras, titular del sistema DIF Hidalgo, informó sobre la atención a dos menores de 3 y 4 años en el Hospital del Niño DIF. Aunque se dispuso de manera inmediata una unidad aérea para su traslado, las condiciones climáticas lo impidieron, por lo que tuvieron que ser trasladados por vía terrestre primero de Ixmiquilpan a Jacala y posteriormente de Jacala a Pachuca.</t>
  </si>
  <si>
    <t>Durante una conferencia matutina semanal, Alejandro Sánchez García, titular de la Secretaría de Infraestructura Pública y Desarrollo Urbano Sostenible, informó sobre las acciones de apoyo a la población y la disponibilidad de maquinaria de trabajo en campo y en las residencias regionales de la dependencia. El funcionario destacó como prioridad evitar que las comunidades queden incomunicadas, asegurando la liberación de caminos para permitir que fluya oportunamente la ayuda en caso de ser necesario.</t>
  </si>
  <si>
    <t>El Lic. Rubén González Hernández, representante del Instituto Nacional Electoral (INE), detalló los servicios y módulos de atención disponibles (tanto fijos como móviles) en el distrito de Tulancingo, Hidalgo. El módulo fijo, ubicado en la Avenida del Maestro núm. 202, atiende de lunes a viernes de 8:00 a.m. a 8:00 p.m. para trámites como actas de nacimiento, comprobantes de domicilio, identificación y la integración de la CURP. Asimismo, se anunciaron las fechas de los módulos móviles para octubre en municipios como Sapotlán de Juárez y Acaxochitlán. González Hernández recordó que los jóvenes que cumplan 18 años antes del 6 de junio del próximo año ya pueden tramitar su credencial, existiendo alternativas para quienes carezcan de identificación escolar o del IMSS/ISSSTE mediante dos testigos. Adicionalmente, destacó la apertura de dos convocatorias: cinco vacantes para consejerías distritales (con registro a partir del 15 de octubre) y la convocatoria para observadores electorales, invitando a la ciudadanía a involucrarse activamente en la democracia.</t>
  </si>
  <si>
    <t>Credencialización</t>
  </si>
  <si>
    <t>Durante la conferencia matutina semanal del gobierno del estado en la sala del pueblo, el subsecretario de Protección Civil y Gestión de Riesgos, Román Bernal Díaz, informó sobre las afectaciones en los municipios debido a las lluvias. Reportó que dos personas intentaron cruzar un río a caballo en la Sierra; una de ellas logró ponerse a salvo, mientras que la otra se encuentra en calidad de no localizada, por lo que continúan las labores de búsqueda. Asimismo, hizo un llamado a la ciudadanía a evitar cruzar ríos, mantenerse atenta a la información oficial y recordó que los refugios temporales están habilitados en coordinación con los municipios, aunque hasta el momento ninguna familia ha requerido su uso.</t>
  </si>
  <si>
    <t>Durante la conferencia matutina del gobierno estatal de Hidalgo, encabezada por Edmundo Pineda López, titular de comunicación, se abordaron las condiciones meteorológicas actuales y las acciones preventivas. En el evento participan funcionarios clave como Román Hernández Díaz, subsecretario de Protección Civil y Gestión de Riesgos; Ricardo Luengas Contreras, director general del sistema DIF Hidalgo; y Alejandro Sánchez García, titular de la Secretaría de Infraestructura Pública y Desarrollo Urbano Sostenible. Asimismo, se recordó el impacto histórico del huracán Grace, el cual afectó gravemente a 28 municipios de la entidad hace un año, reiterando la importancia de mantenerse informados a través de canales oficiales ante los pronósticos de lluvias intensas para el mes de octubre.</t>
  </si>
  <si>
    <t>En el marco de la Paralimpiada Nacional CONADE 2026, la delegación hidalguense inició su participación en el paratletismo obteniendo una medalla de bronce gracias a Yulen Paloma Delgadillo Jiménez en la prueba de 100 metros planos categoría T25, con un tiempo de 15.04 segundos. Asimismo, en la disciplina de fútbol para ciegos, el equipo hidalguense mantuvo paso firme al vencer 4-0 a Tlaxcala en su segundo encuentro de la competencia, la cual concluirá el próximo 10 de octubre, informó Gustavo Rosales en su colaboración semanal.</t>
  </si>
  <si>
    <t>Andrés torres y Alberto Gonz´lez comentan que en medio de un ambiente marcado por la efervescencia política, desacuerdos internos y desencanto ciudadano en algunos sectores, Morena cumplió 15 años de presencia en el estado de Hidalgo. Aunque el partido ostenta un crecimiento meteórico que lo llevó de ocupar una curul plurinominal a gobernar la gubernatura, la mayoría de los municipios y el Congreso local, los festejos se vieron empañados por la tensión derivada del proceso interno de registro de aspirantes a coordinaciones distritales. Destacaron que el avance electoral de Morena en la entidad ha sido sobresaliente en comparación con otras fuerzas políticas tradicionales como el PRI o el PAN. Sin embargo, coincidieron en que este avance ha ido acompañado de una baja en el cumplimiento de expectativas para la ciudadanía, principalmente por la gestión de ciertos actores locales que han replicado viejas prácticas de administraciones pasadas. Aseguran que el festejo en el Comité Estatal de Morena reflejó las fricciones internas. A pesar de los discursos oficiales, se percibió un ambiente tenso e impredecible tras el inicio del registro nacional de aspirantes a coordinaciones distritales federales. Figuras como el secretario de Planeación, Miguel Tello, la alcaldesa de Tizayuca, Susana Ángeles, y el edil con licencia de Huejutla, Daniel Andrade Zurutuza, hicieron públicos sus registros. No obstante, la postulación de algunos perfiles —en particular el de Tello por Pachuca— generó incomodidad y "caras largas" entre grupos internos que han mantenido diferencias con él. Por su parte, el dirigente estatal de Morena, Marco Antonio Rico Mercado, emitió un llamado a la unidad, aunque reconoció que el Comité Estatal no tiene acceso ni control sobre la plataforma de registros nacionales. Esto evidenció la falta de certeza sobre quiénes encabezarán finalmente las candidaturas, restándole contundencia al discurso de la dirigencia. En la reunión destacaron ausencias notables, entre ellas la del grupo conocido como los "fundadores" del partido, así como la del propio gobernador del estado, quien se mantuvo enfocado en sus responsabilidades de agenda ante las afectaciones por las recientes lluvias en la entidad.</t>
  </si>
  <si>
    <t>Conmemoración Aniversario</t>
  </si>
  <si>
    <t>Andrés Torres Y Alberto Gonzálezz</t>
  </si>
  <si>
    <t>Andrés Torres da lectura a su colimna "LAs vocales extraviadas": El proceso de registro de Morena para las coordinaciones distritales federales en Hidalgo, llenó de expectativas las redes sociales y los medios de comunicación locales pero, hasta no conocer las listas definitivas, el ejercicio podría definirse como controvertido. Previsible, la dirigencia del partido dijo que el registro fue ejemplo de organización abierta y unidad, aunque la alta participación y la naturaleza del formato digital impedirán determinar de inmediato si refleja una cohesión o fracturas internas. Al coincidir el 15 aniversario de la organización en la entidad y el cierre de los registros, el dirigente de Morena Hidalgo Marco Antonio Rico, hizo un llamado a la unidad de la militancia y el fortalecimiento interno con miras a las elecciones de 2027. El partido defiende que el registro digital y abierto busca dar “piso parejo” e inclusión a cualquier militante o simpatizante interesado, sin embargo fue evidente que durante los 4 días del registro, propios y extraños siguieron el desarrollo de estos , haciendo crecer la expectativa cada vez que se confirmaba la participación de un aspirante y el distrito por el cual se inscribía. El control y revisión del listado de aspirantes está completamente a cargo de la Comisión Nacional de Elecciones en la Ciudad de México , reiteró ayer el presidente de Morena. Al ser un registro digital, la dirigencia local reconoció que desconocía el número total de inscritos y solo se entera de las aspiraciones conforme los propios actores políticos lo hacen público en sus redes sociales. El impacto real sobre la cohesión o el rompimiento del partido se medirá en las siguientes fases, ya que el Consejo Nacional de Morena estableció que si se registran más de seis personas por posición, recurrirán a encuestas y filtros de reconocimiento territorial para definir a los coordinadores definitivos. Sobre los rumores de una clara imposición de perfiles por parte del Comité Nacional sobre las figuras de las corriente locales de Morena, no hubo ni una sola declaración oficial. a Asimismo Andrés Torres comenta que fue un evento con poca asistencia y un ambiente poco animado. Los presente apenas mostraron sonrisas, y se comparó el evento con velorios que parecían más vivos. El co-conductor Aldo Falcón también notó que los grupos de apoyo en el evento eran pequeños y a veces se quedaban en silencio, dando a entender que había una falta de entusiasmo. Se mencionó la participación del presidente municipal de Ixmiquilpan, quien en un estado inconveniente instó a los presentes a votar por él como diputado federal. Sin embargo, al final no se registró, lo cual fue interpretado como que le habían bajado de la lista. Por otro lado, Lisset Marcelino se registró como candidata por el distrito de Ixmiquilpan en un giro inesperado, ya que se suponía que se registraría por Tula. Otro punto importante fue la sorpresa de que Miguel Tello se registró como aspirante a coordinador electoral, pero no en el distrito de Tula como se esperaba, sino en Pachuca, mientras que otros posibles candidatos no se registraron. En Huejutla, se esperaba que el alcalde se registrara, pero fue Daniel Andrade, un diputado federal, quien se inscribió para aspirar a coordinador distrital, lo que podría significar su reelección. Se especulaba también sobre otros registros, como el del secretario general del SNTE, Said Vargas, y Carlos Arozqueta, quien estuvo vinculado al PRD. Existe incertidumbre sobre el distrito en el que Arozqueta podría registrarse, aunque se rumorea que sería el de Tulancingo. Alma Delia Fuentes, actual diputada federal por Tulancingo, también se volvió a registrar para coordinadora electoral, lo que podría llevar a su reelección. A pesar de las especulaciones sobre varios candidatos, el presidente de Morena, Marco Rico, afirmó que se conocerían los registros válidos solo cuando el Comité Ejecutivo Nacional de Elecciones lo confirme. Durante el fin de semana, hubo mucha discusión y sorpresa en los medios sobre quienes se inscribirían, pero la mayoría de los nombres permanecen no confirmados. Tania Meza, diputada local, también habría presentado su registro, pero se pudo verificar pocos registros. Finalmente, se destacó que Susana Ángeles se registró por el distrito de Tepeapulco, algo esperado debido a su papel en la administración federal y su buena relación con Morena en México. Ella anunció su renuncia a su cargo federal y su paso a esta nueva tarea a través de un video en sus redes sociales.</t>
  </si>
  <si>
    <t>La Subsecretaría de Protección Civil y Gestión de Riesgos, reporta las siguientes afectaciones y acciones: Tenango de DoriaAfectaciones: Se registran deslaves en el tramo Peña Blanca–San Pablo, particularmente en la zona de Cerro Chiquito, donde se reportó interrupción del paso. Asimismo, se mantienen afectaciones en la comunidad de Huasquilla y circulación parcial en la carretera estatal Tenango–Metepec, a la altura de La Placa.Acciones: Protección Civil Municipal realiza recorridos de monitoreo, valoración de taludes y trabajos para recuperar y mantener la circulación en condiciones seguras.EloxochitlánAfectaciones: Se recibió reporte de posible deslave sobre la carretera estatal Metztitlán–Tlahuiltepa, a la altura de la localidad de Hualula.Acciones: Personal de Protección Civil Municipal se trasladó al punto para verificar las condiciones del tramo y determinar las acciones necesarias.TlahuiltepaAfectaciones: Se registraron derrumbes en el tramo Tlaxcantitla–Agua del Cuervo, en el barrio Aviadero.Acciones: Se realizan trabajos de retiro de material con apoyo de maquinaria de las empresas que rehabilitan dicho tramo carretero.TlanchinolAfectaciones: Se reportaron derrumbes sobre la carretera estatal Orizatlán–Coacuilco–San José–entronque Pachuca–Tempoal, a la altura del km 8+000.Acciones: Personal de la Residencia Huejutla realizó trabajos de extracción de material con retroexcavadora, logrando mantener habilitados ambos carriles de circulación.Tepehuacán de GuerreroAfectaciones: Se reportó suspensión del paso vehicular y peatonal en el cruce de Tamala debido al incremento del nivel del agua. También se reportó interrupción del paso en el puente Petlapixca–Tlalocuil y presencia de material pétreo en el tramo San Juan–Amola.Acciones: Se realizan trabajos para habilitar el puente vehicular de Tamala, con apoyo de la empresa encargada de su reconstrucción y personal de la Residencia Molango. En San Juan–Amola, Protección Civil Municipal y habitantes de la zona realizan retiro de piedras y material sobre la vía.Nicolás FloresAfectaciones: Se presentó un nuevo deslizamiento de rocas en el tramo Segundo Santa Cruz, afectando el acceso hacia la cabecera municipal.Acciones: Se suspendió preventivamente la circulación vehicular y Protección Civil Municipal mantiene vigilancia y valoración permanente del sitio.HuazalingoAfectaciones: En la vía Huazalingo–Tehuetlán se registró caída de piedras, vegetación sobre la superficie de rodamiento, obstrucción de cunetas y un derrumbe menor.Acciones: Protección Civil Municipal realizó retiro de material pétreo y vegetación, así como limpieza de cunetas para favorecer el desalojo del agua y mantener condiciones seguras de tránsito.San SalvadorAfectaciones: En la comunidad de La Flor Xuchitlán se reporta una zona susceptible a deslave, con mayor afectación durante las últimas horas y reducción de la circulación a un solo carril.Acciones: Protección Civil Municipal mantiene recorridos preventivos y vigilancia de la zona desde la noche anterior y durante la mañana de este día.Pachuca de Soto – HuixmíAfectaciones: Se reportó retorno de drenaje al interior de una vivienda debido al azolvamiento de la red.Acciones: Se solicitó apoyo con equipo vactor para realizar labores de desazolve y atención del punto.IxmiquilpanAfectaciones: En la zona norte del municipio, particularmente en Cuesta Colorada, Gundhó, Agua Florida, La Pechuga, El Banxú y La Lagunita, se reportaron caídas de rocas y deslaves en diversos puntos.Acciones: Se mantiene monitoreo de las zonas afectadas y recorridos preventivos para identificar riesgos y atender obstrucciones. Lolotla Afectaciones: Se registró caída de piedras en el tramo carretero Ixtlahuaco–Las Puentes, así como la caída de un árbol que afectó el suministro de energía eléctrica en la comunidad de Ixtlahuaco. Acciones: Protección Civil Municipal y Seguridad Pública realizaron retiro de piedras y del árbol afectado, manteniendo trabajos coordinados para restablecer condiciones seguras. Chapulhuacán Afectaciones: En Plan de Guadalupe se presentó un deslave de rocas, tierra y un árbol que obstruyó la carretera hacia la comunidad. Asimismo, se acordonó un área afectada en el barrio Huachichila. Acciones: Protección Civil Municipal realizó la limpieza del tramo carretero, logrando liberar la circulación, además de mantener delimitada el área de riesgo para prevenir incidentes. Monitoreo preventivo Afectaciones: Se mantiene vigilancia del Río Santiago y recorridos sobre la carretera federal México–Pachuca, donde fueron detectados pequeños derrumbes de piedra. Acciones: El material fue retirado en coordinación con Seguridad Pública y se mantiene vigilancia permanente ante posibles nuevas afectaciones. La Subsecretaría de Protección Civil y Gestión de Riesgos mantiene comunicación permanente con autoridades municipales y cuerpos de emergencia, así como seguimiento a las zonas susceptibles a deslaves, derrumbes, incremento de niveles de agua y afectaciones a vías de comunicación. Se exhorta a la población a evitar circular por zonas con desprendimientos de material, respetar cierres preventivos y atender en todo momento las indicaciones de las autoridades.</t>
  </si>
  <si>
    <t>Atención Afectaciones Por Lluvias</t>
  </si>
  <si>
    <t>Andrés Torres informa que seguirá lloviendo intensamente en varias áreas, especialmente en la Huasteca, las Sierras Alta, Baja y Gorda, y en el Valle del Mezquital y Pachuca. Se pide a la población que tomen precauciones y estén atentos a la situación. En la Vega de Metztitlán ya han ocurrido importantes escurrimientos. La Laguna de Metztitlán está recibiendo grandes cantidades de agua de Eloxochitlán, el Valle del Mezquital, y otras zonas. La iglesia hundida en San Pedro, un monumento histórico, ya está inundada, y los vecinos usan bombas para sacar el agua que la afecta. Se advierte que si no hay razones urgentes, no se acerquen a Metztitlán y la Reserva de la Biosfera, ya que los ríos como el Río Chico y el Río Venados están en niveles peligrosos.</t>
  </si>
  <si>
    <t>La Secretaría de Educación Pública del Gobierno del Estado de Hidalgo ha comunicado que cada comunidad educativa en el estado puede decidir si habrá clases este lunes, según las condiciones climáticas en su área. Esto incluye a maestros, directores y padres de familia en todas las escuelas, desde jardines de niños hasta preparatorias y CECyTE. La decisión debe basarse en el clima y puede incluir factores como lluvia intensa, bajas temperaturas, deslaves, o bloqueos en los caminos que dificulten el acceso a la escuela. Este aviso responde a recomendaciones de la Subsecretaría de Protección Civil y Gestión de Riesgos, que busca asegurar la salud y la seguridad de los estudiantes y el personal docente. Se solicita a las escuelas públicas y particulares que trabajen en conjunto con los padres y tutores para tomar medidas preventivas adecuadas y proteger a la comunidad educativa. Los directores de las escuelas que decidan suspender clases también deben informar a sus autoridades superiores sobre la decisión y las acciones que se tomen. La prioridad es mantener un entorno seguro y cuidar el bienestar de todos en la comunidad escolar. Cada escuela tiene la libertad de decidir sobre la suspensión de clases teniendo en cuenta las condiciones climáticas de su región y cualquier riesgo potencial que pueda afectar a los estudiantes.</t>
  </si>
  <si>
    <t>Mantiene Protección Civil atención y monitoreo por lluvias</t>
  </si>
  <si>
    <t>La Subsecretaría de Protección Civil y Gestión de Riesgos informa a la población que, para este 4 de octubre de 2026, se pronostican lluvias muy fuertes con puntuales intensas de 75 a 150 mm, principalmente en el norte del estado.</t>
  </si>
  <si>
    <t>Alerta Meteorológica</t>
  </si>
  <si>
    <t>Habitantes de la comunidad de La Cañada, en este municipio correspondiente al Valle de Tula, pues se manifestaron de manera bastante fuertecita, violenta le diría su servidor, luego de que corriera una versión de que habían exhumado dos cuerpos de un padre y su hijo sin aviso previo, con la intención de utilizar un terreno que es el panteón comunitario de La Cañada, reitero, en Atotonilco de Tula para que no nos confundamos si le acaba de poner a la radio, para la aparentemente para la construcción de viviendas del Bienestar. Esto ocurrió el pasado fin de semana. ¿Qué es lo que pasó? Que después de que comienza a correr esta versión, los vecinos de la zona comienzan a manifestarse y a exigir pues que alguien les explique, señalan, dónde están los cuerpos. De ahí se trasladaron a la sede de la Presidencia Municipal en obviamente la cabecera municipal de Atotonilco de Tula, y entran pues no de una no así como que tocando la puerta, ¿no?, sino de manera violenta exigiendo explicaciones al gobierno municipal acerca de esta de estas dos cuestiones, de la de la presunta exhumación de los cuerpos de ambos familiares, así como de la reiteración de que se niegan a que se utilice el terreno del panteón comunitario para la construcción de viviendas del Bienestar. De hecho, los reclamos llegaron a tal punto que señalaron de que aseguran, versión que todavía está por confirmarse, que el gobierno municipal habría tomado control sobre el panteón comunitario y que por lo tanto, a partir de ello, habría dado la autorización para la construcción de este espacio, en este espacio más bien, de las viviendas del Bienestar, cuestión que pues no hasta el momento no está corroborada por el gobierno de Atotonilco de Tula. De ahí los manifestantes, después de la irrupción bastante fuerte, bastante violenta que tuvieron en la sede de la Presidencia Municipal, se dirigieron hacia la carretera Jorobas-Tula, la donde la cerraron, la bloquearon por espacio de varias horas hasta que llegaron representantes de la Subsecretaría de Gobierno del Estado de Hidalgo para dialogar con ellos. Entiendo que en próximas horas van a estar van a establecer un diálogo, una lo que se denomina, ¿no?, una mesa de trabajo para buscar una solución, pero los habitantes de La Cañada, reitero, en Atotonilco de Tula, se mantienen en su postura de que no van a permitir ni la autorización ni la utilización del terreno utilizado como panteón comunitario ni que por lo tanto se construya en este sitio Vivienda del Bienestar. ¡Qué papa caliente! Y ¡qué manera de también de que se presentó la manifestación el pasado fin...!</t>
  </si>
  <si>
    <t>Pues le platico que pues están parados de pestañas en Tepetitlán, ¿eh?, ahí en la zona surponiente del estado de... suroriente, perdón, del estado de Hidalgo, concretamente, reitero, en Tepetitlán, porque dice la alcaldesa eh Ana Elsa Castillo Sea que ven poquísima intervención, poquísimo apoyo en el tema de la limpieza de la presa Endhó, del retiro de este de lirio, que a su vez está siendo condicionante para la presencia del mosco culex. De verdad, de verdad, insisto, quienes hemos estado por esa zona después de las 6:00 de la tarde es un infierno estar ahí por el zumbido, tan solo por el zumbido, ¿eh?, por los ataques de los moscos, por la peste que representa la presa Endhó. Entonces eh ya de plano este eh que ya plano están pidiendo la intervención de la Corte Interamericana de Derechos Humanos ante la falta de avances en la atención de la problemática que afecta a los vecinos de Tepetitlán a partir de la falta de atención a la presa Endhó. La alcaldesa señaló que el municipio analiza esta vía ante la falta de resultados en las acciones para contener el lirio acuático y la proliferación del mosco culex. Afirmó que su presencia ha generado afectación entre la población y en las actividades productivas de la zona. Al respecto, enfatizó que las máquinas destinadas al retiro del lirio acuático no están en funcionamiento, a pesar de que las autoridades...ían a finales del mes de agosto. A esto se suma la pérdida de eh ganado relacionada con el eh mosco culex, lo que la alcaldesa calificó como una grave afectación para las familias que dependen de la actividad ganadera. También cuestionó la efectividad de las fumigaciones realizadas para combatir al insecto y afirmó que estas acciones también han provocado afectaciones entre habitantes de las comunidades. Señala: "No puede ser posible que el Gobierno de México traiga un tema millonario en gastos del tratamiento al lirio acuático en fumigaciones que no están siendo efectivas y que lo único que están generando es la afectación de la propia población porque nos han generado enfer- porque nos han generado enfermedades estomacales, enfermedades por el contacto directo con el líquido con el que están fumigando". De hecho, el pasado fin de semana habitantes de distintas localidades de Tula y Tepetitlán se reunieron para exigir soluciones a la problemática de la presa. Durante el encuentro, los pobladores reprocharon que a más de dos años del decreto de restauración ecológica de la presa Endhó, aún no identifican avances visibles en las acciones de recuperación de estos cuerpos de agua. Entonces que ya estuvo suave, que ahora sí de plano se van a la Comisión de Derechos Humanos porque de plano no ven avance con todo y las declaraciones por parte del Gobierno Federal, y el reproche es de tal magnitud que la propia presidenta municipal le hace acuse de recibo al Gobierno Federal: ¿de qué sirve que ustedes estén anunciando millones de pesos en atención a la presa Endhó cuando no vemos que esto esté avanzando, que esto esté...?</t>
  </si>
  <si>
    <t>Susana Ángeles Quezada anunció su renuncia a la Dirección General de Relaciones Interinstitucionales, Participación Política y Social de la Secretaría de las Mujeres, cargo que desempeñaba desde 2024. A través de una publicación en sus redes sociales, la exalcaldesa de Tizayuca agradeció el trabajo realizado durante su estancia en la dependencia y señaló que ahora retomará el trabajo territorial en Hidalgo. “Ahora regreso al trabajo territorial, a caminar con mi gente y seguir construyendo juntas y juntos el futuro que nos merecemos”, expresó. Su salida de la Secretaría de las Mujeres ocurre luego de que Movimiento de Regeneración Nacional (Morena) publicara la convocatoria para el registro de quienes busquen participar en el proceso para coordinadores distritales federales. El registro comenzó el pasado primero de octubre y permanecerá abierto hasta el próximo 4 de octubre.</t>
  </si>
  <si>
    <t>Los funcionarios de Morena que estuvieran buscando otro cargo o una coordinación en Hidalgo, incluidos diputados, presidentes municipales, etcétera, deberán renunciar si pretenden enfocar su atención en la búsqueda de otro proyecto político. Esto fue lo que pidió Marco Antonio Rico Mercado, el dirigente del partido en la entidad. Luego de que el jueves inició el registro de aspirantes a coordinadores de los siete distritos federales de Hidalgo, Marco Rico reconoció que en la convocatoria no se exige la renuncia de los presidentes municipales, legisladores u otros funcionarios. Explicó que dicha decisión fue tomada por el Comité Ejecutivo Nacional de Morena entendiendo la responsabilidad que tienen los actuales funcionarios morenistas, pero puntualizó que si los funcionarios van a dedicar más tiempo y atención en la búsqueda de otro proyecto, se les hace la invitación a que atiendan su otro proyecto y que permitan que el suplente o quien se determine por ley asuma la responsabilidad. "Cabe el exhorto de que atiendan la naturaleza de no pedirles la separación del cargo, tienen una responsabilidad primaria y que no deben de abandonar en aras de otro proyecto", según expresó Marco Rico Mercado. El registro para quienes aspiren a ser coordinadores distritales federales de Hidalgo se realizará del 1 al 4 de octubre a través de internet. Una vez que la dirigencia nacional realice las designaciones, emitirá otra convocatoria para las coordinaciones municipales. En ese sentido, el dirigente estatal informó que hasta el momento ningún diputado local o presidente municipal ha manifestado su intención de reelegirse, pero bueno, pues sí, prácticamente les hace esta invitación que si estarían pues buscando otro proyecto, mejor le dediquen tiempo a ese proyecto. **Daniel Martínez:** De hecho hay dos eh ahora entiendo exfuncionarios que ya le tomaron la palabra a Marco Rico. Vamos a ver cuántos más se suman porque, por una parte, el pasado fin de semana se conoció que, quien se ya había anticipado el gobernador Julio Menchaca Salazar que se le iban a a separar por lo menos un secretario en funciones, se trata de Miguel Ángel Tello, titular de la Unidad de Planeación y Prospectiva del Estado de Hidalgo. Eh de hecho hizo una eh una publicación en donde pues dio las gracias, ya sabes, con el protocolo este funcionaril, si me permite el término, da las gracias al al gobierno del estado, al gobernador por la oportunidad de participar y obviamente pues esto es en el marco de de la inscripción de algo que denominan como coordinadores distritales federales de la defensa de la transformación, la la cuarta de la Cuarta Transformación o la Soberanía Nacional, conexas, conexas y sus conexitos. Este... ---</t>
  </si>
  <si>
    <t>Jessenia Romero</t>
  </si>
  <si>
    <t>Un incendio se registró en una vivienda de la colonia Parque de Poblamiento, en Pachuca, sobre la calle Ferrería de Apulco. Las llamas alcanzaron cables de energía eléctrica, por lo que elementos de la Secretaría de Seguridad Pública, Tránsito y Vialidad municipal, así como personal del Cuerpo de Bomberos y Protección Civil, acudieron para atender la emergencia. El siniestro fue reportado mientras el fuego se extendía en el inmueble. La presencia de cables alcanzados por las llamas representó un riesgo adicional para quienes se encontraban en la zona, además de dificultar las labores de atención. Emergencia fue atendida por bomberos y Protección Civil Al sitio llegaron equipos de emergencia para controlar la situación. De acuerdo con la información disponible, el incidente dejó saldo blanco: no se reportaron personas lesionadas.</t>
  </si>
  <si>
    <t>Control de incendio</t>
  </si>
  <si>
    <t>Un accidente carretero registrado la madrugada de este sábado 3 de octubre en la Sierra Alta de Hidalgo movilizó a los cuerpos de emergencia del municipio de Tlanchinol, luego de que un autobús de pasajeros estuviera a punto de precipitarse a un barranco sobre la carretera federal 105 México-Tampico. ​Los hechos ocurrieron alrededor de las 04:00 horas a la altura del paraje conocido como El Cantil. La unidad siniestrada, un autobús de la línea ADO con número económico 0091 que se dirigía hacia Huejutla, perdió el control sobre la cinta asfáltica. El impacto contra el muro de contención de la vía evitó que el vehículo cayera al abismo, conteniendo el avance de la unidad y previniendo una tragedia de mayores proporciones. ​El reporte a las corporaciones de rescate se ingresó a las 04:40 horas. Al sitio acudieron los paramédicos Azael Montiel Sánchez y Eduardo Alvarado Bautista, apoyados por elementos de Protección Civil de Tlanchinol y Molango, así como agentes de la Policía Estatal para abanderar la zona y brindar los primeros auxilios. ​El saldo preliminar es de ocho pasajeros lesionados, todos con golpes leves. Se informó que algunos de los afectados fueron trasladados a una clínica del Instituto Mexicano del Seguro Social (IMSS) para su evaluación médica, mientras que el resto de los tripulantes recibió atención en el lugar a bordo del propio autobús.</t>
  </si>
  <si>
    <t>Accidente autobús</t>
  </si>
  <si>
    <t>Un hombre de 58 años, originario de Michoacán, fue detenido en el barrio de San Antonio, en Ixmiquilpan, luego de que durante una inspección preventiva le fueran localizadas varias bolsas con sustancias con características similares a distintos narcóticos.Explorar estilo El detenido fue identificado como Javier “N”, quien de acuerdo con el reporte tiene domicilio en la comunidad de San Miguel. Los agentes señalaron que el hombre mostró una actitud evasiva, por lo que procedieron a realizarle una revisión. Durante la inspección localizaron 21 bolsas tipo ziploc con una sustancia granulada de color azul, con características del cristal; cinco bolsas con polvo blanco, presuntamente cocaína, y tres bolsas con hierba verde seca, aparentemente marihuana. El hombre y las sustancias aseguradas quedaron a disposición del Ministerio Público, instancia que determinará su situación jurídica y llevará a cabo las investigaciones correspondientes. Este caso se suma a otro registrado en septiembre en el mismo municipio, donde elementos de Seguridad Pública Estatal detuvieron a una pareja en la comunidad de El Tephé. De acuerdo con información de la Secretaría de Seguridad Pública de Hidalgo, a la pareja, procedente de Nopala de Villagrán, le fueron asegurados 72 kilogramos de marihuana y 103 dosis de presunto cristal, con un valor estimado de 576 mil pesos.</t>
  </si>
  <si>
    <t>Siete personas fueron detenidas durante dos cateos simultáneos realizados en Zempoala y Tulancingo de Bravo, donde también fueron aseguradas 882 dosis de presuntos narcóticos, según informó la Secretaría de Seguridad Pública del Estado de Hidalgo. Como resultado de labores de inteligencia y una coordinación interinstitucional, en un inmueble de la colonia Santa Matilde, en Zempoala, fue ejecutada una orden de cateo que permitió detener a dos personas y asegurar tres 373 dosis de presunta marihuana, 73 dosis de una sustancia con características también de cristal y dos básculas grameras. De manera simultánea, en un predio ubicado en la colonia Progreso, en Tulancingo de Bravo, fueron detenidas otras cinco personas; en el lugar se localizaron 333 dosis de presunta marihuana, 103 dosis de una sustancia con características similares al cristal, dos básculas grameras. En total fueron detenidos cuatro hombres, tres mujeres, quienes junto con los indicios asegurados quedaron a disposición de las autoridades competentes que determinarán su situación jurídica y continuarán con las investigaciones correspondientes. Los operativos fueron realizados por la Secretaría de Seguridad Pública de Hidalgo en coordinación con la Procuraduría General de Justicia del Estado de Hidalgo y la Secretaría de la Defensa Nacional, como parte de las acciones de combate al narcomenudeo en la entidad.</t>
  </si>
  <si>
    <t>SSPH</t>
  </si>
  <si>
    <t>Como resultado de labores de inteligencia operativa, elementos de la Secretaría de Seguridad Pública de Hidalgo aseguraron más de 900 dosis de presunta droga y detuvieron a cuatro personas durante la ejecución de tres cateos simultáneos en los municipios de Pachuca y Tizayuca. Mediante un trabajo interinstitucional, agentes de la Secretaría de Seguridad Pública del Estado de Hidalgo, en coordinación con la Procuraduría General de Justicia del Estado y el Ejército Mexicano, implementaron un operativo en el fraccionamiento Los Arcos en Pachuca, donde fue desarticulado un presunto punto de narcomenudeo y detenidos una mujer y dos hombres identificados con las iniciales V. J. R. A., E. O. C. G. y J. O. C. R., respectivamente. Durante las diligencias aseguraron 377 dosis de presunta marihuana, 133 dosis de droga sintética conocida como cristal, una báscula de precisión, un arma de réplica y siete teléfonos celulares. En un segundo domicilio ubicado en la colonia Parque de Poblamiento, también en Pachuca, los agentes detuvieron a un hombre identificado con las iniciales J. C. L., además de comisionar 256 dosis de hierba seca con características propias de la marihuana, 7 dosis de presunta droga cristal, una báscula de precisión y dos teléfonos celulares. Por otra parte, en la colonia Haciendas de Tizayuca, en el municipio de Tizayuca, se complementó una orden de cateo en un predio presuntamente utilizado para la venta de narcóticos donde fueron localizadas 103 dosis de presunta marihuana y 90 dosis de sustancia granulada con características similares a la droga conocida como cristal. Las cuatro personas detenidas junto con los objetos asegurados quedaron a disposición del Ministerio Público del Estado de Hidalgo, autoridad que dará inicio a las carpetas de investigación correspondientes.</t>
  </si>
  <si>
    <t>Un hombre murió tras recibir varios impactos de arma de fuego durante las primeras horas de este domingo 4 de octubre, en la calle Josefa Ortiz de Domínguez, en el municipio de Apan. De acuerdo con los primeros reportes, vecinos alertaron a los servicios de emergencia luego de escuchar varias detonaciones. Elementos de la Policía Municipal y personal de Protección Civil acudieron al sitio, donde localizaron a un hombre con lesiones provocadas por arma de fuego. Paramédicos realizaron una valoración y confirmaron que la víctima ya no contaba con signos vitales. En el lugar fue identificado de manera preliminar con el apodo de “El Vampi”. La zona fue acordonada para preservar posibles indicios, mientras peritos de la Procuraduría General de Justicia del Estado de Hidalgo (PGJEH) realizaron las diligencias correspondientes. Posteriormente, el cuerpo fue trasladado al Servicio Médico Forense (Semefo) para practicarle los estudios correspondientes. La autoridad ministerial inició una carpeta de investigación para esclarecer el homicidio y determinar cómo ocurrieron los hechos.</t>
  </si>
  <si>
    <t>Homicidios</t>
  </si>
  <si>
    <t>Un hombre detenido en principio por una falta administrativa en el municipio de Tizayuca, resultó contar con una orden de aprehensión vigente en Zacatecas, relacionada con el delito de secuestro. Lo anterior fue informado por la Secretaría de Seguridad Ciudadana municipal, señalando que la detención fue realizada mediante un operativo coordinado entre elementos de la Policía Municipal de Tizayuca y la Policía Estatal de Hidalgo. De acuerdo con la información proporcionada por la corporación municipal, inicialmente el hombre fue intervenido por una falta administrativa. Tras realizar la detención del individuo, se verificaron sus datos en Plataforma México, con objetivo de verificar si estaba relacionado con algún mandamiento por parte de autoridades. Fue en ese momento que se confirmó que la persona detenida contaba con la orden de aprehensión vigente, ya señalada. No se ofreció mayor información, como la identidad de la persona detenida, ni cuestiones relacionadas tanto con la detención realizada por los elementos policiacos locales, así como detalles de la orden de aprehensión. Una vez confirmado el mandamiento judicial, el detenido fue puesto a disposición de la Policía de Investigación de la Procuraduría General de Justicia del Estado de Hidalgo para el seguimiento de los protocolos legales respectivos.</t>
  </si>
  <si>
    <t>Impulsa gobierno de Hidalgo a jóvenes que emprenden, se preparan y construyen su propio futuro</t>
  </si>
  <si>
    <t>Apoyo A Jóvenes</t>
  </si>
  <si>
    <t>Al menos once servidores y ex servidores públicos del Gobierno del Estado de Hidalgo enfrentan procedimientos administrativos o penales por presuntas irregularidades en el ejercicio de sus funciones. Ciro Juárez González, director general del Instituto de la Defensoría Pública, informó que las investigaciones están relacionadas con cobros indebidos, robo de documentos y desaparición de bienes, desempeño deficiente en sus labores, entre otros temas. El funcionario detalló que a partir de su llegada al cargo, a inicios del mes de diciembre del año pasado a la fecha. cinco servidores públicos fueron destituidos de sus cargos, debido a que solicitaron dinero a usuarios de algún trámite o servicio. Dichos casos pudieron acreditarse mediante comprobantes de depósitos bancarios realizados por las víctimas. Además, existe un caso en investigación que aún no deriva en una sanción, debido a que el procedimiento continúa y el servidor público tiene derecho a la defensa. En el Registro del Estado Familiar, una persona fue suspendida y otra dejó de laborar en la institución; ambos enfrentan un proceso judicial y están vinculados a proceso, informó la directora general Celia Ramírez Godínez. Uno de los casos corresponde al presunto robo de documentos utilizados por la dependencia, mientras que el segundo involucrado habría cobrado 300 mil pesos en efectivo entre agosto de 2025 y enero de 2026 por diversos trámites que en realidad deben pagarse mediante instituciones bancarias. Uno de los casos continúa bajo investigación, por lo que aún no se ha determinado la sanción correspondiente aunado a que como parte del procedimiento, la persona involucrada tiene derecho a su defensa. Por su parte, el titular del Instituto de la Función Registral del Estado de Hidalgo, José Luis Álvarez Tagie, informó que existen tres procedimientos administrativos ante los órganos internos de control por distintas irregularidades. Entre ellas, deficiencias en los trabajos realizados y la desaparición de bienes del Estado que estaban bajo el resguardo de personal de la institución.</t>
  </si>
  <si>
    <t>Delitos servidores públicos</t>
  </si>
  <si>
    <t>Durante el año pasado, la Procuraduría General de Justicia del Estado de Hidalgo (PGJEH) reportó 51 mil 302 carpetas de investigación iniciadas, mientras que registró 59 mil 536 determinaciones y/o conclusiones 57 mil 112 correspondientes a la etapa de investigación inicial, incluidos asuntos de años anteriores y 2 mil 424 en etapa de investigación complementaria. Es decir, se resolvieron más carpetas de las que se iniciaron, lo que concentra la inmensa mayoría de la actividad resolutiva de la fiscalía estatal. Con este resultado, Hidalgo se ubicó en el noveno lugar nacional por número de determinaciones y/o conclusiones, de acuerdo con los registros del Censo Nacional de Procuración de Justicia Federal y Estatal (CNPJF-E) 2026, publicados por el Instituto Nacional de Estadística y Geografía (INEGI). Por lo que durante el 2025, la PGJEH registró resultados relevantes en materia de investigación, judicialización y mecanismos alternativos de solución de controversias. Las cifras de dicho Censo dimensionan el volumen de trabajo desarrollado por la PGJEH durante el año pasado y muestran una capacidad de respuesta que permitió generar un mayor número de determinaciones y/o conclusiones respecto del número de nuevas carpetas de investigación iniciadas durante el mismo periodo. En materia de judicialización, durante el año que se informa, la PGJEH formuló imputación contra 5 mil 302 personas, de las cuales 4 mil 791 fueron vinculadas a proceso. Esto representa una proporción de 90.3 por ciento, es decir, nueve de cada 10 personas a quienes se formuló imputación fueron vinculadas a proceso. Otro de los resultados destacados corresponde a los Mecanismos Alternativos de Solución de Controversias. Durante 2025, en Hidalgo se iniciaron 7 mil 58 expedientes mediante estos mecanismos, cifra que colocó a la entidad en el noveno lugar nacional. Esta cifra representó 3.8 por ciento del total nacional de expedientes iniciados bajo estos mecanismos. Los mecanismos alternativos han permitido atender determinados conflictos mediante herramientas como la mediación, la conciliación y los acuerdos reparatorios, con procedimientos que buscan soluciones consensuadas y una atención más ágil de los asuntos que legalmente pueden resolverse por esta vía. En conjunto, estos indicadores muestran el volumen de asuntos atendidos por la institución y el seguimiento de las investigaciones desde su inicio hasta etapas de judicialización o conclusión, así como el aprovechamiento de vías alternativas de solución de controversias. La institución a cargo de Francisco Ángel Fernández Hasbun, mantiene el compromiso de fortalecer sus capacidades de investigación, mejorar los tiempos de atención y conclusión de los asuntos, combatir la impunidad y garantizar a las víctimas y a la sociedad una procuración de justicia cada vez más efectiva. Los resultados registrados ante el INEGI son consecuencia de las políticas públicas impulsadas por la presente administración a cargo del Gobernador Julio Menchaca Salazar y constituyen un referente estadístico para evaluar el desempeño institucional y representan, al mismo tiempo, un llamado a continuar el fortalecimiento del trabajo de las áreas ministeriales, policiales, periciales y administrativas de la PGJEH.</t>
  </si>
  <si>
    <t>Resolución de investigaciones</t>
  </si>
  <si>
    <t>La Junta Municipal de Reclutamiento de Tulancingo convoca a los varones mayores de 18 años a cumplir oportunamente con el trámite de su Cartilla del Servicio Militar Nacional, cuyo plazo para este año concluirá el próximo 15 de octubre. Este llamado está dirigido principalmente a los jóvenes nacidos en 2008, a quienes corresponde realizar el trámite durante el presente año, así como a los denominados remisos, es decir, varones nacidos en 2007 y años anteriores que no realizaron el procedimiento cuando les correspondía. La Cartilla del Servicio Militar Nacional constituye un documento de importancia para los ciudadanos y su trámite forma parte de las obligaciones establecidas para los varones mexicanos al alcanzar la mayoría de edad. Por ello, se invita a quienes aún no cuentan con ella a realizar esta diligencia dentro del periodo establecido y evitar dejarla para después. Como parte de la atención a la demanda registrada en el municipio, y por instrucciones de la presidenta municipal Lorena García Cázares, durante este año se gestionaron diversas remesas ante la autoridad militar, con las cuales se contempla la entrega de 450 cartillas. Actualmente se cuenta con las últimas 58 disponibles para quienes concluyan oportunamente su trámite. El procedimiento es gratuito, personal y no requiere intermediarios, debido a que contempla la integración de firmas y huellas dactilares del solicitante. Para realizar el trámite se deberá presentar: acta de nacimiento actualizada, CURP actualizada, comprobante de domicilio, comprobante del último grado de estudios y cuatro fotografías tamaño cartilla las cuales deberán ser a color o blanco y negro, con fondo blanco y camisa blanca; cabello tipo casquete corto raso, sin barba, patillas, bigote, lentes, aretes ni collares. En el caso de los remisos que no hayan nacido ni estén registrados en Tulancingo, será necesario presentar una constancia de no expedición de Cartilla del Servicio Militar Nacional, la cual puede solicitarse en la Junta Municipal de Reclutamiento correspondiente a su lugar de nacimiento. La Junta Municipal de Reclutamiento atiende de lunes a viernes, de 8:30 a 16:00 horas, en el segundo piso de la Presidencia Municipal.</t>
  </si>
  <si>
    <t>Tras recibirse reporte al respecto, elementos del Mando Coordinado acudieron de inmediato y lograron salvaguardar la integridad de la persona, evitando que se causara daño. Las labores fueron seguidas por medio de monitoreo de videovigilancia a cargo del gobierno municipal de Tulancingo, para poder actuar en el caso que fuera necesario. Al llegar al puente, ubicado a la altura de la colonia Los Pinos, en el punto conocido como “El Caballito”, los elementos policiacos dialogaron con la mujer, logrando que se causara daño. Posteriormente, la persona fue canalizada al Centro Especializado de Atención a la Violencia Familiar (CEAVIF) de Tulancingo, para recibir atención durante la crisis y acompañamiento especializado. Previo a ello, los elementos policiacos, así como de atención a emergencias, dialogaron a la mujer, tras lo cual se realizó la canalización con el personal del CEAVIF de Tulancingo. De acuerdo a un comunicado oficial, “este caso destaca la importancia del trabajo coordinado entre las áreas de seguridad y atención especializada, así como de la participación ciudadana para proteger la vida de quienes atraviesan momentos difíciles”. “El Gobierno Municipal cuenta con espacios de atención psicológica y acompañamiento tanatológico para quienes necesitan apoyo emocional. Solicitar ayuda es un paso importante y ninguna persona debería tener que enfrentar sola una situación de crisis”. Ante una situación de riesgo, la Secretaría de Seguridad Ciudadana recomienda comunicarse de inmediato al 911, proporcionar la ubicación precisa y seguir las indicaciones. Aunque compartir información en redes sociales puede alertar a otras personas, reportar directamente a los servicios de emergencia permite activar los protocolos de atención correspondientes.</t>
  </si>
  <si>
    <t>SSPH asegura más de mil 400 dosis de presuntos narcóticos y 2 mil 700 litros de hidrocarburo en Cuautepec</t>
  </si>
  <si>
    <t>Los cuerpos sin vida de dos trabajadores de la Comisión Federal de Electricidad (CFE) fueron localizados. De acuerdo con reportes policiacos, el hallazgo ocurrió en la zona de Texcapa y Nuevo Necaxa, cerca de la autopista México-Tuxpan. Elementos de diversas corporaciones y personal de la Comisión Estatal de Búsqueda de Personas Desaparecidas acudieron al sitio. Dichos trabajadores desaparecieron el 26 de junio de este año, cuando ambos trabajadores salieron de Huauchinango, Puebla, para realizar labores de mantenimiento en la zona limítrofe con el Estado de Hidalgo. Desde ese momento, se perdió contacto con ellos, por lo que se iniciaron labores de búsqueda, en medio de reclamos por parte de sus familiares y compañeros de trabajo para su localización. Durante las labores de búsqueda, el e28 de junio, las dos camionetas en las que se transportaban los trabajadores desaparecidos, fueron localizadas en la localidad de La Mesa, dentro del municipio de Acaxochitlán, sin placas y sin los logotipos de la CFE. El 31 de agosto, la Fiscalía General de la República detuvo y logró la vinculación de ocho personas, a los que se les acusa del delito de secuestro agravado en contra de los trabajadores electricistas. Medios de comunicación del Estado de Puebla señalan que al momento del hallazgo, los dos cuerpos de los trabajadores se encontraban juntos, con su respectiva vestimenta con la que los vieron por última vez. Tras el hallazgo de los cuerpos, las investigaciones quedaron a cargo de la FGR, así como de las fiscalías de Hidalgo y Puebla. En su momento, José Francisco García Reyes, titular de la Comisión de Búsqueda de Personas de Hidalgo, señaló que la institución mantiene acciones a petición de la Fiscalía General de la República. Ello, ante las constantes peticiones para que se agilizara el proceso de investigación sobre la desaparición de los trabajadores de la CFE, y por supuesto, su localización.</t>
  </si>
  <si>
    <t>Localización De Restos</t>
  </si>
  <si>
    <t>Las dos personas responsables de extraer ilegalmente 165 ejemplares de flora silvestre en el municipio del Cardonal tuvieron que replantarlos en el sitio donde los retiraron. Ello como parte de la reparación del daño ambiental solicitada por la Procuraduría Federal de Protección al Ambiente (Profepa). Fueron habitantes quienes sorprendieron en flagrancia a las personas, cuando éstas cargaban las cactáceas en una camioneta, tras lo cual dieron aviso a las autoridades. Elementos de la policía municipal efectuó el aseguramiento del vehículo y de las plantas, además de poner a disposición del Ministerio Público de la Federación a las dos personas involucradas. La Profepa dio a conocer que algunos de los ejemplares fueron extraídos desde la raíz, mientras que a otros los encontraron en secciones, lo que evidencia la afectación ocasionada por la extracción de las cactáceas. Los detenidos no pudieron acreditar la legal procedencia de los ejemplares, por lo que, según la Procuraduría, su aprovechamiento y posesión sin la autorización correspondiente de la Secretaría de Medio Ambiente y Recursos Naturales, constituye un delito federal. Esta obligación no sustituye las posibles sanciones que determine la Fiscalía General de la República (FGR) dentro del proceso correspondiente. Los ejemplares corresponden a 10 biznagas y 155 garambullos, cuya extracción derivó en una denuncia penal presentada por la Profepa contra ambas personas, quienes fueron detenidas y quedaron a disposición de la FGR. El pasado 29 de septiembre, personal de la Profepa supervisó todo el procedimiento para devolver las plantas a la comunidad de La Vega, en el municipio de Cardonal. Los ejemplares salieron del sitio donde permanecían resguardados en Tula de Allende y fueron trasladados hasta el lugar de donde fueron extraídos. Durante la restitución participaron personal de la Dirección de Ecología, el delegado de la comunidad, el representante indígena y diez habitantes, quienes atestiguaron el procedimiento y colaboraron en la plantación. Los propios infractores realizaron la carga, descarga y replantación de la totalidad de los ejemplares. La Profepa dará seguimiento tanto al desarrollo del proceso como a la evolución de las cactáceas después de su reincorporación a su hábitat natural.</t>
  </si>
  <si>
    <t>Protección Biodiversidad</t>
  </si>
  <si>
    <t>La Sierra Norte del estado de Hidalgo es la que se encuentra más afectada en este momento después de los fenómenos climatológicos del pasado fin de semana. De hecho, se reportan dos menores lesionados, dos menores de edad quiero decir, y afectaciones en las vías de comunicación. En Chapulhuacán, el gobierno municipal confirmó que dos menores de aproximadamente 4 años resultaron lesionados tras un deslave en la comunidad del Sótano, ocurrido a unos 50 metros de la cancha techada. Eh de acuerdo con un comunicado, el incidente ocurrió el sábado y los menores recibieron atención médica. Sin embargo, las autoridades no han informado hasta el momento cómo va la evolución de su estado de salud. En Nicolás Flores, los derrumbes provocados por las lluvias ocasionaron la suspensión temporal del paso por la barranca de segunda Santa Cruz en dos ocasiones durante menos de 48 horas. La primera interrupción ocurrió el viernes y la circulación fue restablecida durante la mañana del sábado. Sin embargo, este domingo el paso volvió a ser suspendido debido a las condiciones del camino. La Presidencia Municipal de Tlanchinol, por su parte, y la población o parte de la población en general llevan a cabo trabajos para el retiro... como en la vía Tlanchinol-Huayapa. En estas labores se cuenta con el apoyo solidario de vecinos de la localidad de Cuatlimax, quien eh quienes lograron liberar uno de los carriles para permitir el paso vehicular en el tramo señalado. Las fuertes lluvias registradas en las últimas horas provocaron el colapso del vado que comunica a comunidades de Tepehuacán de Guerrero con Tamazunchale, este último en el estado de San Luis Potosí, dejando sin paso a decenas de habitantes en esta zona limítrofe. De hecho, se está trabajando para poder eh rehabilitar, abrir el paso vehicular en esa zona. De hecho... corriente arrasó con la infraestructura del paso vehicular y peatonal, por lo que el tránsito hacia Tamazunchale quedó completamente interrumpido. En tanto, en Xochiatipan, autoridades municipales y habitantes realizaron trabajos para retirar los escombros acumulados en distintas comunidades. Hasta el momento no se han reportado viviendas dañadas ni personas lesionadas. Y mientras tanto, en Huautla, las autoridades pidieron evitar el cruce el cruce por el río Calabozo, ubicado entre Tamoyón I y Tamoyón II, debido al incremento considerable de su nivel que representa un riesgo para peatones y automovilistas. Esa es la parte que está más compleja, más complicada en este momento de circulación en el estado de Hidalgo.</t>
  </si>
  <si>
    <t>En el Valle de Tulancingo, concretamente los municipios que forman parte de su zona metropolitana, eh Tulancingo propiamente, así como Cuautepec y Santiago Tulantepec, no se registran afectaciones mayores, salvo algunos encharcamientos que no rebasan lo el 1 cm, 2 cm de altura, afortunadamente. Afortunadamente también en la Sierra Otomí-Tepehua, que ha sido una de las más golpeadas por la vaguada monzónica de octubre del año pasado y que está en recuperación todavía, las afectaciones tienen que ver sobre todo con las torrenciales lluvias que se presentaron desde ayer domingo por la madrugada y siguieron por buena parte del día. En este momento hay una llovizna, gracias al profesor Sócrates, que siempre se pone en contacto con nosotros desde el municipio de Huehuetla y que nos reporta que la llovizna ha sido constante, lo que ha permitido que el flujo de agua sea también constante, tanto en eh Metepec como en Tenango de Doria, así como en San Bartolo Tutotepec y Huehuetla, de donde nos reporta eh concretamente. El caudal del río, afortunadamente, no ha aumentado gran cosa. Lo que sí está complicado es el asunto —y lo platicaba Jess Romero hace un momentito—, lo que sí está complicado es que el asunto de la de la llovizna pues provoca una humedad que se va concentrando en eh pues en una zona que es muy eh muy montañosa y que cuando deje de llover pues va a seguir todavía vigente esa humedad, lo que va a implicar lo que está sucediendo en este momento: desgajamientos de piedra, de tierra, etcétera, etcétera, y por lo tanto, las precauciones para poder eh circular.</t>
  </si>
  <si>
    <t>La Subsecretaría de Protección Civil y Gestión de Riesgos del Estado de Hidalgo identificó 150 polígonos de diferentes extensiones considerados zonas de riesgo por inundaciones. Lo anterior fue informado por el titular de la dependencia estatal, Román Bernal Díaz, quien agregó que el 70 por ciento de la Sierra hidalguense presenta un nivel de riesgo alto ante la cantidad de agua que ha captado el suelo. El estudio y evaluación se realizó a partir de las afectaciones registradas durante la vaguada monzónica que afectó a 28 municipios a inicios del mes de octubre del año pasado. Se explicó que las recientes precipitaciones han provocado una importante captación de agua, sobre todo en las zonas serranas de Hidalgo, las cuales representan un buen porcentaje del territorio estatal. Por ello, se mantiene la vigilancia ante cualquier emergencia, en especial por el pronóstico de lluvias para las próximas horas, así como para el resto del mes de octubre. “El suelo y subsuelo están saturados y lo que puede provocar con la presencia de esta lluvia es que empiecen los escurrimientos y se incrementen los niveles de los cauces. Hay que tener precauciones”, señaló el funcionario. Debido a que algunos habitantes optaron por permanecer en su lugar de origen pese a los polígonos de riesgo identificados, personal de Protección Civil estatal acudió a las comunidades identificadas para informar a la población sobre los riesgos y las medidas preventivas que deben adoptar ante la presencia de lluvias. Además, se realizaron capacitaciones regionales en primeros auxilios, formación de brigadas comunitarias y elaboración de planes familiares en caso de emergencia para establecer rutas de evacuación, puntos de reunión, así como la ubicación de refugios temporales. “Desafortunadamente, esta forma de aprender en materia de protección civil que nos enseñó la vaguada, ahorita ya tenemos una cierta doctrina de conocimiento entre las comunidades y la autoridad en los términos que se manejan de alertamiento, de vaguada, de presencia de lluvia, de los milímetros de agua que pueden caer”, señaló Bernal Díaz. Aseguró que la dependencia mantiene comunicación directa con las autoridades municipales para intercambiar información y coordinar acciones ante cualquier emergencia. El funcionario advirtió que durante octubre se prevé un incremento de las precipitaciones que se extendería hasta noviembre y diciembre. Además, se señala que la temporada de frentes fríos comenzó esta semana y se prevé la presencia de alrededor de 50 de estos fenómenos hasta marzo o abril de 2027.</t>
  </si>
  <si>
    <t>Desde Hidalgo también tenemos información importante. El programa Invierte en Ti, Invierte en Hidalgo fortalece proyectos productivos de familias migrantes. El estanque acuícola de El Barranquito, en Zimapán, representa una alternativa de autoempleo y generación de ingresos. Como parte del compromiso del gobernador Julio Menchaca con las y los migrantes hidalguenses, el gobierno de Hidalgo impulsa alternativas que permiten a las personas y a sus familias desarrollar actividades productivas en sus comunidades de origen.</t>
  </si>
  <si>
    <t>Radioescucha reporta megacráteres de la Españita hasta la corta de San Nicolás.</t>
  </si>
  <si>
    <t>Radioescucha reporta vialidad en mal estadodesde el Tec de Pachuca hasta le fería</t>
  </si>
  <si>
    <t>Radioescucha reporta muchos baches en calle Allende</t>
  </si>
  <si>
    <t>Radioescucha 8722. Soledad Luna dice: «Buenos días, Lalito. Bendecido inicio de semana. Un favor, ¿si puedes pasarnos nuestro mensaje a Kasim? ¡No tenemos nada de agua, ni para el uso personal, y tiene ya muchos días! Es en la ampliación El Palmar, calle Río de Janeiro. Dice: Échanos la mano. Gracias, bendiciones». ¿Cómo no, señora Soledad Luna, con mucho gusto? Esperamos que les den el servicio de agua potable ahí en El Palmar.</t>
  </si>
  <si>
    <t>Radioescucha reportar que hace 5 días en la colonia del ISSSTE debido a la pavimentación en la calle Río Yaqui, toda la colonia carece del vital líquido de agua. Por favor, que nos apoyen ya. Locutor comenta: ¡Ah, caray! Caasim, adelante, a ver qué es lo que está pasando ahí.</t>
  </si>
  <si>
    <t>Tras más de tres meses de búsqueda, en una zona boscosa de Huauchinango, fueron localizados sin vida los trabajadores de la CFE que desaparecieron desde el 26 de junio, cuando se dirigían a realizar labores</t>
  </si>
  <si>
    <t>El Instituto Mexicano del Seguro Social (IMSS) en Hidalgo exhortó a la población a adoptar hábitos saludables para proteger la salud cardiovascular, debido a que las enfermedades del corazón representan la principal causa de mortalidad en México, tanto en mujeres como en hombres.El sobrepeso, la obesidad, la diabetes, las dislipidemias y la hipertensión arterial son algunos de los principales factores de riesgo que aumentan la posibilidad de desarrollar enfermedades cardiovasculares y sus complicaciones.</t>
  </si>
  <si>
    <t>Prevención De Enfermedades</t>
  </si>
  <si>
    <t>De acuerdo con el reporte epidemiológico de la Secretaría de Salud con corte al 28 de septiembre, en Hidalgo se han registrado 192 casos de COVID-19 y 16 fallecimientos por esta causa. En la última semana se registraron 9 contagios nuevos. A nivel nacional, Hidalgo se ubica como la entidad con más fallecimientos por COVID-19 y en cuarto lugar con más contagios. En cuanto a casos de influenza, se registran 34 casos y un fallecimiento.</t>
  </si>
  <si>
    <t>Covid 19</t>
  </si>
  <si>
    <t>El Teatro de San Francisco fue escenario del encuentro con beneficiarios de los programas Transformando Emprendedores, Embajadores de la Juventud y Titúlate, que recibieron las tarjetas con las que podrán hacer uso de los apoyos destinados a fortalecer sus proyectos, formación y desarrollo profesional.</t>
  </si>
  <si>
    <t>Mediante acciones de inteligencia operativa, elementos de la Secretaría de Seguridad Pública de Hidalgo (SSPH), en coordinación con la Procuraduría General de Justicia del Estado de Hidalgo (PGJEH), la Secretaría de la Defensa Nacional (Defensa) y la Guardia Nacional, ejecutaron dos órdenes de cateo simultáneas en el municipio de Cuautepec de Hinojosa, que derivaron en el aseguramiento de una persona, más de mil 400 dosis de presuntos narcóticos, así como 2 mil 700 litros de hidrocarburo</t>
  </si>
  <si>
    <t>El titular de la Secretaría de Seguridad Pública de Hidalgo (SSPH), Salvador Cruz Neri, encabezó la puesta en operación del nuevo Centro de Control y Comando (C2) de Tula de Allende, infraestructura que fortalecerá la videovigilancia y atención de emergencias.</t>
  </si>
  <si>
    <t>Gracias a toda la gente que también nos apoya de las diferentes dependencias. Gracias, en verdad, a Cristian Yahir Castañedade Movilidad Transporte.</t>
  </si>
  <si>
    <t>Coloca Natividad Castrejón primera piedra del Bachillerato Nacional “Margarita Maza” en Mineral de la Reforma</t>
  </si>
  <si>
    <t>Bachillerato Nacional</t>
  </si>
  <si>
    <t>El gobernador de Hidalgo, Julio Menchaca Salazar, señaló que empresas como Uber no pueden operar en el estado a pesar de publicaciones que la misma compañía ha realizado considerando a la capital hidalguense como un posible destino. Aclaró que, aunque la publicación de la empresa pueda ser real, la prestación de este servicio mediante aplicaciones no está permitida por la legislación estatal vigente. Respecto a un posible acercamiento con Uber México, el gobernador descartó contacto con representantes de la empresa e indicó que cualquier reunión de este tipo correspondería a la Secretaría de Movilidad y Transporte. Recordó que el estado es el único facultado para otorgar concesiones de traslado y establecer las condiciones de su operación, advirtiendo que en caso de infracciones la autoridad puede retirarlas. Puntualizó que la administración estatal busca mantener un equilibrio entre los prestadores del servicio y los usuarios, en el marco de las recientes tarifas aprobadas para el transporte público y los taxis en la entidad.</t>
  </si>
  <si>
    <t>Gobernador</t>
  </si>
  <si>
    <t>Apps de transporte</t>
  </si>
  <si>
    <t>La Subsecretaría de Protección Civil y Gestión de Riesgos emitió una actualización sobre el concentrado ejecutivo de afectaciones y acciones por lluvias. Se encuentran en alerta roja (por conservar afectaciones activas) los municipios de Calnali, Eloxochitlán, Ixmiquilpan, San Salvador, Tenango de Doria, Tlahuiltepa y Xochiatipan. Los municipios que presentan reportes de deslaves incluyen a Calnali, Eloxochitlán, Ixmiquilpan, San Salvador, Tenango de Doria, Tlahuiltepa y Xochiatipan. En cuanto a afectaciones estructurales, la alerta roja comprende a Atlapexco, Calnali, Cardonal, Chapulhuacán, Huautla, Huazalingo, Ixmiquilpan, Tenango de Doria, Tepehuacán de Guerrero, Tianguistengo, Tlahuiltepa, Tlanchinol, Xochiatipan y Yahualica. Respecto a derrumbes, se reportan incidencias en Actopan, Eloxochitlán, Huazalingo, Ixmiquilpan, Nicolás Flores, Omitlán, San Agustín Metzquititlán, San Bartolo Tutotepec, Tenango de Doria, Tlahuiltepa, Tlanchinol y Xochiatipan. Las crecientes de río afectan a Atlapexco, Molango, Nicolás Flores, San Agustín Metzquititlán, Tenango de Doria, Tepehuacán de Guerrero, Tianguistengo, Tlahuiltepa y Xochiatipan.</t>
  </si>
  <si>
    <t>Protesta docentes</t>
  </si>
  <si>
    <t>Las autoridades de Ixmiquilpan mantienen tres espacios preparados para ser habilitados como albergues ante posibles afectaciones por lluvias: el Centro Cristiano Betel, la Delegación de Panales y la Delegación de Orizabita. El director de protección civil municipal, Marcelino Capula, indicó que la situación se encuentra bajo control y por el momento no ha sido necesario activar dichos espacios. Se mantienen recorridos y monitoreos permanentes en ríos, arroyos y cuerpos de agua, con especial atención en la zona norte del municipio debido al riesgo de deslaves. Las autoridades descartaron por ahora un riesgo para la población por el nivel del río Tula, asegurando que no se asemeja a la situación del 2021, y mantienen coordinación con la Comisión Nacional del Agua (Conagua) para vigilar los niveles de presas.</t>
  </si>
  <si>
    <t>Habilitación de albergues</t>
  </si>
  <si>
    <t>En lo que va del 2026, Secretaría de Salud ha realizado más de 9 mil mastografías, a través de unidad móvil_Vanesa Escalante Arroyo, Julio Menchaca</t>
  </si>
  <si>
    <t>Cáncer De Mama</t>
  </si>
  <si>
    <t>DIF Hidalgo cuenta con 206 mil despensas y 446 albergues ante afectaciones por lluvias_Ricardo Alvizo Contreras: Julio Menchaca, Edda Vite</t>
  </si>
  <si>
    <t>A un año de la vaguada monzónica, Hidalgo mantiene capacidad instalada para responder ante emergencias_Pablo Octavio Olvera Sánchez</t>
  </si>
  <si>
    <t>Huracán Priscilla</t>
  </si>
  <si>
    <t>Mantiene SIPDUS capacidad operativa y fuerza de trabajo ante contingencias_ Alejandro Sánchez García: Julio Menchaca</t>
  </si>
  <si>
    <t>Comité de Emergencias de Hidalgo está activo ante próximas lluvias</t>
  </si>
  <si>
    <t>Reunión Gabinete De Seguridad</t>
  </si>
  <si>
    <t>Realiza SEPH encuentro estatal sobre el uso responsable de la tecnología en las escuelas</t>
  </si>
  <si>
    <t>Regulación de dispositivos digitales</t>
  </si>
  <si>
    <t>En lo que va del 2026, Secretaría de Salud ha realizado más de 9 mil mastografías, a través de unidad móvil</t>
  </si>
  <si>
    <t>En entrevista en cabina las doctoras Montserrat Alonso y Yareli García, docentes e investigadoras de la Universidad Tecnológica de Mineral de la Reforma, destacaron la participación de su institución en la iniciativa "Escuelas por la Tierra". Explicaron que esta convocatoria, impulsada por Fundación Educa en coordinación con la Secretaría de Educación Pública, busca fomentar la sostenibilidad, el manejo responsable de recursos y la conciencia ambiental en todos los niveles educativos. Las investigadoras resaltaron que la vinculación comunitaria ha permitido llevar el conocimiento de las aulas hacia el exterior, colaborando en proyectos como la instalación de jardines polinizadores en preescolares y la impartición de talleres sobre la elaboración de bioinsumos y compostas para agricultores locales, con el propósito de reducir el uso de agroquímicos. Asimismo, enfatizaron que el objetivo principal es lograr un cambio de conciencia para que el cuidado ambiental se convierta en un hábito cotidiano. Finalmente, recordaron que el próximo 8 de octubre se abrirá una nueva edición de la convocatoria de la Fundación Educa, por lo que reiteraron que la Universidad Tecnológica de Mineral de la Reforma mantiene las puertas abiertas para asesorar y colaborar con otros planteles e interesados en implementar prácticas sustentables.</t>
  </si>
  <si>
    <t>Educación Ambiental</t>
  </si>
  <si>
    <t>El notario Pedro Luis Noble Monterrubio, presidente del Colegio de Notarios del Estado de Hidalgo, y el notario José Luis Leal Campos, procedente de Jalisco, ofrecieron una conferencia sobre el cumplimiento normativo en la función notarial y la importancia de la deontología jurídica en el ejercicio profesional. Durante su intervención, destacaron que el notariado nacional busca consolidar una actuación ética apegada al uso correcto del español, fomentando la certeza jurídica y la prevención de irregularidades mediante una sólida fuerza laboral directa e indirecta en todo el país. Asimismo, detallaron que el gremio notarial ha avanzado hacia un proceso de unidad y evolución digital tras el acuerdo de Pachuca, proyectando una plataforma tecnológica para integrar herramientas de vanguardia como la ciberseguridad y la inteligencia artificial. Finalmente, extendieron una invitación a la comunidad notarial y jurídica a participar en las actividades del sector y a la próxima reunión que se llevará a cabo en la Expo Guadalajara del 5 al 7 de noviembre.</t>
  </si>
  <si>
    <t>Entrevista en cabina Fausto Osiris Animas Belio, representante de la secretaría de Fomento Económico de Tulancingo - Anunció los pormenores de la feria gastronómica internacional "Tulancingo entre Sabores 2026", la cual se llevará a cabo los días sábado 17 y domingo 18 de octubre en la histórica zona del ferrocarril. Este evento busca fortalecer la economía del municipio mediante una amplia oferta de actividades culturales, exposiciones artísticas y la participación de artesanos y productores locales. La feria contará con una fuerte presencia internacional gracias a la colaboración de la Asociación Gremial de Chefs Autónomos de Chile y la asistencia de cocineros y empresarios procedentes de El Salvador, Honduras, Guatemala, Perú, Estados Unidos y Bolivia. Entre sus principales atractivos destacan la zona de fuego directo con cocinado simultáneo a cargo de chefs internacionales, conversatorios sobre gastronomía tradicional mexicana, talleres infantiles y funciones cinematográficas vinculadas al arte culinario, ofreciendo una jornada continua desde las diez de la mañana hasta las nueve de la noche.</t>
  </si>
  <si>
    <t>Festival Gastronómico</t>
  </si>
  <si>
    <t>Entrevista en cabina con el licenciado Eduardo Marmolejo, consejero electoral del IEEH - Habló a cerca de los preparativos para las elecciones locales del año 2027. El consejero explicó que el proceso federal electoral comenzó el pasado 10 de septiembre y que, de manera paulatina, los demás órganos están iniciando sus funciones, destacando que el Instituto Estatal Electoral de Hidalgo decretará el inicio formal del proceso electoral local el próximo 15 de diciembre. Asimismo, informó sobre dos convocatorias vigentes: la primera está abierta hasta el 7 de octubre y está dirigida a la ciudadanía interesada en integrar los 18 consejos distritales, los cuales se encargan de recibir documentación, empaquetar materiales y realizar los cómputos distritales. La segunda convocatoria, abierta hasta el 14 de octubre, busca integrar la estructura técnico-administrativa u operativa de dichos consejos, incluyendo figuras clave como secretarías, coordinaciones de organización electoral, capacitación y educación cívica, así como enlaces electorales en cada municipio. Finalmente, se recordó que los detalles y registros de ambas convocatorias se pueden consultar a través de la página oficial del instituto (www.ieh.mx), donde las personas interesadas pueden postularse y participar en este ejercicio democrático.</t>
  </si>
  <si>
    <t>Proceso electoral</t>
  </si>
  <si>
    <t>Fíjese que dos menores de edad lesionados, una persona sin localizar y algunos derrumbes es el saldo de las lluvias de este pasado fin de semana aquí en la entidad. Vamos a escuchar la información, ¡adelante, Jacqueline Servín!.</t>
  </si>
  <si>
    <t>Fíjese que el DIF Hidalgo cuenta con 446 albergues en los 84 municipios para atender a las personas afectadas por las lluvias .</t>
  </si>
  <si>
    <t>Súper Stéreo 100.5 FM</t>
  </si>
  <si>
    <t>Vía telefónica Miguel Saviñón, abogado de aquí de la región de Tula, la intención de esta entrevista es para que nos pueda platicar como profesional en materia judicial, ¿qué debe tener una persona o qué requisitos debe cumplir una persona para sacar el cuerpoo el cuerpo de un familiar.</t>
  </si>
  <si>
    <t>Una trabajadora de Protección Civil de Almoloya, identificada como Diana, habría sido víctima de una agresión con gas pimienta por parte de su superior, Miguel Ángel, según una denuncia difundida públicamente. El testimonio, dado a conocer por la influencer Cecilia Gaxiola en redes sociales, señala que el funcionario presuntamente habría rociado gas directamente en el rostro de la empleada, quien posteriormente habría requerido atención médica.</t>
  </si>
  <si>
    <t>Agresión de funcionario</t>
  </si>
  <si>
    <t>Enlace clima Luis García de la Conagua en la Republica Mexicana e Hidalgo, zona huasteca máxima de 27 mínima de 20, para la Sierra 22 máxima mínima de 17, Altiplano máxima de 17 mínima de 9, para Pachuca y Tizayuca 16 mínima de 10, en la Zona Tepehua máxima de 24 mínima de 17, Valle de Tulancingo máxima de 16 mínima de 10 en el Valle del Mezquital máxima 18 mínimas de 11 , Huichapan y Tecozayutla máxima 21 y mínima de 11. El nivel de las presas en el estado de Hidalgo es el siguiente: la presa Taxhimay se encuentra al 84.4%; presa Requena al 71.6%; presa Endhó al 101.9%; presa Rojo Gómez al 104%; presa Vicente Aguirre al 98.5%; presa La Esperanza al 100% y presa Zimapán al 85.8%.</t>
  </si>
  <si>
    <t>Nos acaban de confirmar que la reunión sobre el tema de La Cañada, en el municipio de Atotonilco de Tula, va a ser en esa localidad a las 5 de la tarde; ya no va a ser en Pachuca, será a las 5 de la tarde en el centro de La Cañada, allá en el municipio de Atotonilco de Tula, para que la ciudadanía pueda asistir y escuche lo que el gobierno del estado, lo que el gobierno municipal tienen que informarles. Hasta el momento no se confirma si estará el secretario de Gobierno, Guillermo Olivares Reyna; lo que sí, van a recibir información importante para que la gente esté al pendiente de lo que sucede en su comunidad de La Cañada, en Atotonilco de Tula.</t>
  </si>
  <si>
    <t>Atención A Manifestantes</t>
  </si>
  <si>
    <t>El gobernador Julio Menchaca dijo que se cuenta con los recursos económicos necesarios para atender las afectaciones provocadas por las recientes lluvias aquí en el estado."Este año entre los... solamente para la reconstrucción de caminos, puentes e instalaciones de agua entre el gobierno federal, que es la Secretaría de Infraestructura, Comunicaciones y Transportes, nuestra Secretaría de Obras Públicas y Conagua, son 8,115 millones este año, ya están licitados. Están incluso está la eh la maquinaria está en los en los sitios. Eh por las condiciones del clima está es difícil, pero ahorita lo importante es reponer los pasos provisionales y estar en la construcción, cuando las condiciones del tiempo nos lo permitan, pues de los puentes, sobre todo de los puentes."</t>
  </si>
  <si>
    <t>Eulalio Larrieta agradece a Cristian Yahir Castañeda supervisor de la región Pachuca quien nos va atender los reportes que correspondan a la SEMOT</t>
  </si>
  <si>
    <t>La Secretaría de Seguridad Pública de Hidalgo desarticuló presuntos puntos de venta de drogas en los municipios de Pachuca y Tizayuca.Elementos de la Secretaría de Seguridad Pública de Hidalgo aseguraron más de 900 dosis de presunta droga y detuvieron a cuatro personas durante la ejecución de tres cateos simultáneos en los municipios de Pachuca y Tizayuca.</t>
  </si>
  <si>
    <t>Audio video Víctor Velázquez (PRESIDENTE DE LA COOPERATIVA CRUZ AZUL) “ También quiero felicitar y reconocer a quienes aportaron su talento y esfuerzo para lograr esta reactivación. A cada trabajador, técnico, ingeniero, colaborador y a todas las personas que brindaron su conocimiento, dedicación y compromiso. Aprovecho este mensaje para refrendar nuestro llamado al diálogo y a la reconciliación de las familias cooperativistas. Nuestras comunidades merecen vivir en armonía para seguir construyendo juntos la grandeza de la Cruz Azul. Muchas felicidades y muchas gracias por creer en este proyecto de refundación. ¡Que viva la Cruz Azul!"</t>
  </si>
  <si>
    <t>Cruz Azul</t>
  </si>
  <si>
    <t>El Ayuntamiento de Pachuca dio inicio a la Capacitación Gratuita de Conducción Responsable, a través de la Secretaría de Seguridad Pública, Tránsito y Vialidad.El programa formativo arrancó con un grupo inicial de 30 participantes, quienes comenzaron sus actividades con el módulo de clases teóricas, impartidas directamente en las instalaciones de la corporación de seguridad.Durante esta etapa, las y los ciudadanos reciben instrucción enfocada en educación vial, conocimiento del reglamento de tránsito y concientización sobre la responsabilidad que implica conducir un vehículo.Las sesiones teóricas serán complementadas posteriormente con prácticas de manejo y mecánica básica, las cuales se llevarán a cabo en las instalaciones del estacionamiento del Estadio Hidalgo.</t>
  </si>
  <si>
    <t>Curso de manejo</t>
  </si>
  <si>
    <t>La Comisión Nacional del Agua (Conagua), a través de su Dirección Local Hidalgo, informó que realiza un desfogue controlado y programado de la presa Endhó, con un gasto de 4.041 metros cúbicos por segundo, maniobra que, de acuerdo con el organismo, no representa riesgos para la población. La presa Endhó registra un almacenamiento de 102.4 por ciento de su capacidad, equivalente a 187.319 millones de metros cúbicos, además de un derrame de 76.858 metros cúbicos por segundo.</t>
  </si>
  <si>
    <t>Desfogue De Presa</t>
  </si>
  <si>
    <t>El gobernador de Hidalgo, Julio Menchaca Salazar, habló sobre las acciones en beneficio de los afectados por la vaguada monzónica aquí en la entidad, ocurrida hace un año; incluso adelantó la posible visita de la presidenta de México, Claudia Sheinbaum, en esta .</t>
  </si>
  <si>
    <t>Radioescucha Sr. Fidel pide limpieza de calle primera cerrada de Ferrocarril Central delante de la calle 14.</t>
  </si>
  <si>
    <t>Limpieza Urbana</t>
  </si>
  <si>
    <t>Vamos a un tema muy complicado que va a dar mucho de qué hablar en los próximos días, que desde el pasado sábado ha sido un tema incluso nacional: el tema de las tumbas de la comunidad de La Cañada en Atotonilco de Tula. Mire, nosotros hemos buscado a la autoridad municipal para que dé alguna declaración, no hemos tenido respuesta; sabemos que la alcaldesa Yocelyn Tovar ya acudió al Ministerio Público debido a las agresiones que sufrió al interior de la presidencia municipal ese sábado, el día que los pobladores descubrieron que las tumbas habían sido profanadas y que acudieron ahí a la alcaldía. Ayer le presentamos el audio de cómo se escuchaban las niñas gritando, cómo se escuchaba ahí una serie de conflictos. Habrá que ver qué sucede en este tema de la el arribo de los pobladores a la presidencia municipal de Atotonilco. Lo que es cierto es que hoy está programada una reunión, originalmente estaba programada para Pachuca.</t>
  </si>
  <si>
    <t>En otra información, la mañana de hoy, alrededor de 40 trabajadores de Educación Especial se manifestaron en la entrada de las instalaciones de la Secretaría de Educación Pública de Hidalgo, ubicadas en el bulevar Felipe Ángeles, en Pachuca. " no hay ningún documento donde se nos haya brindado a nosotros para decirnos que se va a hacer una reestructuración a nivel zona, entonces pues no ten- tenemos el desconocimiento total de lo que está sucediendo.</t>
  </si>
  <si>
    <t>Protesta de docentes</t>
  </si>
  <si>
    <t>El gobernador de Hidalgo hizo un llamado a la población para atender las recomendaciones emitidas por Protección Civil durante la temporada de precipitaciones. Ante las lluvias intensas pronosticadas para esta semana, el Comité de Emergencia de Hidalgo se mantiene en sesión permanente y atiende las afectaciones reportadas en diversas regiones del estado, informó el gobernador Julio Menchaca Salazar, quien hizo un llamado a la población a seguir las recomendaciones de Protección Civil para evitar situaciones de riesgo.</t>
  </si>
  <si>
    <t>Y ante las lluvias intensas pronosticadas para esta semana, el Comité de Emergencia de Hidalgo se mantiene en sesión permanente y atiende las afectaciones reportadas en diversas regiones del estado. Así lo informó el gobernador Julio Menchaca Salazar, quien hizo un llamado a la población a seguir las recomendaciones de Protección Civil para evitar situaciones de riesgo. Durante la reunión semanal del Gabinete de Seguridad, se dio a conocer que en la última semana se reportaron 21 municipios con afectaciones como derrumbes, inundaciones y deslaves, así como 53 daños en infraestructura, 28 árboles caídos e incremento de cauces. Por lo anterior, se desplegó personal de los tres niveles de gobierno para atender cada situación, incluido el traslado de dos menores de edad lesionados y el rescate de dos personas que quedaron atrapadas por la creciente de un río mientras pescaban</t>
  </si>
  <si>
    <t>Como parte de las acciones para fortalecer la detección oportuna del cáncer de mama, la Secretaría de Salud de Hidalgo (SSH). , ha realizado 9 mil 54 estudios de mastografía mediante la unidad móvil que recorre distintos municipios de la entidad, acercando este servicio a las mujeres que requieren una valoración preventiva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</si>
</sst>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10" tableType="queryTable" totalsRowShown="0">
  <autoFilter ref="A1:M110"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10"/>
  <sheetViews>
    <sheetView tabSelected="1" workbookViewId="0">
      <selection activeCell="E12" sqref="E12"/>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3.140625" bestFit="1" customWidth="1"/>
    <col min="8" max="8" width="12.42578125" bestFit="1" customWidth="1"/>
    <col min="9" max="9" width="11.140625" bestFit="1" customWidth="1"/>
    <col min="10" max="10" width="25.7109375" bestFit="1" customWidth="1"/>
    <col min="11" max="11" width="31"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30</v>
      </c>
    </row>
    <row r="2" spans="1:13" x14ac:dyDescent="0.25">
      <c r="A2" s="2">
        <v>46300</v>
      </c>
      <c r="B2" s="1" t="str">
        <f ca="1">IF(Información1[[#This Row],[Fecha]]='Ajuste de fechas'!$A$2,"Día actual","Día anterior")</f>
        <v>Día anterior</v>
      </c>
      <c r="C2" t="s">
        <v>38</v>
      </c>
      <c r="D2" t="s">
        <v>43</v>
      </c>
      <c r="E2" t="s">
        <v>93</v>
      </c>
      <c r="F2" t="s">
        <v>35</v>
      </c>
      <c r="G2" t="s">
        <v>86</v>
      </c>
      <c r="H2" t="s">
        <v>37</v>
      </c>
      <c r="I2" t="s">
        <v>7</v>
      </c>
      <c r="J2" t="s">
        <v>24</v>
      </c>
      <c r="K2" t="s">
        <v>40</v>
      </c>
      <c r="L2" t="s">
        <v>34</v>
      </c>
      <c r="M2">
        <v>1</v>
      </c>
    </row>
    <row r="3" spans="1:13" x14ac:dyDescent="0.25">
      <c r="A3" s="2">
        <v>46300</v>
      </c>
      <c r="B3" s="1" t="str">
        <f ca="1">IF(Información1[[#This Row],[Fecha]]='Ajuste de fechas'!$A$2,"Día actual","Día anterior")</f>
        <v>Día anterior</v>
      </c>
      <c r="C3" t="s">
        <v>38</v>
      </c>
      <c r="D3" t="s">
        <v>43</v>
      </c>
      <c r="E3" t="s">
        <v>94</v>
      </c>
      <c r="F3" t="s">
        <v>14</v>
      </c>
      <c r="G3" t="s">
        <v>88</v>
      </c>
      <c r="H3" t="s">
        <v>37</v>
      </c>
      <c r="I3" t="s">
        <v>7</v>
      </c>
      <c r="J3" t="s">
        <v>24</v>
      </c>
      <c r="K3" t="s">
        <v>40</v>
      </c>
      <c r="L3" t="s">
        <v>27</v>
      </c>
      <c r="M3">
        <v>1</v>
      </c>
    </row>
    <row r="4" spans="1:13" x14ac:dyDescent="0.25">
      <c r="A4" s="2">
        <v>46300</v>
      </c>
      <c r="B4" s="1" t="str">
        <f ca="1">IF(Información1[[#This Row],[Fecha]]='Ajuste de fechas'!$A$2,"Día actual","Día anterior")</f>
        <v>Día anterior</v>
      </c>
      <c r="C4" t="s">
        <v>38</v>
      </c>
      <c r="D4" t="s">
        <v>43</v>
      </c>
      <c r="E4" t="s">
        <v>95</v>
      </c>
      <c r="F4" t="s">
        <v>15</v>
      </c>
      <c r="G4" t="s">
        <v>96</v>
      </c>
      <c r="H4" t="s">
        <v>37</v>
      </c>
      <c r="I4" t="s">
        <v>7</v>
      </c>
      <c r="J4" t="s">
        <v>29</v>
      </c>
      <c r="K4" t="s">
        <v>40</v>
      </c>
      <c r="L4" t="s">
        <v>25</v>
      </c>
      <c r="M4">
        <v>1</v>
      </c>
    </row>
    <row r="5" spans="1:13" x14ac:dyDescent="0.25">
      <c r="A5" s="2">
        <v>46300</v>
      </c>
      <c r="B5" s="1" t="str">
        <f ca="1">IF(Información1[[#This Row],[Fecha]]='Ajuste de fechas'!$A$2,"Día actual","Día anterior")</f>
        <v>Día anterior</v>
      </c>
      <c r="C5" t="s">
        <v>38</v>
      </c>
      <c r="D5" t="s">
        <v>43</v>
      </c>
      <c r="E5" t="s">
        <v>97</v>
      </c>
      <c r="F5" t="s">
        <v>13</v>
      </c>
      <c r="G5" t="s">
        <v>98</v>
      </c>
      <c r="H5" t="s">
        <v>37</v>
      </c>
      <c r="I5" t="s">
        <v>7</v>
      </c>
      <c r="J5" t="s">
        <v>28</v>
      </c>
      <c r="K5" t="s">
        <v>40</v>
      </c>
      <c r="L5" t="s">
        <v>25</v>
      </c>
      <c r="M5">
        <v>1</v>
      </c>
    </row>
    <row r="6" spans="1:13" x14ac:dyDescent="0.25">
      <c r="A6" s="2">
        <v>46300</v>
      </c>
      <c r="B6" s="1" t="str">
        <f ca="1">IF(Información1[[#This Row],[Fecha]]='Ajuste de fechas'!$A$2,"Día actual","Día anterior")</f>
        <v>Día anterior</v>
      </c>
      <c r="C6" t="s">
        <v>38</v>
      </c>
      <c r="D6" t="s">
        <v>43</v>
      </c>
      <c r="E6" t="s">
        <v>99</v>
      </c>
      <c r="F6" t="s">
        <v>15</v>
      </c>
      <c r="G6" t="s">
        <v>69</v>
      </c>
      <c r="H6" t="s">
        <v>37</v>
      </c>
      <c r="I6" t="s">
        <v>7</v>
      </c>
      <c r="J6" t="s">
        <v>29</v>
      </c>
      <c r="K6" t="s">
        <v>40</v>
      </c>
      <c r="L6" t="s">
        <v>25</v>
      </c>
      <c r="M6">
        <v>1</v>
      </c>
    </row>
    <row r="7" spans="1:13" x14ac:dyDescent="0.25">
      <c r="A7" s="2">
        <v>46300</v>
      </c>
      <c r="B7" s="1" t="str">
        <f ca="1">IF(Información1[[#This Row],[Fecha]]='Ajuste de fechas'!$A$2,"Día actual","Día anterior")</f>
        <v>Día anterior</v>
      </c>
      <c r="C7" t="s">
        <v>38</v>
      </c>
      <c r="D7" t="s">
        <v>43</v>
      </c>
      <c r="E7" t="s">
        <v>100</v>
      </c>
      <c r="F7" t="s">
        <v>13</v>
      </c>
      <c r="G7" t="s">
        <v>101</v>
      </c>
      <c r="H7" t="s">
        <v>37</v>
      </c>
      <c r="I7" t="s">
        <v>7</v>
      </c>
      <c r="J7" t="s">
        <v>28</v>
      </c>
      <c r="K7" t="s">
        <v>40</v>
      </c>
      <c r="L7" t="s">
        <v>25</v>
      </c>
      <c r="M7">
        <v>1</v>
      </c>
    </row>
    <row r="8" spans="1:13" x14ac:dyDescent="0.25">
      <c r="A8" s="2">
        <v>46300</v>
      </c>
      <c r="B8" s="1" t="str">
        <f ca="1">IF(Información1[[#This Row],[Fecha]]='Ajuste de fechas'!$A$2,"Día actual","Día anterior")</f>
        <v>Día anterior</v>
      </c>
      <c r="C8" t="s">
        <v>38</v>
      </c>
      <c r="D8" t="s">
        <v>43</v>
      </c>
      <c r="E8" t="s">
        <v>102</v>
      </c>
      <c r="F8" t="s">
        <v>14</v>
      </c>
      <c r="G8" t="s">
        <v>103</v>
      </c>
      <c r="H8" t="s">
        <v>37</v>
      </c>
      <c r="I8" t="s">
        <v>7</v>
      </c>
      <c r="J8" t="s">
        <v>24</v>
      </c>
      <c r="K8" t="s">
        <v>40</v>
      </c>
      <c r="L8" t="s">
        <v>27</v>
      </c>
      <c r="M8">
        <v>1</v>
      </c>
    </row>
    <row r="9" spans="1:13" x14ac:dyDescent="0.25">
      <c r="A9" s="2">
        <v>46300</v>
      </c>
      <c r="B9" s="1" t="str">
        <f ca="1">IF(Información1[[#This Row],[Fecha]]='Ajuste de fechas'!$A$2,"Día actual","Día anterior")</f>
        <v>Día anterior</v>
      </c>
      <c r="C9" t="s">
        <v>38</v>
      </c>
      <c r="D9" t="s">
        <v>43</v>
      </c>
      <c r="E9" t="s">
        <v>104</v>
      </c>
      <c r="F9" t="s">
        <v>13</v>
      </c>
      <c r="G9" t="s">
        <v>105</v>
      </c>
      <c r="H9" t="s">
        <v>37</v>
      </c>
      <c r="I9" t="s">
        <v>7</v>
      </c>
      <c r="J9" t="s">
        <v>28</v>
      </c>
      <c r="K9" t="s">
        <v>40</v>
      </c>
      <c r="L9" t="s">
        <v>25</v>
      </c>
      <c r="M9">
        <v>1</v>
      </c>
    </row>
    <row r="10" spans="1:13" x14ac:dyDescent="0.25">
      <c r="A10" s="2">
        <v>46300</v>
      </c>
      <c r="B10" s="1" t="str">
        <f ca="1">IF(Información1[[#This Row],[Fecha]]='Ajuste de fechas'!$A$2,"Día actual","Día anterior")</f>
        <v>Día anterior</v>
      </c>
      <c r="C10" t="s">
        <v>47</v>
      </c>
      <c r="D10" t="s">
        <v>48</v>
      </c>
      <c r="E10" t="s">
        <v>106</v>
      </c>
      <c r="F10" t="s">
        <v>73</v>
      </c>
      <c r="G10" t="s">
        <v>107</v>
      </c>
      <c r="H10" t="s">
        <v>37</v>
      </c>
      <c r="I10" t="s">
        <v>7</v>
      </c>
      <c r="J10" t="s">
        <v>24</v>
      </c>
      <c r="K10" t="s">
        <v>49</v>
      </c>
      <c r="L10" t="s">
        <v>25</v>
      </c>
      <c r="M10">
        <v>1</v>
      </c>
    </row>
    <row r="11" spans="1:13" x14ac:dyDescent="0.25">
      <c r="A11" s="2">
        <v>46300</v>
      </c>
      <c r="B11" s="1" t="str">
        <f ca="1">IF(Información1[[#This Row],[Fecha]]='Ajuste de fechas'!$A$2,"Día actual","Día anterior")</f>
        <v>Día anterior</v>
      </c>
      <c r="C11" t="s">
        <v>47</v>
      </c>
      <c r="D11" t="s">
        <v>48</v>
      </c>
      <c r="E11" t="s">
        <v>108</v>
      </c>
      <c r="F11" t="s">
        <v>14</v>
      </c>
      <c r="G11" t="s">
        <v>109</v>
      </c>
      <c r="H11" t="s">
        <v>37</v>
      </c>
      <c r="I11" t="s">
        <v>7</v>
      </c>
      <c r="J11" t="s">
        <v>24</v>
      </c>
      <c r="K11" t="s">
        <v>49</v>
      </c>
      <c r="L11" t="s">
        <v>25</v>
      </c>
      <c r="M11">
        <v>1</v>
      </c>
    </row>
    <row r="12" spans="1:13" x14ac:dyDescent="0.25">
      <c r="A12" s="2">
        <v>46300</v>
      </c>
      <c r="B12" s="1" t="str">
        <f ca="1">IF(Información1[[#This Row],[Fecha]]='Ajuste de fechas'!$A$2,"Día actual","Día anterior")</f>
        <v>Día anterior</v>
      </c>
      <c r="C12" t="s">
        <v>47</v>
      </c>
      <c r="D12" t="s">
        <v>48</v>
      </c>
      <c r="E12" t="s">
        <v>110</v>
      </c>
      <c r="F12" t="s">
        <v>35</v>
      </c>
      <c r="G12" t="s">
        <v>107</v>
      </c>
      <c r="H12" t="s">
        <v>37</v>
      </c>
      <c r="I12" t="s">
        <v>7</v>
      </c>
      <c r="J12" t="s">
        <v>24</v>
      </c>
      <c r="K12" t="s">
        <v>49</v>
      </c>
      <c r="L12" t="s">
        <v>25</v>
      </c>
      <c r="M12">
        <v>1</v>
      </c>
    </row>
    <row r="13" spans="1:13" x14ac:dyDescent="0.25">
      <c r="A13" s="2">
        <v>46300</v>
      </c>
      <c r="B13" s="1" t="str">
        <f ca="1">IF(Información1[[#This Row],[Fecha]]='Ajuste de fechas'!$A$2,"Día actual","Día anterior")</f>
        <v>Día anterior</v>
      </c>
      <c r="C13" t="s">
        <v>47</v>
      </c>
      <c r="D13" t="s">
        <v>48</v>
      </c>
      <c r="E13" t="s">
        <v>111</v>
      </c>
      <c r="F13" t="s">
        <v>13</v>
      </c>
      <c r="G13" t="s">
        <v>86</v>
      </c>
      <c r="H13" t="s">
        <v>37</v>
      </c>
      <c r="I13" t="s">
        <v>7</v>
      </c>
      <c r="J13" t="s">
        <v>28</v>
      </c>
      <c r="K13" t="s">
        <v>49</v>
      </c>
      <c r="L13" t="s">
        <v>25</v>
      </c>
      <c r="M13">
        <v>1</v>
      </c>
    </row>
    <row r="14" spans="1:13" x14ac:dyDescent="0.25">
      <c r="A14" s="2">
        <v>46300</v>
      </c>
      <c r="B14" s="1" t="str">
        <f ca="1">IF(Información1[[#This Row],[Fecha]]='Ajuste de fechas'!$A$2,"Día actual","Día anterior")</f>
        <v>Día anterior</v>
      </c>
      <c r="C14" t="s">
        <v>47</v>
      </c>
      <c r="D14" t="s">
        <v>48</v>
      </c>
      <c r="E14" t="s">
        <v>94</v>
      </c>
      <c r="F14" t="s">
        <v>14</v>
      </c>
      <c r="G14" t="s">
        <v>88</v>
      </c>
      <c r="H14" t="s">
        <v>37</v>
      </c>
      <c r="I14" t="s">
        <v>7</v>
      </c>
      <c r="J14" t="s">
        <v>24</v>
      </c>
      <c r="K14" t="s">
        <v>49</v>
      </c>
      <c r="L14" t="s">
        <v>27</v>
      </c>
      <c r="M14">
        <v>1</v>
      </c>
    </row>
    <row r="15" spans="1:13" x14ac:dyDescent="0.25">
      <c r="A15" s="2">
        <v>46300</v>
      </c>
      <c r="B15" s="1" t="str">
        <f ca="1">IF(Información1[[#This Row],[Fecha]]='Ajuste de fechas'!$A$2,"Día actual","Día anterior")</f>
        <v>Día anterior</v>
      </c>
      <c r="C15" t="s">
        <v>47</v>
      </c>
      <c r="D15" t="s">
        <v>48</v>
      </c>
      <c r="E15" t="s">
        <v>112</v>
      </c>
      <c r="F15" t="s">
        <v>15</v>
      </c>
      <c r="G15" t="s">
        <v>113</v>
      </c>
      <c r="H15" t="s">
        <v>37</v>
      </c>
      <c r="I15" t="s">
        <v>7</v>
      </c>
      <c r="J15" t="s">
        <v>29</v>
      </c>
      <c r="K15" t="s">
        <v>49</v>
      </c>
      <c r="L15" t="s">
        <v>25</v>
      </c>
      <c r="M15">
        <v>1</v>
      </c>
    </row>
    <row r="16" spans="1:13" x14ac:dyDescent="0.25">
      <c r="A16" s="2">
        <v>46300</v>
      </c>
      <c r="B16" s="1" t="str">
        <f ca="1">IF(Información1[[#This Row],[Fecha]]='Ajuste de fechas'!$A$2,"Día actual","Día anterior")</f>
        <v>Día anterior</v>
      </c>
      <c r="C16" t="s">
        <v>47</v>
      </c>
      <c r="D16" t="s">
        <v>48</v>
      </c>
      <c r="E16" t="s">
        <v>114</v>
      </c>
      <c r="F16" t="s">
        <v>46</v>
      </c>
      <c r="G16" t="s">
        <v>81</v>
      </c>
      <c r="H16" t="s">
        <v>37</v>
      </c>
      <c r="I16" t="s">
        <v>7</v>
      </c>
      <c r="J16" t="s">
        <v>24</v>
      </c>
      <c r="K16" t="s">
        <v>49</v>
      </c>
      <c r="L16" t="s">
        <v>25</v>
      </c>
      <c r="M16">
        <v>1</v>
      </c>
    </row>
    <row r="17" spans="1:13" x14ac:dyDescent="0.25">
      <c r="A17" s="2">
        <v>46300</v>
      </c>
      <c r="B17" s="1" t="str">
        <f ca="1">IF(Información1[[#This Row],[Fecha]]='Ajuste de fechas'!$A$2,"Día actual","Día anterior")</f>
        <v>Día anterior</v>
      </c>
      <c r="C17" t="s">
        <v>47</v>
      </c>
      <c r="D17" t="s">
        <v>48</v>
      </c>
      <c r="E17" t="s">
        <v>115</v>
      </c>
      <c r="F17" t="s">
        <v>15</v>
      </c>
      <c r="G17" t="s">
        <v>116</v>
      </c>
      <c r="H17" t="s">
        <v>37</v>
      </c>
      <c r="I17" t="s">
        <v>7</v>
      </c>
      <c r="J17" t="s">
        <v>29</v>
      </c>
      <c r="K17" t="s">
        <v>49</v>
      </c>
      <c r="L17" t="s">
        <v>25</v>
      </c>
      <c r="M17">
        <v>1</v>
      </c>
    </row>
    <row r="18" spans="1:13" x14ac:dyDescent="0.25">
      <c r="A18" s="2">
        <v>46300</v>
      </c>
      <c r="B18" s="1" t="str">
        <f ca="1">IF(Información1[[#This Row],[Fecha]]='Ajuste de fechas'!$A$2,"Día actual","Día anterior")</f>
        <v>Día anterior</v>
      </c>
      <c r="C18" t="s">
        <v>38</v>
      </c>
      <c r="D18" t="s">
        <v>39</v>
      </c>
      <c r="E18" t="s">
        <v>117</v>
      </c>
      <c r="F18" t="s">
        <v>73</v>
      </c>
      <c r="G18" t="s">
        <v>107</v>
      </c>
      <c r="H18" t="s">
        <v>37</v>
      </c>
      <c r="I18" t="s">
        <v>7</v>
      </c>
      <c r="J18" t="s">
        <v>24</v>
      </c>
      <c r="K18" t="s">
        <v>41</v>
      </c>
      <c r="L18" t="s">
        <v>25</v>
      </c>
      <c r="M18">
        <v>1</v>
      </c>
    </row>
    <row r="19" spans="1:13" x14ac:dyDescent="0.25">
      <c r="A19" s="2">
        <v>46300</v>
      </c>
      <c r="B19" s="1" t="str">
        <f ca="1">IF(Información1[[#This Row],[Fecha]]='Ajuste de fechas'!$A$2,"Día actual","Día anterior")</f>
        <v>Día anterior</v>
      </c>
      <c r="C19" t="s">
        <v>38</v>
      </c>
      <c r="D19" t="s">
        <v>39</v>
      </c>
      <c r="E19" t="s">
        <v>118</v>
      </c>
      <c r="F19" t="s">
        <v>6</v>
      </c>
      <c r="G19" t="s">
        <v>107</v>
      </c>
      <c r="H19" t="s">
        <v>37</v>
      </c>
      <c r="I19" t="s">
        <v>7</v>
      </c>
      <c r="J19" t="s">
        <v>24</v>
      </c>
      <c r="K19" t="s">
        <v>41</v>
      </c>
      <c r="L19" t="s">
        <v>25</v>
      </c>
      <c r="M19">
        <v>1</v>
      </c>
    </row>
    <row r="20" spans="1:13" x14ac:dyDescent="0.25">
      <c r="A20" s="2">
        <v>46300</v>
      </c>
      <c r="B20" s="1" t="str">
        <f ca="1">IF(Información1[[#This Row],[Fecha]]='Ajuste de fechas'!$A$2,"Día actual","Día anterior")</f>
        <v>Día anterior</v>
      </c>
      <c r="C20" t="s">
        <v>38</v>
      </c>
      <c r="D20" t="s">
        <v>39</v>
      </c>
      <c r="E20" t="s">
        <v>119</v>
      </c>
      <c r="F20" t="s">
        <v>16</v>
      </c>
      <c r="G20" t="s">
        <v>120</v>
      </c>
      <c r="H20" t="s">
        <v>37</v>
      </c>
      <c r="I20" t="s">
        <v>7</v>
      </c>
      <c r="J20" t="s">
        <v>16</v>
      </c>
      <c r="K20" t="s">
        <v>40</v>
      </c>
      <c r="L20" t="s">
        <v>34</v>
      </c>
      <c r="M20">
        <v>1</v>
      </c>
    </row>
    <row r="21" spans="1:13" x14ac:dyDescent="0.25">
      <c r="A21" s="2">
        <v>46300</v>
      </c>
      <c r="B21" s="1" t="str">
        <f ca="1">IF(Información1[[#This Row],[Fecha]]='Ajuste de fechas'!$A$2,"Día actual","Día anterior")</f>
        <v>Día anterior</v>
      </c>
      <c r="C21" t="s">
        <v>38</v>
      </c>
      <c r="D21" t="s">
        <v>39</v>
      </c>
      <c r="E21" t="s">
        <v>121</v>
      </c>
      <c r="F21" t="s">
        <v>35</v>
      </c>
      <c r="G21" t="s">
        <v>107</v>
      </c>
      <c r="H21" t="s">
        <v>37</v>
      </c>
      <c r="I21" t="s">
        <v>7</v>
      </c>
      <c r="J21" t="s">
        <v>24</v>
      </c>
      <c r="K21" t="s">
        <v>41</v>
      </c>
      <c r="L21" t="s">
        <v>25</v>
      </c>
      <c r="M21">
        <v>1</v>
      </c>
    </row>
    <row r="22" spans="1:13" x14ac:dyDescent="0.25">
      <c r="A22" s="2">
        <v>46300</v>
      </c>
      <c r="B22" s="1" t="str">
        <f ca="1">IF(Información1[[#This Row],[Fecha]]='Ajuste de fechas'!$A$2,"Día actual","Día anterior")</f>
        <v>Día anterior</v>
      </c>
      <c r="C22" t="s">
        <v>38</v>
      </c>
      <c r="D22" t="s">
        <v>39</v>
      </c>
      <c r="E22" t="s">
        <v>122</v>
      </c>
      <c r="F22" t="s">
        <v>92</v>
      </c>
      <c r="G22" t="s">
        <v>107</v>
      </c>
      <c r="H22" t="s">
        <v>37</v>
      </c>
      <c r="I22" t="s">
        <v>7</v>
      </c>
      <c r="J22" t="s">
        <v>24</v>
      </c>
      <c r="K22" t="s">
        <v>41</v>
      </c>
      <c r="L22" t="s">
        <v>25</v>
      </c>
      <c r="M22">
        <v>1</v>
      </c>
    </row>
    <row r="23" spans="1:13" x14ac:dyDescent="0.25">
      <c r="A23" s="2">
        <v>46300</v>
      </c>
      <c r="B23" s="1" t="str">
        <f ca="1">IF(Información1[[#This Row],[Fecha]]='Ajuste de fechas'!$A$2,"Día actual","Día anterior")</f>
        <v>Día anterior</v>
      </c>
      <c r="C23" t="s">
        <v>38</v>
      </c>
      <c r="D23" t="s">
        <v>39</v>
      </c>
      <c r="E23" t="s">
        <v>123</v>
      </c>
      <c r="F23" t="s">
        <v>14</v>
      </c>
      <c r="G23" t="s">
        <v>82</v>
      </c>
      <c r="H23" t="s">
        <v>37</v>
      </c>
      <c r="I23" t="s">
        <v>7</v>
      </c>
      <c r="J23" t="s">
        <v>24</v>
      </c>
      <c r="K23" t="s">
        <v>40</v>
      </c>
      <c r="L23" t="s">
        <v>25</v>
      </c>
      <c r="M23">
        <v>1</v>
      </c>
    </row>
    <row r="24" spans="1:13" x14ac:dyDescent="0.25">
      <c r="A24" s="2">
        <v>46300</v>
      </c>
      <c r="B24" s="1" t="str">
        <f ca="1">IF(Información1[[#This Row],[Fecha]]='Ajuste de fechas'!$A$2,"Día actual","Día anterior")</f>
        <v>Día anterior</v>
      </c>
      <c r="C24" t="s">
        <v>51</v>
      </c>
      <c r="D24" t="s">
        <v>52</v>
      </c>
      <c r="E24" t="s">
        <v>124</v>
      </c>
      <c r="F24" t="s">
        <v>53</v>
      </c>
      <c r="G24" t="s">
        <v>125</v>
      </c>
      <c r="H24" t="s">
        <v>54</v>
      </c>
      <c r="I24" t="s">
        <v>7</v>
      </c>
      <c r="J24" t="s">
        <v>55</v>
      </c>
      <c r="K24" t="s">
        <v>126</v>
      </c>
      <c r="L24" t="s">
        <v>26</v>
      </c>
      <c r="M24">
        <v>1</v>
      </c>
    </row>
    <row r="25" spans="1:13" x14ac:dyDescent="0.25">
      <c r="A25" s="2">
        <v>46300</v>
      </c>
      <c r="B25" s="1" t="str">
        <f ca="1">IF(Información1[[#This Row],[Fecha]]='Ajuste de fechas'!$A$2,"Día actual","Día anterior")</f>
        <v>Día anterior</v>
      </c>
      <c r="C25" t="s">
        <v>51</v>
      </c>
      <c r="D25" t="s">
        <v>52</v>
      </c>
      <c r="E25" t="s">
        <v>127</v>
      </c>
      <c r="F25" t="s">
        <v>53</v>
      </c>
      <c r="G25" t="s">
        <v>58</v>
      </c>
      <c r="H25" t="s">
        <v>54</v>
      </c>
      <c r="I25" t="s">
        <v>7</v>
      </c>
      <c r="J25" t="s">
        <v>55</v>
      </c>
      <c r="K25" t="s">
        <v>57</v>
      </c>
      <c r="L25" t="s">
        <v>26</v>
      </c>
      <c r="M25">
        <v>1</v>
      </c>
    </row>
    <row r="26" spans="1:13" x14ac:dyDescent="0.25">
      <c r="A26" s="2">
        <v>46300</v>
      </c>
      <c r="B26" s="1" t="str">
        <f ca="1">IF(Información1[[#This Row],[Fecha]]='Ajuste de fechas'!$A$2,"Día actual","Día anterior")</f>
        <v>Día anterior</v>
      </c>
      <c r="C26" t="s">
        <v>51</v>
      </c>
      <c r="D26" t="s">
        <v>52</v>
      </c>
      <c r="E26" t="s">
        <v>128</v>
      </c>
      <c r="F26" t="s">
        <v>35</v>
      </c>
      <c r="G26" t="s">
        <v>129</v>
      </c>
      <c r="H26" t="s">
        <v>54</v>
      </c>
      <c r="I26" t="s">
        <v>7</v>
      </c>
      <c r="J26" t="s">
        <v>24</v>
      </c>
      <c r="K26" t="s">
        <v>57</v>
      </c>
      <c r="L26" t="s">
        <v>25</v>
      </c>
      <c r="M26">
        <v>1</v>
      </c>
    </row>
    <row r="27" spans="1:13" x14ac:dyDescent="0.25">
      <c r="A27" s="2">
        <v>46300</v>
      </c>
      <c r="B27" s="1" t="str">
        <f ca="1">IF(Información1[[#This Row],[Fecha]]='Ajuste de fechas'!$A$2,"Día actual","Día anterior")</f>
        <v>Día anterior</v>
      </c>
      <c r="C27" t="s">
        <v>51</v>
      </c>
      <c r="D27" t="s">
        <v>52</v>
      </c>
      <c r="E27" t="s">
        <v>130</v>
      </c>
      <c r="F27" t="s">
        <v>13</v>
      </c>
      <c r="G27" t="s">
        <v>69</v>
      </c>
      <c r="H27" t="s">
        <v>54</v>
      </c>
      <c r="I27" t="s">
        <v>7</v>
      </c>
      <c r="J27" t="s">
        <v>28</v>
      </c>
      <c r="K27" t="s">
        <v>57</v>
      </c>
      <c r="L27" t="s">
        <v>25</v>
      </c>
      <c r="M27">
        <v>1</v>
      </c>
    </row>
    <row r="28" spans="1:13" x14ac:dyDescent="0.25">
      <c r="A28" s="2">
        <v>46300</v>
      </c>
      <c r="B28" s="1" t="str">
        <f ca="1">IF(Información1[[#This Row],[Fecha]]='Ajuste de fechas'!$A$2,"Día actual","Día anterior")</f>
        <v>Día anterior</v>
      </c>
      <c r="C28" t="s">
        <v>51</v>
      </c>
      <c r="D28" t="s">
        <v>52</v>
      </c>
      <c r="E28" t="s">
        <v>131</v>
      </c>
      <c r="F28" t="s">
        <v>14</v>
      </c>
      <c r="G28" t="s">
        <v>109</v>
      </c>
      <c r="H28" t="s">
        <v>54</v>
      </c>
      <c r="I28" t="s">
        <v>7</v>
      </c>
      <c r="J28" t="s">
        <v>24</v>
      </c>
      <c r="K28" t="s">
        <v>57</v>
      </c>
      <c r="L28" t="s">
        <v>25</v>
      </c>
      <c r="M28">
        <v>1</v>
      </c>
    </row>
    <row r="29" spans="1:13" x14ac:dyDescent="0.25">
      <c r="A29" s="2">
        <v>46300</v>
      </c>
      <c r="B29" s="1" t="str">
        <f ca="1">IF(Información1[[#This Row],[Fecha]]='Ajuste de fechas'!$A$2,"Día actual","Día anterior")</f>
        <v>Día anterior</v>
      </c>
      <c r="C29" t="s">
        <v>51</v>
      </c>
      <c r="D29" t="s">
        <v>52</v>
      </c>
      <c r="E29" t="s">
        <v>132</v>
      </c>
      <c r="F29" t="s">
        <v>92</v>
      </c>
      <c r="G29" t="s">
        <v>129</v>
      </c>
      <c r="H29" t="s">
        <v>54</v>
      </c>
      <c r="I29" t="s">
        <v>7</v>
      </c>
      <c r="J29" t="s">
        <v>24</v>
      </c>
      <c r="K29" t="s">
        <v>57</v>
      </c>
      <c r="L29" t="s">
        <v>27</v>
      </c>
      <c r="M29">
        <v>1</v>
      </c>
    </row>
    <row r="30" spans="1:13" x14ac:dyDescent="0.25">
      <c r="A30" s="2">
        <v>46300</v>
      </c>
      <c r="B30" s="1" t="str">
        <f ca="1">IF(Información1[[#This Row],[Fecha]]='Ajuste de fechas'!$A$2,"Día actual","Día anterior")</f>
        <v>Día anterior</v>
      </c>
      <c r="C30" t="s">
        <v>51</v>
      </c>
      <c r="D30" t="s">
        <v>52</v>
      </c>
      <c r="E30" t="s">
        <v>133</v>
      </c>
      <c r="F30" t="s">
        <v>35</v>
      </c>
      <c r="G30" t="s">
        <v>134</v>
      </c>
      <c r="H30" t="s">
        <v>54</v>
      </c>
      <c r="I30" t="s">
        <v>7</v>
      </c>
      <c r="J30" t="s">
        <v>24</v>
      </c>
      <c r="K30" t="s">
        <v>56</v>
      </c>
      <c r="L30" t="s">
        <v>27</v>
      </c>
      <c r="M30">
        <v>1</v>
      </c>
    </row>
    <row r="31" spans="1:13" x14ac:dyDescent="0.25">
      <c r="A31" s="2">
        <v>46300</v>
      </c>
      <c r="B31" s="1" t="str">
        <f ca="1">IF(Información1[[#This Row],[Fecha]]='Ajuste de fechas'!$A$2,"Día actual","Día anterior")</f>
        <v>Día anterior</v>
      </c>
      <c r="C31" t="s">
        <v>59</v>
      </c>
      <c r="D31" t="s">
        <v>60</v>
      </c>
      <c r="E31" t="s">
        <v>135</v>
      </c>
      <c r="F31" t="s">
        <v>15</v>
      </c>
      <c r="G31" t="s">
        <v>87</v>
      </c>
      <c r="H31" t="s">
        <v>37</v>
      </c>
      <c r="I31" t="s">
        <v>17</v>
      </c>
      <c r="J31" t="s">
        <v>29</v>
      </c>
      <c r="K31" t="s">
        <v>61</v>
      </c>
      <c r="L31" t="s">
        <v>25</v>
      </c>
      <c r="M31">
        <v>1</v>
      </c>
    </row>
    <row r="32" spans="1:13" x14ac:dyDescent="0.25">
      <c r="A32" s="2">
        <v>46300</v>
      </c>
      <c r="B32" s="1" t="str">
        <f ca="1">IF(Información1[[#This Row],[Fecha]]='Ajuste de fechas'!$A$2,"Día actual","Día anterior")</f>
        <v>Día anterior</v>
      </c>
      <c r="C32" t="s">
        <v>59</v>
      </c>
      <c r="D32" t="s">
        <v>60</v>
      </c>
      <c r="E32" t="s">
        <v>136</v>
      </c>
      <c r="F32" t="s">
        <v>15</v>
      </c>
      <c r="G32" t="s">
        <v>84</v>
      </c>
      <c r="H32" t="s">
        <v>37</v>
      </c>
      <c r="I32" t="s">
        <v>17</v>
      </c>
      <c r="J32" t="s">
        <v>29</v>
      </c>
      <c r="K32" t="s">
        <v>61</v>
      </c>
      <c r="L32" t="s">
        <v>25</v>
      </c>
      <c r="M32">
        <v>1</v>
      </c>
    </row>
    <row r="33" spans="1:13" x14ac:dyDescent="0.25">
      <c r="A33" s="2">
        <v>46300</v>
      </c>
      <c r="B33" s="1" t="str">
        <f ca="1">IF(Información1[[#This Row],[Fecha]]='Ajuste de fechas'!$A$2,"Día actual","Día anterior")</f>
        <v>Día anterior</v>
      </c>
      <c r="C33" t="s">
        <v>59</v>
      </c>
      <c r="D33" t="s">
        <v>60</v>
      </c>
      <c r="E33" t="s">
        <v>137</v>
      </c>
      <c r="F33" t="s">
        <v>15</v>
      </c>
      <c r="G33" t="s">
        <v>81</v>
      </c>
      <c r="H33" t="s">
        <v>37</v>
      </c>
      <c r="I33" t="s">
        <v>7</v>
      </c>
      <c r="J33" t="s">
        <v>29</v>
      </c>
      <c r="K33" t="s">
        <v>61</v>
      </c>
      <c r="L33" t="s">
        <v>25</v>
      </c>
      <c r="M33">
        <v>1</v>
      </c>
    </row>
    <row r="34" spans="1:13" x14ac:dyDescent="0.25">
      <c r="A34" s="2">
        <v>46300</v>
      </c>
      <c r="B34" s="1" t="str">
        <f ca="1">IF(Información1[[#This Row],[Fecha]]='Ajuste de fechas'!$A$2,"Día actual","Día anterior")</f>
        <v>Día anterior</v>
      </c>
      <c r="C34" t="s">
        <v>59</v>
      </c>
      <c r="D34" t="s">
        <v>60</v>
      </c>
      <c r="E34" t="s">
        <v>138</v>
      </c>
      <c r="F34" t="s">
        <v>53</v>
      </c>
      <c r="G34" t="s">
        <v>58</v>
      </c>
      <c r="H34" t="s">
        <v>37</v>
      </c>
      <c r="I34" t="s">
        <v>7</v>
      </c>
      <c r="J34" t="s">
        <v>55</v>
      </c>
      <c r="K34" t="s">
        <v>139</v>
      </c>
      <c r="L34" t="s">
        <v>25</v>
      </c>
      <c r="M34">
        <v>1</v>
      </c>
    </row>
    <row r="35" spans="1:13" x14ac:dyDescent="0.25">
      <c r="A35" s="2">
        <v>46300</v>
      </c>
      <c r="B35" s="1" t="str">
        <f ca="1">IF(Información1[[#This Row],[Fecha]]='Ajuste de fechas'!$A$2,"Día actual","Día anterior")</f>
        <v>Día anterior</v>
      </c>
      <c r="C35" t="s">
        <v>59</v>
      </c>
      <c r="D35" t="s">
        <v>60</v>
      </c>
      <c r="E35" t="s">
        <v>140</v>
      </c>
      <c r="F35" t="s">
        <v>13</v>
      </c>
      <c r="G35" t="s">
        <v>141</v>
      </c>
      <c r="H35" t="s">
        <v>37</v>
      </c>
      <c r="I35" t="s">
        <v>7</v>
      </c>
      <c r="J35" t="s">
        <v>28</v>
      </c>
      <c r="K35" t="s">
        <v>61</v>
      </c>
      <c r="L35" t="s">
        <v>25</v>
      </c>
      <c r="M35">
        <v>1</v>
      </c>
    </row>
    <row r="36" spans="1:13" x14ac:dyDescent="0.25">
      <c r="A36" s="2">
        <v>46300</v>
      </c>
      <c r="B36" s="1" t="str">
        <f ca="1">IF(Información1[[#This Row],[Fecha]]='Ajuste de fechas'!$A$2,"Día actual","Día anterior")</f>
        <v>Día anterior</v>
      </c>
      <c r="C36" t="s">
        <v>59</v>
      </c>
      <c r="D36" t="s">
        <v>60</v>
      </c>
      <c r="E36" t="s">
        <v>142</v>
      </c>
      <c r="F36" t="s">
        <v>13</v>
      </c>
      <c r="G36" t="s">
        <v>143</v>
      </c>
      <c r="H36" t="s">
        <v>37</v>
      </c>
      <c r="I36" t="s">
        <v>7</v>
      </c>
      <c r="J36" t="s">
        <v>28</v>
      </c>
      <c r="K36" t="s">
        <v>139</v>
      </c>
      <c r="L36" t="s">
        <v>25</v>
      </c>
      <c r="M36">
        <v>1</v>
      </c>
    </row>
    <row r="37" spans="1:13" x14ac:dyDescent="0.25">
      <c r="A37" s="2">
        <v>46300</v>
      </c>
      <c r="B37" s="1" t="str">
        <f ca="1">IF(Información1[[#This Row],[Fecha]]='Ajuste de fechas'!$A$2,"Día actual","Día anterior")</f>
        <v>Día anterior</v>
      </c>
      <c r="C37" t="s">
        <v>59</v>
      </c>
      <c r="D37" t="s">
        <v>60</v>
      </c>
      <c r="E37" t="s">
        <v>144</v>
      </c>
      <c r="F37" t="s">
        <v>13</v>
      </c>
      <c r="G37" t="s">
        <v>50</v>
      </c>
      <c r="H37" t="s">
        <v>37</v>
      </c>
      <c r="I37" t="s">
        <v>7</v>
      </c>
      <c r="J37" t="s">
        <v>28</v>
      </c>
      <c r="K37" t="s">
        <v>61</v>
      </c>
      <c r="L37" t="s">
        <v>25</v>
      </c>
      <c r="M37">
        <v>1</v>
      </c>
    </row>
    <row r="38" spans="1:13" x14ac:dyDescent="0.25">
      <c r="A38" s="2">
        <v>46300</v>
      </c>
      <c r="B38" s="1" t="str">
        <f ca="1">IF(Información1[[#This Row],[Fecha]]='Ajuste de fechas'!$A$2,"Día actual","Día anterior")</f>
        <v>Día anterior</v>
      </c>
      <c r="C38" t="s">
        <v>59</v>
      </c>
      <c r="D38" t="s">
        <v>60</v>
      </c>
      <c r="E38" t="s">
        <v>145</v>
      </c>
      <c r="F38" t="s">
        <v>146</v>
      </c>
      <c r="G38" t="s">
        <v>68</v>
      </c>
      <c r="H38" t="s">
        <v>37</v>
      </c>
      <c r="I38" t="s">
        <v>7</v>
      </c>
      <c r="J38" t="s">
        <v>24</v>
      </c>
      <c r="K38" t="s">
        <v>139</v>
      </c>
      <c r="L38" t="s">
        <v>25</v>
      </c>
      <c r="M38">
        <v>1</v>
      </c>
    </row>
    <row r="39" spans="1:13" x14ac:dyDescent="0.25">
      <c r="A39" s="2">
        <v>46300</v>
      </c>
      <c r="B39" s="1" t="str">
        <f ca="1">IF(Información1[[#This Row],[Fecha]]='Ajuste de fechas'!$A$2,"Día actual","Día anterior")</f>
        <v>Día anterior</v>
      </c>
      <c r="C39" t="s">
        <v>59</v>
      </c>
      <c r="D39" t="s">
        <v>60</v>
      </c>
      <c r="E39" t="s">
        <v>147</v>
      </c>
      <c r="F39" t="s">
        <v>146</v>
      </c>
      <c r="G39" t="s">
        <v>68</v>
      </c>
      <c r="H39" t="s">
        <v>37</v>
      </c>
      <c r="I39" t="s">
        <v>7</v>
      </c>
      <c r="J39" t="s">
        <v>24</v>
      </c>
      <c r="K39" t="s">
        <v>61</v>
      </c>
      <c r="L39" t="s">
        <v>25</v>
      </c>
      <c r="M39">
        <v>1</v>
      </c>
    </row>
    <row r="40" spans="1:13" x14ac:dyDescent="0.25">
      <c r="A40" s="2">
        <v>46300</v>
      </c>
      <c r="B40" s="1" t="str">
        <f ca="1">IF(Información1[[#This Row],[Fecha]]='Ajuste de fechas'!$A$2,"Día actual","Día anterior")</f>
        <v>Día anterior</v>
      </c>
      <c r="C40" t="s">
        <v>59</v>
      </c>
      <c r="D40" t="s">
        <v>60</v>
      </c>
      <c r="E40" t="s">
        <v>148</v>
      </c>
      <c r="F40" t="s">
        <v>42</v>
      </c>
      <c r="G40" t="s">
        <v>149</v>
      </c>
      <c r="H40" t="s">
        <v>37</v>
      </c>
      <c r="I40" t="s">
        <v>7</v>
      </c>
      <c r="J40" t="s">
        <v>24</v>
      </c>
      <c r="K40" t="s">
        <v>139</v>
      </c>
      <c r="L40" t="s">
        <v>25</v>
      </c>
      <c r="M40">
        <v>1</v>
      </c>
    </row>
    <row r="41" spans="1:13" x14ac:dyDescent="0.25">
      <c r="A41" s="2">
        <v>46300</v>
      </c>
      <c r="B41" s="1" t="str">
        <f ca="1">IF(Información1[[#This Row],[Fecha]]='Ajuste de fechas'!$A$2,"Día actual","Día anterior")</f>
        <v>Día anterior</v>
      </c>
      <c r="C41" t="s">
        <v>59</v>
      </c>
      <c r="D41" t="s">
        <v>60</v>
      </c>
      <c r="E41" t="s">
        <v>150</v>
      </c>
      <c r="F41" t="s">
        <v>13</v>
      </c>
      <c r="G41" t="s">
        <v>50</v>
      </c>
      <c r="H41" t="s">
        <v>37</v>
      </c>
      <c r="I41" t="s">
        <v>7</v>
      </c>
      <c r="J41" t="s">
        <v>28</v>
      </c>
      <c r="K41" t="s">
        <v>61</v>
      </c>
      <c r="L41" t="s">
        <v>25</v>
      </c>
      <c r="M41">
        <v>1</v>
      </c>
    </row>
    <row r="42" spans="1:13" x14ac:dyDescent="0.25">
      <c r="A42" s="2">
        <v>46300</v>
      </c>
      <c r="B42" s="1" t="str">
        <f ca="1">IF(Información1[[#This Row],[Fecha]]='Ajuste de fechas'!$A$2,"Día actual","Día anterior")</f>
        <v>Día anterior</v>
      </c>
      <c r="C42" t="s">
        <v>59</v>
      </c>
      <c r="D42" t="s">
        <v>60</v>
      </c>
      <c r="E42" t="s">
        <v>151</v>
      </c>
      <c r="F42" t="s">
        <v>45</v>
      </c>
      <c r="G42" t="s">
        <v>152</v>
      </c>
      <c r="H42" t="s">
        <v>37</v>
      </c>
      <c r="I42" t="s">
        <v>7</v>
      </c>
      <c r="J42" t="s">
        <v>24</v>
      </c>
      <c r="K42" t="s">
        <v>139</v>
      </c>
      <c r="L42" t="s">
        <v>27</v>
      </c>
      <c r="M42">
        <v>1</v>
      </c>
    </row>
    <row r="43" spans="1:13" x14ac:dyDescent="0.25">
      <c r="A43" s="2">
        <v>46300</v>
      </c>
      <c r="B43" s="1" t="str">
        <f ca="1">IF(Información1[[#This Row],[Fecha]]='Ajuste de fechas'!$A$2,"Día actual","Día anterior")</f>
        <v>Día anterior</v>
      </c>
      <c r="C43" t="s">
        <v>59</v>
      </c>
      <c r="D43" t="s">
        <v>60</v>
      </c>
      <c r="E43" t="s">
        <v>153</v>
      </c>
      <c r="F43" t="s">
        <v>35</v>
      </c>
      <c r="G43" t="s">
        <v>154</v>
      </c>
      <c r="H43" t="s">
        <v>37</v>
      </c>
      <c r="I43" t="s">
        <v>7</v>
      </c>
      <c r="J43" t="s">
        <v>24</v>
      </c>
      <c r="K43" t="s">
        <v>61</v>
      </c>
      <c r="L43" t="s">
        <v>25</v>
      </c>
      <c r="M43">
        <v>1</v>
      </c>
    </row>
    <row r="44" spans="1:13" x14ac:dyDescent="0.25">
      <c r="A44" s="2">
        <v>46300</v>
      </c>
      <c r="B44" s="1" t="str">
        <f ca="1">IF(Información1[[#This Row],[Fecha]]='Ajuste de fechas'!$A$2,"Día actual","Día anterior")</f>
        <v>Día anterior</v>
      </c>
      <c r="C44" t="s">
        <v>59</v>
      </c>
      <c r="D44" t="s">
        <v>60</v>
      </c>
      <c r="E44" t="s">
        <v>155</v>
      </c>
      <c r="F44" t="s">
        <v>42</v>
      </c>
      <c r="G44" t="s">
        <v>156</v>
      </c>
      <c r="H44" t="s">
        <v>37</v>
      </c>
      <c r="I44" t="s">
        <v>7</v>
      </c>
      <c r="J44" t="s">
        <v>24</v>
      </c>
      <c r="K44" t="s">
        <v>139</v>
      </c>
      <c r="L44" t="s">
        <v>25</v>
      </c>
      <c r="M44">
        <v>1</v>
      </c>
    </row>
    <row r="45" spans="1:13" x14ac:dyDescent="0.25">
      <c r="A45" s="2">
        <v>46300</v>
      </c>
      <c r="B45" s="1" t="str">
        <f ca="1">IF(Información1[[#This Row],[Fecha]]='Ajuste de fechas'!$A$2,"Día actual","Día anterior")</f>
        <v>Día anterior</v>
      </c>
      <c r="C45" t="s">
        <v>59</v>
      </c>
      <c r="D45" t="s">
        <v>60</v>
      </c>
      <c r="E45" t="s">
        <v>135</v>
      </c>
      <c r="F45" t="s">
        <v>13</v>
      </c>
      <c r="G45" t="s">
        <v>87</v>
      </c>
      <c r="H45" t="s">
        <v>37</v>
      </c>
      <c r="I45" t="s">
        <v>7</v>
      </c>
      <c r="J45" t="s">
        <v>28</v>
      </c>
      <c r="K45" t="s">
        <v>61</v>
      </c>
      <c r="L45" t="s">
        <v>25</v>
      </c>
      <c r="M45">
        <v>1</v>
      </c>
    </row>
    <row r="46" spans="1:13" x14ac:dyDescent="0.25">
      <c r="A46" s="2">
        <v>46300</v>
      </c>
      <c r="B46" s="1" t="str">
        <f ca="1">IF(Información1[[#This Row],[Fecha]]='Ajuste de fechas'!$A$2,"Día actual","Día anterior")</f>
        <v>Día anterior</v>
      </c>
      <c r="C46" t="s">
        <v>59</v>
      </c>
      <c r="D46" t="s">
        <v>60</v>
      </c>
      <c r="E46" t="s">
        <v>157</v>
      </c>
      <c r="F46" t="s">
        <v>13</v>
      </c>
      <c r="H46" t="s">
        <v>37</v>
      </c>
      <c r="I46" t="s">
        <v>7</v>
      </c>
      <c r="J46" t="s">
        <v>28</v>
      </c>
      <c r="K46" t="s">
        <v>61</v>
      </c>
      <c r="L46" t="s">
        <v>25</v>
      </c>
      <c r="M46">
        <v>1</v>
      </c>
    </row>
    <row r="47" spans="1:13" x14ac:dyDescent="0.25">
      <c r="A47" s="2">
        <v>46300</v>
      </c>
      <c r="B47" s="1" t="str">
        <f ca="1">IF(Información1[[#This Row],[Fecha]]='Ajuste de fechas'!$A$2,"Día actual","Día anterior")</f>
        <v>Día anterior</v>
      </c>
      <c r="C47" t="s">
        <v>59</v>
      </c>
      <c r="D47" t="s">
        <v>60</v>
      </c>
      <c r="E47" t="s">
        <v>158</v>
      </c>
      <c r="F47" t="s">
        <v>13</v>
      </c>
      <c r="G47" t="s">
        <v>62</v>
      </c>
      <c r="H47" t="s">
        <v>37</v>
      </c>
      <c r="I47" t="s">
        <v>7</v>
      </c>
      <c r="J47" t="s">
        <v>28</v>
      </c>
      <c r="K47" t="s">
        <v>139</v>
      </c>
      <c r="L47" t="s">
        <v>25</v>
      </c>
      <c r="M47">
        <v>1</v>
      </c>
    </row>
    <row r="48" spans="1:13" x14ac:dyDescent="0.25">
      <c r="A48" s="2">
        <v>46300</v>
      </c>
      <c r="B48" s="1" t="str">
        <f ca="1">IF(Información1[[#This Row],[Fecha]]='Ajuste de fechas'!$A$2,"Día actual","Día anterior")</f>
        <v>Día anterior</v>
      </c>
      <c r="C48" t="s">
        <v>59</v>
      </c>
      <c r="D48" t="s">
        <v>60</v>
      </c>
      <c r="E48" t="s">
        <v>159</v>
      </c>
      <c r="F48" t="s">
        <v>146</v>
      </c>
      <c r="G48" t="s">
        <v>90</v>
      </c>
      <c r="H48" t="s">
        <v>37</v>
      </c>
      <c r="I48" t="s">
        <v>7</v>
      </c>
      <c r="J48" t="s">
        <v>24</v>
      </c>
      <c r="K48" t="s">
        <v>61</v>
      </c>
      <c r="L48" t="s">
        <v>27</v>
      </c>
      <c r="M48">
        <v>1</v>
      </c>
    </row>
    <row r="49" spans="1:13" x14ac:dyDescent="0.25">
      <c r="A49" s="2">
        <v>46300</v>
      </c>
      <c r="B49" s="1" t="str">
        <f ca="1">IF(Información1[[#This Row],[Fecha]]='Ajuste de fechas'!$A$2,"Día actual","Día anterior")</f>
        <v>Día anterior</v>
      </c>
      <c r="C49" t="s">
        <v>59</v>
      </c>
      <c r="D49" t="s">
        <v>60</v>
      </c>
      <c r="E49" t="s">
        <v>160</v>
      </c>
      <c r="F49" t="s">
        <v>35</v>
      </c>
      <c r="G49" t="s">
        <v>161</v>
      </c>
      <c r="H49" t="s">
        <v>37</v>
      </c>
      <c r="I49" t="s">
        <v>7</v>
      </c>
      <c r="J49" t="s">
        <v>24</v>
      </c>
      <c r="K49" t="s">
        <v>139</v>
      </c>
      <c r="L49" t="s">
        <v>25</v>
      </c>
      <c r="M49">
        <v>1</v>
      </c>
    </row>
    <row r="50" spans="1:13" x14ac:dyDescent="0.25">
      <c r="A50" s="2">
        <v>46300</v>
      </c>
      <c r="B50" s="1" t="str">
        <f ca="1">IF(Información1[[#This Row],[Fecha]]='Ajuste de fechas'!$A$2,"Día actual","Día anterior")</f>
        <v>Día anterior</v>
      </c>
      <c r="C50" t="s">
        <v>59</v>
      </c>
      <c r="D50" t="s">
        <v>60</v>
      </c>
      <c r="E50" t="s">
        <v>85</v>
      </c>
      <c r="F50" t="s">
        <v>13</v>
      </c>
      <c r="G50" t="s">
        <v>62</v>
      </c>
      <c r="H50" t="s">
        <v>37</v>
      </c>
      <c r="I50" t="s">
        <v>7</v>
      </c>
      <c r="J50" t="s">
        <v>28</v>
      </c>
      <c r="K50" t="s">
        <v>66</v>
      </c>
      <c r="L50" t="s">
        <v>67</v>
      </c>
      <c r="M50">
        <v>1</v>
      </c>
    </row>
    <row r="51" spans="1:13" x14ac:dyDescent="0.25">
      <c r="A51" s="2">
        <v>46300</v>
      </c>
      <c r="B51" s="1" t="str">
        <f ca="1">IF(Información1[[#This Row],[Fecha]]='Ajuste de fechas'!$A$2,"Día actual","Día anterior")</f>
        <v>Día anterior</v>
      </c>
      <c r="C51" t="s">
        <v>59</v>
      </c>
      <c r="D51" t="s">
        <v>60</v>
      </c>
      <c r="E51" t="s">
        <v>162</v>
      </c>
      <c r="F51" t="s">
        <v>15</v>
      </c>
      <c r="G51" t="s">
        <v>163</v>
      </c>
      <c r="H51" t="s">
        <v>37</v>
      </c>
      <c r="I51" t="s">
        <v>7</v>
      </c>
      <c r="J51" t="s">
        <v>29</v>
      </c>
      <c r="K51" t="s">
        <v>61</v>
      </c>
      <c r="L51" t="s">
        <v>25</v>
      </c>
      <c r="M51">
        <v>1</v>
      </c>
    </row>
    <row r="52" spans="1:13" x14ac:dyDescent="0.25">
      <c r="A52" s="2">
        <v>46300</v>
      </c>
      <c r="B52" s="1" t="str">
        <f ca="1">IF(Información1[[#This Row],[Fecha]]='Ajuste de fechas'!$A$2,"Día actual","Día anterior")</f>
        <v>Día anterior</v>
      </c>
      <c r="C52" t="s">
        <v>59</v>
      </c>
      <c r="D52" t="s">
        <v>60</v>
      </c>
      <c r="E52" t="s">
        <v>136</v>
      </c>
      <c r="F52" t="s">
        <v>13</v>
      </c>
      <c r="G52" t="s">
        <v>84</v>
      </c>
      <c r="H52" t="s">
        <v>37</v>
      </c>
      <c r="I52" t="s">
        <v>7</v>
      </c>
      <c r="J52" t="s">
        <v>28</v>
      </c>
      <c r="K52" t="s">
        <v>61</v>
      </c>
      <c r="L52" t="s">
        <v>25</v>
      </c>
      <c r="M52">
        <v>1</v>
      </c>
    </row>
    <row r="53" spans="1:13" x14ac:dyDescent="0.25">
      <c r="A53" s="2">
        <v>46300</v>
      </c>
      <c r="B53" s="1" t="str">
        <f ca="1">IF(Información1[[#This Row],[Fecha]]='Ajuste de fechas'!$A$2,"Día actual","Día anterior")</f>
        <v>Día anterior</v>
      </c>
      <c r="C53" t="s">
        <v>59</v>
      </c>
      <c r="D53" t="s">
        <v>60</v>
      </c>
      <c r="E53" t="s">
        <v>164</v>
      </c>
      <c r="F53" t="s">
        <v>35</v>
      </c>
      <c r="G53" t="s">
        <v>69</v>
      </c>
      <c r="H53" t="s">
        <v>37</v>
      </c>
      <c r="I53" t="s">
        <v>7</v>
      </c>
      <c r="J53" t="s">
        <v>24</v>
      </c>
      <c r="K53" t="s">
        <v>61</v>
      </c>
      <c r="L53" t="s">
        <v>26</v>
      </c>
      <c r="M53">
        <v>1</v>
      </c>
    </row>
    <row r="54" spans="1:13" x14ac:dyDescent="0.25">
      <c r="A54" s="2">
        <v>46300</v>
      </c>
      <c r="B54" s="1" t="str">
        <f ca="1">IF(Información1[[#This Row],[Fecha]]='Ajuste de fechas'!$A$2,"Día actual","Día anterior")</f>
        <v>Día anterior</v>
      </c>
      <c r="C54" t="s">
        <v>59</v>
      </c>
      <c r="D54" t="s">
        <v>60</v>
      </c>
      <c r="E54" t="s">
        <v>165</v>
      </c>
      <c r="F54" t="s">
        <v>13</v>
      </c>
      <c r="G54" t="s">
        <v>69</v>
      </c>
      <c r="H54" t="s">
        <v>37</v>
      </c>
      <c r="I54" t="s">
        <v>7</v>
      </c>
      <c r="J54" t="s">
        <v>28</v>
      </c>
      <c r="K54" t="s">
        <v>61</v>
      </c>
      <c r="L54" t="s">
        <v>25</v>
      </c>
      <c r="M54">
        <v>1</v>
      </c>
    </row>
    <row r="55" spans="1:13" x14ac:dyDescent="0.25">
      <c r="A55" s="2">
        <v>46300</v>
      </c>
      <c r="B55" s="1" t="str">
        <f ca="1">IF(Información1[[#This Row],[Fecha]]='Ajuste de fechas'!$A$2,"Día actual","Día anterior")</f>
        <v>Día anterior</v>
      </c>
      <c r="C55" t="s">
        <v>59</v>
      </c>
      <c r="D55" t="s">
        <v>60</v>
      </c>
      <c r="E55" t="s">
        <v>166</v>
      </c>
      <c r="F55" t="s">
        <v>35</v>
      </c>
      <c r="G55" t="s">
        <v>86</v>
      </c>
      <c r="H55" t="s">
        <v>37</v>
      </c>
      <c r="I55" t="s">
        <v>7</v>
      </c>
      <c r="J55" t="s">
        <v>24</v>
      </c>
      <c r="K55" t="s">
        <v>139</v>
      </c>
      <c r="L55" t="s">
        <v>25</v>
      </c>
      <c r="M55">
        <v>1</v>
      </c>
    </row>
    <row r="56" spans="1:13" x14ac:dyDescent="0.25">
      <c r="A56" s="2">
        <v>46300</v>
      </c>
      <c r="B56" s="1" t="str">
        <f ca="1">IF(Información1[[#This Row],[Fecha]]='Ajuste de fechas'!$A$2,"Día actual","Día anterior")</f>
        <v>Día anterior</v>
      </c>
      <c r="C56" t="s">
        <v>63</v>
      </c>
      <c r="D56" t="s">
        <v>64</v>
      </c>
      <c r="E56" t="s">
        <v>167</v>
      </c>
      <c r="F56" t="s">
        <v>45</v>
      </c>
      <c r="G56" t="s">
        <v>70</v>
      </c>
      <c r="H56" t="s">
        <v>37</v>
      </c>
      <c r="I56" t="s">
        <v>7</v>
      </c>
      <c r="J56" t="s">
        <v>24</v>
      </c>
      <c r="K56" t="s">
        <v>65</v>
      </c>
      <c r="L56" t="s">
        <v>25</v>
      </c>
      <c r="M56">
        <v>1</v>
      </c>
    </row>
    <row r="57" spans="1:13" x14ac:dyDescent="0.25">
      <c r="A57" s="2">
        <v>46300</v>
      </c>
      <c r="B57" s="1" t="str">
        <f ca="1">IF(Información1[[#This Row],[Fecha]]='Ajuste de fechas'!$A$2,"Día actual","Día anterior")</f>
        <v>Día anterior</v>
      </c>
      <c r="C57" t="s">
        <v>8</v>
      </c>
      <c r="D57" t="s">
        <v>9</v>
      </c>
      <c r="E57" t="s">
        <v>168</v>
      </c>
      <c r="F57" t="s">
        <v>13</v>
      </c>
      <c r="G57" t="s">
        <v>74</v>
      </c>
      <c r="H57" t="s">
        <v>37</v>
      </c>
      <c r="I57" t="s">
        <v>17</v>
      </c>
      <c r="J57" t="s">
        <v>28</v>
      </c>
      <c r="K57" t="s">
        <v>44</v>
      </c>
      <c r="L57" t="s">
        <v>26</v>
      </c>
      <c r="M57">
        <v>1</v>
      </c>
    </row>
    <row r="58" spans="1:13" x14ac:dyDescent="0.25">
      <c r="A58" s="2">
        <v>46300</v>
      </c>
      <c r="B58" s="1" t="str">
        <f ca="1">IF(Información1[[#This Row],[Fecha]]='Ajuste de fechas'!$A$2,"Día actual","Día anterior")</f>
        <v>Día anterior</v>
      </c>
      <c r="C58" t="s">
        <v>8</v>
      </c>
      <c r="D58" t="s">
        <v>9</v>
      </c>
      <c r="E58" t="s">
        <v>169</v>
      </c>
      <c r="F58" t="s">
        <v>13</v>
      </c>
      <c r="G58" t="s">
        <v>74</v>
      </c>
      <c r="H58" t="s">
        <v>37</v>
      </c>
      <c r="I58" t="s">
        <v>17</v>
      </c>
      <c r="J58" t="s">
        <v>28</v>
      </c>
      <c r="K58" t="s">
        <v>44</v>
      </c>
      <c r="L58" t="s">
        <v>26</v>
      </c>
      <c r="M58">
        <v>1</v>
      </c>
    </row>
    <row r="59" spans="1:13" x14ac:dyDescent="0.25">
      <c r="A59" s="2">
        <v>46300</v>
      </c>
      <c r="B59" s="1" t="str">
        <f ca="1">IF(Información1[[#This Row],[Fecha]]='Ajuste de fechas'!$A$2,"Día actual","Día anterior")</f>
        <v>Día anterior</v>
      </c>
      <c r="C59" t="s">
        <v>8</v>
      </c>
      <c r="D59" t="s">
        <v>9</v>
      </c>
      <c r="E59" t="s">
        <v>170</v>
      </c>
      <c r="F59" t="s">
        <v>13</v>
      </c>
      <c r="G59" t="s">
        <v>74</v>
      </c>
      <c r="H59" t="s">
        <v>37</v>
      </c>
      <c r="I59" t="s">
        <v>17</v>
      </c>
      <c r="J59" t="s">
        <v>28</v>
      </c>
      <c r="K59" t="s">
        <v>44</v>
      </c>
      <c r="L59" t="s">
        <v>26</v>
      </c>
      <c r="M59">
        <v>1</v>
      </c>
    </row>
    <row r="60" spans="1:13" x14ac:dyDescent="0.25">
      <c r="A60" s="2">
        <v>46300</v>
      </c>
      <c r="B60" s="1" t="str">
        <f ca="1">IF(Información1[[#This Row],[Fecha]]='Ajuste de fechas'!$A$2,"Día actual","Día anterior")</f>
        <v>Día anterior</v>
      </c>
      <c r="C60" t="s">
        <v>8</v>
      </c>
      <c r="D60" t="s">
        <v>9</v>
      </c>
      <c r="E60" t="s">
        <v>171</v>
      </c>
      <c r="F60" t="s">
        <v>6</v>
      </c>
      <c r="G60" t="s">
        <v>75</v>
      </c>
      <c r="H60" t="s">
        <v>37</v>
      </c>
      <c r="I60" t="s">
        <v>17</v>
      </c>
      <c r="J60" t="s">
        <v>24</v>
      </c>
      <c r="K60" t="s">
        <v>44</v>
      </c>
      <c r="L60" t="s">
        <v>26</v>
      </c>
      <c r="M60">
        <v>1</v>
      </c>
    </row>
    <row r="61" spans="1:13" x14ac:dyDescent="0.25">
      <c r="A61" s="2">
        <v>46300</v>
      </c>
      <c r="B61" s="1" t="str">
        <f ca="1">IF(Información1[[#This Row],[Fecha]]='Ajuste de fechas'!$A$2,"Día actual","Día anterior")</f>
        <v>Día anterior</v>
      </c>
      <c r="C61" t="s">
        <v>8</v>
      </c>
      <c r="D61" t="s">
        <v>9</v>
      </c>
      <c r="E61" t="s">
        <v>172</v>
      </c>
      <c r="F61" t="s">
        <v>6</v>
      </c>
      <c r="G61" t="s">
        <v>75</v>
      </c>
      <c r="H61" t="s">
        <v>37</v>
      </c>
      <c r="I61" t="s">
        <v>17</v>
      </c>
      <c r="J61" t="s">
        <v>24</v>
      </c>
      <c r="K61" t="s">
        <v>44</v>
      </c>
      <c r="L61" t="s">
        <v>26</v>
      </c>
      <c r="M61">
        <v>1</v>
      </c>
    </row>
    <row r="62" spans="1:13" x14ac:dyDescent="0.25">
      <c r="A62" s="2">
        <v>46300</v>
      </c>
      <c r="B62" s="1" t="str">
        <f ca="1">IF(Información1[[#This Row],[Fecha]]='Ajuste de fechas'!$A$2,"Día actual","Día anterior")</f>
        <v>Día anterior</v>
      </c>
      <c r="C62" t="s">
        <v>8</v>
      </c>
      <c r="D62" t="s">
        <v>9</v>
      </c>
      <c r="E62" t="s">
        <v>173</v>
      </c>
      <c r="F62" t="s">
        <v>15</v>
      </c>
      <c r="G62" t="s">
        <v>91</v>
      </c>
      <c r="H62" t="s">
        <v>37</v>
      </c>
      <c r="I62" t="s">
        <v>7</v>
      </c>
      <c r="J62" t="s">
        <v>29</v>
      </c>
      <c r="K62" t="s">
        <v>11</v>
      </c>
      <c r="L62" t="s">
        <v>25</v>
      </c>
      <c r="M62">
        <v>1</v>
      </c>
    </row>
    <row r="63" spans="1:13" x14ac:dyDescent="0.25">
      <c r="A63" s="2">
        <v>46300</v>
      </c>
      <c r="B63" s="1" t="str">
        <f ca="1">IF(Información1[[#This Row],[Fecha]]='Ajuste de fechas'!$A$2,"Día actual","Día anterior")</f>
        <v>Día anterior</v>
      </c>
      <c r="C63" t="s">
        <v>8</v>
      </c>
      <c r="D63" t="s">
        <v>9</v>
      </c>
      <c r="E63" t="s">
        <v>174</v>
      </c>
      <c r="F63" t="s">
        <v>15</v>
      </c>
      <c r="G63" t="s">
        <v>175</v>
      </c>
      <c r="H63" t="s">
        <v>37</v>
      </c>
      <c r="I63" t="s">
        <v>7</v>
      </c>
      <c r="J63" t="s">
        <v>29</v>
      </c>
      <c r="K63" t="s">
        <v>11</v>
      </c>
      <c r="L63" t="s">
        <v>25</v>
      </c>
      <c r="M63">
        <v>1</v>
      </c>
    </row>
    <row r="64" spans="1:13" x14ac:dyDescent="0.25">
      <c r="A64" s="2">
        <v>46300</v>
      </c>
      <c r="B64" s="1" t="str">
        <f ca="1">IF(Información1[[#This Row],[Fecha]]='Ajuste de fechas'!$A$2,"Día actual","Día anterior")</f>
        <v>Día anterior</v>
      </c>
      <c r="C64" t="s">
        <v>8</v>
      </c>
      <c r="D64" t="s">
        <v>9</v>
      </c>
      <c r="E64" t="s">
        <v>176</v>
      </c>
      <c r="F64" t="s">
        <v>36</v>
      </c>
      <c r="G64" t="s">
        <v>177</v>
      </c>
      <c r="H64" t="s">
        <v>37</v>
      </c>
      <c r="I64" t="s">
        <v>7</v>
      </c>
      <c r="J64" t="s">
        <v>24</v>
      </c>
      <c r="K64" t="s">
        <v>11</v>
      </c>
      <c r="L64" t="s">
        <v>25</v>
      </c>
      <c r="M64">
        <v>1</v>
      </c>
    </row>
    <row r="65" spans="1:13" x14ac:dyDescent="0.25">
      <c r="A65" s="2">
        <v>46300</v>
      </c>
      <c r="B65" s="1" t="str">
        <f ca="1">IF(Información1[[#This Row],[Fecha]]='Ajuste de fechas'!$A$2,"Día actual","Día anterior")</f>
        <v>Día anterior</v>
      </c>
      <c r="C65" t="s">
        <v>8</v>
      </c>
      <c r="D65" t="s">
        <v>9</v>
      </c>
      <c r="E65" t="s">
        <v>178</v>
      </c>
      <c r="F65" t="s">
        <v>45</v>
      </c>
      <c r="G65" t="s">
        <v>152</v>
      </c>
      <c r="H65" t="s">
        <v>37</v>
      </c>
      <c r="I65" t="s">
        <v>7</v>
      </c>
      <c r="J65" t="s">
        <v>24</v>
      </c>
      <c r="K65" t="s">
        <v>11</v>
      </c>
      <c r="L65" t="s">
        <v>27</v>
      </c>
      <c r="M65">
        <v>1</v>
      </c>
    </row>
    <row r="66" spans="1:13" x14ac:dyDescent="0.25">
      <c r="A66" s="2">
        <v>46300</v>
      </c>
      <c r="B66" s="1" t="str">
        <f ca="1">IF(Información1[[#This Row],[Fecha]]='Ajuste de fechas'!$A$2,"Día actual","Día anterior")</f>
        <v>Día anterior</v>
      </c>
      <c r="C66" t="s">
        <v>8</v>
      </c>
      <c r="D66" t="s">
        <v>9</v>
      </c>
      <c r="E66" t="s">
        <v>179</v>
      </c>
      <c r="F66" t="s">
        <v>146</v>
      </c>
      <c r="G66" t="s">
        <v>90</v>
      </c>
      <c r="H66" t="s">
        <v>37</v>
      </c>
      <c r="I66" t="s">
        <v>7</v>
      </c>
      <c r="J66" t="s">
        <v>24</v>
      </c>
      <c r="K66" t="s">
        <v>11</v>
      </c>
      <c r="L66" t="s">
        <v>27</v>
      </c>
      <c r="M66">
        <v>1</v>
      </c>
    </row>
    <row r="67" spans="1:13" x14ac:dyDescent="0.25">
      <c r="A67" s="2">
        <v>46300</v>
      </c>
      <c r="B67" s="1" t="str">
        <f ca="1">IF(Información1[[#This Row],[Fecha]]='Ajuste de fechas'!$A$2,"Día actual","Día anterior")</f>
        <v>Día anterior</v>
      </c>
      <c r="C67" t="s">
        <v>8</v>
      </c>
      <c r="D67" t="s">
        <v>9</v>
      </c>
      <c r="E67" t="s">
        <v>180</v>
      </c>
      <c r="F67" t="s">
        <v>146</v>
      </c>
      <c r="G67" t="s">
        <v>89</v>
      </c>
      <c r="H67" t="s">
        <v>37</v>
      </c>
      <c r="I67" t="s">
        <v>7</v>
      </c>
      <c r="J67" t="s">
        <v>24</v>
      </c>
      <c r="K67" t="s">
        <v>11</v>
      </c>
      <c r="L67" t="s">
        <v>27</v>
      </c>
      <c r="M67">
        <v>1</v>
      </c>
    </row>
    <row r="68" spans="1:13" x14ac:dyDescent="0.25">
      <c r="A68" s="2">
        <v>46300</v>
      </c>
      <c r="B68" s="1" t="str">
        <f ca="1">IF(Información1[[#This Row],[Fecha]]='Ajuste de fechas'!$A$2,"Día actual","Día anterior")</f>
        <v>Día anterior</v>
      </c>
      <c r="C68" t="s">
        <v>8</v>
      </c>
      <c r="D68" t="s">
        <v>9</v>
      </c>
      <c r="E68" t="s">
        <v>76</v>
      </c>
      <c r="F68" t="s">
        <v>13</v>
      </c>
      <c r="G68" t="s">
        <v>77</v>
      </c>
      <c r="H68" t="s">
        <v>37</v>
      </c>
      <c r="I68" t="s">
        <v>10</v>
      </c>
      <c r="J68" t="s">
        <v>28</v>
      </c>
      <c r="K68" t="s">
        <v>11</v>
      </c>
      <c r="L68" t="s">
        <v>26</v>
      </c>
      <c r="M68">
        <v>1</v>
      </c>
    </row>
    <row r="69" spans="1:13" x14ac:dyDescent="0.25">
      <c r="A69" s="2">
        <v>46300</v>
      </c>
      <c r="B69" s="1" t="str">
        <f ca="1">IF(Información1[[#This Row],[Fecha]]='Ajuste de fechas'!$A$2,"Día actual","Día anterior")</f>
        <v>Día anterior</v>
      </c>
      <c r="C69" t="s">
        <v>8</v>
      </c>
      <c r="D69" t="s">
        <v>9</v>
      </c>
      <c r="E69" t="s">
        <v>78</v>
      </c>
      <c r="F69" t="s">
        <v>13</v>
      </c>
      <c r="G69" t="s">
        <v>77</v>
      </c>
      <c r="H69" t="s">
        <v>37</v>
      </c>
      <c r="I69" t="s">
        <v>10</v>
      </c>
      <c r="J69" t="s">
        <v>28</v>
      </c>
      <c r="K69" t="s">
        <v>11</v>
      </c>
      <c r="L69" t="s">
        <v>26</v>
      </c>
      <c r="M69">
        <v>1</v>
      </c>
    </row>
    <row r="70" spans="1:13" x14ac:dyDescent="0.25">
      <c r="A70" s="2">
        <v>46300</v>
      </c>
      <c r="B70" s="1" t="str">
        <f ca="1">IF(Información1[[#This Row],[Fecha]]='Ajuste de fechas'!$A$2,"Día actual","Día anterior")</f>
        <v>Día anterior</v>
      </c>
      <c r="C70" t="s">
        <v>8</v>
      </c>
      <c r="D70" t="s">
        <v>9</v>
      </c>
      <c r="E70" t="s">
        <v>79</v>
      </c>
      <c r="F70" t="s">
        <v>33</v>
      </c>
      <c r="G70" t="s">
        <v>77</v>
      </c>
      <c r="H70" t="s">
        <v>37</v>
      </c>
      <c r="I70" t="s">
        <v>10</v>
      </c>
      <c r="J70" t="s">
        <v>16</v>
      </c>
      <c r="K70" t="s">
        <v>11</v>
      </c>
      <c r="L70" t="s">
        <v>26</v>
      </c>
      <c r="M70">
        <v>1</v>
      </c>
    </row>
    <row r="71" spans="1:13" x14ac:dyDescent="0.25">
      <c r="A71" s="2">
        <v>46300</v>
      </c>
      <c r="B71" s="1" t="str">
        <f ca="1">IF(Información1[[#This Row],[Fecha]]='Ajuste de fechas'!$A$2,"Día actual","Día anterior")</f>
        <v>Día anterior</v>
      </c>
      <c r="C71" t="s">
        <v>8</v>
      </c>
      <c r="D71" t="s">
        <v>9</v>
      </c>
      <c r="E71" t="s">
        <v>181</v>
      </c>
      <c r="F71" t="s">
        <v>12</v>
      </c>
      <c r="G71" t="s">
        <v>77</v>
      </c>
      <c r="H71" t="s">
        <v>37</v>
      </c>
      <c r="I71" t="s">
        <v>10</v>
      </c>
      <c r="J71" t="s">
        <v>24</v>
      </c>
      <c r="K71" t="s">
        <v>11</v>
      </c>
      <c r="L71" t="s">
        <v>26</v>
      </c>
      <c r="M71">
        <v>1</v>
      </c>
    </row>
    <row r="72" spans="1:13" x14ac:dyDescent="0.25">
      <c r="A72" s="2">
        <v>46300</v>
      </c>
      <c r="B72" s="1" t="str">
        <f ca="1">IF(Información1[[#This Row],[Fecha]]='Ajuste de fechas'!$A$2,"Día actual","Día anterior")</f>
        <v>Día anterior</v>
      </c>
      <c r="C72" t="s">
        <v>8</v>
      </c>
      <c r="D72" t="s">
        <v>9</v>
      </c>
      <c r="E72" t="s">
        <v>80</v>
      </c>
      <c r="F72" t="s">
        <v>6</v>
      </c>
      <c r="G72" t="s">
        <v>77</v>
      </c>
      <c r="H72" t="s">
        <v>37</v>
      </c>
      <c r="I72" t="s">
        <v>10</v>
      </c>
      <c r="J72" t="s">
        <v>24</v>
      </c>
      <c r="K72" t="s">
        <v>11</v>
      </c>
      <c r="L72" t="s">
        <v>26</v>
      </c>
      <c r="M72">
        <v>1</v>
      </c>
    </row>
    <row r="73" spans="1:13" x14ac:dyDescent="0.25">
      <c r="A73" s="2">
        <v>46301</v>
      </c>
      <c r="B73" s="1" t="str">
        <f ca="1">IF(Información1[[#This Row],[Fecha]]='Ajuste de fechas'!$A$2,"Día actual","Día anterior")</f>
        <v>Día actual</v>
      </c>
      <c r="C73" t="s">
        <v>38</v>
      </c>
      <c r="D73" t="s">
        <v>43</v>
      </c>
      <c r="E73" t="s">
        <v>182</v>
      </c>
      <c r="F73" t="s">
        <v>14</v>
      </c>
      <c r="G73" t="s">
        <v>183</v>
      </c>
      <c r="H73" t="s">
        <v>37</v>
      </c>
      <c r="I73" t="s">
        <v>7</v>
      </c>
      <c r="J73" t="s">
        <v>24</v>
      </c>
      <c r="K73" t="s">
        <v>40</v>
      </c>
      <c r="L73" t="s">
        <v>27</v>
      </c>
      <c r="M73">
        <v>1</v>
      </c>
    </row>
    <row r="74" spans="1:13" x14ac:dyDescent="0.25">
      <c r="A74" s="2">
        <v>46301</v>
      </c>
      <c r="B74" s="1" t="str">
        <f ca="1">IF(Información1[[#This Row],[Fecha]]='Ajuste de fechas'!$A$2,"Día actual","Día anterior")</f>
        <v>Día actual</v>
      </c>
      <c r="C74" t="s">
        <v>38</v>
      </c>
      <c r="D74" t="s">
        <v>43</v>
      </c>
      <c r="E74" t="s">
        <v>184</v>
      </c>
      <c r="F74" t="s">
        <v>185</v>
      </c>
      <c r="G74" t="s">
        <v>186</v>
      </c>
      <c r="H74" t="s">
        <v>37</v>
      </c>
      <c r="I74" t="s">
        <v>7</v>
      </c>
      <c r="J74" t="s">
        <v>24</v>
      </c>
      <c r="K74" t="s">
        <v>40</v>
      </c>
      <c r="L74" t="s">
        <v>25</v>
      </c>
      <c r="M74">
        <v>1</v>
      </c>
    </row>
    <row r="75" spans="1:13" x14ac:dyDescent="0.25">
      <c r="A75" s="2">
        <v>46301</v>
      </c>
      <c r="B75" s="1" t="str">
        <f ca="1">IF(Información1[[#This Row],[Fecha]]='Ajuste de fechas'!$A$2,"Día actual","Día anterior")</f>
        <v>Día actual</v>
      </c>
      <c r="C75" t="s">
        <v>38</v>
      </c>
      <c r="D75" t="s">
        <v>43</v>
      </c>
      <c r="E75" t="s">
        <v>187</v>
      </c>
      <c r="F75" t="s">
        <v>14</v>
      </c>
      <c r="G75" t="s">
        <v>188</v>
      </c>
      <c r="H75" t="s">
        <v>37</v>
      </c>
      <c r="I75" t="s">
        <v>17</v>
      </c>
      <c r="J75" t="s">
        <v>24</v>
      </c>
      <c r="K75" t="s">
        <v>40</v>
      </c>
      <c r="L75" t="s">
        <v>25</v>
      </c>
      <c r="M75">
        <v>1</v>
      </c>
    </row>
    <row r="76" spans="1:13" x14ac:dyDescent="0.25">
      <c r="A76" s="2">
        <v>46301</v>
      </c>
      <c r="B76" s="1" t="str">
        <f ca="1">IF(Información1[[#This Row],[Fecha]]='Ajuste de fechas'!$A$2,"Día actual","Día anterior")</f>
        <v>Día actual</v>
      </c>
      <c r="C76" t="s">
        <v>38</v>
      </c>
      <c r="D76" t="s">
        <v>43</v>
      </c>
      <c r="E76" t="s">
        <v>187</v>
      </c>
      <c r="F76" t="s">
        <v>35</v>
      </c>
      <c r="G76" t="s">
        <v>129</v>
      </c>
      <c r="H76" t="s">
        <v>37</v>
      </c>
      <c r="I76" t="s">
        <v>7</v>
      </c>
      <c r="J76" t="s">
        <v>24</v>
      </c>
      <c r="K76" t="s">
        <v>40</v>
      </c>
      <c r="L76" t="s">
        <v>25</v>
      </c>
      <c r="M76">
        <v>1</v>
      </c>
    </row>
    <row r="77" spans="1:13" x14ac:dyDescent="0.25">
      <c r="A77" s="2">
        <v>46301</v>
      </c>
      <c r="B77" s="1" t="str">
        <f ca="1">IF(Información1[[#This Row],[Fecha]]='Ajuste de fechas'!$A$2,"Día actual","Día anterior")</f>
        <v>Día actual</v>
      </c>
      <c r="C77" t="s">
        <v>47</v>
      </c>
      <c r="D77" t="s">
        <v>48</v>
      </c>
      <c r="E77" t="s">
        <v>189</v>
      </c>
      <c r="F77" t="s">
        <v>13</v>
      </c>
      <c r="G77" t="s">
        <v>190</v>
      </c>
      <c r="H77" t="s">
        <v>37</v>
      </c>
      <c r="I77" t="s">
        <v>7</v>
      </c>
      <c r="J77" t="s">
        <v>28</v>
      </c>
      <c r="K77" t="s">
        <v>49</v>
      </c>
      <c r="L77" t="s">
        <v>25</v>
      </c>
      <c r="M77">
        <v>1</v>
      </c>
    </row>
    <row r="78" spans="1:13" x14ac:dyDescent="0.25">
      <c r="A78" s="2">
        <v>46301</v>
      </c>
      <c r="B78" s="1" t="str">
        <f ca="1">IF(Información1[[#This Row],[Fecha]]='Ajuste de fechas'!$A$2,"Día actual","Día anterior")</f>
        <v>Día actual</v>
      </c>
      <c r="C78" t="s">
        <v>47</v>
      </c>
      <c r="D78" t="s">
        <v>48</v>
      </c>
      <c r="E78" t="s">
        <v>191</v>
      </c>
      <c r="F78" t="s">
        <v>36</v>
      </c>
      <c r="G78" t="s">
        <v>192</v>
      </c>
      <c r="H78" t="s">
        <v>37</v>
      </c>
      <c r="I78" t="s">
        <v>7</v>
      </c>
      <c r="J78" t="s">
        <v>24</v>
      </c>
      <c r="K78" t="s">
        <v>49</v>
      </c>
      <c r="L78" t="s">
        <v>27</v>
      </c>
      <c r="M78">
        <v>1</v>
      </c>
    </row>
    <row r="79" spans="1:13" x14ac:dyDescent="0.25">
      <c r="A79" s="2">
        <v>46301</v>
      </c>
      <c r="B79" s="1" t="str">
        <f ca="1">IF(Información1[[#This Row],[Fecha]]='Ajuste de fechas'!$A$2,"Día actual","Día anterior")</f>
        <v>Día actual</v>
      </c>
      <c r="C79" t="s">
        <v>47</v>
      </c>
      <c r="D79" t="s">
        <v>48</v>
      </c>
      <c r="E79" t="s">
        <v>193</v>
      </c>
      <c r="F79" t="s">
        <v>73</v>
      </c>
      <c r="G79" t="s">
        <v>190</v>
      </c>
      <c r="H79" t="s">
        <v>37</v>
      </c>
      <c r="I79" t="s">
        <v>7</v>
      </c>
      <c r="J79" t="s">
        <v>24</v>
      </c>
      <c r="K79" t="s">
        <v>49</v>
      </c>
      <c r="L79" t="s">
        <v>27</v>
      </c>
      <c r="M79">
        <v>1</v>
      </c>
    </row>
    <row r="80" spans="1:13" x14ac:dyDescent="0.25">
      <c r="A80" s="2">
        <v>46301</v>
      </c>
      <c r="B80" s="1" t="str">
        <f ca="1">IF(Información1[[#This Row],[Fecha]]='Ajuste de fechas'!$A$2,"Día actual","Día anterior")</f>
        <v>Día actual</v>
      </c>
      <c r="C80" t="s">
        <v>47</v>
      </c>
      <c r="D80" t="s">
        <v>48</v>
      </c>
      <c r="E80" t="s">
        <v>194</v>
      </c>
      <c r="F80" t="s">
        <v>92</v>
      </c>
      <c r="G80" t="s">
        <v>195</v>
      </c>
      <c r="H80" t="s">
        <v>37</v>
      </c>
      <c r="I80" t="s">
        <v>7</v>
      </c>
      <c r="J80" t="s">
        <v>24</v>
      </c>
      <c r="K80" t="s">
        <v>49</v>
      </c>
      <c r="L80" t="s">
        <v>27</v>
      </c>
      <c r="M80">
        <v>1</v>
      </c>
    </row>
    <row r="81" spans="1:13" x14ac:dyDescent="0.25">
      <c r="A81" s="2">
        <v>46301</v>
      </c>
      <c r="B81" s="1" t="str">
        <f ca="1">IF(Información1[[#This Row],[Fecha]]='Ajuste de fechas'!$A$2,"Día actual","Día anterior")</f>
        <v>Día actual</v>
      </c>
      <c r="C81" t="s">
        <v>47</v>
      </c>
      <c r="D81" t="s">
        <v>48</v>
      </c>
      <c r="E81" t="s">
        <v>196</v>
      </c>
      <c r="F81" t="s">
        <v>6</v>
      </c>
      <c r="G81" t="s">
        <v>129</v>
      </c>
      <c r="H81" t="s">
        <v>37</v>
      </c>
      <c r="I81" t="s">
        <v>7</v>
      </c>
      <c r="J81" t="s">
        <v>24</v>
      </c>
      <c r="K81" t="s">
        <v>49</v>
      </c>
      <c r="L81" t="s">
        <v>27</v>
      </c>
      <c r="M81">
        <v>1</v>
      </c>
    </row>
    <row r="82" spans="1:13" x14ac:dyDescent="0.25">
      <c r="A82" s="2">
        <v>46301</v>
      </c>
      <c r="B82" s="1" t="str">
        <f ca="1">IF(Información1[[#This Row],[Fecha]]='Ajuste de fechas'!$A$2,"Día actual","Día anterior")</f>
        <v>Día actual</v>
      </c>
      <c r="C82" t="s">
        <v>47</v>
      </c>
      <c r="D82" t="s">
        <v>48</v>
      </c>
      <c r="E82" t="s">
        <v>197</v>
      </c>
      <c r="F82" t="s">
        <v>185</v>
      </c>
      <c r="G82" t="s">
        <v>198</v>
      </c>
      <c r="H82" t="s">
        <v>37</v>
      </c>
      <c r="I82" t="s">
        <v>7</v>
      </c>
      <c r="J82" t="s">
        <v>24</v>
      </c>
      <c r="K82" t="s">
        <v>49</v>
      </c>
      <c r="L82" t="s">
        <v>27</v>
      </c>
      <c r="M82">
        <v>1</v>
      </c>
    </row>
    <row r="83" spans="1:13" x14ac:dyDescent="0.25">
      <c r="A83" s="2">
        <v>46301</v>
      </c>
      <c r="B83" s="1" t="str">
        <f ca="1">IF(Información1[[#This Row],[Fecha]]='Ajuste de fechas'!$A$2,"Día actual","Día anterior")</f>
        <v>Día actual</v>
      </c>
      <c r="C83" t="s">
        <v>38</v>
      </c>
      <c r="D83" t="s">
        <v>39</v>
      </c>
      <c r="E83" t="s">
        <v>199</v>
      </c>
      <c r="F83" t="s">
        <v>14</v>
      </c>
      <c r="G83" t="s">
        <v>200</v>
      </c>
      <c r="H83" t="s">
        <v>37</v>
      </c>
      <c r="I83" t="s">
        <v>7</v>
      </c>
      <c r="J83" t="s">
        <v>24</v>
      </c>
      <c r="K83" t="s">
        <v>41</v>
      </c>
      <c r="L83" t="s">
        <v>27</v>
      </c>
      <c r="M83">
        <v>1</v>
      </c>
    </row>
    <row r="84" spans="1:13" x14ac:dyDescent="0.25">
      <c r="A84" s="2">
        <v>46301</v>
      </c>
      <c r="B84" s="1" t="str">
        <f ca="1">IF(Información1[[#This Row],[Fecha]]='Ajuste de fechas'!$A$2,"Día actual","Día anterior")</f>
        <v>Día actual</v>
      </c>
      <c r="C84" t="s">
        <v>38</v>
      </c>
      <c r="D84" t="s">
        <v>39</v>
      </c>
      <c r="E84" t="s">
        <v>201</v>
      </c>
      <c r="F84" t="s">
        <v>36</v>
      </c>
      <c r="G84" t="s">
        <v>192</v>
      </c>
      <c r="H84" t="s">
        <v>37</v>
      </c>
      <c r="I84" t="s">
        <v>7</v>
      </c>
      <c r="J84" t="s">
        <v>24</v>
      </c>
      <c r="K84" t="s">
        <v>41</v>
      </c>
      <c r="L84" t="s">
        <v>27</v>
      </c>
      <c r="M84">
        <v>1</v>
      </c>
    </row>
    <row r="85" spans="1:13" x14ac:dyDescent="0.25">
      <c r="A85" s="2">
        <v>46301</v>
      </c>
      <c r="B85" s="1" t="str">
        <f ca="1">IF(Información1[[#This Row],[Fecha]]='Ajuste de fechas'!$A$2,"Día actual","Día anterior")</f>
        <v>Día actual</v>
      </c>
      <c r="C85" t="s">
        <v>38</v>
      </c>
      <c r="D85" t="s">
        <v>39</v>
      </c>
      <c r="E85" t="s">
        <v>202</v>
      </c>
      <c r="F85" t="s">
        <v>14</v>
      </c>
      <c r="G85" t="s">
        <v>203</v>
      </c>
      <c r="H85" t="s">
        <v>37</v>
      </c>
      <c r="I85" t="s">
        <v>7</v>
      </c>
      <c r="J85" t="s">
        <v>24</v>
      </c>
      <c r="K85" t="s">
        <v>41</v>
      </c>
      <c r="L85" t="s">
        <v>34</v>
      </c>
      <c r="M85">
        <v>1</v>
      </c>
    </row>
    <row r="86" spans="1:13" x14ac:dyDescent="0.25">
      <c r="A86" s="2">
        <v>46301</v>
      </c>
      <c r="B86" s="1" t="str">
        <f ca="1">IF(Información1[[#This Row],[Fecha]]='Ajuste de fechas'!$A$2,"Día actual","Día anterior")</f>
        <v>Día actual</v>
      </c>
      <c r="C86" t="s">
        <v>38</v>
      </c>
      <c r="D86" t="s">
        <v>39</v>
      </c>
      <c r="E86" t="s">
        <v>204</v>
      </c>
      <c r="F86" t="s">
        <v>16</v>
      </c>
      <c r="H86" t="s">
        <v>37</v>
      </c>
      <c r="I86" t="s">
        <v>7</v>
      </c>
      <c r="J86" t="s">
        <v>16</v>
      </c>
      <c r="K86" t="s">
        <v>41</v>
      </c>
      <c r="L86" t="s">
        <v>34</v>
      </c>
      <c r="M86">
        <v>1</v>
      </c>
    </row>
    <row r="87" spans="1:13" x14ac:dyDescent="0.25">
      <c r="A87" s="2">
        <v>46301</v>
      </c>
      <c r="B87" s="1" t="str">
        <f ca="1">IF(Información1[[#This Row],[Fecha]]='Ajuste de fechas'!$A$2,"Día actual","Día anterior")</f>
        <v>Día actual</v>
      </c>
      <c r="C87" t="s">
        <v>38</v>
      </c>
      <c r="D87" t="s">
        <v>39</v>
      </c>
      <c r="E87" t="s">
        <v>205</v>
      </c>
      <c r="F87" t="s">
        <v>13</v>
      </c>
      <c r="G87" t="s">
        <v>206</v>
      </c>
      <c r="H87" t="s">
        <v>37</v>
      </c>
      <c r="I87" t="s">
        <v>7</v>
      </c>
      <c r="J87" t="s">
        <v>28</v>
      </c>
      <c r="K87" t="s">
        <v>40</v>
      </c>
      <c r="L87" t="s">
        <v>34</v>
      </c>
      <c r="M87">
        <v>1</v>
      </c>
    </row>
    <row r="88" spans="1:13" x14ac:dyDescent="0.25">
      <c r="A88" s="2">
        <v>46301</v>
      </c>
      <c r="B88" s="1" t="str">
        <f ca="1">IF(Información1[[#This Row],[Fecha]]='Ajuste de fechas'!$A$2,"Día actual","Día anterior")</f>
        <v>Día actual</v>
      </c>
      <c r="C88" t="s">
        <v>38</v>
      </c>
      <c r="D88" t="s">
        <v>39</v>
      </c>
      <c r="E88" t="s">
        <v>207</v>
      </c>
      <c r="F88" t="s">
        <v>83</v>
      </c>
      <c r="G88" t="s">
        <v>208</v>
      </c>
      <c r="H88" t="s">
        <v>37</v>
      </c>
      <c r="I88" t="s">
        <v>7</v>
      </c>
      <c r="J88" t="s">
        <v>16</v>
      </c>
      <c r="K88" t="s">
        <v>40</v>
      </c>
      <c r="L88" t="s">
        <v>34</v>
      </c>
      <c r="M88">
        <v>1</v>
      </c>
    </row>
    <row r="89" spans="1:13" x14ac:dyDescent="0.25">
      <c r="A89" s="2">
        <v>46301</v>
      </c>
      <c r="B89" s="1" t="str">
        <f ca="1">IF(Información1[[#This Row],[Fecha]]='Ajuste de fechas'!$A$2,"Día actual","Día anterior")</f>
        <v>Día actual</v>
      </c>
      <c r="C89" t="s">
        <v>8</v>
      </c>
      <c r="D89" t="s">
        <v>9</v>
      </c>
      <c r="E89" t="s">
        <v>209</v>
      </c>
      <c r="F89" t="s">
        <v>35</v>
      </c>
      <c r="G89" t="s">
        <v>86</v>
      </c>
      <c r="H89" t="s">
        <v>37</v>
      </c>
      <c r="I89" t="s">
        <v>7</v>
      </c>
      <c r="J89" t="s">
        <v>24</v>
      </c>
      <c r="K89" t="s">
        <v>11</v>
      </c>
      <c r="L89" t="s">
        <v>25</v>
      </c>
      <c r="M89">
        <v>1</v>
      </c>
    </row>
    <row r="90" spans="1:13" x14ac:dyDescent="0.25">
      <c r="A90" s="2">
        <v>46301</v>
      </c>
      <c r="B90" s="1" t="str">
        <f ca="1">IF(Información1[[#This Row],[Fecha]]='Ajuste de fechas'!$A$2,"Día actual","Día anterior")</f>
        <v>Día actual</v>
      </c>
      <c r="C90" t="s">
        <v>8</v>
      </c>
      <c r="D90" t="s">
        <v>9</v>
      </c>
      <c r="E90" t="s">
        <v>210</v>
      </c>
      <c r="F90" t="s">
        <v>73</v>
      </c>
      <c r="G90" t="s">
        <v>190</v>
      </c>
      <c r="H90" t="s">
        <v>37</v>
      </c>
      <c r="I90" t="s">
        <v>7</v>
      </c>
      <c r="J90" t="s">
        <v>24</v>
      </c>
      <c r="K90" t="s">
        <v>11</v>
      </c>
      <c r="L90" t="s">
        <v>25</v>
      </c>
      <c r="M90">
        <v>1</v>
      </c>
    </row>
    <row r="91" spans="1:13" x14ac:dyDescent="0.25">
      <c r="A91" s="2">
        <v>46301</v>
      </c>
      <c r="B91" s="1" t="str">
        <f ca="1">IF(Información1[[#This Row],[Fecha]]='Ajuste de fechas'!$A$2,"Día actual","Día anterior")</f>
        <v>Día actual</v>
      </c>
      <c r="C91" t="s">
        <v>211</v>
      </c>
      <c r="D91" t="s">
        <v>71</v>
      </c>
      <c r="E91" t="s">
        <v>212</v>
      </c>
      <c r="F91" t="s">
        <v>16</v>
      </c>
      <c r="H91" t="s">
        <v>37</v>
      </c>
      <c r="I91" t="s">
        <v>7</v>
      </c>
      <c r="J91" t="s">
        <v>16</v>
      </c>
      <c r="K91" t="s">
        <v>72</v>
      </c>
      <c r="L91" t="s">
        <v>34</v>
      </c>
      <c r="M91">
        <v>1</v>
      </c>
    </row>
    <row r="92" spans="1:13" x14ac:dyDescent="0.25">
      <c r="A92" s="2">
        <v>46301</v>
      </c>
      <c r="B92" s="1" t="str">
        <f ca="1">IF(Información1[[#This Row],[Fecha]]='Ajuste de fechas'!$A$2,"Día actual","Día anterior")</f>
        <v>Día actual</v>
      </c>
      <c r="C92" t="s">
        <v>211</v>
      </c>
      <c r="D92" t="s">
        <v>71</v>
      </c>
      <c r="E92" t="s">
        <v>213</v>
      </c>
      <c r="F92" t="s">
        <v>13</v>
      </c>
      <c r="G92" t="s">
        <v>214</v>
      </c>
      <c r="H92" t="s">
        <v>37</v>
      </c>
      <c r="I92" t="s">
        <v>17</v>
      </c>
      <c r="J92" t="s">
        <v>28</v>
      </c>
      <c r="K92" t="s">
        <v>72</v>
      </c>
      <c r="L92" t="s">
        <v>25</v>
      </c>
      <c r="M92">
        <v>1</v>
      </c>
    </row>
    <row r="93" spans="1:13" x14ac:dyDescent="0.25">
      <c r="A93" s="2">
        <v>46301</v>
      </c>
      <c r="B93" s="1" t="str">
        <f ca="1">IF(Información1[[#This Row],[Fecha]]='Ajuste de fechas'!$A$2,"Día actual","Día anterior")</f>
        <v>Día actual</v>
      </c>
      <c r="C93" t="s">
        <v>211</v>
      </c>
      <c r="D93" t="s">
        <v>71</v>
      </c>
      <c r="E93" t="s">
        <v>215</v>
      </c>
      <c r="F93" t="s">
        <v>15</v>
      </c>
      <c r="G93" t="s">
        <v>134</v>
      </c>
      <c r="H93" t="s">
        <v>37</v>
      </c>
      <c r="I93" t="s">
        <v>7</v>
      </c>
      <c r="J93" t="s">
        <v>29</v>
      </c>
      <c r="K93" t="s">
        <v>72</v>
      </c>
      <c r="L93" t="s">
        <v>25</v>
      </c>
      <c r="M93">
        <v>1</v>
      </c>
    </row>
    <row r="94" spans="1:13" x14ac:dyDescent="0.25">
      <c r="A94" s="2">
        <v>46301</v>
      </c>
      <c r="B94" s="1" t="str">
        <f ca="1">IF(Información1[[#This Row],[Fecha]]='Ajuste de fechas'!$A$2,"Día actual","Día anterior")</f>
        <v>Día actual</v>
      </c>
      <c r="C94" t="s">
        <v>211</v>
      </c>
      <c r="D94" t="s">
        <v>71</v>
      </c>
      <c r="E94" t="s">
        <v>216</v>
      </c>
      <c r="F94" t="s">
        <v>35</v>
      </c>
      <c r="G94" t="s">
        <v>217</v>
      </c>
      <c r="H94" t="s">
        <v>37</v>
      </c>
      <c r="I94" t="s">
        <v>7</v>
      </c>
      <c r="J94" t="s">
        <v>24</v>
      </c>
      <c r="K94" t="s">
        <v>72</v>
      </c>
      <c r="L94" t="s">
        <v>25</v>
      </c>
      <c r="M94">
        <v>1</v>
      </c>
    </row>
    <row r="95" spans="1:13" x14ac:dyDescent="0.25">
      <c r="A95" s="2">
        <v>46301</v>
      </c>
      <c r="B95" s="1" t="str">
        <f ca="1">IF(Información1[[#This Row],[Fecha]]='Ajuste de fechas'!$A$2,"Día actual","Día anterior")</f>
        <v>Día actual</v>
      </c>
      <c r="C95" t="s">
        <v>211</v>
      </c>
      <c r="D95" t="s">
        <v>71</v>
      </c>
      <c r="E95" t="s">
        <v>218</v>
      </c>
      <c r="F95" t="s">
        <v>185</v>
      </c>
      <c r="G95" t="s">
        <v>129</v>
      </c>
      <c r="H95" t="s">
        <v>37</v>
      </c>
      <c r="I95" t="s">
        <v>7</v>
      </c>
      <c r="J95" t="s">
        <v>24</v>
      </c>
      <c r="K95" t="s">
        <v>72</v>
      </c>
      <c r="L95" t="s">
        <v>25</v>
      </c>
      <c r="M95">
        <v>1</v>
      </c>
    </row>
    <row r="96" spans="1:13" x14ac:dyDescent="0.25">
      <c r="A96" s="2">
        <v>46301</v>
      </c>
      <c r="B96" s="1" t="str">
        <f ca="1">IF(Información1[[#This Row],[Fecha]]='Ajuste de fechas'!$A$2,"Día actual","Día anterior")</f>
        <v>Día actual</v>
      </c>
      <c r="C96" t="s">
        <v>8</v>
      </c>
      <c r="D96" t="s">
        <v>9</v>
      </c>
      <c r="E96" t="s">
        <v>80</v>
      </c>
      <c r="F96" t="s">
        <v>6</v>
      </c>
      <c r="G96" t="s">
        <v>77</v>
      </c>
      <c r="H96" t="s">
        <v>37</v>
      </c>
      <c r="I96" t="s">
        <v>10</v>
      </c>
      <c r="J96" t="s">
        <v>24</v>
      </c>
      <c r="K96" t="s">
        <v>11</v>
      </c>
      <c r="L96" t="s">
        <v>26</v>
      </c>
      <c r="M96">
        <v>1</v>
      </c>
    </row>
    <row r="97" spans="1:13" x14ac:dyDescent="0.25">
      <c r="A97" s="2">
        <v>46301</v>
      </c>
      <c r="B97" s="1" t="str">
        <f ca="1">IF(Información1[[#This Row],[Fecha]]='Ajuste de fechas'!$A$2,"Día actual","Día anterior")</f>
        <v>Día actual</v>
      </c>
      <c r="C97" t="s">
        <v>8</v>
      </c>
      <c r="D97" t="s">
        <v>9</v>
      </c>
      <c r="E97" t="s">
        <v>219</v>
      </c>
      <c r="F97" t="s">
        <v>12</v>
      </c>
      <c r="G97" t="s">
        <v>77</v>
      </c>
      <c r="H97" t="s">
        <v>37</v>
      </c>
      <c r="I97" t="s">
        <v>10</v>
      </c>
      <c r="J97" t="s">
        <v>24</v>
      </c>
      <c r="K97" t="s">
        <v>11</v>
      </c>
      <c r="L97" t="s">
        <v>26</v>
      </c>
      <c r="M97">
        <v>1</v>
      </c>
    </row>
    <row r="98" spans="1:13" x14ac:dyDescent="0.25">
      <c r="A98" s="2">
        <v>46301</v>
      </c>
      <c r="B98" s="1" t="str">
        <f ca="1">IF(Información1[[#This Row],[Fecha]]='Ajuste de fechas'!$A$2,"Día actual","Día anterior")</f>
        <v>Día actual</v>
      </c>
      <c r="C98" t="s">
        <v>8</v>
      </c>
      <c r="D98" t="s">
        <v>9</v>
      </c>
      <c r="E98" t="s">
        <v>78</v>
      </c>
      <c r="F98" t="s">
        <v>13</v>
      </c>
      <c r="G98" t="s">
        <v>77</v>
      </c>
      <c r="H98" t="s">
        <v>37</v>
      </c>
      <c r="I98" t="s">
        <v>10</v>
      </c>
      <c r="J98" t="s">
        <v>28</v>
      </c>
      <c r="K98" t="s">
        <v>11</v>
      </c>
      <c r="L98" t="s">
        <v>26</v>
      </c>
      <c r="M98">
        <v>1</v>
      </c>
    </row>
    <row r="99" spans="1:13" x14ac:dyDescent="0.25">
      <c r="A99" s="2">
        <v>46301</v>
      </c>
      <c r="B99" s="1" t="str">
        <f ca="1">IF(Información1[[#This Row],[Fecha]]='Ajuste de fechas'!$A$2,"Día actual","Día anterior")</f>
        <v>Día actual</v>
      </c>
      <c r="C99" t="s">
        <v>8</v>
      </c>
      <c r="D99" t="s">
        <v>9</v>
      </c>
      <c r="E99" t="s">
        <v>76</v>
      </c>
      <c r="F99" t="s">
        <v>13</v>
      </c>
      <c r="G99" t="s">
        <v>77</v>
      </c>
      <c r="H99" t="s">
        <v>37</v>
      </c>
      <c r="I99" t="s">
        <v>10</v>
      </c>
      <c r="J99" t="s">
        <v>28</v>
      </c>
      <c r="K99" t="s">
        <v>11</v>
      </c>
      <c r="L99" t="s">
        <v>26</v>
      </c>
      <c r="M99">
        <v>1</v>
      </c>
    </row>
    <row r="100" spans="1:13" x14ac:dyDescent="0.25">
      <c r="A100" s="2">
        <v>46301</v>
      </c>
      <c r="B100" s="1" t="str">
        <f ca="1">IF(Información1[[#This Row],[Fecha]]='Ajuste de fechas'!$A$2,"Día actual","Día anterior")</f>
        <v>Día actual</v>
      </c>
      <c r="C100" t="s">
        <v>8</v>
      </c>
      <c r="D100" t="s">
        <v>9</v>
      </c>
      <c r="E100" t="s">
        <v>220</v>
      </c>
      <c r="F100" t="s">
        <v>146</v>
      </c>
      <c r="G100" t="s">
        <v>68</v>
      </c>
      <c r="H100" t="s">
        <v>37</v>
      </c>
      <c r="I100" t="s">
        <v>7</v>
      </c>
      <c r="J100" t="s">
        <v>24</v>
      </c>
      <c r="K100" t="s">
        <v>11</v>
      </c>
      <c r="L100" t="s">
        <v>25</v>
      </c>
      <c r="M100">
        <v>1</v>
      </c>
    </row>
    <row r="101" spans="1:13" x14ac:dyDescent="0.25">
      <c r="A101" s="2">
        <v>46301</v>
      </c>
      <c r="B101" s="1" t="str">
        <f ca="1">IF(Información1[[#This Row],[Fecha]]='Ajuste de fechas'!$A$2,"Día actual","Día anterior")</f>
        <v>Día actual</v>
      </c>
      <c r="C101" t="s">
        <v>211</v>
      </c>
      <c r="D101" t="s">
        <v>71</v>
      </c>
      <c r="E101" t="s">
        <v>221</v>
      </c>
      <c r="F101" t="s">
        <v>16</v>
      </c>
      <c r="G101" t="s">
        <v>222</v>
      </c>
      <c r="H101" t="s">
        <v>37</v>
      </c>
      <c r="I101" t="s">
        <v>7</v>
      </c>
      <c r="J101" t="s">
        <v>16</v>
      </c>
      <c r="K101" t="s">
        <v>72</v>
      </c>
      <c r="L101" t="s">
        <v>25</v>
      </c>
      <c r="M101">
        <v>1</v>
      </c>
    </row>
    <row r="102" spans="1:13" x14ac:dyDescent="0.25">
      <c r="A102" s="2">
        <v>46301</v>
      </c>
      <c r="B102" s="1" t="str">
        <f ca="1">IF(Información1[[#This Row],[Fecha]]='Ajuste de fechas'!$A$2,"Día actual","Día anterior")</f>
        <v>Día actual</v>
      </c>
      <c r="C102" t="s">
        <v>8</v>
      </c>
      <c r="D102" t="s">
        <v>9</v>
      </c>
      <c r="E102" t="s">
        <v>223</v>
      </c>
      <c r="F102" t="s">
        <v>13</v>
      </c>
      <c r="G102" t="s">
        <v>224</v>
      </c>
      <c r="H102" t="s">
        <v>37</v>
      </c>
      <c r="I102" t="s">
        <v>7</v>
      </c>
      <c r="J102" t="s">
        <v>28</v>
      </c>
      <c r="K102" t="s">
        <v>11</v>
      </c>
      <c r="L102" t="s">
        <v>25</v>
      </c>
      <c r="M102">
        <v>1</v>
      </c>
    </row>
    <row r="103" spans="1:13" x14ac:dyDescent="0.25">
      <c r="A103" s="2">
        <v>46301</v>
      </c>
      <c r="B103" s="1" t="str">
        <f ca="1">IF(Información1[[#This Row],[Fecha]]='Ajuste de fechas'!$A$2,"Día actual","Día anterior")</f>
        <v>Día actual</v>
      </c>
      <c r="C103" t="s">
        <v>8</v>
      </c>
      <c r="D103" t="s">
        <v>9</v>
      </c>
      <c r="E103" t="s">
        <v>225</v>
      </c>
      <c r="F103" t="s">
        <v>15</v>
      </c>
      <c r="G103" t="s">
        <v>226</v>
      </c>
      <c r="H103" t="s">
        <v>37</v>
      </c>
      <c r="I103" t="s">
        <v>7</v>
      </c>
      <c r="J103" t="s">
        <v>29</v>
      </c>
      <c r="K103" t="s">
        <v>11</v>
      </c>
      <c r="L103" t="s">
        <v>25</v>
      </c>
      <c r="M103">
        <v>1</v>
      </c>
    </row>
    <row r="104" spans="1:13" x14ac:dyDescent="0.25">
      <c r="A104" s="2">
        <v>46301</v>
      </c>
      <c r="B104" s="1" t="str">
        <f ca="1">IF(Información1[[#This Row],[Fecha]]='Ajuste de fechas'!$A$2,"Día actual","Día anterior")</f>
        <v>Día actual</v>
      </c>
      <c r="C104" t="s">
        <v>211</v>
      </c>
      <c r="D104" t="s">
        <v>71</v>
      </c>
      <c r="E104" t="s">
        <v>227</v>
      </c>
      <c r="F104" t="s">
        <v>185</v>
      </c>
      <c r="G104" t="s">
        <v>195</v>
      </c>
      <c r="H104" t="s">
        <v>37</v>
      </c>
      <c r="I104" t="s">
        <v>7</v>
      </c>
      <c r="J104" t="s">
        <v>24</v>
      </c>
      <c r="K104" t="s">
        <v>72</v>
      </c>
      <c r="L104" t="s">
        <v>25</v>
      </c>
      <c r="M104">
        <v>1</v>
      </c>
    </row>
    <row r="105" spans="1:13" x14ac:dyDescent="0.25">
      <c r="A105" s="2">
        <v>46301</v>
      </c>
      <c r="B105" s="1" t="str">
        <f ca="1">IF(Información1[[#This Row],[Fecha]]='Ajuste de fechas'!$A$2,"Día actual","Día anterior")</f>
        <v>Día actual</v>
      </c>
      <c r="C105" t="s">
        <v>8</v>
      </c>
      <c r="D105" t="s">
        <v>9</v>
      </c>
      <c r="E105" t="s">
        <v>228</v>
      </c>
      <c r="F105" t="s">
        <v>13</v>
      </c>
      <c r="G105" t="s">
        <v>229</v>
      </c>
      <c r="H105" t="s">
        <v>37</v>
      </c>
      <c r="I105" t="s">
        <v>7</v>
      </c>
      <c r="J105" t="s">
        <v>28</v>
      </c>
      <c r="K105" t="s">
        <v>44</v>
      </c>
      <c r="L105" t="s">
        <v>26</v>
      </c>
      <c r="M105">
        <v>1</v>
      </c>
    </row>
    <row r="106" spans="1:13" x14ac:dyDescent="0.25">
      <c r="A106" s="2">
        <v>46301</v>
      </c>
      <c r="B106" s="1" t="str">
        <f ca="1">IF(Información1[[#This Row],[Fecha]]='Ajuste de fechas'!$A$2,"Día actual","Día anterior")</f>
        <v>Día actual</v>
      </c>
      <c r="C106" t="s">
        <v>211</v>
      </c>
      <c r="D106" t="s">
        <v>71</v>
      </c>
      <c r="E106" t="s">
        <v>230</v>
      </c>
      <c r="F106" t="s">
        <v>35</v>
      </c>
      <c r="G106" t="s">
        <v>87</v>
      </c>
      <c r="H106" t="s">
        <v>37</v>
      </c>
      <c r="I106" t="s">
        <v>7</v>
      </c>
      <c r="J106" t="s">
        <v>24</v>
      </c>
      <c r="K106" t="s">
        <v>72</v>
      </c>
      <c r="L106" t="s">
        <v>25</v>
      </c>
      <c r="M106">
        <v>1</v>
      </c>
    </row>
    <row r="107" spans="1:13" x14ac:dyDescent="0.25">
      <c r="A107" s="2">
        <v>46301</v>
      </c>
      <c r="B107" s="1" t="str">
        <f ca="1">IF(Información1[[#This Row],[Fecha]]='Ajuste de fechas'!$A$2,"Día actual","Día anterior")</f>
        <v>Día actual</v>
      </c>
      <c r="C107" t="s">
        <v>211</v>
      </c>
      <c r="D107" t="s">
        <v>71</v>
      </c>
      <c r="E107" t="s">
        <v>231</v>
      </c>
      <c r="F107" t="s">
        <v>14</v>
      </c>
      <c r="G107" t="s">
        <v>232</v>
      </c>
      <c r="H107" t="s">
        <v>37</v>
      </c>
      <c r="I107" t="s">
        <v>17</v>
      </c>
      <c r="J107" t="s">
        <v>24</v>
      </c>
      <c r="K107" t="s">
        <v>72</v>
      </c>
      <c r="L107" t="s">
        <v>25</v>
      </c>
      <c r="M107">
        <v>1</v>
      </c>
    </row>
    <row r="108" spans="1:13" x14ac:dyDescent="0.25">
      <c r="A108" s="2">
        <v>46301</v>
      </c>
      <c r="B108" s="1" t="str">
        <f ca="1">IF(Información1[[#This Row],[Fecha]]='Ajuste de fechas'!$A$2,"Día actual","Día anterior")</f>
        <v>Día actual</v>
      </c>
      <c r="C108" t="s">
        <v>63</v>
      </c>
      <c r="D108" t="s">
        <v>64</v>
      </c>
      <c r="E108" t="s">
        <v>233</v>
      </c>
      <c r="F108" t="s">
        <v>92</v>
      </c>
      <c r="G108" t="s">
        <v>198</v>
      </c>
      <c r="H108" t="s">
        <v>37</v>
      </c>
      <c r="I108" t="s">
        <v>7</v>
      </c>
      <c r="J108" t="s">
        <v>24</v>
      </c>
      <c r="K108" t="s">
        <v>65</v>
      </c>
      <c r="L108" t="s">
        <v>27</v>
      </c>
      <c r="M108">
        <v>1</v>
      </c>
    </row>
    <row r="109" spans="1:13" x14ac:dyDescent="0.25">
      <c r="A109" s="2">
        <v>46301</v>
      </c>
      <c r="B109" s="1" t="str">
        <f ca="1">IF(Información1[[#This Row],[Fecha]]='Ajuste de fechas'!$A$2,"Día actual","Día anterior")</f>
        <v>Día actual</v>
      </c>
      <c r="C109" t="s">
        <v>211</v>
      </c>
      <c r="D109" t="s">
        <v>71</v>
      </c>
      <c r="E109" t="s">
        <v>234</v>
      </c>
      <c r="F109" t="s">
        <v>92</v>
      </c>
      <c r="G109" t="s">
        <v>198</v>
      </c>
      <c r="H109" t="s">
        <v>37</v>
      </c>
      <c r="I109" t="s">
        <v>7</v>
      </c>
      <c r="J109" t="s">
        <v>24</v>
      </c>
      <c r="K109" t="s">
        <v>72</v>
      </c>
      <c r="L109" t="s">
        <v>25</v>
      </c>
      <c r="M109">
        <v>1</v>
      </c>
    </row>
    <row r="110" spans="1:13" x14ac:dyDescent="0.25">
      <c r="A110" s="2">
        <v>46301</v>
      </c>
      <c r="B110" s="1" t="str">
        <f ca="1">IF(Información1[[#This Row],[Fecha]]='Ajuste de fechas'!$A$2,"Día actual","Día anterior")</f>
        <v>Día actual</v>
      </c>
      <c r="C110" t="s">
        <v>8</v>
      </c>
      <c r="D110" t="s">
        <v>9</v>
      </c>
      <c r="E110" t="s">
        <v>235</v>
      </c>
      <c r="F110" t="s">
        <v>36</v>
      </c>
      <c r="G110" t="s">
        <v>192</v>
      </c>
      <c r="H110" t="s">
        <v>37</v>
      </c>
      <c r="I110" t="s">
        <v>7</v>
      </c>
      <c r="J110" t="s">
        <v>24</v>
      </c>
      <c r="K110" t="s">
        <v>11</v>
      </c>
      <c r="L110" t="s">
        <v>25</v>
      </c>
      <c r="M11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31</v>
      </c>
      <c r="B1" t="s">
        <v>32</v>
      </c>
    </row>
    <row r="2" spans="1:2" x14ac:dyDescent="0.25">
      <c r="A2" s="2">
        <f ca="1">TODAY()</f>
        <v>46301</v>
      </c>
      <c r="B2" s="2">
        <f ca="1">A2-1</f>
        <v>46300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2026-10-06T23:27:51Z</dcterms:modified>
</cp:coreProperties>
</file>