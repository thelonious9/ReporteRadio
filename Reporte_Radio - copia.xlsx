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3E2FF034-AAD9-4367-B2E5-A018F0060B2B}"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Radio!$A$1:$M$174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66" i="2" l="1"/>
  <c r="B67" i="2"/>
  <c r="B68" i="2"/>
  <c r="B69" i="2"/>
  <c r="B70" i="2"/>
  <c r="B71" i="2"/>
  <c r="B72" i="2"/>
  <c r="B87" i="2"/>
  <c r="B128" i="2"/>
  <c r="B130" i="2"/>
  <c r="B73" i="2"/>
  <c r="B74" i="2"/>
  <c r="B75" i="2"/>
  <c r="B76" i="2"/>
  <c r="B77" i="2"/>
  <c r="B78" i="2"/>
  <c r="B79" i="2"/>
  <c r="B127" i="2"/>
  <c r="B131" i="2"/>
  <c r="B80" i="2"/>
  <c r="B81" i="2"/>
  <c r="B82" i="2"/>
  <c r="B83" i="2"/>
  <c r="B84" i="2"/>
  <c r="B85" i="2"/>
  <c r="B86" i="2"/>
  <c r="B88" i="2"/>
  <c r="B129" i="2"/>
  <c r="B2"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6" i="2"/>
  <c r="B47" i="2"/>
  <c r="B48" i="2"/>
  <c r="B49" i="2"/>
  <c r="B50" i="2"/>
  <c r="B51" i="2"/>
  <c r="B52" i="2"/>
  <c r="B53" i="2"/>
  <c r="B54" i="2"/>
  <c r="B55" i="2"/>
  <c r="B56" i="2"/>
  <c r="B57" i="2"/>
  <c r="B58" i="2"/>
  <c r="B59" i="2"/>
  <c r="B60" i="2"/>
  <c r="B61" i="2"/>
  <c r="B62" i="2"/>
  <c r="B63" i="2"/>
  <c r="B64" i="2"/>
  <c r="B65" i="2"/>
  <c r="B45"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<sst xmlns="http://schemas.openxmlformats.org/spreadsheetml/2006/main" count="1745" uniqueCount="329">
  <si>
    <t>Fecha</t>
  </si>
  <si>
    <t>Titular</t>
  </si>
  <si>
    <t>Dependencia</t>
  </si>
  <si>
    <t>Canal</t>
  </si>
  <si>
    <t>Tema</t>
  </si>
  <si>
    <t>Estatus</t>
  </si>
  <si>
    <t>Sipdus</t>
  </si>
  <si>
    <t>Informativa</t>
  </si>
  <si>
    <t>Acir 92.5 FM</t>
  </si>
  <si>
    <t>Radioescucha</t>
  </si>
  <si>
    <t>Panorama Informativo Pachuca</t>
  </si>
  <si>
    <t>Positiva</t>
  </si>
  <si>
    <t>Eulalio Larrieta</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</si>
  <si>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</si>
  <si>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</si>
  <si>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</si>
  <si>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</si>
  <si>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</si>
  <si>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</si>
  <si>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</si>
  <si>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</si>
  <si>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</si>
  <si>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</si>
  <si>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</si>
  <si>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</si>
  <si>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</si>
  <si>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</si>
  <si>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</si>
  <si>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</si>
  <si>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</si>
  <si>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</si>
  <si>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</si>
  <si>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</si>
  <si>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</si>
  <si>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</si>
  <si>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</si>
  <si>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</si>
  <si>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</si>
  <si>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</si>
  <si>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</si>
  <si>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Eulalio Larrieta agradece Paola García y Lic. Sarahi Pineda, por estar atentas a los mensajes de la ciudadanía y por atenderlos.</t>
  </si>
  <si>
    <t>Congreso</t>
  </si>
  <si>
    <t>Entrevista</t>
  </si>
  <si>
    <t>Eulalio Larrieta agradece a Carlos Gamiño por estar al pendiente de temas.</t>
  </si>
  <si>
    <t>DIFH</t>
  </si>
  <si>
    <t>Eulalio Larrieta agradece a Edith Balderas de la Secretaria de Educación Pública.</t>
  </si>
  <si>
    <t>Segobh</t>
  </si>
  <si>
    <t>Eulalio Larrieta agradece a Jair Martínez de la SEGOBH, porque esta al pendiente de lo que se necesite y los reportes.</t>
  </si>
  <si>
    <t>Abasto de agua</t>
  </si>
  <si>
    <t>SSH</t>
  </si>
  <si>
    <t>RADIO LOCAL</t>
  </si>
  <si>
    <t>NQ 90.1 FM</t>
  </si>
  <si>
    <t>Enlace Hidalgo1</t>
  </si>
  <si>
    <t>Jesús Riveros</t>
  </si>
  <si>
    <t>Juan Carlos Santamaría</t>
  </si>
  <si>
    <t>Ultra 102.9 FM</t>
  </si>
  <si>
    <t>Ultra Noticias1</t>
  </si>
  <si>
    <t>Vialidad En Mal Estado</t>
  </si>
  <si>
    <t>Daniel Martínez</t>
  </si>
  <si>
    <t>Canal del Pueblo</t>
  </si>
  <si>
    <t>Vocales Radio</t>
  </si>
  <si>
    <t>Saderh</t>
  </si>
  <si>
    <t>TV LOCAL</t>
  </si>
  <si>
    <t>Aldo Falcón</t>
  </si>
  <si>
    <t>Andrés Torres</t>
  </si>
  <si>
    <t>Planeación</t>
  </si>
  <si>
    <t>Jessenia Romero</t>
  </si>
  <si>
    <t>Vía telefónica el reporte de Bombero y Protección Civil con Abner Yáñez informa de las diversas emergencias reportadas por la ciudadanía y que fueron atendidas.</t>
  </si>
  <si>
    <t>Auxilio a la ciudadanía</t>
  </si>
  <si>
    <t>Abner Yáñez</t>
  </si>
  <si>
    <t>Participación</t>
  </si>
  <si>
    <t>Súper Stéreo 100.5 FM</t>
  </si>
  <si>
    <t>Enfoque Regional Matutino</t>
  </si>
  <si>
    <t>Rodolfo López</t>
  </si>
  <si>
    <t>PGJEH</t>
  </si>
  <si>
    <t>Enlace Hidalgo2</t>
  </si>
  <si>
    <t>Ke Buena 106.7 FM</t>
  </si>
  <si>
    <t>Noticias 106.7</t>
  </si>
  <si>
    <t>David Cárdenas</t>
  </si>
  <si>
    <t>Localización de cuerpo</t>
  </si>
  <si>
    <t>Proceso electoral</t>
  </si>
  <si>
    <t>Rehabilitación animal</t>
  </si>
  <si>
    <t>Combate a la delincuencia</t>
  </si>
  <si>
    <t>Contraloría</t>
  </si>
  <si>
    <t>Iza Hernández</t>
  </si>
  <si>
    <t>Prevención De Riesgos</t>
  </si>
  <si>
    <t>Combate Al Huachicol</t>
  </si>
  <si>
    <t>Ampliación carretera</t>
  </si>
  <si>
    <t>Turismo</t>
  </si>
  <si>
    <t>TEEH</t>
  </si>
  <si>
    <t>Órgano Interno de Control</t>
  </si>
  <si>
    <t>Donación De Órganos</t>
  </si>
  <si>
    <t>Hacienda</t>
  </si>
  <si>
    <t>Informe Alcalde</t>
  </si>
  <si>
    <t>Semaforización</t>
  </si>
  <si>
    <t>Izza Hernández</t>
  </si>
  <si>
    <t>Ataque Armado</t>
  </si>
  <si>
    <t>Milton Cortés</t>
  </si>
  <si>
    <t>Reforma Electoral</t>
  </si>
  <si>
    <t>Carretera Huasca</t>
  </si>
  <si>
    <t>Mal Desempeño</t>
  </si>
  <si>
    <t>Con la participación de 520 representantes de 30 países, la secretaria de Turismo, Josefina Rodríguez Zamora, encabezó el arranque del 4° Congreso Mundial de Turismo Deportivo de ONU Turismo, donde destacó que la realización de este encuentro permitirá mostrar al mundo las capacidades de México como anfitrión, intercambiar experiencias internacionales y fortalecer al turismo deportivo. Durante el Congreso, que se lleva a cabo del 7 al 9 de septiembre en el Autódromo Hermanos Rodríguez, la titular de Sectur resaltó que México recibe este encuentro como resultado del trabajo conjunto entre autoridades, sector privado y organismos internacionales, con el propósito de impulsar la atracción de eventos deportivos y aprovechar sus beneficios en favor de los destinos y sus comunidades.</t>
  </si>
  <si>
    <t>Turismo Deportivo</t>
  </si>
  <si>
    <t>El Calendario SEP de septiembre 2026 confirma que no hay megapuente por las fiestas patrias, ya que el único día de descanso oficial y suspensión de labores es el miércoles 16 de septiembre.</t>
  </si>
  <si>
    <t>Grito De Independencia</t>
  </si>
  <si>
    <t>También en sus llamadas nos reportan que en la ruta Ampliación Rojo Gómez hay varios choferes que brindan maltrato a los pasajeros, entre ellos el chofer de la unidad número 21; incluso a los adultos mayores tratan mal, los tratan mal o no les quieren hacer su descuento. Híjole, ya es un tema constante esto del maltrato a los adultos mayores. Le voy a compartir nuevamente el número para reporte a la Secretaría de Movilidad y Transporte a través del Sistema de Transporte Convencional, porque este pues ya vio, ayer tan solo platicábamos de este caso de este operador que no sabemos qué le pasó, no sabemos por qué iba conduciendo medio somnoliento, medio mal; por ahí los pasajeros le iban diciendo por dónde ir, que no se orillara tanto, que no se metiera tanto al otro carril, etcétera, y a raíz de que se hizo viral este video, pues la el Sistema de Transporte Convencional procedió con una pues no con una sanción, pero sí con una investigación, ¿no?, de por qué estaba este operador en esas en esas condiciones. Pues bueno, se lo comparto en instantes, en instantes le comparto el número de la Secretaría de Movilidad y Transporte.</t>
  </si>
  <si>
    <t>Queja transporte público</t>
  </si>
  <si>
    <t>Como parte de los festejos por el Grito de Independencia, la presidenta Claudia Sheinbaum confirmó que el Grupo Intocable será el encargado de cerrar el concierto del 15 de septiembre en el Zócalo de la Ciudad de México. En la conferencia mañanera, Sheinbaum Pardo detalló que el programa musical incluirá agrupaciones de las Fuerzas Armadas, artistas invitados y participantes del concurso México Canta. “Para cerrar el concierto, Intocable”. Al detallar el programa para la próxima semana, dijo que de forma previa amenizará el mariachi de la Guardia Nacional, así como agrupaciones musicales de la Secretaría de Marina y de la Secretaría de la Defensa Nacional. Mencionó la mandataria, la participación de José Alfredo Jiménez Medel, nieto del compositor José Alfredo Jiménez, en el marco de las actividades conmemorativas por el centenario de su natalicio.</t>
  </si>
  <si>
    <t>Siete personas fueron detenidas durante la última semana por su presunta participación en casos relacionados con el robo a transporte de carga en carreteras de Hidalgo. De acuerdo con la información presentada durante la reunión semanal del Gabinete de Seguridad, cuatro hombres fueron asegurados en un operativo realizado sobre la carretera México–Pachuca. Durante esa intervención, las autoridades localizaron un vehículo que presentaba alteraciones en sus medios de identificación. También fue asegurado un inhibidor de señal, dispositivo que presuntamente habría sido utilizado para interferir las comunicaciones y facilitar actividades delictivas. En otro operativo, desarrollado sobre la carretera México–Tuxpan, tres hombres fueron detenidos cuando viajaban a bordo de un camión que transportaba 24.8 toneladas de polímero. La carga había sido reportada como robada minutos antes, lo que permitió desplegar la intervención y ubicar la unidad. Durante la revisión, las autoridades también encontraron dos inhibidores de señal. En dichos casos, los tres hombres, el camión, el polímero y los dispositivos asegurados quedaron a disposición de la autoridad competente para continuar con las investigaciones y determinar las responsabilidades correspondientes.</t>
  </si>
  <si>
    <t>Gabinete de Seguridad</t>
  </si>
  <si>
    <t>Reunión Gabinete De Seguridad</t>
  </si>
  <si>
    <t>Un inmueble utilizado como taller mecánico fue asegurado después de que agentes de investigación localizaran en su interior un tractocamión acoplado a una caja tipo termo, unidad que presuntamente cuenta con reporte de robo. El operativo se desarrolló durante la tarde y noche en el barrio La Trinidad, perteneciente a la comunidad de Santa Mónica, municipio de Epazoyucan. De acuerdo con la información que trascendió sobre el caso, agentes de Investigación Criminal adscritos a la Procuraduría General de Justicia del Estado de Hidalgo (PGJEH) ubicaron el vehículo de carga dentro del predio. La unidad estaba compuesta por el tractocamión y una caja refrigerada tipo termo. Sin embargo, todavía se encuentra pendiente que las autoridades confirmen oficialmente el reporte de robo y proporcionen información sobre la fecha y el lugar donde ocurrió el supuesto despojo. El taller quedó bajo resguardo de los agentes encargados del operativo para evitar el ingreso de personas y preservar los indicios que pudieran estar relacionados con la investigación. Hasta el momento no se ha informado sobre personas detenidas durante esta intervención. Tampoco se ha precisado si dentro del predio fueron localizados otros vehículos, autopartes, herramientas o artículos cuya procedencia deba ser investigada. Las diligencias permitirán revisar los medios de identificación del tractocamión y de la caja, así como establecer las circunstancias en las que ambas unidades llegaron al taller mecánico. Asimismo, la PGJEH deberá determinar si el inmueble estaba relacionado con alguna actividad delictiva o si únicamente fue el sitio donde se localizó el vehículo.</t>
  </si>
  <si>
    <t>Recuperación De Vehículos Robados</t>
  </si>
  <si>
    <t>Un alarmante hecho violento generó gran preocupación en el municipio de Huejutla, Hidalgo, luego de que se viralizara en redes sociales un video que muestra el momento exacto en que a plena luz del día y a la vista de todos, un hombre completamente desnudo agredió a una mujer en la vía pública. Los hechos ocurrieron durante la mañana sobre el bulevar Central, a la altura de la gasolinera Fatad. La víctima caminaba sobre la acera y se disponía a abordar una unidad del transporte público cuando el individuo se abalanzó sobre ella de forma intempestiva. De manera directa, el sujeto intentó sujetarla y abrazarla por la fuerza. Ante la agresión, la mujer reaccionó de inmediato pidiendo auxilio a gritos y forcejeando para defenderse. Durante el forcejeo, el agresor también intentó arrebatarle su bolso de mano. Sin embargo, gracias a la resistencia de la mujer y a los gritos de alerta, el individuo desistió de su ataque y emprendió la huida corriendo sobre la banqueta hasta perderse entre la zona. Tras el angustioso momento, la víctima logró resguardarse a salvo en la unidad de pasajeros.</t>
  </si>
  <si>
    <t>Agresión</t>
  </si>
  <si>
    <t>Un hombre fue localizado sin vida dentro de un automóvil que presentaba múltiples impactos de arma de fuego, durante la madrugada de este miércoles en San Agustín Tlaxiaca, Hidalgo. El hallazgo ocurrió alrededor de las 03:00 horas en un camino de la colonia El Fresno, donde elementos de seguridad acudieron tras el reporte y encontraron la unidad con daños provocados por disparos. De acuerdo con los primeros reportes, se trata de un Chevrolet Cruze color blanco, en cuyo interior fue localizado un hombre que ya no presentaba signos vitales. La víctima presentaba varias lesiones producidas aparentemente por proyectiles de arma de fuego. Ante la situación, los elementos policiales procedieron a acordonar el área para preservar posibles indicios y evitar la alteración de la escena. Hasta el momento, no se ha confirmado oficialmente quién realizó los disparos ni cuáles fueron las circunstancias exactas en las que ocurrió la agresión.</t>
  </si>
  <si>
    <t>Hidalgo va a la baja en delito de alto impacto</t>
  </si>
  <si>
    <t>Incidencia Delictiva</t>
  </si>
  <si>
    <t>Apuesta Edda Vite por visibilizar la discapacidad auditiva para atenderla y alcanzar su inclusión</t>
  </si>
  <si>
    <t>Auxiliares funcionales</t>
  </si>
  <si>
    <t>Gobierno de Hidalgo entrega uniformes, útiles y calzado a estudiantes de Tula-Tepeji</t>
  </si>
  <si>
    <t>Paquete de apoyos escolares</t>
  </si>
  <si>
    <t>Participa SEPH en jornada de concientización contra el abuso y maltrato infantil</t>
  </si>
  <si>
    <t>Protección del menor</t>
  </si>
  <si>
    <t>"Continuamos esta tarde en la información. Hidalgo ha llamado mucho la atención en todos los terrenos cuando hablamos de inversión, y el turismo es una inversión también. Quien acude al estado de Hidalgo a promover, fomentar, llevar a cabo esta tarea diaria, pues sabe que Hidalgo no solamente por su ubicación geográfica o por lo que contempla y tiene para la diversión y el descanso, sino que también se ha abierto a otros rumbos, a otros rubros, y que en cada oportunidad pues obviamente el turismo genera la pernocta, desde luego también el alquiler de salones, el turismo de bodas, en fin. Y con ello estaremos hablando más adelante de lo que es las artesanías, un tema en el que también le compartía al inicio en el teaser en las ocho columnas que tenemos, es que Hidarte está invirtiendo para poder tener una tienda más amplia, más adecuada, con más aparadores y por supuesto más artesanías. Y esto es un ciclo entonces económico, no es el turismo por un lado, el balneario por otro, la visita al Valle del Mezquital, a la Huasteca, es también desde luego el que se promueve a nivel internacional, tanto que la ONU, la ONU Turismo está colocando la mirada en Hidalgo y va a impulsar proyectos de desarrollo comunitario incluyente. Bueno, pero además también la artesanía hace unos minutos en la Cámara de Diputados, la diputada Paloma Barragán destacaba que una buena medida para atraer más visitantes y poder también promover y desde luego alcanzar más ventas en la artesanía es chemically invitar al visitante a que acuda a los talleres en donde se lleva a cabo la creación de una artesanía. Hace muchos años uno acudía allá en la parte de Huichapan, si se acuerda de Huichapan, que está la fábrica de vidrio, e hacían la visita y entonces uno ya viendo ahí tiene una sensación distinta, el poder comprar de propia mano, en fin son alternativas que siempre van a fortalecer el mercado artesanal y desde luego, lo digo el mercado en el sentido de compraventa, pero es desde luego también el fortalecimiento a la identidad cultural. Sabemos todos que la artesanía ya no solamente se adquiere para tener un recuerdo, sino que tiene una utilidad prácticaen todas las ocupaciones culturales".</t>
  </si>
  <si>
    <t>Impulso Al Turismo</t>
  </si>
  <si>
    <t>En coordinación y unidad, Gobierno de Hidalgo atendió afectaciones por vaguada monzónica</t>
  </si>
  <si>
    <t>Huracán Priscilla</t>
  </si>
  <si>
    <t>El Paquete Económico 2027 fue presentado por el secretario de Hacienda y Crédito Público, Édgar Amador Zamora, con el objetivo fundamental de mantener finanzas públicas sanas y sostenibles. Esta estrategia prioriza la disciplina fiscal y la continuidad de los programas sociales sin la creación de nuevos impuestos.</t>
  </si>
  <si>
    <t>Paquete Económico</t>
  </si>
  <si>
    <t>La presidenta del Sistema DIF Hidalgo, Edda Vite Ramos, señaló que, aunque cerca del 40% de los municipios del estado han formalizado la creación de sus Procuradurías de Protección de Niñas, Niños y Adolescentes, varias de estas oficinas carecen de instalaciones adecuadas y del espacio suficiente para operar de forma óptima. Subrayó la necesidad de contar con consultorios privados para las áreas jurídica, de dirección y de trabajo social, así como con áreas lúdicas donde los menores puedan sentirse seguros mientras se atienden problemáticas familiares complejas. Vite Ramos explicó que estas áreas no deben compartir espacio con otras instancias del DIF estatal o municipal, como las Unidades de Rehabilitación (VRs) o centros comunitarios. Asimismo, identificó como principal obstáculo en algunos municipios la dificultad para reclutar personal profesional acreditado con cédula —abogados, psicólogos y trabajadores sociales— preferentemente locales. Por ello, hizo un llamado a las alcaldías salientes y entrantes para priorizar la asignación de recursos e infraestructura digna en favor de la niñez.</t>
  </si>
  <si>
    <t>Procuraduría municipal del menor</t>
  </si>
  <si>
    <t>La Secretaría de Movilidad y Transporte (Semot), a través del Sistema de Transporte Convencional de Hidalgo (STCH), inició un procedimiento de investigación luego de la difusión de un video en redes sociales sobre una situación irregular ocurrida en el Valle de Tulancingo. En la grabación se observaba al conductor de una unidad de transporte colectivo (ruta 13 HS-C, placas A-53397-K) adormilado mientras operaba la unidad. Tras los peritajes preliminares y el informe brindado por la empresa concesionaria, se determinó que el chófer sufrió un problema de salud durante su jornada de trabajo, por lo que contó con el auxilio de los propios pasajeros. Para salvaguardar la seguridad de los usuarios y permitir que el chofer atienda su tratamiento médico, las autoridades determinaron retirarlo de servicio de manera temporal. Por último, la dependencia exhortó a los operadores del transporte público a someterse a revisiones médicas periódicas para prevenir incidentes que pongan en riesgo su vida y la de los usuarios.</t>
  </si>
  <si>
    <t>Supervisión de Transporte</t>
  </si>
  <si>
    <t>Más de 16 mil controversias laborales han sido solucionadas a través del CCLEH en esta administración</t>
  </si>
  <si>
    <t>STPSH</t>
  </si>
  <si>
    <t>Conciliación Laboral</t>
  </si>
  <si>
    <t>Gobierno estatal impulsa el desarrollo científico y tecnológico de Hidalgo</t>
  </si>
  <si>
    <t>Impulso a ciencia y tecnología</t>
  </si>
  <si>
    <t>Habitantes del fraccionamiento Carboneras, ubicado en el municipio de Mineral de la Reforma, manifestaron su inconformidad ante la falta de suministro de agua potable, sumando un total de 21 días sin contar con el servicio en sus domicilios. El reporte fue canalizado durante la emisión informativa con el fin de entablar contacto directo con la Comisión de Agua y Alcantarillado de Sistemas Intermunicipales (Caasim). Locutores solicitaron al usuario un número de contacto o contrato para remitirlo formalmente al organismo descentralizado y así gestionar una atención inmediata o el envío de apoyo a los vecinos afectados.</t>
  </si>
  <si>
    <t>En el marco de las acciones de difusión sobre la salud, el Instituto Mexicano del Seguro Social (IMSS) emitió una cápsula informativa orientada a promover la lactancia materna como un alimento fundamental en las primeras etapas de vida. La institución resaltó que la leche materna aporta los nutrientes necesarios para el desarrollo, además de aportar anticuerpos que protegen al recién nacido contra padecimientos como infecciones respiratorias y diarrea. De igual manera, el mensaje destaca que la lactancia aporta beneficios directos a la salud de la madre, tales como favorecer la recuperación posparto y reducir el riesgo de padecer cáncer de mama, cáncer de ovario, anemia, diabetes, hipertensión y osteoporosis. El organismo recomendó amamantar a libre demanda y mantener la lactancia acompañada de una alimentación complementaria al menos hasta los dos años de edad, invitando a la población a acudir a sus Unidades de Medicina Familiar (UMF) para recibir asesoría sobre técnicas correctas de postura y agarre.</t>
  </si>
  <si>
    <t>Lactancia materna</t>
  </si>
  <si>
    <t>Aplicó SSH más de 2.5 millones de vacunas antirrábicas y realizó cerca de 140 mil esterilizaciones</t>
  </si>
  <si>
    <t>Bienestar Animal</t>
  </si>
  <si>
    <t>La presidenta Claudia Sheinbaum aseguró que no se está endeudando al país con el Paquete Económico 2027, el cual fue entregado el día de ayer tanto a la Cámara de Diputados como al Senado de la República. En de este miércoles, en Palacio Nacional, la Ejecutiva Federal aseguró que no se proponen nuevos impuestos en el Paquete Económico, además de no haber gasolinazos y ser un Paquete Económico responsable. “Es un Paquete Económico responsable, no se está endeudando al país, como luego quieren decir. No hay nuevos impuestos (…) sencillamente es seguir evitando la evasión fiscal y seguir garantizando el presupuesto para la gente”, aseguró.</t>
  </si>
  <si>
    <t>La Unidad de Rehabilitación de Fauna Silvestre de Pachuca ha recibido y atendido 605 animales durante los primeros dos años de la administración municipal de Jorge Reyes, de los cuales 294 pudieron regresar a la vida silvestre después de sus procesos de recuperación. El espacio brinda atención especializada a ejemplares de diferentes especies que requieren rehabilitación, con el objetivo de que puedan ser posteriormente reintegrados a su hábitat cuando sus condiciones lo permitan. Entre los animales que han llegado a la Unidad se encuentran especies consideradas en riesgo, como mono araña, mono aullador, yaguarundí, tigrillo y martucha. Como resultado de los procesos desarrollados durante estos dos años, 294 ejemplares fueron liberados en diferentes Áreas Naturales Protegidas.</t>
  </si>
  <si>
    <t>Y ante esta situación climatológica, hablando específicamente de nuestro estado, las recientes lluvias han provocado deslaves y daños en tramos de la carretera Federal México-Tampico, especialmente en la zona cerrada de Hidalgo. Según un reporte de autoridades, a lo largo o lo que resta de esta semana y el fin de semana, se esperan intensas lluvias en el estado.Hay lugares que son vigilados y monitoreados, especialmente ríos y presas, y en algunas partes del estado también se han reportado calles inundadas y encharcamientos, lo que hace que los habitantes se sientan expuestos cuando llueve.Las inundaciones que hay en todos lados, sí, a veces no se puede ni pasar y tenemos... Acabamos con los... Ahora sí que... Mojados. O sea, cuando llueve ya hay preocupación de cualquier forma. Pues sí, de cualquier forma de cómo vamos a pasar y... Pues ni modo, tenemos que mojar los pies, pues ya qué. Pero ese es el problema.</t>
  </si>
  <si>
    <t>Afectaciones Por Lluvias</t>
  </si>
  <si>
    <t>Y durante la 71 Asamblea Ordinaria de la Asociación de secretarios de Turismo de México, la titular de Turismo de Hidalgo, Elizabeth Quintanar Gómez, se reunió con Shaikha Alnuwais , secretaria General de la ONU de Turismo.</t>
  </si>
  <si>
    <t>Asetur</t>
  </si>
  <si>
    <t>El DIF Hidalgo entregó ayudas técnicas a treinta y nueve personas con discapacidad provenientes de trece municipios con el objetivo de fortalecer su autonomía e inclusión social. Durante el acto, la presidenta del patronato de David Ramos destacó su apoyo en personalizados y responden a las necesidades específicas de cada beneficiario.</t>
  </si>
  <si>
    <t>Auxiliares funcionale</t>
  </si>
  <si>
    <t>Secretaría de Salud de Hidalgo aplicó más de 2.5 millones de vacunas antirrábicas y realizó cerca de 140 mil esterilizaciones. La información la presenta Joselyn Sánchez.La vacunación antirrábica y la esterilización de perros y gatos fortalecen la prevención de enfermedades y la tenencia responsable Hidalgo.</t>
  </si>
  <si>
    <t>La Secretaría de Infraestructura, Comunicaciones y Transportes informa sobre el cierre temporal de la carretera Real del Monte-Huasca, en el municipio de Huasca de Ocampo, debido a la deformación del pavimento provocada por el desplazamiento de un talud en sentido Huasca-Real del Monte. Las recientes lluvias, aunadas a la fractura de una línea de conducción de agua potable y el vertido constante de un antiguo vaso de almacenamiento en desuso ubicado en la parte superior del talud, provocaron la saturación del suelo, el asentamiento del muro de contención y el empuje de la estructura del pavimento. Con el propósito de salvaguardar la seguridad de las personas usuarias, la Secretaría de Infraestructura, Comunicaciones y Transportes determinó el cierre temporal de la vía mientras se implementan las medidas emergentes para la contención de daños, así como los estudios y proyectos correspondientes. La antigua carretera Pachuca-Tampico, en su tramo Real del Monte-Huasca, permanece abierta y opera con normalidad.</t>
  </si>
  <si>
    <t>Una fuerte movilización de elementos de la estatal Guardia Nacional y Ejército Mexicano se registró en distintos puntos de Tepeapulco, Yapan, en la colonia Javier Rojo Gómez, en Ciudad Sahagún, las Fuerzas Armadas realizaron un cateo en un inmueble donde, según versiones extraoficiales, buscaban a un hombre conocido como El Cande.</t>
  </si>
  <si>
    <t>Y ayer durante la conferencia mañanera de la Presidenta de México, el Secretario de Seguridad y Protección Ciudadana, Omar García Harfuch, dio a conocer que en el mes de agosto en Pachuca, Hidalgo detuvieron a José Luis N. alias El Coqui, señalado como líder del grupo delictivo Pueblo Unido y ex operador de la barredora. Junto con el Coqui fueron capturados dos de sus presuntos operadores, tras una investigación en la que participó el Centro Nacional de Vigencia. ¿Se acuerda de ese operativo federal que también se le preguntó al gobernador y dijo que había una coordinación pero que en algunos casos no se daba la información completa para evitar la fuga de estos sujetos que son investigados por las autoridades de seguridad del gobierno federal? De acuerdo con Omar García Harfuch, El Coqui también ha trabajado para el mamado detenido en mayo de 2025 y posteriormente encabezó una posición de la barredora para formar a Pueblo Unido con presencia en Villahermosa, Tabasco. En Pachuca, Hidalgo se ejecutó un orden de aprehensión contra Jorge Luis N., líder del grupo delictivo Pueblos Unidos relacionado con el ataque armado ocurrido en un establecimiento en Villahermosa, Tabasco. Son varias estas fichitas que se han detenido en el estado de Hidalgo en los últimos años, operativos importantes por parte del gobierno federal y sobre todo en la zona metropolitana de nuestra entidad.</t>
  </si>
  <si>
    <t>Como parte de las técnicas de investigación, la Fiscalía General de la República (FGR) en Hidalgo ejecutó una orden de cateo en un inmueble ubicado en el municipio de Tenango de Doria, donde presuntamente se comercializaba hidrocarburo de manera ilícita.La investigación se inició a partir de una denuncia anónima recibida vía telefónica, en la que se alertó sobre la presunta existencia de combustible dentro de un domicilio de dicho municipio.Ante estos hechos, la Fiscalía Especializada de Control Regional (FECOR) en Hidalgo inició una carpeta de investigación por la probable comisión del delito de posesión ilícita de hidrocarburo.Luego de realizar las diligencias correspondientes y corroborar la información, el agente del Ministerio Público de la Federación obtuvo una orden judicial para llevar a cabo el cateo.Durante el operativo, agentes de la Policía Federal Ministerial y peritos especializados aseguraron 11 contenedores que almacenaban aproximadamente mil 500 litros de hidrocarburo, además de una camioneta y una motocicleta.Para garantizar la seguridad durante la diligencia, elementos de la Secretaría de la Defensa Nacional (Defensa), Guardia Nacional (GN) y Policía Estatal establecieron un perímetro de seguridad.Asimismo, personal especializado de Petróleos Mexicanos (Pemex) realizó el trasvase e identificación de la sustancia asegurada.Los bienes y el hidrocarburo quedaron a disposición del Ministerio Público de la Federación, quien continuará con las investigaciones correspondientes para determinar las responsabilidades legales.</t>
  </si>
  <si>
    <t>Sobre el reporte de radioescucha de su concesión de taxi, comenta conductor Eulalio Larrieta: ¡Ah, caray! Entonces... No, esto sí, usted tiene derecho. Con esta unidad que usted tiene, tiene derecho de cargar donde usted quiera. Aquí el gran problema es de los famosos este checadores, que yo no sé por qué hacen paradas o algo así o o o o lugares donde ellos están.</t>
  </si>
  <si>
    <t>Concesiones transporte público</t>
  </si>
  <si>
    <t>Radioescucha manda audio : Buenos días, licenciado Larrieta. Aquí escuchando su programa, que tengan un buen día todos. Y envió este mensaje, mire, le hablo de la ciudad. Yo compré lo que es una concesión de taxi metropolitano, precisamente para mantener a mi familia. Y pero al comprar la concesión me dicen que tengo derecho a cargar en todos lados. Y pues resulta que en ciertos puntos de de la ciudad, en lugares como hospitales, aquí en Villas, en centros comerciales y todo eso, resulta que no puedo cargar porque las personas están ahí como que adueñadas de esos lugares, o no sé cómo lo llamen, no dejan cargar».</t>
  </si>
  <si>
    <t>Más de 10 mil Comités de Contraloría Social participan en la vigilancia de programas y obras</t>
  </si>
  <si>
    <t>Contraloría Social</t>
  </si>
  <si>
    <t>Hablando de temas de seguridad, Pemex e Hidalgo van contra el huachicol. El gobierno de Hidalgo y Petróleos Mexicanos reforzaron la coordinación para combatir el robo de hidrocarburo y riesgos en zonas donde cruzan ductos.Durante una reunión en la Ciudad de México, autoridades estatales y directivos de Pemex acordaron establecer un seguimiento semanal para agilizar la atención e inhabilitación de tomas clandestinas, así como reforzar la destrucción de túneles utilizados para actividades ilícitas. Hasta el momento, se han atendido 16 túneles y permanecen pendientes otros dos.</t>
  </si>
  <si>
    <t>Coordinación Interinstitucional</t>
  </si>
  <si>
    <t>Radioescucha reporta varias fugas en Punta Azul</t>
  </si>
  <si>
    <t>Fuga De Agua</t>
  </si>
  <si>
    <t>La molestia provocó la salida de la alcaldesa de Tepeji del Río, Tania Valdés Cuellar, de una reunión con representantes ciudadanos de diversas localidades. El encuentro encabezado por el subsecretario de gobierno, José Arturo Sosa Echeverría, buscaba dar seguimiento a demandas de obras, agua potable, drenaje, caminos y servicios públicos. Sin embargo, la presidenta municipal se retiró argumentando que tenía una reunión de trabajo con funcionarios de la Conagua. Situación que fue considerada una burla por los habitantes, quienes amagaron con impedir su salida para exigirles respuestas. Los inconformes acusaron falta de compromiso y voluntad política al señalar que esta no es la primera reunión que queda inconclusa. De hecho, pidieron a la alcaldesa considerar su renuncia si no está dispuesta a atender las necesidades de la población.La presidenta municipal se retiró argumentando que tenía una reunión de trabajo con funcionarios de la Conagua. El encuentro encabezado por el subsecretario de gobierno, José Arturo Sosa Echeverría, buscaba dar seguimiento a demandas de obras, agua potable, drenaje, caminos y servicios públicos. Sin embargo, la presidenta municipal se retiró argumentando que tenía una reunión de trabajo con funcionarios de la Conagua.</t>
  </si>
  <si>
    <t>Impericia</t>
  </si>
  <si>
    <t>Durante agosto los homicidios dolosos disminuyeron en Hidalgo, al registrarse 10 casos menos que en julio, de acuerdo con cifras del Secretaría de Ejecutivo del Sistema Nacional de Seguridad Pública, la entidad se ubicó en el lugar 19 a nivel nacional y se mantuvo por debajo de la media nacional, además entre enero y agosto de 2026 se registró una reducción del 28% en comparación con el mismo periodo del 2025. Según la evaluación Hidalgo presenta el 1.3% del total nacional de homicidios dolosos. Y ayer durante la conferencia mañanera de la Presidenta de México, el Secretario de Seguridad y Protección Ciudadana, Omar García Harfuch, dio a conocer que en el mes de agosto en Pachuca, Hidalgo detuvieron a José Luis N. alias El Coqui, señalado como líder del grupo delictivo Pueblo Unido y ex operador de la barredora.</t>
  </si>
  <si>
    <t>De acuerdo con cifras de la Secretaría Ejecutiva del Sistema Nacional de Seguridad Pública, Hidalgo va a la baja en delitos de alto impacto.</t>
  </si>
  <si>
    <t>Radioescucha pide al ayuntamiento que realicé limpia de calles en C. Doria, debido al evento de caballos en las instalaciones de la feria; las calles están muy sucias por excremento de caballo.</t>
  </si>
  <si>
    <t>Limpieza Urbana</t>
  </si>
  <si>
    <t>Hay un gran problema en la región metropolitana de nuestro estado. Desde hace ya algunas décadas el crecimiento excesivo, sobre todo de fraccionamientos, que tuvo un crecimiento desordenado y que ahora se están pagando las consecuencias.No es verdad que en los últimos años Vayan incrementó los problemas de tráfico, sobre todo en la zona sur del estado. No es problema de que sea insuficiente a veces la infraestructura carretera para poder tener buena movilidad y entre otros temas. Platicaban hace un par de meses los vecinos que viven en estos fraccionamientos que querían ya ser otro municipio, porque al parecer pues no tenían los procesos legales suficientes para poder municipalizar sus espacios y tener pues atención de los ayuntamientos municipales. Sobre este tema habló el gobernador Julio Menchaca Salazar y advirtió que se va a vigilar que la expansión sea ordenada y no especulativa ante años de crecimiento sin suficiente planeación.</t>
  </si>
  <si>
    <t>Ordenamiento Territorial</t>
  </si>
  <si>
    <t>Secretario de Educación Pública de Hidalgo, Natividad Castrejón Valdez entregó uniformes, útiles escolares, libros de texto, calzado y equipamientos de Tepeji y del Río, Tula de Allende y Atoto Nilco de Tula. Estos apoyos, que finalmente son resultado del trabajo de todos y del esfuerzo de todos con Ciudad, permite que nuestros niños estén más protegidos, más cuidados y que tengan muchas más herramientas para desplegar mucho del potencial que tienen que desplegar. D</t>
  </si>
  <si>
    <t>La Secretaría de Educación Pública de Hidalgo partió en la segunda jornada nacional de concientización sobre la gravedad del abuso sexual y el maltrato infantil realizado en la Primaria José Vasconcelos de Mineral Reforma.</t>
  </si>
  <si>
    <t>Protección Animal</t>
  </si>
  <si>
    <t>Habitantes de las comunidades tecorrales de la Conagua, La Leona y Buenavista mantuvieron el camino de Tecorral e impidieron el paso de los camiones recolectores de basura que trasladan los desechos desde Apan y hay otros municipios del altiplano, hacia el relleno sanitario. Los pobladores exigen una solución a las malas condiciones de la vía. No soporta el tránsito constante de vehículos pesados, por ello advirtieron que no permitirán el paso hasta contar con un proyecto para pavimentar el camino, obra que, señalan, fue comprometida por la alcaldesa de Apan, Zoraida Robles Barrera.</t>
  </si>
  <si>
    <t>Relleno Sanitario</t>
  </si>
  <si>
    <t>Radioescucha reporta que no fucniona semaforo de Blvd. del Minero</t>
  </si>
  <si>
    <t>Radioescucha Sr. Carlos reporta que no funciona bien el semaforo de Fernando Soto</t>
  </si>
  <si>
    <t>En unos minutos más, la presidenta del Sistema DIF, Edda Vite Ramos, encabezará el evento «Adopción: Un puente de amor». Esto se desarrollará a las 11:00 de la mañana en Pilares, aquí en el estado, en Pachuca.</t>
  </si>
  <si>
    <t>Adopción De Menores</t>
  </si>
  <si>
    <t>Radioescucha: 15 días sin agua en la Colonia Cuauhtémoc</t>
  </si>
  <si>
    <t>La Comisión de Agua y Alcantarillado del Municipio de Tulancingo (CAAMT) reportó avances en materia financiera, comercial y administrativa, entre los que destaca la recuperación de 19 millones 162 mil 457.40 pesos de cartera vencida y una reducción de 75.81 por ciento en su deuda con la Comisión Nacional del Agua (Conagua).Finanzas Durante una conferencia de prensa, José Martín Zambrano, del área Comercial de la CAAMT, informó que el organismo cuenta actualmente con un padrón de 50 mil 754 usuarios. De ellos, 47.43 por ciento presenta algún tipo de adeudo, mientras que 66 por ciento corresponde a contratos inactivos. Como resultado de las acciones de regularización, actualización de tarifas y realización de censos, de enero a la fecha se han recaudado 85 millones 925 mil 909.24 pesos, lo que representa un incremento de 9 millones 931 mil 205.61 pesos respecto al primer semestre de 2025. En cuanto a la cartera vencida, el organismo informó que ha recuperado 19 millones 162 mil 457.40 pesos. De acuerdo con la CAAMT, estos recursos permiten atender fugas, mantenimiento de equipos, trabajos de drenaje y otras necesidades relacionadas con la continuidad del servicio. Gobierno nacional y regional Respecto a la deuda con Conagua, se detalló que pasó de 7 millones 283 mil 17 pesos a un millón 766 mil 863.28 pesos, una reducción de 75.81 por ciento. “Ordenar las finanzas no es solamente mejorar números; significa dar mejores condiciones para atender pozos, redes e infraestructura”, se destacó durante la conferencia.</t>
  </si>
  <si>
    <t>Cartera Vencida</t>
  </si>
  <si>
    <t>Transforma Julio Menchaca la infraestructura carretera y urbana de Hidalgo con inversión superior a 13 mil mdp</t>
  </si>
  <si>
    <t>Rehabilitación Vial</t>
  </si>
  <si>
    <t>Un nonato fue localizado durante la mañana de este martes en las inmediaciones del Pozo No. 1 del fraccionamiento Andalucía, en una zona ubicada entre los límites municipales de Tizayuca y Tolcayuca. El hallazgo fue notificado mediante una llamada al sistema de emergencias C4, lo que movilizó a elementos de la Secretaría de Seguridad Ciudadana de Tizayuca para verificar el reporte. Al arribar al sitio señalado, los agentes confirmaron la presencia del feto y procedieron a delimitar y resguardar el área, de acuerdo con el protocolo correspondiente para preservar cualquier indicio que pudiera ayudar a esclarecer las circunstancias del caso. Posteriormente, los policías notificaron a la Agencia del Ministerio Público para solicitar la intervención del personal especializado. El lugar permaneció bajo vigilancia mientras se esperaba el arribo de Servicios Periciales de la Procuraduría General de Justicia del Estado de Hidalgo (PGJEH). Hasta el momento no se ha informado el tiempo de gestación, las condiciones en las que fue localizado ni cuánto tiempo habría permanecido en ese punto. Tampoco se ha precisado si estaba dentro de algún recipiente, bolsa u otro objeto al momento del hallazgo. La autoridad ministerial inició la carpeta de investigación correspondiente para determinar cómo llegó el feto hasta las inmediaciones del pozo y establecer las circunstancias relacionadas con el hecho.</t>
  </si>
  <si>
    <t>Localización De Restos</t>
  </si>
  <si>
    <t>Cierran carretera Real del Monte-Huasca por daños provocados por las lluvias La carretera Real del Monte-Huasca permanecerá cerrada temporalmente a la circulación en uno de sus tramos, luego de que las lluvias provocaran un desplazamiento del terreno y daños en la superficie de rodamiento. La Secretaría de Infraestructura, Comunicaciones y Transportes (SICT) informó que la afectación se encuentra entre los kilómetros 18+900 y 19+140, en el cuerpo B, con dirección de Huasca hacia Real del Monte. El cierre fue implementado como medida preventiva mientras personal especializado realiza estudios y trabajos emergentes para determinar cómo atender la falla y evitar riesgos para quienes transitan por esta carretera. De acuerdo con la evaluación preliminar, el terreno de la zona está conformado principalmente por jales mineros y cuenta con cortes de hasta 30 metros de altura. A esta condición se sumó la acumulación de humedad ocasionada por las lluvias. La SICT también identificó una fractura en una línea de agua potable y el vertido constante de un antiguo vaso de almacenamiento ubicado en la parte alta del talud, factores que habrían contribuido a la saturación del terreno. La combinación de estas condiciones generó un asentamiento en el muro de contención y posteriormente ejerció presión sobre el pavimento, provocando su deformación. Además de la carretera, se reportaron afectaciones en un camino cercano y en un domicilio ubicado en las inmediaciones del punto donde se presentó el problema. Personal del Centro SICT Hidalgo ha mantenido recorridos de supervisión desde el domingo 6 de septiembre para monitorear el comportamiento del terreno y establecer el alcance de los daños. Por ahora, la dependencia federal no ha establecido una fecha para reabrir el tramo, por lo que la circulación permanecerá restringida mientras se realizan las acciones necesarias para atender la emergencia y definir una solución permanente.</t>
  </si>
  <si>
    <t>Con algún grado de sequía, 38 municipios de Hidalgo La Comisión Nacional del Agua (Conagua) informó que 38 municipios de Hidalgo presentan algún grado de afectación por sequía, de acuerdo con el Monitor de Sequía del Servicio Meteorológico Nacional, con corte al 31 de agosto. Del total de municipios hidalguenses, 34 se encuentran en condiciones anormalmente secas, mientras que cuatro presentan sequía moderada, estos últimos son Chapulhuacán, La Misión, Pisaflores y Tepehuacán de Guerrero. Los otros 46 municipios permanecen libres de sequía, entre ellos Pachuca, Mineral de la Reforma, Tulancingo, Tizayuca, Zempoala, Apan, Actopan, Ixmiquilpan y Mineral del Monte. En cuanto a las precipitaciones, Conagua reportó que durante agosto Hidalgo acumuló 46.3 milímetros de lluvia, con lo que el estado alcanzó un acumulado de 343.1 milímetros en lo que va de 2026. Para dar seguimiento a las condiciones climatológicas e hidrológicas, la dependencia cuenta en Hidalgo con 64 estaciones climatológicas, 22 estaciones hidrométricas, dos observatorios y 21 estaciones automáticas. Estos sistemas permiten monitorear oportunamente los niveles de precipitación y sequía, así como proporcionar información a la población y a las autoridades municipales para establecer protocolos preventivos ante una eventual intensificación de las condiciones de sequía. La Conagua señaló que mantendrá el monitoreo permanente del territorio estatal y, en caso de que las condiciones evolucionen, emitirá las recomendaciones correspondientes y fortalecerá las acciones preventivas y las campañas de cultura del agua.</t>
  </si>
  <si>
    <t>Sequía</t>
  </si>
  <si>
    <t>Triplica el Estado de Hidalgo la tasa nacional de donación de órganos humanos Hidalgo logró triplicar la tasa nacional de donación de órganos, como resultado del fortalecimiento de los programas de donación y trasplantes implementados durante la actual administración estatal, informó la Secretaría de Salud de Hidalgo (SSH). Uno de los principales resultados reportados por la Secretaría de Salud corresponde al registro de 175 donantes de órganos y tejidos durante la presente administración. Con ello se logró la procuración de 493 órganos y tejidos con fines terapéuticos, de los cuales 38 donaciones fueron multiorgánicas, lo que amplió las posibilidades de trasplante para pacientes que permanecen a la espera de un órgano o tejido. La SSH señaló que estos resultados fueron posibles mediante la coordinación institucional y el fortalecimiento del Sistema Estatal de Donación y Trasplantes, así como del Centro Estatal de Trasplantes de Órganos, Tejidos y Células de Seres Humanos. Actualmente, la red estatal de trasplantes está integrada por 13 hospitales con licencia sanitaria, de los cuales ocho pertenecen al sector público y cinco al privado. Como parte de las acciones realizadas en los últimos cuatro años, en hospitales públicos de Hidalgo se llevaron a cabo 13 trasplantes renales y 38 de córnea, con lo que más de 40 pacientes recibieron una alternativa para recuperar o mejorar su calidad de vida. La SSH destaca que el fortalecimiento de la infraestructura y de los procesos de donación ha permitido ampliar la capacidad de respuesta del sistema sanitario ante las necesidades de personas que requieren tratamientos especializados. Además de la donación de órganos, la SSH reportó avances en materia de donación voluntaria de sangre, mediante una estrategia que buscó acercar este servicio a la población. Para ello, se puso en marcha la primera Unidad Móvil de Donación Voluntaria de Sangre en Hidalgo, con la cual se recorrieron 49 localidades y se brindó atención a más de 2 mil personas. A través de esta estrategia se captaron 674 donaciones altruistas, que, sumadas a las obtenidas en el Centro Estatal de la Transfusión Sanguínea, representaron un incremento de 140 por ciento respecto a años anteriores. La dependencia estatal explicó que el aumento en las donaciones permitió contar con una mayor disponibilidad de componentes sanguíneos para atender a pacientes en hospitales y unidades médicas, además de fortalecer la capacidad de respuesta ante las necesidades de transfusión. La secretaria de Salud de Hidalgo, Vanesa Escalante Arroyo, señaló que la donación voluntaria constituye uno de los actos de mayor solidaridad social, debido a que permite ofrecer nuevas oportunidades a personas que enfrentan enfermedades y requieren atención especializada.</t>
  </si>
  <si>
    <t>DIF Hidalgo no obligará a municipios restantes, creación de su Procuraduría para Atención de Niñas, Niños y Adolescentes 45 municipios están pendientes de formalizar su Procuraduría Municipal para la Atención de Niñas, Niños y Adolescentes, informó la presidenta del Patronato del Sistema DIFH, Edda Vite Ramos, quien señaló que hasta el momento se han instalado 39. Pese a que los ayuntamientos cuentan con un plazo de 180 días a partir del pasado 13 de abril, es decir, como límite el 10 de octubre, Vite Ramos señaló que, en caso de que haya ayuntamientos que no las formalicen, no se les va a obligar. “Si tampoco lo quieren hacer, pues ya vendrán nuevas personas que sí se puedan interesar en hacerlo (…) en esta vida todo tiene que ser por voluntad, no por obligación. Si tú no estás convencido, no creo que vayas a hacer algo para tu comunidad, para tu municipio”. Aunque no descartó la resistencia para instalar las Procuradurías, explicó que existen casos en los que el obstáculo es que no encuentran a los especialistas necesarios en trabajo social, derecho o psicología. También existen casos en los que, a pesar de ya haber instalado estas unidades de atención, en muchas ocasiones no cuentan con instalaciones dignas para atender las problemáticas relacionadas con los menores. “Primeramente, se tiene que contar con que la dirección, el jurídico, la trabajadora social tengan un consultorio. Porque ellos van a escuchar estas historias de vida muy difíciles, también se requiere un espacio en lo que la mamá habla, donde el niño esté un espacio lúdico”. Vite Ramos puntualizó que no quiere presionar para la creación de los espacios, pues estos requieren espacios dignos, realmente dirigidos para la procuraduría. Agregó que, pese a que no estén instalados estos espacios, el DIF Estatal sigue contando con sus 16 subprocuradurías, por lo que cualquier caso de violencia o alguna situación relacionada con menores y adolescentes se podrán seguir atendiendo.</t>
  </si>
  <si>
    <t>Proyectan 76 mil mdp en paquete hacendario en Hidalgo para 2027 El paquete hacendario de Hidalgo para el ejercicio fiscal 2027 podría alcanzar los 76 mil millones de pesos, lo que representaría un incremento por aproximadamente mil millones de pesos comparado con el presente año. La estimación fue realizada por la titular de la Secretaría estatal de Hacienda, María Esther Ramírez Vargas, durante la conferencia de prensa semanal del Gobierno de Hidalgo, realizada a inicios de esta semana. La funcionaria puntualizó que en el presente año el presupuesto aprobado para el Estado de Hidalgo es de 75 mil 343 millones 96 mil 742 pesos; por lo que de concretarse la estimación, sería entonces que se registraría el incremento de mil millones de pesos a ejercerse en el año 2027. La funcionaria estatal reconoció que primero se deben concretar las estimaciones del Gobierno Federal respecto al Paquete Económico 2027, para precisar las cifras y ajustar el anteproyecto estatal. A partir de esos datos, la Secretaría de Hacienda podrá avanzar en la definición del paquete hacendario estatal, cuya propuesta deberá entregarse al Congreso del Estado antes del 19 de noviembre. Ramírez Vargas señaló que desde el pasado mes de mayo de este año, comenzaron los trabajos con diversas dependencias del gobierno estatal para establecer la propuesta presupuestal del próximo año. A partir de conocerse las proyecciones presupuestales por parte del Gobierno Federal, la administración del Estado de Hidalgo podrá contar con su proyecto presupuestal para presentarlo ante el Congreso local. “Tenemos que trabajar en ese equilibrio del ingreso-gasto para estar en posibilidades de presentarlo ante el Congreso del Estado el 19 noviembre (…) Estamos en tiempo y haciendo un trabajo muy meticuloso para construir un presupuesto de egresos como lo requiere el estado para el 2027”. En datos relacionados, la titular de la Secretaría de Hacienda en Hidalgo informó que durante el actual periodo de gobierno estatal la recaudación estatal aumentó 96 por ciento, mientras que la inversión creció 140 por ciento, al pasar de 5 mil 400 millones a 13 mil millones de pesos. A ello se suma que Hidalgo se mantiene entre las entidades con mejores calificaciones crediticias, al formar parte del grupo de estados con calificación AA, otorgada por tres agencias internacionales y una nacional.</t>
  </si>
  <si>
    <t>Paquete Hacendario</t>
  </si>
  <si>
    <t>Interconectado, C4 Tulancingo con C5i estatal: pretenden ampliar vigilancia El Centro de Atención de Seguridad, Videovigilancia Inteligente y Monitoreo Policial (Casvimp) de Tulancingo, ya está conectado con el Centro de Control, Comando, Comunicaciones, Cómputo, Coordinación e Inteligencia (C5i). Enrique Romero Alcántar, Secretario municipal de Seguridad Ciudadana, señaló que con la interconexión entre los sistemas de videomonitoreo estatal y municipal, se amplía la cobertura para prevención y en su caso, atención de delitos. El también conocido como C4 municipal de Tulancingo, cuenta con 368 cámaras tipo bala, 135 cámaras tipo PTZ, ocho cámaras lectoras de placas, 28 cámaras tipo domo, cuatro cámaras mini PTZ, 1 cámara panorámica y 135 postes de instalación. Ello da un total de 544 sistemas de videovigilancia, que se suman a las aproximadamente 500 cámaras a cargo del C5i, a su vez dependiente de la Secretaría de Seguridad Pública de Hidalgo. A ello se suma el C2 móvil, equipado un dron, que sumado a por lo menos otros dos con los que se cuenta, permite el monitoreo desde el aire, para mejorar las tareas de vigilancia dentro de Tulancingo. Cabe señalar que el C2 móvil entró en operación durante la celebración de las dos ferias locales, el pasado mes de agosto. En días recientes se dio a conocer el caso de una bicicleta robada, así como la recuperación de esta y la detención de los presuntos responsables del robo, lo que se logró gracias al monitoreo por medio de un dron. Romero Alcántar señaló que actualmente las 18 plazas para monitoristas dentro del Casvimp están cubiertas, las cuales están distribuidas en 4 a 5 elementos que laboran en tres turnos. Agregó que se está valorando la contratación de más personal para dicha área, por lo que en caso de concluirse la incorporación, se dará a conocer la convocatoria respectiva. El mando policiaco municipal anticipó que se establecerán las pruebas de control y confianza respectivas, para garantizar, como en el caso de los elementos policiacos, que puedan realizar las labores de monitoreo en forma adecuada.</t>
  </si>
  <si>
    <t>Videovigilancia</t>
  </si>
  <si>
    <t>Pachuca incorpora nuevo equipo para tareas de seguridad municipal Durante los primeros dos años de la actual administración municipal, Pachuca incorporó 49 patrullas, tres drones y 556 cámaras de videovigilancia para las labores de seguridad pública, informó el Ayuntamiento. Las unidades fueron integradas a la Secretaría de Seguridad Pública, Tránsito y Vialidad, mientras que los drones forman parte de las herramientas utilizadas para realizar recorridos y vigilancia en diferentes sectores de la ciudad. En el caso de las cámaras, el gobierno municipal señaló que fueron colocadas en vialidades y espacios públicos para ampliar la cobertura de monitoreo y contar con información que pueda ser utilizada en la atención de emergencias. Además del equipamiento, el Ayuntamiento informó que los elementos de la Policía Municipal han avanzado en su incorporación al IMSS y en el acceso a prestaciones del Infonavit. La administración también reportó que continúan los recorridos y operativos de seguridad en barrios y colonias, principalmente a partir de los reportes recibidos de la ciudadanía. La información fue dada a conocer por el gobierno municipal como parte del balance de los primeros dos años de la administración encabezada por Jorge Reyes Hernández</t>
  </si>
  <si>
    <t>Fortalecimiento Policiaco</t>
  </si>
  <si>
    <t>Detectan 8 casos de gusano barrenador en Tulancingo Hasta la fecha se han detectado en Tulancingo ocho casos de gusano barrenador, sobre todo en ganado ovino, informó Hugo Flores Jiménez, titular de la Secretaría municipal del Campo. En rueda de prensa donde dio a conocer las atenciones por parte de la dependencia a su cargo, el funcionario confirmó que los animales afectados ya están en recuperación, sin registro de fallecimientos a causa del parásito. Además de los ovinos, se ha conocido de casos de gusano barrenador en un cerdo y un perro; no hay registro de que el parásito haya afectado a seres humanos. Cabe recordar que autoridades sanitarias han confirmado afectación por gusano barrenador en seis personas en distintos puntos del Estado de Hidalgo, quienes igualmente ya se han recuperado. Flores Jiménez señaló que se mantiene la vigilancia epidemiológica para atender los casos que se puedan presentar, y sobre todo, se han realizado hasta el momento 18 capacitaciones dirigidas a productores de ganado. El funcionario recordó que los primeros casos de gusano barrenador se registraron al sureste de nuestro país; la movilidad del ganado provocó que se comenzaran a registrar casos en otros puntos de la geografía nacional. En el caso del Estado de Hidalgo, se logró contener la llegada de la plaga por espacio de un año ocho meses, hasta conocerse del primer caso. Actualmente en Hidalgo están registrados 101 casos en 30 municipios de la entidad, e acuerdo con datos del Servicio Nacional de Sanidad, Inocuidad y Calidad Agroalimentaria (Senasica), con corte al 4 de septiembre de 2026. Por especie, los datos a nivel estatal señalan que 42 de los casos corresponden a bovinos, 34 a caninos, 10 a ovinos, nueve a porcinos, tres a equinos, dos a aves y uno a caprinos. El titular de la Secretaría municipal del Campo hizo llamado a los productores de ganado a acercarse a tomar las capacitaciones para prevenir la presencia de gusano barrenador en sus animales, así como reportar en caso de sospechar la presencia de algún caso.</t>
  </si>
  <si>
    <t>Gusano barrenador</t>
  </si>
  <si>
    <t>Regidores de Tulancingo justifican viaje a Colombia que costó casi medio millón de pesos. Luego de que 10 regidores viajaran a Bogotá, Colombia, para participar en la Cumbre Internacional del Agua, y cuyo viaje representó un gasto cercano al medio millón de pesos al erario, los ediles aseguran que los conocimientos y experiencias adquiridos puede traducirse en un proyecto para Tulancingo. De acuerdo con la solicitud emitida ante la Oficialía Mayor del Ayuntamiento de Tulancingo, los regidores Abril Chávez Reyes, Beatriz Adriana Elizondo Flores, Catalina Lemus Salinas, Anay Castro Barrón, Julio César Márquez Parrasales, Justa Tolentino Osorio, Bronia Vargas Ibarra, Jack Tenorio Mendoza y José Gastón Santos López, justificaron su asistencia al encuentro internacional como una oportunidad para fortalecer sus conocimientos e intercambiar experiencias relacionadas con la gestión integral del recurso hídrico. Jack Tenorio Mendoza, presidente de la Comisión de Asentamientos Humanos, Desarrollo Urbano y Ordenamiento Territorial, insistió que el propósito del encuentro internacional no fue propiamente establecer convenios entre gobiernos, sino conocer mecanismos y experiencias que permitan a los municipios acceder a recursos adicionales para desarrollar proyectos relacionados con el agua y la sustentabilidad. A dos semanas de su regreso, hasta el momento no existe un proyecto concreto derivado de la participación en la cumbre, de acuerdo con el regidor apenas se encuentra en proceso la organización de una reunión entre los funcionarios que acudieron al encuentro y el titular de la CAAMT. “Es un hecho que se va a generar una reunión en donde nosotros como ediles municipales vamos a tener esta mesa de trabajo con la CAAMT y con las áreas correspondientes para que lo que se trae de esta cumbre se pueda aplicar en el municipio”. Indicó que la reunión debe ser pronto, posiblemente este mes, para desarrollar la planeación, las modificaciones correspondientes y así destinar presupuesto antes de que concluya el año. En ese tenor, también expuso que existe la posibilidad de que el proyecto no pueda ejecutarse completamente durante la actual administración municipal, pero que al menos pueda quedar diseñado, gestionado o encaminado para que sea retomado por el siguiente gobierno.</t>
  </si>
  <si>
    <t>Viaje al extranjero</t>
  </si>
  <si>
    <t>Asegura FGR mil 500 litros de hidrocarburo en Tenango de Doria Como parte de las técnicas de investigación, la Fiscalía General de la República en Hidalgo ejecutó una orden de cateo en un domicilio donde presuntamente comercializaban de forma ilícita hidrocarburo. En atención a la recepción de una denuncia anónima, vía telefónica, en la que se informó sobre la existencia de combustible, dentro de un inmueble ubicado en el municipio de Tenango de Doria, la Fiscalía Especializada de Control Regional en el estado inició la investigación por la probable comisión del delito de posesión ilícita de hidrocarburo. Derivado de la secuela procesal y de haberse corroborado la veracidad de los hechos, el agente del Ministerio Público de la Federación obtuvo autorización para ejecutar la técnica de cateo. En dicha acción legal, agentes de la Policía Federal de Investigación y peritos especializados aseguraron 11 contenedores abastecidos con aproximadamente mil 500 litros de hidrocarburo, una camioneta y una motocicleta. En el operativo, persona de la Secretaría de la Defensa Nacional, Guardia Nacional, Policía Estatal brindaron seguridad perimetral, en tanto que, personal especializado de Pemex realizó el trasvase e identificación de la sustancia asegurada.</t>
  </si>
  <si>
    <t>La seguridad de los automovilistas volvió a generar preocupación en los principales accesos carreteros entre Hidalgo y el Estado de México. Esto por reportes sobre asaltos y presunta presencia de personas que utilizarían vehículos con torretas para hacerse pasar por agentes de seguridad. Uno de los corredores que más han sido señalados es la autopista México-Pachuca, donde automovilistas han referido casos en que los sujetos, aparentemente uniformados o que se identifican como integrantes de alguna corporación policiaca, solicitan a los conductores detenerse. Entre los hechos reportados se encuentran el robo de una camioneta JAC Frison blanca, cuyo propietario habría sido interceptado por personas que presuntamente se hicieron pasar por agentes. El caso habría sido denunciado ante las autoridades y cuenta con una carpeta de investigación. La preocupación también se extiende hacia la carretera México-Tuxpan, donde los usuarios han señalado distintos episodios de asalto a lo largo de la vía, particularmente en el tramo correspondiente a Nopaltepec, en el Estado de México. Los reportes sobre ambas carreteras han generado llamados entre los usuarios para extremar precauciones al transitar, principalmente durante horarios de menor circulación y zonas donde se han señalado hechos delictivos. Cabe destacar que hasta el momento no existe una cifra pública que permita establecer cuántos casos de presuntos falsos policías o asaltos en estos dos corredores estarían relacionados entre sí, por lo que va a corresponder a las autoridades determinar si existe algún patrón y quiénes estarían detrás de estos hechos. En caso de una aparente revisión policial, los automovilistas pueden solicitar la identificación de los agentes y verificar la corporación a la que pertenecen. Ante una situación de riesgo, se recomienda evitar cualquier tipo de confrontación y solicitar mejor apoyo a través de los números de emergencia al 911.</t>
  </si>
  <si>
    <t>Inseguridad Carretera</t>
  </si>
  <si>
    <t>Hidalgo reduce 28 por ciento su promedio diario de homicidios durante 2026 Hidalgo registró una reducción de 28 por ciento en su promedio diario de homicidios dolosos durante los primeros ocho meses de 2026, en comparación con el mismo periodo del año pasado, de acuerdo con cifras del Sistema Nacional de Seguridad Pública. Con esta variación, el estado se ubicó en la posición 15 a nivel nacional entre las entidades que presentaron las mayores disminuciones en la incidencia de este delito. El reporte, con información actualizada al 31 de agosto, contabilizó 149 homicidios dolosos en Hidalgo durante el periodo enero-agosto, cantidad equivalente a 1.3 por ciento de los casos registrados en todo el país. La entidad quedó fuera del grupo de siete estados que concentraron prácticamente la mitad de los homicidios nacionales. Guanajuato encabezó ese listado con 8.5 por ciento, seguido de Baja California, Chihuahua, Sinaloa, Estado de México, Guerrero y Morelos. La reducción registrada en Hidalgo forma parte de un comportamiento observado en la mayoría de las entidades. De acuerdo con el informe, 30 de los 32 estados disminuyeron su promedio diario de homicidios al comparar ambos periodos. En el país, el indicador también mostró una tendencia descendente. Para agosto de 2026 se registró un promedio de 40.8 homicidios diarios, frente a los 86.9 casos por día contabilizados en septiembre de 2024, lo que representó una reducción de 53 por ciento. El informe también reportó variaciones a la baja en otros delitos. Entre enero y agosto, los casos de secuestro disminuyeron 26.3 por ciento; las lesiones dolosas con arma de fuego, 11.2 por ciento; los robos con violencia, 16.3 por ciento; el feminicidio, 5.2 por ciento, y la extorsión, 2.8 por ciento. Los datos fueron presentados por Marcela Figueroa Franco, secretaria ejecutiva del Sistema Nacional de Seguridad Pública, durante la presentación del balance de seguridad correspondiente al Segundo Informe de Gobierno.</t>
  </si>
  <si>
    <t>Daniel Martínez: Vamos abriendo agenda con asuntos de seguridad pública porque el día de ayer, como ocurre un martes sí y un martes no, en Palacio Nacional se hace revisión de los temas de seguridad pública y concretamente cada mes se hace una revisión estadística comparativa, que te quedas pensando si a estas alturas funcionan los comparativos para lavarse la cara, para decir que vamos requetebién o, como debería de ser, para hacer los ajustes que se necesitan en los temas de seguridad pública.</t>
  </si>
  <si>
    <t>Radioescucha: Para comentar y que especifique Castrejón, dice su proyecto de infraestructura escolar en ciertos lugares del estado, porque con certeza educativa no son de fin educativo y así están desde que yo nací en 1952 las especificaciones de infraestructura. (sic)</t>
  </si>
  <si>
    <t>Infraestructura escolar</t>
  </si>
  <si>
    <t>A dos años de gobierno de Jorge Reyes, Pachuca fortalece sus acciones de protección, atención, rehabilitación y conservación de fauna silvestre, a través de la Unidad de Rehabilitación de Fauna Silvestre, que durante este periodo ha recibido y atendido 605 animales. En este espacio se ha brindado atención especializada a ejemplares de distintas especies, incluyendo algunas en peligro de extinción, como mono araña, mono aullador, yaguarundí, tigrillo y martucha, con el objetivo de favorecer su recuperación y, cuando las condiciones lo permiten, su retorno a la vida silvestre. Como resultado de estos procesos de rehabilitación, 294 animales han sido liberados en diferentes Áreas Naturales Protegidas durante los dos años de la administración municipal. La Unidad también se ha consolidado como un espacio de formación y profesionalización en materia de fauna silvestre. Actualmente, mantiene convenios de colaboración con más de 15 universidades de todo el país, para que estudiantes realicen sus prácticas profesionales y servicio social. En dos años, más de 40 alumnos han participado en estas actividades, adquiriendo experiencia y conocimientos especializados en el manejo, atención y conservación de fauna silvestre. Además, Pachuca se ha convertido en un referente a nivel nacional en la profesionalización en materia de fauna silvestre, a través de los cursos especializados que se brindan desde la Unidad, contribuyendo a la capacitación de personas interesadas y profesionales vinculados con el manejo y conservación de especies silvestres. Durante estos dos años, Pachuca ha construido capacidades para atender, rehabilitar y devolver a la naturaleza a ejemplares de fauna silvestre, al mismo tiempo que forma a quienes continuarán con esta labor. Así, la conservación se convierte en una tarea permanente y con visión de futuro.</t>
  </si>
  <si>
    <t>Milton Cortés informa que están listos los preparativos para el informe del presidente municipal de Pachuca, Jorge Alberto Reyes. Este informe incluirá detalles sobre los logros en seguridad y obra pública durante el año. Se destaca que ya están iluminados los nueve principales bulevares de la ciudad, como el bulevar Colosio y el bulevar Minero, lo que mejora la visibilidad para los conductores durante la noche. También se mencionará la atención a la población y los proyectos asistenciales que se han desarrollado. El presidente presentará estos avances el día de mañana a las 7 de la tarde en la Plaza de la Diosa de los Vientos, ubicada al sur de Pachuca. Cortés enfatiza que estarán atentos a los logros que se señalarán en el informe y que el próximo viernes ofrecerán más información sobre este segundo informe de labores de Jorge Alberto Reyes.</t>
  </si>
  <si>
    <t>Milton Cortés informa que el sistema DIF Hidalgo está trabajando bien por la población. Ayer, Edda Vite Ramos, presidenta del sistema, entregó ayudas técnicas a 39 personas de 13 municipios. Estas ayudas están destinadas a mejorar la calidad de vida de los beneficiarios, ayudando a quienes tienen dificultades auditivas y motoras. Edda Vite destacó la importancia de atender la discapacidad sin importar la edad o las circunstancias, y enfatizó la necesidad de fomentar la independencia, autonomía e inclusión de las personas con discapacidad. Las ayudas son parte del programa Ayudas Técnicas del Centro de Rehabilitación Integral de Hidalgo. La presidenta mencionó que bajo la administración del gobernador Julio Menchaca Salazar, se está logrando un mayor alcance en la atención a la población vulnerable. También indicó que continuarán trabajando en estas estrategias para beneficiar a prácticamente todas las regiones del estado. Se reporta que cada vez más municipios están recibiendo este tipo de apoyo. En lo que va del año, se han entregado un total de 10,000 ayudas técnicas a personas de los 84 municipios de Hidalgo, con una inversión cercana a los 20 millones de pesos. El sistema DIF Hidalgo, liderado por Edda Vite Ramos, está respondiendo a las necesidades y solicitudes de la población a través de las Rutas de la Transformación.</t>
  </si>
  <si>
    <t>Andrés Torres informa que la presidenta municipal de Tepeji, Tania Valdez, está abrumada por los reclamos de los vecinos y no puede continuar. Menciona que recibió videos y notas sobre una reunión que tuvo con representantes de distintas comunidades, donde la situación se volvió difícil. Debido a la presión de los habitantes, Tania se enojó y decidió irse, dejando a los demás sin resolver sus problemas. A pesar de su enojo, no se logró solucionar nada. Los locutores comentan sobre este comportamiento, demostrando frustración con los alcaldes y su falta de capacidad para atender las demandas de la comunidad. Se cuestiona lo que merecen los ciudadanos al tener este tipo de líderes.</t>
  </si>
  <si>
    <t>Ayer hubo informe del alcalde en el municipio de Francisco I. Madero. a ver si arreglan el libramiento de Tepatepec que reportan está en mal estado.</t>
  </si>
  <si>
    <t>Al menos dos programas de beneficio para agricultores y ganaderos de Hidalgo, operados por la Secretaría de Agricultura y Desarrollo Rural (Sader), son motivo de investigación, gracias a denuncias interpuestas formalmente ante las autoridades. La denuncia con el folio 2608102134-0911044 se refiere al programa de entrega de vientres ovinos que debió concluir durante el 2025. Según los documentos de prueba, en poder de Vocales Radio, las listas de entrega deben hacerse públicas para que los beneficiarios, corroboren si recibieron sus animales. La segunda denuncia en contra de la dependencia, habla sobre el uso, poco claro, de más de 200 millones de pesos para la construcción de ollas de captación en diferentes municipios con problemas de escasez de agua. Con el folio 2608281829-83C23E9D la acusación fue presentada hace varias semanas ante las autoridades estatales. Hasta hoy, la Sader no ha dado ninguna declaración al respecto a estas graves denuncias y su titular, Napoleón González Pérez evita dar una entrevista para resolver las dudas.</t>
  </si>
  <si>
    <t>Apoyo gananero</t>
  </si>
  <si>
    <t>Radioescucha pide que se supervise a las patrullas que paran a las personas que salen de bares y restaurantes, pues a veces Susan o pretenden extorsionar con la amenaza de que los vehículos los llevarán al corralón</t>
  </si>
  <si>
    <t>Abuso Policiaco</t>
  </si>
  <si>
    <t>Hoy hay sesión en el Congreso, una sesión de 3 horas de acuerdo a la lista que nos envían, de acuerdo a la orden del día que manejan en la LXVI Legislatura, pero en la orden del día no aparece ni remotamente una referencia a la iniciativa para eh reforma electoral en nuestro estado, así que seguimos a la espera a ver qué de esta propuesta que hicieron diputadas y diputados de diferentes bancadas representadas en el Congreso. ¡Se acaba el tiempo, eh! Se acaba el tiempo y todo apunta a que esta iniciativa simplemente se va a olvidar, ¿no? Nació muerta y ahí se va a quedar, ahí se va a quedar, nadie va a salir a decir «esta boca es mía», ya lo verá usted, y si es así, pues vamos a ver quién les cree a las y los diputados locales.</t>
  </si>
  <si>
    <t>Ayer, el secretario del gobierno del estado, Guillermo Olivares Reyna, asistió a una reunión por Zoom convocada por la secretaria de Gobernación, Rosa Icela Rodríguez. En esta reunión participaron todos los secretarios de Gobierno de las diferentes entidades para revisar la Estrategia Nacional que busca mejorar la seguridad en las próximas fiestas patrias. Durante la reunión, también se discutieron beneficios legales para las personas en prisión, los avances en la localización de personas desaparecidas y el establecimiento de la Alerta Nacional de Búsqueda de Personas. Se hizo énfasis en la preocupación por los recientes accidentes mortales relacionados con el uso de pirotecnia en distintas fiestas patronales en el país. La secretaria Rosa Icela Rodríguez pidió atención especial a los secretarios de Gobierno respecto al uso de pirotecnia, particularmente con las fiestas patrias a la vista. Se recordó que todos los municipios contratan a artesanos para manejar fuegos artificiales, lo cual puede ser riesgoso si estos no tienen la certificación y los permisos adecuados. El Gobierno Federal busca garantizar la seguridad durante los eventos públicos en la noche del 15 de septiembre y la madrugada del 16, y se destacó que será complicado otorgar permisos para el uso de pirotecnia si no se cumplen estos requisitos. Esto fue lo que se trató en la reunión de ayer.</t>
  </si>
  <si>
    <t>Fortalecen seguridad con apoyo y coordinación de Pemex</t>
  </si>
  <si>
    <t>El viernes pasado, el gobernador Julio Menchaca Salazar anunció la ampliación de la carretera México-Pachuca a ocho carriles en un tramo de casi 14 km. Esta obra comenzará pronto y contará con la construcción de un distribuidor vial en una zona conocida como el crucero de la muerte, en la salida del municipio de Zapotlán, específicamente en la comunidad de Acayuca. La primera parte de la ampliación incluirá un puente que permitirá a los conductores cruzar sin riesgo. Los usuarios de la carretera, que viajan de norte a sur, podrán usar este puente y el distribuidor para evitar accidentes, una situación peligrosa que ha persistido durante al menos dos años en esta área. La intervención del Gobierno Federal y la gestión del gobernador Menchaca han llevado a una inversión significativa para mejorar la carretera y solucionar este peligro para los viajeros. La carretera presenta un riesgo mortal debido a la forma en que los conductores de Acayuca se atraviesan en un tramo de alta velocidad. La construcción de esta ampliación comenzará muy pronto y se espera que ayude a reducir los accidentes en esta zona complicada.</t>
  </si>
  <si>
    <t>Ayer, la situación en Apan se complicó debido a conflictos entre los vecinos y la presidencia municipal, especialmente con la presidenta. Los problemas principales son la grave escasez de agua y la gestión de los desechos de basura. Hay tiraderos de basura en la región que son utilizados por camiones de Zempoala, Tlanalapa, Almoloya y Emiliano Zapata. Los vecinos de la zona cerraron los accesos a estos tiraderos, impidiendo que los camiones descargaran basura. Esto generó una gran discusión y la necesidad de que intervengan la Secretaría de Medio Ambiente, la presidencia municipal y otras autoridades públicas. Se debe aclarar la situación del tiradero, asegurando que esté debidamente registrado como un lugar formal y controlado por las autoridades para evitar problemas ambientales y de salud pública.</t>
  </si>
  <si>
    <t>Semarnath</t>
  </si>
  <si>
    <t>En Jaltocán traen un problemón ahí con su presidente municipal por un terrenito que creo que es propiedad de la hermana del presidente y ahí andan peleando. Ojalá que pronto se aclaren las cosas porque lo que menos necesitamos en este momento es que más alcaldes se vean involucrados en suspicacias, en temas de "como soy el alcalde pues puedo hacer y deshacer", ¿no?, sin que la ley pues aplique por igual. Este asunto de este terreno ya levantó una enorme polémica allá en la región de la huasteca.</t>
  </si>
  <si>
    <t>Guillermo Peredo puso en sus redes sociales que dejaba Movimiento Ciudadano. Esto generó algunos comentarios, pero me llaman la atención más las especulaciones hacia dónde dirigirá sus pasos. Me dicen que se va con Benjamín Rico, que se va al Verde. Que yo sepa Don Benjamín Rico no está en el Partido Verde, ¿no? Ha habido ahí una presencia, pero yo sé que Don Benjamín Rico no tiene al menos manifiesta una declaración de unirse al Partido Verde, manifiesta una declaración de que quiere ser candidato a la presidencia de Pachuca, sí, sí existe tal, pero del Partido Verde que yo sepa, no. Sin embargo, bueno, pues se habla mucho de Don Benjamín Rico, usted lo sabe, hace muchos muchos años aspira a la candidatura a la presidencia municipal de Pachuca, esta vez lo está buscando nuevamente y pues se habla de una ahí de la salida de Don Guillermo Peredo de Movimiento Ciudadano, pero yo creo que pues nadie mejor que Don Guillermo Peredo podrá decirnos pues qué es lo que sigue en su carrera política, ¿no?</t>
  </si>
  <si>
    <t>PVEM</t>
  </si>
  <si>
    <t>Renuncia</t>
  </si>
  <si>
    <t>Partidos</t>
  </si>
  <si>
    <t>Está fuerte el tema y ya en pleno los temas electorales allá en la zona de Tulancingo. Rápidamente déjenme decirles que pues las diferentes corrientes internas de MORENA están luchando con todo, ¿eh? Hay una rebatinga, una rebatinga de verdad, porque hay ya un grupo muy, muy importante de tulancinguenses destacados que apoyan el proyecto o la corriente de Cuauhtémoc Ochoa, ¿eh? Y están en pleno trabajando. Por otro lado, están trabajando también pues la otra corriente de MORENA que eh impulsa pues otros proyectos. Pero pues Tulancingo es uno de las regiones más importantes del estado, usted la conoce muy bien, por su desarrollo económico, por su desarrollo, por supuesto, eh este en toda en toda la región y es eh el tema de la elección municipal y la elección distrital, bueno, pues es algo que ya tiene de verdad, no voy a decir preocupados, pero voy a decir eh atentos a no solamente MORENA, que es el partido más importante, que es el partido predominante en nuestro estado, sino a otras expresiones políticas que también están trabajando fuertemente en...</t>
  </si>
  <si>
    <t>Morena</t>
  </si>
  <si>
    <t>Conflicto partidista</t>
  </si>
  <si>
    <t>Ayer estuve en contacto con mis amigos de Huazalingo, ando en pos de una nota que ya les presenté aquí hace un par de días respecto a la edificación de estas ollas de captación de agua pluvial, que es un programa implementado por la Secretaría de Agricultura con una inversión superior a los 200 millones de pesos, que fue ya denunciado, por supuesto, por irregularidades. Y bueno, allá en Huazalingo se están construyendo algunas de estas ollas de captación y ayer pues estuve en contacto con mis amigos allá en esa zona de la Huasteca, pues porque como reportero mi obligación es investigar, qué hay sobre esta denuncia.</t>
  </si>
  <si>
    <t>Apoyo ganadero</t>
  </si>
  <si>
    <t>Andrés Torres pide al ayuntamiento de Pachuca para que apoye a dos personas sin hogar que tomado un puente como hogar en el bulevar Felipe Ángeles, cerca de las obras del puente Colonias.</t>
  </si>
  <si>
    <t>Daniel Martínez al video que circula en redes sociales, en el que se advierte una situación irregular con el operador de una unidad del servicio colectivo de transporte público de Acatlán y que como una medida se pide hacerse chequeos médico, opina lo siguiente: menciona que en la Ley Estatal de Movilidad y Transporte hay una obligación de hacer chequeos médicos a los operadores del transporte público de pasajeros. Se pregunta cuántos de ellos realmente se hacen estos chequeos y cuántos concesionarios o jefes están atentos a la salud de los operadores. Reconoce que no se puede obligar a los operadores a ir al médico, pero es importante que se aseguren de que se realicen chequeos, al menos cada seis meses. Daniel Martínez señala que la Semot debería no solo recomendar, sino a asegurar el cumplimiento de estas revisiones médicas, enfatizando que es un asunto de salud humana y responsabilidad.</t>
  </si>
  <si>
    <t>Daniel Martínez sobre el programa de adopción de menores por parte del DIF Hidalgo habla de la importante labor que hacen para evaluar las características y antecedentes económicos de las familias que buscan integrar a un nuevo miembro. Se realizan visitas a los hogares para asegurarse de que puedan ofrecer un ambiente adecuado, especialmente si los solicitantes provienen de entornos difíciles. El objetivo es brindar una educación emocional y una buena bienvenida al nuevo integrante. Jessenia Romero menciona que una de las partes más difíciles es realizar las entrevistas para determinar si una familia es adecuada, así lo ha dado a conocer Edda Vite, titular del DIF Hidalgo. Asimismo, Daniel Martínez destaca que también dicho por Edda Vite se ha trabajado para que el proceso sea más simple y menos burocrático desde el inicio de la administración. Daniel recuerda las palabras de Edda Vite Ramos, presidenta del Sistema DIF Hidalgo, en una visita a Tulancingo en noviembre de 2022. Donde ella sugierió que no se deben solicitar niños como si fueran un catálogo, refiriéndose a la tendencia de querer recién nacidos bonitos. Destaca que quienes asumen la responsabilidad de educar a un niño deben aceptar su entorno y los contextos de vida de los niños, adolescentes y jóvenes que llegan.</t>
  </si>
  <si>
    <t>Un hombre de 51 años de edad fue localizado aparentemente sin conocimiento dentro de un automóvil estacionado sobre la... la calle Cuauhtémoc, en la comunidad de Tepojaco, dentro del municipio de Tizayuca. Personas que circulaban por la zona solicitaron apoyo a corporaciones de atención a emergencias para auxiliar a la persona que se encontraba al interior del automóvil. Personal de Protección Civil y Bomberos acudió al sitio para realizar la valoración correspondiente. A su llegada, los elementos localizaron al hombre sin signos vitales; los paramédicos realizaron maniobras de reanimación cardiopulmonar, pese a los esfuerzos, no obtuvieron una respuesta favorable. Tras confirmar el fallecimiento, se solicitó la intervención de Seguridad Pública Municipal, cuyos elementos realizaron el resguardo de la zona y preservaron el lugar en espera de las autoridades correspondientes. Hasta el momento no se ha establecido oficialmente la causa del fallecimiento, por lo que se espera que a partir de las investigaciones respectivas se conozcan más detalles sobre la situación.</t>
  </si>
  <si>
    <t>Vecinos de la colonia El Fresno, en San Agustín Tlaxiaca, alertaron a las autoridades luego de escuchar varias detonaciones de arma de fuego durante las primeras horas del miércoles 9 de septiembre. Tras recibir el reporte ciudadano, corporaciones de seguridad acudieron al lugar para verificar la situación y localizaron un automóvil blanco con diversos impactos producidos por proyectiles de arma de fuego. Al realizar la inspección de la unidad, los agentes encontraron en el interior a un hombre con lesiones aparentemente ocasionadas por disparos. Elementos de servicios de emergencia acudieron al sitio y confirmaron que la persona localizada dentro del automóvil ya no contaba con signos vitales. Ante el hallazgo, la zona fue acordonada para preservar posibles indicios y permitir que personal especializado realizara las diligencias correspondientes. Hasta el momento no se ha informado la identidad de la víctima ni mayores detalles sobre la forma en que ocurrió la agresión. La Procuraduría General de Justicia del Estado de Hidalgo inició una carpeta de investigación para determinar el móvil del ataque y establecer la identidad de las personas involucradas.</t>
  </si>
  <si>
    <t>Piden esclarecer muerte de alumno de El Mexe en Francisco I. Madero escrita por Izza Hernández 10/09/2026 Compartir La Normal Rural Luis Villarreal “El Mexe” exigió que se esclarezca el fallecimiento de José Antonio Salgado Aparicio, luego de que el estudiante fuera encontrado sin vida en Francisco I. Madero. La comunidad estudiantil pidió que las autoridades mantengan abiertas las investigaciones y determinen con precisión las circunstancias en las que ocurrió el hecho, así como la causa del fallecimiento y las posibles responsabilidades que pudieran derivarse. El joven fue localizado durante la mañana del lunes 7 de septiembre, cerca de las 07:35 horas, en las inmediaciones de un cultivo de maíz sobre el camino conocido como El Rinconcito. Los primeros informes indicaron que presentaba lesiones. Ante el caso, integrantes de la organización estudiantil de El Mexe emitieron un posicionamiento en el que manifestaron su solidaridad con los familiares y compañeros de José Antonio Salgado Aparicio, a quien reconocieron como integrante de la comunidad normalista. Los estudiantes señalaron que el esclarecimiento de los hechos debe realizarse mediante una investigación exhaustiva y transparente, además de garantizar el respeto a la memoria y dignidad del alumno. Hasta este momento, no se han informado públicamente detalles sobre una línea de investigación, posibles responsables o la causa oficial de muerte. Las autoridades continúan con las diligencias correspondientes para establecer cómo ocurrieron los hechos y determinar lo conducente conforme avance la investigación.</t>
  </si>
  <si>
    <t>Exigen esclarecer homicidio</t>
  </si>
  <si>
    <t>Familias del Paraiso, La Industrial y Ahuehuetitla reciben escrituras fortaleciendo su seguridad patrimonial Convencida de que gobernar significa resolver aquello que durante años ha representado una preocupación para las familias, este 9 de septiembre, la presidenta municipal de Tulancingo, Lorena García Cázares, encabezó la entrega de 13 escrituras a familias de las colonias El Paraíso, la Industrial y Ahuehuetitla, con lo que se fortalece su seguridad jurídica y patrimonial. El documento hoy recibido, dijo la alcaldesa, representa la tranquilidad de saber que aquello que una familia ha construido con años de trabajo, sacrificio y esfuerzo está legalmente protegido. Es así como, en materia de regularización de asentamientos humanos, durante la presente administración se han entregado 127 títulos de propiedad y 50 escrituras. Asimismo, la Dirección de Ordenamiento Territorial y Agrario, dependiente de la Secretaría de Desarrollo Urbano, Obras Públicas y Medio Ambiente, ha atendido solicitudes relacionadas con la regularización de asentamientos humanos irregulares ubicados en parcelas que fueron desincorporadas de los ejidos El Paraíso, Ahuehuetitla, Tulancingo y Zapotlán de Allende mediante la adopción del dominio pleno. Entre estos procesos se encuentran los correspondientes a los asentamientos Reforma y Lomas del Pedregal, cuyos expedientes han sido integrados e ingresados ante el Instituto Nacional del Suelo Sustentable (INSUS), con el propósito de brindar certeza jurídica a aproximadamente 400 familias. Ya que la certeza patrimonial transforma la vida de las familias, el Gobierno de Tulancingo mantiene el compromiso de trabajar con responsabilidad y sensibilidad social para que cada vez más personas puedan tener en sus manos no solamente un documento, sino la tranquilidad de saber que el esfuerzo de toda una vida tiene respaldo legal y que el patrimonio familiar está protegido.</t>
  </si>
  <si>
    <t>Entrega De Escrituras</t>
  </si>
  <si>
    <t>Con más de 112 mil acciones de vigilancia y control, Hidalgo fortaleció la protección sanitaria</t>
  </si>
  <si>
    <t>Vigilancia Sanitaria</t>
  </si>
  <si>
    <t>Hay posicionamiento al respecto, y es que la controversia por el nombramiento del titular del Órgano Interno de Control del Tribunal Electoral de Hidalgo quedó sin materia luego de que la persona cuya designación fue impugnada, que renunció al cargo. Hecho la Sala Superior del Tribunal Electoral del Poder Judicial de la Federación determinó, precisamente esta semana, el día de ayer, pues desechar la demanda presentada por Leodegario Hernández Cortés, presidente del Tribunal Electoral del Estado de Hidalgo, al considerar que el escenario jurídico de... pues había cambiado. El Pleno aprobó, de hecho por unanimidad, el proyecto del magistrado Felipe de la Mata Pizaña que corresponde a un expediente dado a conocer de manera pública, después de que el Congreso Estatal notificara que Jonathan Pereda Ledesma pues presentó su renuncia como titular del Órgano Interno de Control el pasado 3 de septiembre. Al haber desaparecido el acto que originó la impugnación, la Sala Superior concluyó que ya no existía como tal pues materia sobre la cual pues pronunciarse. La resolución tampoco dio la razón a la petición de Hernández Cortés, esto para que pues se analizara de manera general la facultad del Congreso de Hidalgo para poder designar al titular del Órgano de Control. Los magistrados sí señalaron que una revisión de este tipo únicamente podría realizarse pues cuando dicha atribución pues se materialice de alguna forma en un acto concreto. Y pues por la misma razón fue declarada improcedente la excitativa también de justicia promovida por el presidente del mismo tribunal, al considerar que la emisión de la pues sentencia resolvió la controversia. Y bueno, con esta determinación permanecen vigentes las disposiciones que estarían otorgando al Congreso de Hidalgo la facultad para poder nombrar al titular del Órgano Interno de Control del Tribunal Estatal Electoral. Y pues resulta que... pues no obstante, la Sala Superior aclaró también que la resolución no analizó pues el fondo del conflicto y por ello no determinó si las facultades del Congreso vulneran la autonomía o la independencia del mismo tribunal, ni estableció tampoco la constitucionalidad también de los artículos cuestionados.</t>
  </si>
  <si>
    <t>Separan de servicio a operador de transporte público que circulaba erráticamente La Secretaría de Movilidad y Transporte de Hidalgo (Semoth), a través del Sistema de Transporte Convencional de Hidalgo (STCH), inició investigación respecto al caso de un operador que supuestamente conducía en estado de ebriedad una unidad para transporte de pasajeros. Por medio de redes sociales, se difundieron imágenes donde dicho operador estaría conduciendo de forma errática la unidad de transporte público que presta servicio en la ruta 13 HSC C, con placas de circulación A-53397-K. Testimonios obtenidos, señalan que la situación se registró a inicios de esta semana en el trayecto comprendido entre las localidades de Vicente Guerrero y Santa Rosa, pertenecientes al municipio de Acatlán. En varios momentos los pasajeros de la unidad le gritaron al operador, al notar que la unidad circulaba en forma irregular; incluso señalan que estuvo a punto de chocar contra otra unidad motora. Los mismos pasajeros señalaron en sus testimonios que el operador incluso estaría quedándose dormido, además que sus reflejos al volante no eran adecuados. A partir de conocerse la situación, la Semoth, por medio del STCH inició la investigación respectiva al caso. De acuerdo con la dependencia, como parte de las primeras investigaciones se solicitó información a la empresa concesionaria, la cual indicó que el operador presentó un problema de salud. Sin embargo, la autoridad estatal no especificó qué padecimiento o episodio médico habría experimentado el conductor. Como medida para proteger tanto al operador como a los usuarios del transporte público, se determinó que en forma temporal no estará trabajando, con la finalidad de que pueda dar seguimiento a su tratamiento médico. La Semoth aclaró que las personas operadoras deben presentar un examen toxicológico y someterse a valoración médica al momento de tramitar la expedición o renovación de su tarjetón. A raíz del caso, la dependencia hizo un llamado a los conductores del servicio público para realizarse chequeos médicos de rutina, con el propósito de detectar oportunamente problemas de salud y prevenir situaciones que puedan representar un riesgo durante la prestación del servicio. La dependencia estatal no informó sobre alguna sanción contra el operador y atribuyó, con base en la investigación preliminar y la información proporcionada por la empresa concesionaria, el comportamiento observado a un problema de salud.</t>
  </si>
  <si>
    <t>El gobierno municipal de Huasca contempla una inversión inicial de 4 y medio millones de pesos para desarrollar un mercado gastronómico en este caso y artesanal con alrededor de 54 espacios, esto lo informó el presidente municipal Luis Lugo Salinas. La obra forma parte de los principales proyectos de la administración municipal y ya cuenta con un proyecto ejecutivo terminado. El inmueble estaría destinado principalmente a comerciantes del sector gastronómico y artesanal con el propósito de reunir parte de la oferta local en un mismo espacio. De acuerdo con el presidente municipal, el presupuesto previsto corresponde a una primera etapa y permitiría que el mercado opere una vez concluida. Sin embargo, el Ayuntamiento, el gobierno municipal pretende ampliar la inversión mediante recursos adicionales que pueda gestionar ante el gobierno del Estado de Hidalgo. Lugo Salinas señaló que el gobernador Julio Menchaca Salazar ya conoce la propuesta y que actualmente analizan la posibilidad de obtener apoyo estatal para incrementar el monto destinado a la obra. En cuanto al lugar donde se instalará, el municipio cuenta con una alternativa que ya tiene autorización del Instituto Nacional de Antropología e Historia, aunque también revisan otros terrenos antes de tomar una decisión definitiva.</t>
  </si>
  <si>
    <t>Mercado gastronómico</t>
  </si>
  <si>
    <t>El presidente municipal de Mineral de la Reforma, Eduardo Medécigo, informó que el proyecto para construir un nuevo Centro de Comando, Control, Comunicaciones y Cómputo (un C4) avanza en su etapa de gestión de recursos, luego de que el municipio presentó los proyectos ejecutivos y realizó la primera solicitud de financiamiento. De acuerdo con el edil, el municipio solicitó 25 millones de pesos para la construcción del inmueble, mientras que el equipamiento quedaría contemplado para una segunda etapa. Los recursos provendrían tanto del gobierno estatal como de la administración municipal; sin embargo, actualmente esperan conocer el monto de la inversión que finalmente sea autorizada. Aunque el proyecto ejecutivo ya se encuentra definido, la administración municipal analiza dos posibles puntos para instalar el C4 debido a que la ubicación deberá garantizar condiciones adecuadas de conectividad y acceso a fibra óptica. Una de las propuestas se encuentra en la parte posterior del fraccionamiento San Antonio Providencia, dentro de un terreno de 7.2 hectáreas, de las cuales se destinarían 2 hectáreas al proyecto. El segundo punto se localiza en las inmediaciones del bulevar San Carlos. «El proyecto ejecutivo no cambia las dimensiones, no cambian, solamente quizás el punto de ubicación por las propias conectividades», según explicó Medécigo. El alcalde señaló que espera concretar la construcción del centro antes de que concluya su administración, aunque el inicio de los trabajos dependerá de la autorización de los recursos solicitados.</t>
  </si>
  <si>
    <t>C4</t>
  </si>
  <si>
    <t>Congreso de Hidalgo pide evaluar apertura parcial del carril del Tuzobús El carril exclusivo del Tuzobús podría ser sometido a una nueva evaluación en Pachuca, luego de que el Congreso de Hidalgo aprobara un exhorto para analizar si algunos de sus tramos pueden operar bajo un esquema compartido con vehículos particulares La propuesta, presentada por la diputada panista Claudia Lilia Luna Islas, plantea realizar estudios de carácter técnico para determinar si una modificación en determinados puntos permitiría disminuir los congestionamientos que se han registrado en distintos sectores de la capital. Entre las zonas donde se plantea revisar esta posibilidad se encuentran vialidades del centro y sur de Pachuca, además de puntos como las avenidas Juárez y Revolución, el bulevar Felipe Ángeles, Tercera Edad, Téllez y la carretera México-Pachuca. El planteamiento ocurre en medio de reclamos de automovilistas por los tiempos de traslado y por el reforzamiento del confinamiento mediante bolardos, boyas, balizas y otros dispositivos. A partir del 16 de agosto, ingresar con un vehículo particular al carril exclusivo también comenzó a generar multas de entre 20 y 30 UMA. El reforzamiento de esta infraestructura representó una inversión cercana a 29 millones de pesos, destinada a la colocación de distintos elementos de confinamiento a lo largo del corredor del Tuzobús. Sin embargo, las autoridades de transporte han sostenido que mantener despejado el carril es necesario para garantizar la circulación del sistema masivo y disminuir los riesgos de accidentes ocasionados por la invasión de vehículos particulares. Por ahora, el exhorto legislativo no implica retirar los dispositivos ni permitir nuevamente la circulación generalizada por el carril. El siguiente paso será determinar, mediante estudios técnicos, si existen puntos donde un esquema compartido pueda aplicarse sin afectar la operación y seguridad del Tuzobús. La discusión queda así entre dos necesidades de movilidad: mantener la prioridad del transporte público o modificar parcialmente el esquema para buscar alternativas ante los congestionamientos que enfrentan los automovilistas.</t>
  </si>
  <si>
    <t>Carril confinado</t>
  </si>
  <si>
    <t>Víctor Valera está recuperando en la edición digital e impresa de *El Universal Hidalgo*... La propuesta, recuerde ahorita que estamos en época de estar haciendo la revisión de la propuesta financiera, este el presupuesto de egresos e ingresos de la Federación para el próximo 2027, y hay un rubro donde se está proponiendo 300 millones de pesos para la atención de las zonas que fueron afectadas por las lluvias de octubre del año pasado. Hidalgo recibirá 300 millones de pesos durante el próximo año para las obras de reconstrucción derivado de las fuertes lluvias provocadas por la vaguada monzónica en octubre del año pasado, las cuales ocasionaron daños en 28 municipios. El recurso fue etiquetado como “estudios, proyectos, obras, mantenimiento y acciones para la protección de centros de población y áreas productivas en el estado de Hidalgo”, de acuerdo con el presupuesto de egresos 2027, que la Secretaría de Hacienda entregó el martes al Congreso de la Unión, el cual debe ser analizado y aprobado por los legisladores federales. Para la reconstrucción en Hidalgo, Veracruz y Puebla, las principales entidades afectadas por la vaguada monzónica, el gobierno federal contempla ejercer en total mil 315 millones de pesos en 2027. El proyecto de presupuesto etiqueta para Veracruz 800 millones de pesos, mientras que Puebla tiene contemplado 215 millones de pesos, de acuerdo con el documento denominado programas y proyectos de inversión. La reconstrucción de los puentes y carreteras de Hidalgo afectados en octubre por la vaguada monzónica requieren una inversión de 6 mil 967 millones de pesos; de los cuales, el 74 por ciento corresponde a inversión federal y el 26 por ciento restante a recursos estatales, de acuerdo con la Secretaría de Infraestructura, Comunicaciones y Transportes (SICT). A casi un año de los daños por la vaguada monzónica en Hidalgo, 5 personas continúan desaparecidas, todas de Tianguistengo, informó el titular de la Comisión de Búsqueda estatal, José Francisco García Reyes. De los 5 reportes de desaparecidos, cuatro son de Chapula y una persona de Tlacolula, ambas localidades de Tianguistengo, que fue de los municipios con más afectaciones. Hasta diciembre de 2025, la cifra cerró en 9 personas desaparecidas, para enero de este año disminuyó a 7 y hasta la fecha siguen pendientes 5.</t>
  </si>
  <si>
    <t>Fundamental, valoración para integrar a niñas, niños y adolescentes a nuevos hogares De 213 solicitudes de adopción recibidas durante el actual periodo de administración del Sistema DIF Hidalgo, 60 familias han sido declaradas idóneas, 44 se encuentran en proceso de valoración y 111 han recibido resoluciones de no viabilidad, acompañadas de las recomendaciones correspondientes. El dato fue ofrecido durante el evento denominado “Adopción, un Puente de Amor”, en el que cuatro niños y dos niñas, iniciaron una nueva etapa de vida junto a sus familias adoptivas. Se informó a su vez que actualmente, 16 niñas, niños y adolescentes son susceptibles de adopción, mientras que 11 familias cuentan con certificado de idoneidad. Por lo que en cuatro años de administración, el organismo reporta la integración de 59 niñas, niños y adolescentes a familias mediante procesos de adopción. Edda Vite Ramos, presidenta del Patronato del Sistema DIF Hidalgo, destacó que la selección de las familias es una de las responsabilidades más importantes del organismo asistencial estatal, pues implica garantizar que las niñas, niños y adolescentes encuentren un entorno seguro, afectivo y adecuado para su desarrollo. “Es la labor más exigente y más bonita que tenemos en el Sistema: elegir a las familias que realmente sean un nido en el que depositamos nuestra confianza, porque estamos entregándoles lo más preciado que tenemos, nuestras niñas, niños y adolescentes como seres humanos en formación”, expresó. Explicó que, para determinar la idoneidad de las familias, se analizan sus perfiles y se realizan entrevistas que permiten conocer sus condiciones y capacidades para asumir la responsabilidad de una adopción. “Hacer la elección de las familias para nuestras niñas y niños no es fácil, pero creo que hasta ahorita no nos hemos equivocado, porque vemos sus perfiles, los vamos conociendo en sus entrevistas y algo nos indica que ustedes son las mamás y papás ideales para ellas y ellos”, señaló. Como ejemplo, mencionó el caso de Kevin, un niño de siete años, cuya opinión y elección fue tomada en cuenta para integrarse a una nueva familia, concluyendo así su estancia en la Casa del Niño; “Sé que no nos hemos equivocado y que el día de mañana harán de él un hombre de bien”, subrayó Vite Ramos. Asimismo, reconoció la coordinación con el Tribunal Superior de Justicia del Estado de Hidalgo, encabezado por Rebeca Estela Aladro Echeverría, integrante del Consejo Técnico de Adopciones, cuya participación ha contribuido a agilizar los procesos y reducir los tiempos de espera para las familias. Finalmente, la Presidenta del organismo asistencial en el Estado de Hidalgo hizo un llamado a la población a participar de manera responsable en los procesos de adopción y a generar entornos de protección para las niñas, niños y adolescentes. “Necesitamos una sociedad que realmente se comprometa a que las niñas y los niños se den cuenta de que en los adultos van a encontrar ayuda y protección”, enfatizó. El Consejo Técnico de Adopciones, es la instancia encargada de dotar de transparencia y certeza legal a quienes buscan brindar un nuevo comienzo a niñas, niños y adolescentes.</t>
  </si>
  <si>
    <t>Registra Hidalgo 159 suicidios durante el 2025 En Hidalgo se registraron 159 suicidios durante 2025, equivalentes a una tasa de 4.8 casos por cada 100 mil habitantes, debajo del promedio nacional. Con esta cifra, la entidad se ubicó en el lugar 27 del país, al ordenar los estados de mayor a menor incidencia. El dato es ofrecido en el marco del Día Mundial para la Prevención del Suicidio, que se conmemora cada 10 de septiembre. Al respecto, el Consejo Estatal de Población (Coespo), organismo sectorizado a la Secretaría de Gobierno de Hidalgo, destacó la importancia de analizar este fenómeno desde una perspectiva demográfica y social, considerando las condiciones familiares, comunitarias y del entorno que pueden aumentar la vulnerabilidad de las personas. De acuerdo con información del Instituto Nacional de Estadística y Geografía, durante 2025 se registraron 8 mil 846 suicidios en México, con una tasa nacional de 6.6 por cada 100 mil habitantes. De acuerdo a la Organización Mundial de la Salud (OMS), cada año alrededor de 727 mil personas mueren por suicidio en el mundo, mientras que muchas más realizan intentos de suicidio. El suicidio no responde a una única causa, pues la OMS reconoce la interacción de diversos factores sociales, culturales, psicológicos, biológicos y ambientales que pueden incrementar la vulnerabilidad de las personas. Por ello, su prevención requiere estrategias integrales y multisectoriales. El Coespo señaló que estas cifras permiten identificar grupos y contextos que requieren mayor atención, así como orientar estrategias que fortalezcan los vínculos familiares, las redes comunitarias, la escucha y el acompañamiento oportuno. El tema establecido para el periodo 2024-2026 promovido por la Asociación Internacional para la Prevención del Suicidio y respaldado por la OMS, es “Cambiar la narrativa sobre el suicidio”. Se trata de una propuesta que busca dejar atrás el silencio, los prejuicios y la estigmatización para avanzar hacia una cultura de apertura, empatía, comprensión y apoyo. Desde la Secretaría de Gobierno, a través del Coespo, se promueve la coordinación entre instituciones públicas, organizaciones sociales, comunidades, familias y ciudadanía. Ello al reconocer que la prevención requiere participación colectiva y atención a los distintos factores sociales que rodean este fenómeno.</t>
  </si>
  <si>
    <t>Prevención del suicidio</t>
  </si>
  <si>
    <t>Intensifican limpieza en cuerpos de agua dentro de Tulancingo, para prevenir emergencias Se han intensificado los trabajos de limpieza y desazolve para contribuir al adecuado funcionamiento de los cauces y reducir riesgos, al igual que posibles instrucciones durante la presente temporada de lluvias. Lo anterior fue informado por la Comisión de Agua y Alcantarillado del Municipio de Tulancingo (Caamt), a través de la dirección Técnica, instancia encargada de dichos trabajos. Este año las acciones preventivas incluyen 14 mil 031 metros de drenes intervenidos, de los que retiraron nueve mil 580 metros cúbicos de azolve. Estos trabajos se hicieron en puntos estratégicos, como: El Río Chico Tulancingo, dren Colomer, la barranca de Santa María Asunción, dren Buenos Aires, dren San Basilio, dren San Antonio Farías y dren Zototlán. Entre las situaciones que se buscan prevenir, sobre todo son los anegamientos e incluso inundaciones en zonas del municipio que pueden estar susceptibles de dicha situación. En otros temas a cargo del organismo operador, se informó que se implementan acciones permanentes para mejorar el suministro hídrico, mejorar la infraestructura y garantizar la adecuada operación de las redes de drenaje. De septiembre del año pasado y hasta el corte del pasado viernes 4 de septiembre, habían sido reparadas mil 689 fugas de agua potable, lo cual permite optimizar la continuidad y eficiencia del suministro, además de reducir pérdidas en las redes de distribución. En ese mismo periodo el personal del área técnica realizó 37 mantenimientos a la infraestructura hidráulica; de los cuales, 19 fueron preventivos, y 18 correctivos. De acuerdo con el área Técnica, para mantener en condiciones adecuadas los sistemas de abastecimiento y anticipar posibles fallas que pudieran afectar el abasto, emprendieron trabajos en distintos pozos y rebombeos. Ejemplo de lo anterior es la reciente atención a la falla que registró el pozo Valle Verde que afectó el suministro hídrico de 23 colonias; de las cuales, en 12 el servicio fue nulo.</t>
  </si>
  <si>
    <t>Natividad Castrejón encabeza jornada educativa en Ixmiquilpan En Ixmiquilpan, el secretario de Educación Pública de Hidalgo, Natividad Castrejón Valdez, visitó la secundaria General “Ermilo Abreu Gómez”, donde entregó uniformes, zapatos, útiles escolares del programa estatal Altagracia Mercado y libros de texto a las y los estudiantes, como parte de los apoyos para el inicio del ciclo escolar. Ante la comunidad escolar, el titular de la SEPH exhortó a las y los jóvenes a desarrollar su máximo potencial y continuar con su preparación para acceder a mejores oportunidades de vida. Asimismo, reconoció el acompañamiento de madres y padres de familia, así como del personal docente, en su formación. Durante las actividades estuvieron presentes José Emmanuel Hernández Pascual, presidente municipal de Ixmiquilpan; José Nereo Lugo Moreno, titular de la Oficina de Enlace Educativo del Gobierno de México en Hidalgo. Así como Daniel Fragoso Torres, subsecretario de Educación Media Superior y Superior de Hidalgo; Nancy Adriana León Vite, subsecretaria de Educación Básica; Xóchitl García Curiel, subsecretaria de Planeación y Evaluación; Leobardo Cano Albarrán, director general de Educación Básica, y Josefina Serrano Bautista, directora general de Servicios Regionales, entre otros.</t>
  </si>
  <si>
    <t>Integrantes de la Alianza Nacional de Jubilados se manifiestan este miércoles afuera del Congreso de Hidalgo donde piden que escuchen la iniciativa en la que promueven que se corrija la reforma que se hizo al Artículo 127 de la Constitucional, donde les quitaron la retroactividad a las pensiones de los jubilados.</t>
  </si>
  <si>
    <t>Jubilaciones</t>
  </si>
  <si>
    <t>Se requieren por lo menos 50 mdp para concretar centro de acopio lechero en Tulancingo Para culminar la construcción del Centro de Acopio Lechero del Valle de Tulancingo, así como su equipamiento, se requieren por lo menos 50 millones de pesos, señaló Hugo Flores Jiménez, titular de la Secretaría municipal del Campo. El funcionario fue cuestionado durante la conferencia de prensa semanal que organiza el Gobierno de Tulancingo, sobre el avance para recuperar dicho espacio, actualmente abandonado, desmantelado y vandalizado. Señaló que “cuando nosotros llegamos nos encontramos con una obra totalmente abandonada, nos dimos a la tarea de saber qué estaba pasando, pero el equipamiento ya desapareció”. A partir de la revisión del estado que guardan las instalaciones, ubicadas en la localidad de San Nicolás el Chico, se estima necesario considerar inversión de por lo menos 50 millones de pesos para concretar la construcción y funcionamiento de las instalaciones para ponerlas en funcionamiento. “Obviamente en este momento la Secretaría de Desarrollo Rural del estado no está en condiciones de poder aportar todo esto y no sabemos dónde quedó ese recurso que estaba ya asignado a nuestro municipio por parte de Segalmex (Seguridad Alimentaria Mexicana)”. En reciente visita de trabajo a la región, el titular de la Secretaría de Agricultura y Desarrollo Rural de Hidalgo (Saderh), Napoleón González Pérez, consideró una inversión por aproximadamente 70 millones de pesos para recuperar las instalaciones de dicho acopio lechero. La construcción del Centro de Acopio Lechero regional de Tulancingo, fue iniciada en el año 2020, con una inversión de 12 millones de pesos, con objetivo de adquirir el alimento a productores del Valle, para su posterior comercialización en otros espacios. Las instalaciones están abandonadas desde hace por lo menos 4 años, e incluso han sido saqueadas y vandalizadas; testimonios de vecinos en la zona señalan que incluso personas se quedan a pernoctar en el interior. Flores Jiménez señaló que en su momento, el Municipio de Tulancingo portó el terreno, el gobierno de Hidalgo se encargó de la construcción del inmueble, y el equipamiento especializado correspondía al entonces organismo federal Segalmex. Consideró que sí es necesario contar con el Centro regional de Acopio Lechero, precisamente para que los productores del alimento tengan un espacio donde se les pueda comprar a un precio adecuado para ellos. Por lo cual se continuarán las gestiones para concretar la construcción del espacio; no se estableció un plazo para ello.</t>
  </si>
  <si>
    <t>Centro de acopio lechero</t>
  </si>
  <si>
    <t>Hay un asunto que muy poca gente sabe de la actual alcaldesa de Metztitlán. Su marido ya fue alcalde de Metztitlán y logró impulsar el proyecto de su esposa y la actual alcaldesa de Metztitlán pues nada más tiene en la nómina del Ayuntamiento a 11, ayer dije 13, estaba yo equivocado, 11 familiares cobrando en la presidencia de Metztitlán,</t>
  </si>
  <si>
    <t>Si recorremos la Huasteca, pues el señor San Román Duval, que está convertido en un tirano, ha sido alcalde tres veces de Huejutla por diferente partido político, eso habla de su convicción, eso habla por supuesto de sus ideales sólidos y de su convicción política. Pues, ahora está empecinado en empujar eh el proyecto de su esposa como candidata a la presidencia municipal, caiga quien caiga, dividiendo en lugar de sumar y complicando no solo la dirección municipal sino también el proceso interno de Morena para elegir candidato a diputado local, candidato a diputado federal. Lo mismo que Tulancingo, que son distritos y lo mismo que Ixmiquilpan que son cabeceras distritales.</t>
  </si>
  <si>
    <t>¿Qué le digo de la alcaldesa de Tulancingo que vive en el ojo del huracán, ¿no?, dividiendo y dividiendo y dividiendo y peleando con los propios ciudadanos de uno de los municipios más importantes del estado.</t>
  </si>
  <si>
    <t>Vía telefónica Milton Cortés habla sobre los logros de Jorge Alberto Reyes como alcalde de Pachuca y menciona que hoy se realizará una comparecencia del presidente municipal. Esta comparecencia se llevará a cabo en la Sala de Cabildo durante la entrega del segundo informe de gobierno a la Asamblea Municipal. Durante esta sesión, se espera que los representantes del Cabildo expresen su opinión sobre los logros del año y sugieran mejoras para el futuro. El alcalde también dará un mensaje breve sobre los objetivos alcanzados en los últimos 12 meses y sobre el contexto político de la ciudad. Cortés destaca que la sesión será tranquila debido al buen entendimiento entre el presidente y las diferentes bancadas. Recuerda que el año anterior se mostró un consenso para trabajar por el progreso de Pachuca. A pesar de algunas discusiones, se ha mantenido un enfoque en el acuerdo y el interés de la ciudad, alejándose de intereses políticos personales. Se esperan lluvias durante el evento, que contará con 1,000 a 1,500 invitados, y recomienda llegar temprano para evitar problemas de tráfico en la zona. Señala que es uno de los informes más esperados y que de los alcaldes que más resultados habrá que entregar.</t>
  </si>
  <si>
    <t>También tenemos un alcalde, por ejemplo, en San Salvador que pues igual, ¿no?, puras promesas, puras cuestiones incumplidas y que bueno pues está más en las eh portadas de los diarios y en los principales medios de comunicación pues porque lo retienen, porque los le toman el el Ayuntamiento y por los constantes reclamos de la población en cuanto a su actuación, que realmente en cuanto a lo que ha generado como alcalde.</t>
  </si>
  <si>
    <t>Tenemos un alcalde en Ixmiquilpan que dice que pues sí, pues la verdad es que reconoce que no, no ha estado a la altura de las de las circunstancias y que hay muchas promesas que no ha cumplido.</t>
  </si>
  <si>
    <t>Tenemos un alcalde allá en Nicolás Flores que dice que, pues que sí roba, ¿no?, pero roba para los pobres, roba para los pobres.</t>
  </si>
  <si>
    <t>La empresa Polaris Inteligencia Pública efectuó una encuesta aquí en Pachuca, aquí en Hidalgo. Vía telefónica se entrevistaron 750 personas, todos adultos, todos ciudadanos, todos mayores de edad, y se les hicieron varias preguntas. Esta empresa Polaris presenta en su rubro concerniente al conocimiento y evaluación del gabinete, y le pregunta a los encuestados qué opina de los eh... secretarios del gabinete. En primer lugar, con 31% de la aprobación, Guillermo Olivares Reyna. En segundo lugar, con 29% de la aprobación, Napoleón González Pérez. En tercer lugar, Natividad Castrejón Valdez. Es decir, el Secretario de Gobierno, el Secretario de Agricultura y el Secretario de Educación Pública ocupan los tres primeros lugares en aprobación por parte de la ciudadanía en cuanto a su desempeño en el gabinete del Gobernador Julio Menchaca. El Secretario de Gobierno, Guillermo Olivares Reyna, 31%. Napoleón González Pérez, 29%. Y Natividad Castrejón Valdez, 27% de acuerdo a esta evaluación que hace Polaris, que aplicó apenas el día 4 y 5 de septiembre pasado, o sea, es decir, hace 5 días se aplicó esta encuesta que usted puede revisar en www.vocalesonline.com. Presenta una evaluación de nueve los nueve primeros nueve secretarios. Y los primeros tres lugares: para el Secretario de Gobierno, Guillermo Olivares Reyna, el mejor evaluado; número dos, el Secretario de Agricultura, Napoleón González Pérez; y el tercer lugar, el Secretario de Educación Pública, Natividad Castrejón.</t>
  </si>
  <si>
    <t>Gobierno</t>
  </si>
  <si>
    <t>Evaluación de gabinete</t>
  </si>
  <si>
    <t>En Ixmiquilpan, la Secretaria de Educación Pública de Hidalgo, Natividad Castrejón Valdez, encabezó la ceremonia del 30 aniversario de la Universidad Tecnológica del Valle del Mezquital. Durante la ceremonia, Natividad Castrejón Valdez felicitó a la comunidad universitaria a nombre del Gobernador Julio Menchaca Salazar y destacó su trayectoria en la universidad, institución que durante tres décadas ha fortalecido la vocación, servicio y compromiso académico en beneficio de la juventud hidalguense. Andrés Torres: Una de las universidades tecnológicas que más ha crecido. La Universidad Tecnológica del Valle del Mezquital. Tuve la oportunidad de visitarla el año pasado y, créanmelo, es impresionante lo que ha crecido. Es una de las plantillas educativas más importantes en el sistema de universidades tecnológicas.</t>
  </si>
  <si>
    <t>Conmemoración Aniversario</t>
  </si>
  <si>
    <t>Andrés Torres: A ver, me escriben "El tal Jonathan Pérez Ledesma, a quien impusieron en el Tribunal Estatal Electoral, trabajó en la Auditoría Superior del Estado de Hidalgo protegido por el Auditor Superior, pero sobre todo por el Secretario Técnico, Don Honorato Ramírez. Dice: 'les hacía el trabajo sucio. Luego les cuento'". Bueno, pues sí, yo no sé si les hacía el trabajo sucio o no, pero sí trabajó ahí en la Auditoría y lo único que también les puedo agregar es que pues Don Jonathan Pérez Ledesma, que fue electo por el Congreso del Estado para estar dentro del Órgano Interno de Control en el Tribunal Estatal Electoral, pues renunció esta semana, con el argumento de que... pues creo que no lo saludaban. [Risas] ¡Renunció con el argumento de que nadie... o sea, en pocas palabras, que nadie lo pelaba! El argumento de él fue que: "Es que no me dan información." Y, ¡renunció! Esto es oficial, ¿no? Renunció, renunció esta misma semana al Tribunal Estatal Electoral. Bueno.</t>
  </si>
  <si>
    <t>El próximo domingo, la Presidenta Claudia Sheinbaum visitará Pachuca para presentar un informe regional. Esta visita forma parte de su recorrido por los estados, tras anunciar su segundo informe de actividades el primero de septiembre. Acompañada del Gobernador Julio Menchaca Salazar, Sheinbaum rendirá cuentas sobre el trabajo de su gobierno en Hidalgo. Se espera que la actividad sea temprano. La cita es en las instalaciones de la Feria de Pachuca a las 12, aunque están citando desde las 10 de la mañana.</t>
  </si>
  <si>
    <t>Visita Sheinbaum</t>
  </si>
  <si>
    <t>Hoy hay sesión en el Congreso a las 12:30 de la mañana, donde se citarán a los diputados. La sesión será larga y la agenda está llena. El 15 de septiembre es el último día que permite la ley para hacer cambios al Código Electoral, ya que no se puede modificar 90 días antes del proceso electoral, que comienza el 15 de diciembre. Ese día se instalará el Consejo General del Instituto Estatal Electoral, y comenzará la elección para renovar 84 ayuntamientos y 30 lugares en el Congreso del Estado, que incluye 18 curules de mayoría y 12 de representación proporcional. Una iniciativa presentada por varios diputados, que modifica el Código Electoral, o sea la Reforma electoral, no tendrá efecto para las elecciones municipales de 2027 si no se aprueba antes del 15 de septiembre, y hoy es 10, por lo que quedan solo 5 días. Esta iniciativa es polémica y busca lograr la equidad de género al proponer que 42 candidaturas sean exclusivas para mujeres, organizadas alfabéticamente de la A a la M. Las candidaturas de la N en adelante serían libres para hombres o mujeres. Además, se menciona que la reelección podría ser un mecanismo para romper esta obligatoriedad. Hay municipios relevantes como Mineral de la Reforma, Huejutla y Pachuca implicados en esta discusión, pero la iniciativa no ha sido aprobada hasta ahora. A pesar de la investigación y las preguntas realizadas a secretarios y diputados locales, parece que hay una resistencia a tratar este tema, y el consenso es que la iniciativa no avanzará. Hoy, en la sesión del Congreso, no se discutirá esta iniciativa, ya que no está en la orden del día, a pesar de ser un tema importante. Andrés Torres cuestiona por qué se planteó esta Reforma electoral, si no se va a discutir y se teme que se esté negociando en otro lugar, fuera del Poder Legislativo, lo que generaría desconfianza. La expectativa sigue siendo alta respecto a qué sucederá con la iniciativa en los próximos días.</t>
  </si>
  <si>
    <t>Reforma De Ley</t>
  </si>
  <si>
    <t>Ayer, el Congreso del Estado informó sobre un importante ahorro en la rehabilitación del complejo que alberga al Poder Legislativo en Hidalgo. Se logró un ahorro de cerca de 1.1 millones de pesos en los trabajos de conservación y mantenimiento de la Torre Legislativa. El costo total de la obra fue de 3,908,280.65 pesos, que es menor a los 5 millones que se habían estimado inicialmente. El presidente de la Junta de Gobierno, diputado Andrés Velázquez, destacó que este ahorro muestra una responsabilidad en el uso de recursos públicos y que es posible mejorar la infraestructura del Poder Legislativo de manera económica. La obra fue adjudicada a Kerbin Hernández Briceño, quien cumplió con todos los requisitos legales, técnicos y económicos según la ley. Andrés Torres destacó que cualquier ahorro en recursos públicos es positivo, refiriéndose a que el presupuesto inicial era de más de 5 millones para la restauración de la torre, que ha tenido problemas como filtraciones de agua y elevadores peligrosos. Las oficinas estaban en condiciones inusables, haciendo necesaria esta inversión para habilitar la torre y permitir su uso. El proyecto de rehabilitación, por lo tanto, es una buena noticia, ya que se ha logrado un ahorro significativo en el proceso.</t>
  </si>
  <si>
    <t>Torre legislativa</t>
  </si>
  <si>
    <t>Tenemos todavía obras en la carretera México-Pachuca. En unos días más va a iniciar la construcción del distribuidor vial, necesarísimo puente que se va a colocar en lo que yo conozco como el "crucero de la muerte", ahí en Acayuca, enfrente de un restaurante, no podemos decir el nombre pero son los Marranitos, Los Porquitos, y ahí estará la obra de ampliación que anunció el gobernador Julio Menchaca para la carretera México-Pachuca en este último informe, en este cuarto informe de gobierno, va a dar inicio ahí con esta obra en este distribuidor para precisamente reducir los riesgos de las personas que circulan por ahí y bueno va a ser una ampliación a ocho carriles que tendrá una longitud de casi 14 km.</t>
  </si>
  <si>
    <t>La SEDATU lanzará una consulta pública para aprobar el nuevo Programa de Ordenación de la Zona Metropolitana.La aprobación del nuevo Programa de Ordenación de la Zona Metropolitana del Valle de México, que integra políticas de desarrollo, movilidad, transporte, medio ambiente e infraestructura, se realizará a través de una consulta pública, así lo dio a conocer la Secretaría de Desarrollo Agrario, Territorial y Urbano, la SEDATU. La dependencia indicó que esta acción pretende recabar propuestas y recomendaciones de los habitantes, organizaciones o la academia y el sector privado de la zona metropolitana conformada por las 16 alcaldías de la capital, 59 municipios del Estado de México, 8 de Hidalgo y uno de Morelos. La institución detalló que el programa contiene una agenda de proyectos metropolitanos que beneficiarían hasta 22 millones de habitantes; se realizarán audiencias públicas, foros y conversatorios en los 84 municipios de la zona metropolitana.</t>
  </si>
  <si>
    <t>ZMVM</t>
  </si>
  <si>
    <t>Vía telefónica la diputada Liz Ordaz titular de la Comisión de Legislación y Puntos Constitucionales del Congreso del Estado de Hidalgo trabajos en el congreso de Hidalgo, Regulación de Vehículos Eléctricos (Patinetas y Escúteres), detalló las acciones en los 8 municipios de su distrito (Zempoala, Singuilucan, Tlanalapa, Real del Monte, Santiago Tulantepec, Epazoyucan, Omitlán y Villa de Tezontepec) mediante las iniciativas «Diputada en tu comunidad» y «Diputada en tu escuela», entregando mobiliario escolar e impulsando programas deportivos y culturales en coordinación con los alcaldes locales y Destacó la coordinación sin precedentes entre los tres poderes del Estado (Ejecutivo, Legislativo y Judicial) bajo el liderazgo del gobernador Julio Menchaca y del diputado Andrés Velázquez en la Junta de Gobierno. Confirmó que los temas administrativos del carril confinado del Tuzobús se atienden desde la Comisión de Transporte y la Secretaría de Movilidad.</t>
  </si>
  <si>
    <t>Trabajo legislativo</t>
  </si>
  <si>
    <t>Los ciudadanos solicitaron se propicie la protección de los recursos naturales, claro, y las autoridades estatales se comprometieron a revisar el planteamiento y dar seguimiento a las demandas de los habitantes. Lectura de oficio</t>
  </si>
  <si>
    <t>Sobre la nota del relleno sanitario , conductor Rodolfo comenta: Bien, por la población que hace saber su sentir, que hace saberle a las autoridades estatales de manera respetuosa en manifestaciones pacíficas, que no está de acuerdo en algunas de las decisiones que se están tomando. Mal por aquellos actores que quieren levantarse el cuello diciendo que gracias a ellos este proyecto no va a seguir adelante, y se ponen esta bandera de defensa de los recursos naturales, y casualmente empiezan a manejar su nombre hasta en campañas publicitarias de Facebook, o sea, videos o publicaciones pagadas en redes sociales, pagadas de su bolsa, para que empiecen a circular con los ciudadanos, con los usuarios de Facebook, y ahí como que dicen ellos, gracias a la gestión, gracias a mi gestión, esto ya no es posible. Pero tampoco yo he visto alguna campaña donde se pueda ofertar a algún otro sitio, o sea, dar una solución alternativa para la disposición de la basura, porque también ese es otro tema, cuando se cancele este proyecto, y seguramente en el 2027 alguien tendrá que poner una solución sobre la mesa, porque seguimos generando basura, y no hay donde depositarla</t>
  </si>
  <si>
    <t>Vamos con otros temas integrantes del movimiento Defensa del Manantial Siete Mezquites se reunieron ayer con autoridades estatales para abordar la cancelación definitiva del proyecto del relleno sanitario de Tula. Durante el encuentro, los representantes expusieron su preocupación por las afectaciones que esta obra podría generar en el manantial y en el entorno ambiental de la región.Se viene a la inquietud de la población, de las poblaciones que se mantienen desaguas del manantial del Cerro Colorado, donde empiezan a decir, oigan, entonces, ¿qué vamos a hacer? Se están diciendo, todo parece indicar que sí lo van a abrir. Entonces ellos me dicen que vengamos el día 13 que llega la Presidenta de la República y nos manifestemos y vamos a hablar con ella para que esto ya termine, ya se cancele.Autoridades de la Secretaría del Medio Ambiente Estatal reiteraron que la edificación y funcionamiento del basurero regional de Tula en Siete Mezquites no seguirá adelante si no cuenta con el consentimiento de la población civil, pues el actual gobierno no impondrá proyectos. Es un tema social, es un tema importante para la ciudadanía, es un tema en el que no solamente se involucra un problema ambiental que existe y que sabemos que tiene que ver con dónde colocar la zona para una región, pero que tiene que ver con el peso de pérdida en los demás municipios. Y el reconocimiento a esa voluntad, a esas manifestaciones que ustedes han tenido, en que la ciudadanía de estos municipios ha mexicanizado cuál es su postura frente a este reloj, la voluntad del gobernador ha sido y será, y el propósito es reafirmar que la decisión de la permanencia o la operación del relleno está en la ciudadanía. Y que se va justo también, queremos hacer esa palabra, de saber cómo han visto ustedes estos trabajos de saneamiento, quiero también la atención de los municipios y las actividades de saneamiento que hay que tomar.</t>
  </si>
  <si>
    <t>Radioescucha dice: "Muy buenos días, licenciado Lalo Larrieta. Dice: Bendiciones. Le comento que el día de ayer la colectiva con franja roja, naranja y amarilla en su base de Belisario Domínguez y nos bajó dos cuadras antes que porque estaba el tráfico pesado"</t>
  </si>
  <si>
    <t>Vía telefónica Maestro Francisco Javier Licona Durán, Vocal de la Junta Distrital Ejecutiva No. 06 del INE en Pachuca, Hidalgo, abordó los siguientes temas durante la entrevista: Campaña de Credencialización y Trámites del INE y hoy inicia el Proceso Electoral Federal 2026-2027</t>
  </si>
  <si>
    <t>Acciones de la Secretaría de Salud y la Línea de la Vida para la prevención del suicidio - Hablando de las estrategias, la Secretaría de Salud de Hidalgo mantiene acciones para prevenir, detectar y atender oportunamente el comportamiento suicida. De acuerdo con datos oficiales, entre 2020 y junio de 2026 se registraron 772 fallecimientos por suicidio, 605 hombres y 167 mujeres.</t>
  </si>
  <si>
    <t>Hay un tema que en estos días cobra relevancia y es el tema del suicidio, y es que a pesar de las campañas, estrategias de salud, salud mental y pues todo el acompañamiento que ahora conocemos, que hace unos 20 años no se hablaba del tema, no había especialistas que se atrevieran a sacar información o hablar abiertamente en sociedad de esta situación, ahora sí sigue y persiste el incremento de suicidios en todo el país.</t>
  </si>
  <si>
    <t>La Sala Superior del Tribunal Electoral del Poder Judicial de la Federación (TEPJF) determinó desechar la demanda promovida por el magistrado presidente del Tribunal Electoral del Estado de Hidalgo (TEEH), Leodegario Hernández Cortez, mediante la cual impugnó la designación de Jonnathan Pérez Ledezma como titular del Órgano Interno de Control (OIC) de dicho organismo.El pasado 29 de julio, el Congreso del Estado de Hidalgo aprobó, en ejercicio de sus atribuciones, la designación de Pérez Ledezma como titular del órgano interno del TEEH y le tomó la protesta correspondiente.Ante esta determinación, el magistrado presidente del Tribunal Electoral estatal promovió un juicio ante la instancia federal, en el que cuestionó, entre otros aspectos, las facultades del Poder Legislativo para intervenir en la designación del titular del Órgano Interno de Control y planteó la inaplicación de diversos preceptos legales al considerar que dicha intervención podía afectar la autonomía e independencia del órgano jurisdiccional electoral.Sin embargo, al resolver el expediente SUP-JG-58/2026, la Sala Superior concluyó que el medio de impugnación quedó sin materia, debido a que Pérez Ledezma presentó su renuncia al cargo. De acuerdo con la resolución, la renuncia modificó la situación jurídica que dio origen al juicio, al dejar de existir el acto concreto que era materia de impugnación. Por ello, el órgano jurisdiccional federal determinó actualizar la causal de improcedencia correspondiente y desechar la demanda.</t>
  </si>
  <si>
    <t>Trabajadores jubilados de la Comisión Federal de Electricidad se manifestaron frente a las instalaciones del Congreso de Hidalgo. Esto para exigir una modificación al artículo 127 constitucional. Señalaron que esta disposición limita el monto de las pensiones y pone en riesgo las condiciones de jubilación alcanzadas durante años de servicio. Los inconformes pidieron a las y los diputados intervenir para proteger sus derechos laborales y garantizar pensiones dignas para quienes dedicaron su vida al servicio público.</t>
  </si>
  <si>
    <t>¡Vaya historia! Historia... que da miedo en primera, pero también historia de valor. Y es que una adulta mayor de 85 años en Pachuca denunció un túnel de huachicol excavado en su propiedad por delincuentes que le rentaron locales con identificaciones falsas y ahora, lamentablemente, teme perder su predio debido a un proceso de extinción de dominio por parte de la Fiscalía General de la República. ¡Qué lamentable! Pero qué valiente esta señora de denunciar esta situación porque fue engañada así por estos delincuentes. Explica la situación la propietaria y su abogado.Fue que se le rentó a un señor talibán que realmente no era para los laminados que él decía, tampoco era carpintero, tampoco, y él mandó a gente precisamente a hacer un agujero ahí para para este conectarse con los ductos de Pemex. Me avisó que había sus ruidos ahí, pues sospeché algo negativo y me trasladé precisamente al predio. Desde luego que pedía apoyo, ahí había gente que estaba haciendo las fechorías.La Fiscalía General de la República estaba renuente a otorgarle la calidad de víctima a la señora, más bien la querían como investigada, pero nosotros logramos a través del control judicial de un juez penal federal, del Centro de Justicia Penal Federal aquí en Hidalgo, que se le reconociera la calidad de víctima.Esas actuaciones las hice precisamente para un futuro...La Fiscalía General de la República no le quiere requerir reconocer la calidad de propietaria de ese predio, porque la estrategia de la Fiscalía siempre ha sido que se decretara el abandono en favor de la Federación, es decir, apoderarse de ese bien inmueble.</t>
  </si>
  <si>
    <t>Huachitúnel</t>
  </si>
  <si>
    <t>Del 11 al 16 de septiembre se realizará la Feria Pachuquilla 2026, bajo el lema “Tradición que mueve a la comunidad”, con una cartelera artística que promete poner a bailar a Mineral de la Reforma.El presidente municipal, Eduardo Medécigo Rubio, informó que se proyecta una asistencia superior a 35 mil personas y una derrama económica de más de 14 millones de pesos, con el 15 de septiembre como el día de mayor afluencia. La expectativa es superar los más de 13 millones de pesos generados en 2025.La feria contará con 14 artesanos, 100 puestos de alimentos y juegos, además de dos estacionamientos gratuitos con capacidad para 720 vehículos.</t>
  </si>
  <si>
    <t>Feria Patronal</t>
  </si>
  <si>
    <t>Refuerzan estrategia de seguridad en Hidalgo mediante coordinación con Pemex . El Gobierno de Hidalgo y Pemex refuerzan la estrategia de seguridad con el huachicol.</t>
  </si>
  <si>
    <t>Y es que en Ixmiquilpan, el secretario de Educación Pública de Hidalgo, Natividad Castrejón Valdez, encabezó la celebración por el 30 aniversario de la Universidad Tecnológica del Valle del Mezquital.</t>
  </si>
  <si>
    <t>Vía telefónica Neyda Naranjo, secretaria de Cultura - Habló sobre Concierto sinfónico homenaje a José José con la Orquesta Sinfónica del Estado de Hidalgo. Concierto homenaje a José José, «El Príncipe de la Canción», interpretado por la Orquesta Sinfónica del Estado de Hidalgo, se llevará acabo este Jueves 17 de septiembre a las 7:00 p. m. en el Auditorio Gota de Plata (ubicado en el Parque Cultural Hidalguense).Los boletos tienen un precio de $300 pesos y el espectáculo tendrá una duración de 1 hora con 45 minutos.</t>
  </si>
  <si>
    <t>Cultura</t>
  </si>
  <si>
    <t>Concierto Sinfónico</t>
  </si>
  <si>
    <t>Entrevista pautada</t>
  </si>
  <si>
    <t>Congreso del Estado de Hidalgo solicitaron analizar la viabilidad de un posible regreso al esquema del carril compartido del Tuzobús.Con 19 votos a favor, cero en contra y cero abstenciones, legisladores del Congreso del Estado de Hidalgo aprobaron el acuerdo económico que exhorta al secretario de Gobierno de Hidalgo, a la titular de la Secretaría de Movilidad y Transporte, al director general del Sistema Integrado de Transporte Masivo y al Ayuntamiento de Pachuca a realizar un análisis técnico de viabilidad sobre el posible regreso al esquema de carril compartido del Sistema de Transporte Metropolitano Tuzobús en los tramos del centro y zona sur de Pachuca, emitido por la Primera Comisión Permanente de Comunicaciones y Transportes. Al respecto, la diputada Claudia Luna Islas, promovente del acuerdo, informó que también se les solicita fomentar la coordinación interinstitucional, incluyendo mesas de trabajo o audiencias públicas con usuarios, vecinos y transportistas para evaluar las mejores soluciones que equilibren el derecho a la movilidad.</t>
  </si>
  <si>
    <t>A dos años de la administración encabezada por Jorge Reyes, Pachuca ha fortalecido las acciones de protección, atención, rehabilitación y conservación de fauna silvestre, con un registro de 605 animales atendidos en la Unidad de Rehabilitación de Fauna Silvestre.En este espacio se brinda atención especializada a ejemplares de diversas especies, incluidas algunas en peligro de extinción, como mono araña, mono aullador, yaguarundí, tigrillo y martucha, con el propósito de favorecer su recuperación y, cuando las condiciones lo permiten, reintegrarlos a su hábitat natural.Como resultado de estos procesos, 294 animales han sido liberados en diferentes Áreas Naturales Protegidas durante los dos años de la actual administración municipal.Además de la atención de ejemplares, la Unidad se ha consolidado como un espacio para la formación y profesionalización en materia de fauna silvestre, mediante convenios de colaboración con más de 15 universidades de todo el país, cuyos estudiantes realizan prácticas profesionales y servicio social.</t>
  </si>
  <si>
    <t>A través del programa «Un puente de amor» del Sistema DIF Hidalgo, siete menores fueron entregados en adopción. Escuchemos</t>
  </si>
  <si>
    <t>Locutor Jesús Riveros da lectura a comentario de radioescucha que reporta lo siguiente: Quiero comunicar sobre las colectivas que se distinguen en color rojo, que viajan a San José. Ayer hubo un accidente en la Calzada 5 de mayo y nos tuvimos que bajar mientras ellos se peleaban, y siempre estaban echando carrera desde la mañana, tarde y noche; ya no piensan en la seguridad de los pasajeros. Bueno, con gusto, con gusto compartimos también...</t>
  </si>
  <si>
    <t>Locutor Jesús Riveros da lectura a comentario de radioescucha que reporta lo siguiente: El día martes fui al Centro de Salud de Tulancingo a las 11 de la noche a consulta porque mi hijo presentó fiebre. Estuve tocando y nadie te da informes del servicio. Esto es un llamado a las autoridades que verifiquen el personal de salud correspondiente, por favor. Lo comparto con mucho... con mucho gusto.</t>
  </si>
  <si>
    <t>Mala atención médica</t>
  </si>
  <si>
    <t>El Instituto Nacional Electoral (INE) dio inicio formal al Proceso Electoral Federal 2026-2027 mediante una ceremonia oficial realizada en la Ciudad de México. El acto estuvo encabezado por la consejera presidenta del organismo, Guadalupe Taddei Zavala. Guadalupe Taddei enfatizó que las elecciones no se realizan para confirmar expectativas ni asegurar resultados a ningún sector, sino que el desenlace de las urnas pertenece exclusivamente a la ciudadanía.La votación se llevará a cabo el 6 de junio de 2027. Se elegirán las 500 diputaciones federales, además de celebrarse elecciones locales en las 32 entidades federativas, donde se contempla la renovación de 17 gubernaturas. La ceremonia contó con la asistencia de dirigentes de diversos partidos políticos. Se prevé la transmisión de aproximadamente 60 millones de promocionales (spots) de partidos políticos y candidaturas en radio y televisión durante el periodo electoral.</t>
  </si>
  <si>
    <t>No nos hemos equivocado": Edda Vite Ramos, sobre la elección de familias para el Puente de Amor</t>
  </si>
  <si>
    <t>En entrevista radiofónica, Brenda García, expresidenta del comité del programa "La Escuela es Nuestra" de la Secundaria General Número 1, denunció anomalías y presuntas obstrucciones por parte del director del plantel, lo cual derivó en la pérdida de un presupuesto federal de $600,000 pesos destinado a la construcción de dos módulos de sanitarios. Entre las irregularidades señaladas destacan: Cobro irregular de cuotas: Se incrementó la aportación escolar de $650 a $1,000 pesos en una asamblea que carecía del cuórum legal necesario. Tras las protestas de los padres, se acordó reembolsar la diferencia ($350 pesos); Cancelación de obra y penalización: Debido a la negativa del director para permitir el inicio de los trabajos durante el periodo vacacional —presuntamente por un conflicto de intereses con la empresa constructora contratada—, la obra no pudo ejecutarse. Esto obligó a la devolución del recurso federal y al pago de una penalización de casi $100,000 pesos extraída del mismo fondo; Renuncia del comité: Ante la falta de acuerdos y la imposibilidad de avanzar, las integrantes del comité presentaron su renuncia e hicieron llegar una relatoría de hechos al profesor Rubén, representante de Servicios Regionales. Se convocó a una nueva asamblea de padres de familia el próximo 17 de septiembre a las 7:30 horas, mientras se espera una postura oficial de la Secretaría de Educación Pública de Hidalgo (SEPH).</t>
  </si>
  <si>
    <t>Queja padres de familia</t>
  </si>
  <si>
    <t>Consolida Hidalgo su liderazgo nacional en producción ovina y acuícola</t>
  </si>
  <si>
    <t>Impulso al agro</t>
  </si>
  <si>
    <t>Dentro de los asuntos programados en la agenda de la sesión número 208 del Congreso del Estado de Hidalgo, se incluye la discusión e iniciativa orientada a la prevención y sanción del despojo inmobiliario. Esta propuesta legislativa es impulsada por la diputada Orquídea Larragoiti Osorio.</t>
  </si>
  <si>
    <t>Iniciativa</t>
  </si>
  <si>
    <t>En el marco de la misma agenda legislativa de la LXVI Legislatura del Congreso del Estado de Hidalgo, se abordará el tema de la infancia y adolescencia. El diputado Francisco Javier Téllez Sánchez presentará en el pleno una iniciativa con proyecto de reforma relativa a la Ley de los Derechos de las Niñas, Niños y Adolescentes.</t>
  </si>
  <si>
    <t>Como parte del orden del día en la misma sesión del Congreso del Estado de Hidalgo, se tiene programada la presentación de una iniciativa con proyecto de decreto enfocada en combatir la tala ilegal en la entidad. Dicha propuesta legislativa será presentada por la diputada Yarabi González Martínez.</t>
  </si>
  <si>
    <t>En el marco de las acciones para el fortalecimiento de la salud mental en la juventud, la LXVI Legislatura del Congreso del Estado de Hidalgo agendó la sesión número 208 a las 12:30 horas. Durante esta sesión, la diputada Claudia Lilia Luna Islas presentará una iniciativa con proyecto de decreto para reformar conjuntamente la Ley de Derechos de las Personas Jóvenes y la Ley de Salud del Estado de Hidalgo.</t>
  </si>
  <si>
    <t>Llama Coespo a fortalecer la prevención del suicidio desde las familias y comunidades</t>
  </si>
  <si>
    <t>En su colaboración semanal, Gustavo Rosales abordó la agenda deportiva local con motivo de la próxima Feria de Pachuca 2026. Durante el segmento, Rosales destacó la presentación del programa deportivo del evento, destacando el regreso de un torneo de tenis abierto denominado "Cuna del Tenis", el cual se desarrollará a lo largo de tres fines de semana (del 25 al 27 de septiembre, del 2 al 4 de octubre y del 9 al 11 de octubre).</t>
  </si>
  <si>
    <t>Feria Pachuca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</si>
</sst>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74" tableType="queryTable" totalsRowShown="0">
  <autoFilter ref="A1:M174"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74"/>
  <sheetViews>
    <sheetView tabSelected="1" workbookViewId="0"/>
  </sheetViews>
  <sheetFormatPr baseColWidth="10" defaultRowHeight="15" x14ac:dyDescent="0.25"/>
  <cols>
    <col min="1" max="1" width="8.5703125" bestFit="1" customWidth="1"/>
    <col min="2" max="2" width="11.42578125" bestFit="1" customWidth="1"/>
    <col min="3" max="3" width="20" bestFit="1" customWidth="1"/>
    <col min="4" max="4" width="29.42578125" bestFit="1" customWidth="1"/>
    <col min="5" max="5" width="81.140625" bestFit="1" customWidth="1"/>
    <col min="6" max="6" width="20.85546875" bestFit="1" customWidth="1"/>
    <col min="7" max="7" width="33.85546875" bestFit="1" customWidth="1"/>
    <col min="8" max="8" width="12.42578125"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25</v>
      </c>
      <c r="C1" t="s">
        <v>26</v>
      </c>
      <c r="D1" t="s">
        <v>27</v>
      </c>
      <c r="E1" t="s">
        <v>1</v>
      </c>
      <c r="F1" t="s">
        <v>2</v>
      </c>
      <c r="G1" t="s">
        <v>4</v>
      </c>
      <c r="H1" t="s">
        <v>3</v>
      </c>
      <c r="I1" t="s">
        <v>5</v>
      </c>
      <c r="J1" t="s">
        <v>28</v>
      </c>
      <c r="K1" t="s">
        <v>29</v>
      </c>
      <c r="L1" t="s">
        <v>30</v>
      </c>
      <c r="M1" t="s">
        <v>37</v>
      </c>
    </row>
    <row r="2" spans="1:13" x14ac:dyDescent="0.25">
      <c r="A2" s="2">
        <v>46274</v>
      </c>
      <c r="B2" s="1" t="str">
        <f ca="1">IF(Información1[[#This Row],[Fecha]]='Ajuste de fechas'!$A$2,"Día actual","Día anterior")</f>
        <v>Día anterior</v>
      </c>
      <c r="C2" s="3" t="s">
        <v>51</v>
      </c>
      <c r="D2" t="s">
        <v>75</v>
      </c>
      <c r="E2" s="3" t="s">
        <v>101</v>
      </c>
      <c r="F2" s="3" t="s">
        <v>19</v>
      </c>
      <c r="G2" s="3" t="s">
        <v>102</v>
      </c>
      <c r="H2" s="3" t="s">
        <v>50</v>
      </c>
      <c r="I2" s="3" t="s">
        <v>7</v>
      </c>
      <c r="J2" s="3" t="s">
        <v>36</v>
      </c>
      <c r="K2" s="3" t="s">
        <v>53</v>
      </c>
      <c r="L2" s="3" t="s">
        <v>32</v>
      </c>
      <c r="M2">
        <v>1</v>
      </c>
    </row>
    <row r="3" spans="1:13" x14ac:dyDescent="0.25">
      <c r="A3" s="2">
        <v>46274</v>
      </c>
      <c r="B3" s="1" t="str">
        <f ca="1">IF(Información1[[#This Row],[Fecha]]='Ajuste de fechas'!$A$2,"Día actual","Día anterior")</f>
        <v>Día anterior</v>
      </c>
      <c r="C3" s="3" t="s">
        <v>51</v>
      </c>
      <c r="D3" t="s">
        <v>75</v>
      </c>
      <c r="E3" s="3" t="s">
        <v>103</v>
      </c>
      <c r="F3" s="3" t="s">
        <v>19</v>
      </c>
      <c r="G3" s="3" t="s">
        <v>104</v>
      </c>
      <c r="H3" s="3" t="s">
        <v>50</v>
      </c>
      <c r="I3" s="3" t="s">
        <v>7</v>
      </c>
      <c r="J3" s="3" t="s">
        <v>36</v>
      </c>
      <c r="K3" s="3" t="s">
        <v>53</v>
      </c>
      <c r="L3" s="3" t="s">
        <v>32</v>
      </c>
      <c r="M3">
        <v>1</v>
      </c>
    </row>
    <row r="4" spans="1:13" x14ac:dyDescent="0.25">
      <c r="A4" s="2">
        <v>46274</v>
      </c>
      <c r="B4" s="1" t="str">
        <f ca="1">IF(Información1[[#This Row],[Fecha]]='Ajuste de fechas'!$A$2,"Día actual","Día anterior")</f>
        <v>Día anterior</v>
      </c>
      <c r="C4" s="3" t="s">
        <v>51</v>
      </c>
      <c r="D4" t="s">
        <v>75</v>
      </c>
      <c r="E4" s="3" t="s">
        <v>105</v>
      </c>
      <c r="F4" s="3" t="s">
        <v>14</v>
      </c>
      <c r="G4" s="3" t="s">
        <v>106</v>
      </c>
      <c r="H4" s="3" t="s">
        <v>50</v>
      </c>
      <c r="I4" s="3" t="s">
        <v>22</v>
      </c>
      <c r="J4" s="3" t="s">
        <v>31</v>
      </c>
      <c r="K4" s="3" t="s">
        <v>9</v>
      </c>
      <c r="L4" s="3" t="s">
        <v>33</v>
      </c>
      <c r="M4">
        <v>1</v>
      </c>
    </row>
    <row r="5" spans="1:13" x14ac:dyDescent="0.25">
      <c r="A5" s="2">
        <v>46274</v>
      </c>
      <c r="B5" s="1" t="str">
        <f ca="1">IF(Información1[[#This Row],[Fecha]]='Ajuste de fechas'!$A$2,"Día actual","Día anterior")</f>
        <v>Día anterior</v>
      </c>
      <c r="C5" s="3" t="s">
        <v>51</v>
      </c>
      <c r="D5" t="s">
        <v>75</v>
      </c>
      <c r="E5" s="3" t="s">
        <v>107</v>
      </c>
      <c r="F5" s="3" t="s">
        <v>19</v>
      </c>
      <c r="G5" s="3" t="s">
        <v>104</v>
      </c>
      <c r="H5" s="3" t="s">
        <v>50</v>
      </c>
      <c r="I5" s="3" t="s">
        <v>7</v>
      </c>
      <c r="J5" s="3" t="s">
        <v>36</v>
      </c>
      <c r="K5" s="3" t="s">
        <v>53</v>
      </c>
      <c r="L5" s="3" t="s">
        <v>32</v>
      </c>
      <c r="M5">
        <v>1</v>
      </c>
    </row>
    <row r="6" spans="1:13" x14ac:dyDescent="0.25">
      <c r="A6" s="2">
        <v>46274</v>
      </c>
      <c r="B6" s="1" t="str">
        <f ca="1">IF(Información1[[#This Row],[Fecha]]='Ajuste de fechas'!$A$2,"Día actual","Día anterior")</f>
        <v>Día anterior</v>
      </c>
      <c r="C6" s="3" t="s">
        <v>51</v>
      </c>
      <c r="D6" t="s">
        <v>75</v>
      </c>
      <c r="E6" s="3" t="s">
        <v>108</v>
      </c>
      <c r="F6" s="3" t="s">
        <v>109</v>
      </c>
      <c r="G6" s="3" t="s">
        <v>110</v>
      </c>
      <c r="H6" s="3" t="s">
        <v>50</v>
      </c>
      <c r="I6" s="3" t="s">
        <v>7</v>
      </c>
      <c r="J6" s="3" t="s">
        <v>31</v>
      </c>
      <c r="K6" s="3" t="s">
        <v>53</v>
      </c>
      <c r="L6" s="3" t="s">
        <v>32</v>
      </c>
      <c r="M6">
        <v>1</v>
      </c>
    </row>
    <row r="7" spans="1:13" x14ac:dyDescent="0.25">
      <c r="A7" s="2">
        <v>46274</v>
      </c>
      <c r="B7" s="1" t="str">
        <f ca="1">IF(Información1[[#This Row],[Fecha]]='Ajuste de fechas'!$A$2,"Día actual","Día anterior")</f>
        <v>Día anterior</v>
      </c>
      <c r="C7" s="3" t="s">
        <v>51</v>
      </c>
      <c r="D7" t="s">
        <v>75</v>
      </c>
      <c r="E7" s="3" t="s">
        <v>111</v>
      </c>
      <c r="F7" s="3" t="s">
        <v>74</v>
      </c>
      <c r="G7" s="3" t="s">
        <v>112</v>
      </c>
      <c r="H7" s="3" t="s">
        <v>50</v>
      </c>
      <c r="I7" s="3" t="s">
        <v>7</v>
      </c>
      <c r="J7" s="3" t="s">
        <v>31</v>
      </c>
      <c r="K7" s="3" t="s">
        <v>53</v>
      </c>
      <c r="L7" s="3" t="s">
        <v>32</v>
      </c>
      <c r="M7">
        <v>1</v>
      </c>
    </row>
    <row r="8" spans="1:13" x14ac:dyDescent="0.25">
      <c r="A8" s="2">
        <v>46274</v>
      </c>
      <c r="B8" s="1" t="str">
        <f ca="1">IF(Información1[[#This Row],[Fecha]]='Ajuste de fechas'!$A$2,"Día actual","Día anterior")</f>
        <v>Día anterior</v>
      </c>
      <c r="C8" s="3" t="s">
        <v>51</v>
      </c>
      <c r="D8" t="s">
        <v>75</v>
      </c>
      <c r="E8" s="3" t="s">
        <v>113</v>
      </c>
      <c r="F8" s="3" t="s">
        <v>16</v>
      </c>
      <c r="G8" s="3" t="s">
        <v>114</v>
      </c>
      <c r="H8" s="3" t="s">
        <v>50</v>
      </c>
      <c r="I8" s="3" t="s">
        <v>7</v>
      </c>
      <c r="J8" s="3" t="s">
        <v>35</v>
      </c>
      <c r="K8" s="3" t="s">
        <v>53</v>
      </c>
      <c r="L8" s="3" t="s">
        <v>32</v>
      </c>
      <c r="M8">
        <v>1</v>
      </c>
    </row>
    <row r="9" spans="1:13" x14ac:dyDescent="0.25">
      <c r="A9" s="2">
        <v>46274</v>
      </c>
      <c r="B9" s="1" t="str">
        <f ca="1">IF(Información1[[#This Row],[Fecha]]='Ajuste de fechas'!$A$2,"Día actual","Día anterior")</f>
        <v>Día anterior</v>
      </c>
      <c r="C9" s="3" t="s">
        <v>51</v>
      </c>
      <c r="D9" t="s">
        <v>75</v>
      </c>
      <c r="E9" s="3" t="s">
        <v>115</v>
      </c>
      <c r="F9" s="3" t="s">
        <v>16</v>
      </c>
      <c r="G9" s="3" t="s">
        <v>79</v>
      </c>
      <c r="H9" s="3" t="s">
        <v>50</v>
      </c>
      <c r="I9" s="3" t="s">
        <v>7</v>
      </c>
      <c r="J9" s="3" t="s">
        <v>35</v>
      </c>
      <c r="K9" s="3" t="s">
        <v>53</v>
      </c>
      <c r="L9" s="3" t="s">
        <v>32</v>
      </c>
      <c r="M9">
        <v>1</v>
      </c>
    </row>
    <row r="10" spans="1:13" x14ac:dyDescent="0.25">
      <c r="A10" s="2">
        <v>46274</v>
      </c>
      <c r="B10" s="1" t="str">
        <f ca="1">IF(Información1[[#This Row],[Fecha]]='Ajuste de fechas'!$A$2,"Día actual","Día anterior")</f>
        <v>Día anterior</v>
      </c>
      <c r="C10" s="3" t="s">
        <v>76</v>
      </c>
      <c r="D10" t="s">
        <v>77</v>
      </c>
      <c r="E10" s="3" t="s">
        <v>116</v>
      </c>
      <c r="F10" s="3" t="s">
        <v>20</v>
      </c>
      <c r="G10" s="3" t="s">
        <v>117</v>
      </c>
      <c r="H10" s="3" t="s">
        <v>50</v>
      </c>
      <c r="I10" s="3" t="s">
        <v>7</v>
      </c>
      <c r="J10" s="3" t="s">
        <v>31</v>
      </c>
      <c r="K10" s="3" t="s">
        <v>78</v>
      </c>
      <c r="L10" s="3" t="s">
        <v>34</v>
      </c>
      <c r="M10">
        <v>1</v>
      </c>
    </row>
    <row r="11" spans="1:13" x14ac:dyDescent="0.25">
      <c r="A11" s="2">
        <v>46274</v>
      </c>
      <c r="B11" s="1" t="str">
        <f ca="1">IF(Información1[[#This Row],[Fecha]]='Ajuste de fechas'!$A$2,"Día actual","Día anterior")</f>
        <v>Día anterior</v>
      </c>
      <c r="C11" s="3" t="s">
        <v>76</v>
      </c>
      <c r="D11" t="s">
        <v>77</v>
      </c>
      <c r="E11" s="3" t="s">
        <v>118</v>
      </c>
      <c r="F11" s="3" t="s">
        <v>44</v>
      </c>
      <c r="G11" s="3" t="s">
        <v>119</v>
      </c>
      <c r="H11" s="3" t="s">
        <v>50</v>
      </c>
      <c r="I11" s="3" t="s">
        <v>7</v>
      </c>
      <c r="J11" s="3" t="s">
        <v>31</v>
      </c>
      <c r="K11" s="3" t="s">
        <v>78</v>
      </c>
      <c r="L11" s="3" t="s">
        <v>34</v>
      </c>
      <c r="M11">
        <v>1</v>
      </c>
    </row>
    <row r="12" spans="1:13" x14ac:dyDescent="0.25">
      <c r="A12" s="2">
        <v>46274</v>
      </c>
      <c r="B12" s="1" t="str">
        <f ca="1">IF(Información1[[#This Row],[Fecha]]='Ajuste de fechas'!$A$2,"Día actual","Día anterior")</f>
        <v>Día anterior</v>
      </c>
      <c r="C12" s="3" t="s">
        <v>76</v>
      </c>
      <c r="D12" t="s">
        <v>77</v>
      </c>
      <c r="E12" s="3" t="s">
        <v>120</v>
      </c>
      <c r="F12" s="3" t="s">
        <v>18</v>
      </c>
      <c r="G12" s="3" t="s">
        <v>121</v>
      </c>
      <c r="H12" s="3" t="s">
        <v>50</v>
      </c>
      <c r="I12" s="3" t="s">
        <v>7</v>
      </c>
      <c r="J12" s="3" t="s">
        <v>31</v>
      </c>
      <c r="K12" s="3" t="s">
        <v>78</v>
      </c>
      <c r="L12" s="3" t="s">
        <v>34</v>
      </c>
      <c r="M12">
        <v>1</v>
      </c>
    </row>
    <row r="13" spans="1:13" x14ac:dyDescent="0.25">
      <c r="A13" s="2">
        <v>46274</v>
      </c>
      <c r="B13" s="1" t="str">
        <f ca="1">IF(Información1[[#This Row],[Fecha]]='Ajuste de fechas'!$A$2,"Día actual","Día anterior")</f>
        <v>Día anterior</v>
      </c>
      <c r="C13" s="3" t="s">
        <v>76</v>
      </c>
      <c r="D13" t="s">
        <v>77</v>
      </c>
      <c r="E13" s="3" t="s">
        <v>122</v>
      </c>
      <c r="F13" s="3" t="s">
        <v>18</v>
      </c>
      <c r="G13" s="3" t="s">
        <v>123</v>
      </c>
      <c r="H13" s="3" t="s">
        <v>50</v>
      </c>
      <c r="I13" s="3" t="s">
        <v>7</v>
      </c>
      <c r="J13" s="3" t="s">
        <v>31</v>
      </c>
      <c r="K13" s="3" t="s">
        <v>78</v>
      </c>
      <c r="L13" s="3" t="s">
        <v>34</v>
      </c>
      <c r="M13">
        <v>1</v>
      </c>
    </row>
    <row r="14" spans="1:13" x14ac:dyDescent="0.25">
      <c r="A14" s="2">
        <v>46274</v>
      </c>
      <c r="B14" s="1" t="str">
        <f ca="1">IF(Información1[[#This Row],[Fecha]]='Ajuste de fechas'!$A$2,"Día actual","Día anterior")</f>
        <v>Día anterior</v>
      </c>
      <c r="C14" s="3" t="s">
        <v>76</v>
      </c>
      <c r="D14" t="s">
        <v>77</v>
      </c>
      <c r="E14" s="3" t="s">
        <v>124</v>
      </c>
      <c r="F14" s="3" t="s">
        <v>88</v>
      </c>
      <c r="G14" s="3" t="s">
        <v>125</v>
      </c>
      <c r="H14" s="3" t="s">
        <v>50</v>
      </c>
      <c r="I14" s="3" t="s">
        <v>11</v>
      </c>
      <c r="J14" s="3" t="s">
        <v>31</v>
      </c>
      <c r="K14" s="3" t="s">
        <v>78</v>
      </c>
      <c r="L14" s="3" t="s">
        <v>33</v>
      </c>
      <c r="M14">
        <v>1</v>
      </c>
    </row>
    <row r="15" spans="1:13" x14ac:dyDescent="0.25">
      <c r="A15" s="2">
        <v>46274</v>
      </c>
      <c r="B15" s="1" t="str">
        <f ca="1">IF(Información1[[#This Row],[Fecha]]='Ajuste de fechas'!$A$2,"Día actual","Día anterior")</f>
        <v>Día anterior</v>
      </c>
      <c r="C15" s="3" t="s">
        <v>76</v>
      </c>
      <c r="D15" t="s">
        <v>77</v>
      </c>
      <c r="E15" s="3" t="s">
        <v>126</v>
      </c>
      <c r="F15" s="3" t="s">
        <v>23</v>
      </c>
      <c r="G15" s="3" t="s">
        <v>127</v>
      </c>
      <c r="H15" s="3" t="s">
        <v>50</v>
      </c>
      <c r="I15" s="3" t="s">
        <v>7</v>
      </c>
      <c r="J15" s="3" t="s">
        <v>31</v>
      </c>
      <c r="K15" s="3" t="s">
        <v>78</v>
      </c>
      <c r="L15" s="3" t="s">
        <v>34</v>
      </c>
      <c r="M15">
        <v>1</v>
      </c>
    </row>
    <row r="16" spans="1:13" x14ac:dyDescent="0.25">
      <c r="A16" s="2">
        <v>46274</v>
      </c>
      <c r="B16" s="1" t="str">
        <f ca="1">IF(Información1[[#This Row],[Fecha]]='Ajuste de fechas'!$A$2,"Día actual","Día anterior")</f>
        <v>Día anterior</v>
      </c>
      <c r="C16" s="3" t="s">
        <v>76</v>
      </c>
      <c r="D16" t="s">
        <v>77</v>
      </c>
      <c r="E16" s="3" t="s">
        <v>128</v>
      </c>
      <c r="F16" s="3" t="s">
        <v>19</v>
      </c>
      <c r="G16" s="3" t="s">
        <v>129</v>
      </c>
      <c r="H16" s="3" t="s">
        <v>50</v>
      </c>
      <c r="I16" s="3" t="s">
        <v>7</v>
      </c>
      <c r="J16" s="3" t="s">
        <v>36</v>
      </c>
      <c r="K16" s="3" t="s">
        <v>78</v>
      </c>
      <c r="L16" s="3" t="s">
        <v>32</v>
      </c>
      <c r="M16">
        <v>1</v>
      </c>
    </row>
    <row r="17" spans="1:13" x14ac:dyDescent="0.25">
      <c r="A17" s="2">
        <v>46274</v>
      </c>
      <c r="B17" s="1" t="str">
        <f ca="1">IF(Información1[[#This Row],[Fecha]]='Ajuste de fechas'!$A$2,"Día actual","Día anterior")</f>
        <v>Día anterior</v>
      </c>
      <c r="C17" s="3" t="s">
        <v>51</v>
      </c>
      <c r="D17" t="s">
        <v>52</v>
      </c>
      <c r="E17" s="3" t="s">
        <v>130</v>
      </c>
      <c r="F17" s="3" t="s">
        <v>44</v>
      </c>
      <c r="G17" s="3" t="s">
        <v>131</v>
      </c>
      <c r="H17" s="3" t="s">
        <v>50</v>
      </c>
      <c r="I17" s="3" t="s">
        <v>7</v>
      </c>
      <c r="J17" s="3" t="s">
        <v>31</v>
      </c>
      <c r="K17" s="3" t="s">
        <v>53</v>
      </c>
      <c r="L17" s="3" t="s">
        <v>32</v>
      </c>
      <c r="M17">
        <v>1</v>
      </c>
    </row>
    <row r="18" spans="1:13" x14ac:dyDescent="0.25">
      <c r="A18" s="2">
        <v>46274</v>
      </c>
      <c r="B18" s="1" t="str">
        <f ca="1">IF(Información1[[#This Row],[Fecha]]='Ajuste de fechas'!$A$2,"Día actual","Día anterior")</f>
        <v>Día anterior</v>
      </c>
      <c r="C18" s="3" t="s">
        <v>51</v>
      </c>
      <c r="D18" t="s">
        <v>52</v>
      </c>
      <c r="E18" s="3" t="s">
        <v>120</v>
      </c>
      <c r="F18" s="3" t="s">
        <v>18</v>
      </c>
      <c r="G18" s="3" t="s">
        <v>121</v>
      </c>
      <c r="H18" s="3" t="s">
        <v>50</v>
      </c>
      <c r="I18" s="3" t="s">
        <v>7</v>
      </c>
      <c r="J18" s="3" t="s">
        <v>31</v>
      </c>
      <c r="K18" s="3" t="s">
        <v>53</v>
      </c>
      <c r="L18" s="3" t="s">
        <v>34</v>
      </c>
      <c r="M18">
        <v>1</v>
      </c>
    </row>
    <row r="19" spans="1:13" x14ac:dyDescent="0.25">
      <c r="A19" s="2">
        <v>46274</v>
      </c>
      <c r="B19" s="1" t="str">
        <f ca="1">IF(Información1[[#This Row],[Fecha]]='Ajuste de fechas'!$A$2,"Día actual","Día anterior")</f>
        <v>Día anterior</v>
      </c>
      <c r="C19" s="3" t="s">
        <v>51</v>
      </c>
      <c r="D19" t="s">
        <v>52</v>
      </c>
      <c r="E19" s="3" t="s">
        <v>132</v>
      </c>
      <c r="F19" s="3" t="s">
        <v>14</v>
      </c>
      <c r="G19" s="3" t="s">
        <v>133</v>
      </c>
      <c r="H19" s="3" t="s">
        <v>50</v>
      </c>
      <c r="I19" s="3" t="s">
        <v>22</v>
      </c>
      <c r="J19" s="3" t="s">
        <v>31</v>
      </c>
      <c r="K19" s="3" t="s">
        <v>53</v>
      </c>
      <c r="L19" s="3" t="s">
        <v>32</v>
      </c>
      <c r="M19">
        <v>1</v>
      </c>
    </row>
    <row r="20" spans="1:13" x14ac:dyDescent="0.25">
      <c r="A20" s="2">
        <v>46274</v>
      </c>
      <c r="B20" s="1" t="str">
        <f ca="1">IF(Información1[[#This Row],[Fecha]]='Ajuste de fechas'!$A$2,"Día actual","Día anterior")</f>
        <v>Día anterior</v>
      </c>
      <c r="C20" s="3" t="s">
        <v>51</v>
      </c>
      <c r="D20" t="s">
        <v>52</v>
      </c>
      <c r="E20" s="3" t="s">
        <v>134</v>
      </c>
      <c r="F20" s="3" t="s">
        <v>135</v>
      </c>
      <c r="G20" s="3" t="s">
        <v>136</v>
      </c>
      <c r="H20" s="3" t="s">
        <v>50</v>
      </c>
      <c r="I20" s="3" t="s">
        <v>7</v>
      </c>
      <c r="J20" s="3" t="s">
        <v>31</v>
      </c>
      <c r="K20" s="3" t="s">
        <v>54</v>
      </c>
      <c r="L20" s="3" t="s">
        <v>34</v>
      </c>
      <c r="M20">
        <v>1</v>
      </c>
    </row>
    <row r="21" spans="1:13" x14ac:dyDescent="0.25">
      <c r="A21" s="2">
        <v>46274</v>
      </c>
      <c r="B21" s="1" t="str">
        <f ca="1">IF(Información1[[#This Row],[Fecha]]='Ajuste de fechas'!$A$2,"Día actual","Día anterior")</f>
        <v>Día anterior</v>
      </c>
      <c r="C21" s="3" t="s">
        <v>51</v>
      </c>
      <c r="D21" t="s">
        <v>52</v>
      </c>
      <c r="E21" s="3" t="s">
        <v>137</v>
      </c>
      <c r="F21" s="3" t="s">
        <v>65</v>
      </c>
      <c r="G21" s="3" t="s">
        <v>138</v>
      </c>
      <c r="H21" s="3" t="s">
        <v>50</v>
      </c>
      <c r="I21" s="3" t="s">
        <v>7</v>
      </c>
      <c r="J21" s="3" t="s">
        <v>31</v>
      </c>
      <c r="K21" s="3" t="s">
        <v>54</v>
      </c>
      <c r="L21" s="3" t="s">
        <v>34</v>
      </c>
      <c r="M21">
        <v>1</v>
      </c>
    </row>
    <row r="22" spans="1:13" x14ac:dyDescent="0.25">
      <c r="A22" s="2">
        <v>46274</v>
      </c>
      <c r="B22" s="1" t="str">
        <f ca="1">IF(Información1[[#This Row],[Fecha]]='Ajuste de fechas'!$A$2,"Día actual","Día anterior")</f>
        <v>Día anterior</v>
      </c>
      <c r="C22" s="3" t="s">
        <v>51</v>
      </c>
      <c r="D22" t="s">
        <v>52</v>
      </c>
      <c r="E22" s="3" t="s">
        <v>139</v>
      </c>
      <c r="F22" s="3" t="s">
        <v>6</v>
      </c>
      <c r="G22" s="3" t="s">
        <v>48</v>
      </c>
      <c r="H22" s="3" t="s">
        <v>50</v>
      </c>
      <c r="I22" s="3" t="s">
        <v>22</v>
      </c>
      <c r="J22" s="3" t="s">
        <v>31</v>
      </c>
      <c r="K22" s="3" t="s">
        <v>9</v>
      </c>
      <c r="L22" s="3" t="s">
        <v>33</v>
      </c>
      <c r="M22">
        <v>1</v>
      </c>
    </row>
    <row r="23" spans="1:13" x14ac:dyDescent="0.25">
      <c r="A23" s="2">
        <v>46274</v>
      </c>
      <c r="B23" s="1" t="str">
        <f ca="1">IF(Información1[[#This Row],[Fecha]]='Ajuste de fechas'!$A$2,"Día actual","Día anterior")</f>
        <v>Día anterior</v>
      </c>
      <c r="C23" s="3" t="s">
        <v>51</v>
      </c>
      <c r="D23" t="s">
        <v>52</v>
      </c>
      <c r="E23" s="3" t="s">
        <v>118</v>
      </c>
      <c r="F23" s="3" t="s">
        <v>44</v>
      </c>
      <c r="G23" s="3" t="s">
        <v>119</v>
      </c>
      <c r="H23" s="3" t="s">
        <v>50</v>
      </c>
      <c r="I23" s="3" t="s">
        <v>7</v>
      </c>
      <c r="J23" s="3" t="s">
        <v>31</v>
      </c>
      <c r="K23" s="3" t="s">
        <v>54</v>
      </c>
      <c r="L23" s="3" t="s">
        <v>34</v>
      </c>
      <c r="M23">
        <v>1</v>
      </c>
    </row>
    <row r="24" spans="1:13" x14ac:dyDescent="0.25">
      <c r="A24" s="2">
        <v>46274</v>
      </c>
      <c r="B24" s="1" t="str">
        <f ca="1">IF(Información1[[#This Row],[Fecha]]='Ajuste de fechas'!$A$2,"Día actual","Día anterior")</f>
        <v>Día anterior</v>
      </c>
      <c r="C24" s="3" t="s">
        <v>51</v>
      </c>
      <c r="D24" t="s">
        <v>52</v>
      </c>
      <c r="E24" s="3" t="s">
        <v>140</v>
      </c>
      <c r="F24" s="3" t="s">
        <v>19</v>
      </c>
      <c r="G24" s="3" t="s">
        <v>141</v>
      </c>
      <c r="H24" s="3" t="s">
        <v>50</v>
      </c>
      <c r="I24" s="3" t="s">
        <v>7</v>
      </c>
      <c r="J24" s="3" t="s">
        <v>36</v>
      </c>
      <c r="K24" s="3" t="s">
        <v>54</v>
      </c>
      <c r="L24" s="3" t="s">
        <v>32</v>
      </c>
      <c r="M24">
        <v>1</v>
      </c>
    </row>
    <row r="25" spans="1:13" x14ac:dyDescent="0.25">
      <c r="A25" s="2">
        <v>46274</v>
      </c>
      <c r="B25" s="1" t="str">
        <f ca="1">IF(Información1[[#This Row],[Fecha]]='Ajuste de fechas'!$A$2,"Día actual","Día anterior")</f>
        <v>Día anterior</v>
      </c>
      <c r="C25" s="3" t="s">
        <v>51</v>
      </c>
      <c r="D25" t="s">
        <v>52</v>
      </c>
      <c r="E25" s="3" t="s">
        <v>142</v>
      </c>
      <c r="F25" s="3" t="s">
        <v>49</v>
      </c>
      <c r="G25" s="3" t="s">
        <v>143</v>
      </c>
      <c r="H25" s="3" t="s">
        <v>50</v>
      </c>
      <c r="I25" s="3" t="s">
        <v>7</v>
      </c>
      <c r="J25" s="3" t="s">
        <v>31</v>
      </c>
      <c r="K25" s="3" t="s">
        <v>54</v>
      </c>
      <c r="L25" s="3" t="s">
        <v>34</v>
      </c>
      <c r="M25">
        <v>1</v>
      </c>
    </row>
    <row r="26" spans="1:13" x14ac:dyDescent="0.25">
      <c r="A26" s="2">
        <v>46274</v>
      </c>
      <c r="B26" s="1" t="str">
        <f ca="1">IF(Información1[[#This Row],[Fecha]]='Ajuste de fechas'!$A$2,"Día actual","Día anterior")</f>
        <v>Día anterior</v>
      </c>
      <c r="C26" s="3" t="s">
        <v>51</v>
      </c>
      <c r="D26" t="s">
        <v>52</v>
      </c>
      <c r="E26" s="3" t="s">
        <v>144</v>
      </c>
      <c r="F26" s="3" t="s">
        <v>19</v>
      </c>
      <c r="G26" s="3" t="s">
        <v>129</v>
      </c>
      <c r="H26" s="3" t="s">
        <v>50</v>
      </c>
      <c r="I26" s="3" t="s">
        <v>7</v>
      </c>
      <c r="J26" s="3" t="s">
        <v>36</v>
      </c>
      <c r="K26" s="3" t="s">
        <v>54</v>
      </c>
      <c r="L26" s="3" t="s">
        <v>32</v>
      </c>
      <c r="M26">
        <v>1</v>
      </c>
    </row>
    <row r="27" spans="1:13" x14ac:dyDescent="0.25">
      <c r="A27" s="2">
        <v>46274</v>
      </c>
      <c r="B27" s="1" t="str">
        <f ca="1">IF(Información1[[#This Row],[Fecha]]='Ajuste de fechas'!$A$2,"Día actual","Día anterior")</f>
        <v>Día anterior</v>
      </c>
      <c r="C27" s="3" t="s">
        <v>51</v>
      </c>
      <c r="D27" t="s">
        <v>52</v>
      </c>
      <c r="E27" s="3" t="s">
        <v>145</v>
      </c>
      <c r="F27" s="3" t="s">
        <v>16</v>
      </c>
      <c r="G27" s="3" t="s">
        <v>143</v>
      </c>
      <c r="H27" s="3" t="s">
        <v>50</v>
      </c>
      <c r="I27" s="3" t="s">
        <v>7</v>
      </c>
      <c r="J27" s="3" t="s">
        <v>35</v>
      </c>
      <c r="K27" s="3" t="s">
        <v>54</v>
      </c>
      <c r="L27" s="3" t="s">
        <v>32</v>
      </c>
      <c r="M27">
        <v>1</v>
      </c>
    </row>
    <row r="28" spans="1:13" x14ac:dyDescent="0.25">
      <c r="A28" s="2">
        <v>46274</v>
      </c>
      <c r="B28" s="1" t="str">
        <f ca="1">IF(Información1[[#This Row],[Fecha]]='Ajuste de fechas'!$A$2,"Día actual","Día anterior")</f>
        <v>Día anterior</v>
      </c>
      <c r="C28" s="3" t="s">
        <v>71</v>
      </c>
      <c r="D28" t="s">
        <v>72</v>
      </c>
      <c r="E28" s="3" t="s">
        <v>146</v>
      </c>
      <c r="F28" s="3" t="s">
        <v>21</v>
      </c>
      <c r="G28" s="3" t="s">
        <v>147</v>
      </c>
      <c r="H28" s="3" t="s">
        <v>50</v>
      </c>
      <c r="I28" s="3" t="s">
        <v>7</v>
      </c>
      <c r="J28" s="3" t="s">
        <v>21</v>
      </c>
      <c r="K28" s="3" t="s">
        <v>73</v>
      </c>
      <c r="L28" s="3" t="s">
        <v>32</v>
      </c>
      <c r="M28">
        <v>1</v>
      </c>
    </row>
    <row r="29" spans="1:13" x14ac:dyDescent="0.25">
      <c r="A29" s="2">
        <v>46274</v>
      </c>
      <c r="B29" s="1" t="str">
        <f ca="1">IF(Información1[[#This Row],[Fecha]]='Ajuste de fechas'!$A$2,"Día actual","Día anterior")</f>
        <v>Día anterior</v>
      </c>
      <c r="C29" s="3" t="s">
        <v>71</v>
      </c>
      <c r="D29" t="s">
        <v>72</v>
      </c>
      <c r="E29" s="3" t="s">
        <v>148</v>
      </c>
      <c r="F29" s="3" t="s">
        <v>88</v>
      </c>
      <c r="G29" s="3" t="s">
        <v>149</v>
      </c>
      <c r="H29" s="3" t="s">
        <v>50</v>
      </c>
      <c r="I29" s="3" t="s">
        <v>7</v>
      </c>
      <c r="J29" s="3" t="s">
        <v>31</v>
      </c>
      <c r="K29" s="3" t="s">
        <v>73</v>
      </c>
      <c r="L29" s="3" t="s">
        <v>32</v>
      </c>
      <c r="M29">
        <v>1</v>
      </c>
    </row>
    <row r="30" spans="1:13" x14ac:dyDescent="0.25">
      <c r="A30" s="2">
        <v>46274</v>
      </c>
      <c r="B30" s="1" t="str">
        <f ca="1">IF(Información1[[#This Row],[Fecha]]='Ajuste de fechas'!$A$2,"Día actual","Día anterior")</f>
        <v>Día anterior</v>
      </c>
      <c r="C30" s="3" t="s">
        <v>8</v>
      </c>
      <c r="D30" t="s">
        <v>10</v>
      </c>
      <c r="E30" s="3" t="s">
        <v>17</v>
      </c>
      <c r="F30" s="3" t="s">
        <v>16</v>
      </c>
      <c r="G30" s="3" t="s">
        <v>24</v>
      </c>
      <c r="H30" s="3" t="s">
        <v>50</v>
      </c>
      <c r="I30" s="3" t="s">
        <v>11</v>
      </c>
      <c r="J30" s="3" t="s">
        <v>35</v>
      </c>
      <c r="K30" s="3" t="s">
        <v>12</v>
      </c>
      <c r="L30" s="3" t="s">
        <v>33</v>
      </c>
      <c r="M30">
        <v>1</v>
      </c>
    </row>
    <row r="31" spans="1:13" x14ac:dyDescent="0.25">
      <c r="A31" s="2">
        <v>46274</v>
      </c>
      <c r="B31" s="1" t="str">
        <f ca="1">IF(Información1[[#This Row],[Fecha]]='Ajuste de fechas'!$A$2,"Día actual","Día anterior")</f>
        <v>Día anterior</v>
      </c>
      <c r="C31" s="3" t="s">
        <v>8</v>
      </c>
      <c r="D31" t="s">
        <v>10</v>
      </c>
      <c r="E31" s="3" t="s">
        <v>15</v>
      </c>
      <c r="F31" s="3" t="s">
        <v>16</v>
      </c>
      <c r="G31" s="3" t="s">
        <v>24</v>
      </c>
      <c r="H31" s="3" t="s">
        <v>50</v>
      </c>
      <c r="I31" s="3" t="s">
        <v>11</v>
      </c>
      <c r="J31" s="3" t="s">
        <v>35</v>
      </c>
      <c r="K31" s="3" t="s">
        <v>12</v>
      </c>
      <c r="L31" s="3" t="s">
        <v>33</v>
      </c>
      <c r="M31">
        <v>1</v>
      </c>
    </row>
    <row r="32" spans="1:13" x14ac:dyDescent="0.25">
      <c r="A32" s="2">
        <v>46274</v>
      </c>
      <c r="B32" s="1" t="str">
        <f ca="1">IF(Información1[[#This Row],[Fecha]]='Ajuste de fechas'!$A$2,"Día actual","Día anterior")</f>
        <v>Día anterior</v>
      </c>
      <c r="C32" s="3" t="s">
        <v>8</v>
      </c>
      <c r="D32" t="s">
        <v>10</v>
      </c>
      <c r="E32" s="3" t="s">
        <v>43</v>
      </c>
      <c r="F32" s="3" t="s">
        <v>41</v>
      </c>
      <c r="G32" s="3" t="s">
        <v>24</v>
      </c>
      <c r="H32" s="3" t="s">
        <v>50</v>
      </c>
      <c r="I32" s="3" t="s">
        <v>11</v>
      </c>
      <c r="J32" s="3" t="s">
        <v>21</v>
      </c>
      <c r="K32" s="3" t="s">
        <v>12</v>
      </c>
      <c r="L32" s="3" t="s">
        <v>33</v>
      </c>
      <c r="M32">
        <v>1</v>
      </c>
    </row>
    <row r="33" spans="1:13" x14ac:dyDescent="0.25">
      <c r="A33" s="2">
        <v>46274</v>
      </c>
      <c r="B33" s="1" t="str">
        <f ca="1">IF(Información1[[#This Row],[Fecha]]='Ajuste de fechas'!$A$2,"Día actual","Día anterior")</f>
        <v>Día anterior</v>
      </c>
      <c r="C33" s="3" t="s">
        <v>8</v>
      </c>
      <c r="D33" t="s">
        <v>10</v>
      </c>
      <c r="E33" s="3" t="s">
        <v>45</v>
      </c>
      <c r="F33" s="3" t="s">
        <v>18</v>
      </c>
      <c r="G33" s="3" t="s">
        <v>24</v>
      </c>
      <c r="H33" s="3" t="s">
        <v>50</v>
      </c>
      <c r="I33" s="3" t="s">
        <v>11</v>
      </c>
      <c r="J33" s="3" t="s">
        <v>31</v>
      </c>
      <c r="K33" s="3" t="s">
        <v>12</v>
      </c>
      <c r="L33" s="3" t="s">
        <v>33</v>
      </c>
      <c r="M33">
        <v>1</v>
      </c>
    </row>
    <row r="34" spans="1:13" x14ac:dyDescent="0.25">
      <c r="A34" s="2">
        <v>46274</v>
      </c>
      <c r="B34" s="1" t="str">
        <f ca="1">IF(Información1[[#This Row],[Fecha]]='Ajuste de fechas'!$A$2,"Día actual","Día anterior")</f>
        <v>Día anterior</v>
      </c>
      <c r="C34" s="3" t="s">
        <v>8</v>
      </c>
      <c r="D34" t="s">
        <v>10</v>
      </c>
      <c r="E34" s="3" t="s">
        <v>47</v>
      </c>
      <c r="F34" s="3" t="s">
        <v>46</v>
      </c>
      <c r="G34" s="3" t="s">
        <v>24</v>
      </c>
      <c r="H34" s="3" t="s">
        <v>50</v>
      </c>
      <c r="I34" s="3" t="s">
        <v>11</v>
      </c>
      <c r="J34" s="3" t="s">
        <v>31</v>
      </c>
      <c r="K34" s="3" t="s">
        <v>12</v>
      </c>
      <c r="L34" s="3" t="s">
        <v>33</v>
      </c>
      <c r="M34">
        <v>1</v>
      </c>
    </row>
    <row r="35" spans="1:13" x14ac:dyDescent="0.25">
      <c r="A35" s="2">
        <v>46274</v>
      </c>
      <c r="B35" s="1" t="str">
        <f ca="1">IF(Información1[[#This Row],[Fecha]]='Ajuste de fechas'!$A$2,"Día actual","Día anterior")</f>
        <v>Día anterior</v>
      </c>
      <c r="C35" s="3" t="s">
        <v>8</v>
      </c>
      <c r="D35" t="s">
        <v>10</v>
      </c>
      <c r="E35" s="3" t="s">
        <v>13</v>
      </c>
      <c r="F35" s="3" t="s">
        <v>14</v>
      </c>
      <c r="G35" s="3" t="s">
        <v>24</v>
      </c>
      <c r="H35" s="3" t="s">
        <v>50</v>
      </c>
      <c r="I35" s="3" t="s">
        <v>11</v>
      </c>
      <c r="J35" s="3" t="s">
        <v>31</v>
      </c>
      <c r="K35" s="3" t="s">
        <v>12</v>
      </c>
      <c r="L35" s="3" t="s">
        <v>33</v>
      </c>
      <c r="M35">
        <v>1</v>
      </c>
    </row>
    <row r="36" spans="1:13" x14ac:dyDescent="0.25">
      <c r="A36" s="2">
        <v>46274</v>
      </c>
      <c r="B36" s="1" t="str">
        <f ca="1">IF(Información1[[#This Row],[Fecha]]='Ajuste de fechas'!$A$2,"Día actual","Día anterior")</f>
        <v>Día anterior</v>
      </c>
      <c r="C36" s="3" t="s">
        <v>8</v>
      </c>
      <c r="D36" t="s">
        <v>10</v>
      </c>
      <c r="E36" s="3" t="s">
        <v>40</v>
      </c>
      <c r="F36" s="3" t="s">
        <v>6</v>
      </c>
      <c r="G36" s="3" t="s">
        <v>24</v>
      </c>
      <c r="H36" s="3" t="s">
        <v>50</v>
      </c>
      <c r="I36" s="3" t="s">
        <v>11</v>
      </c>
      <c r="J36" s="3" t="s">
        <v>31</v>
      </c>
      <c r="K36" s="3" t="s">
        <v>12</v>
      </c>
      <c r="L36" s="3" t="s">
        <v>33</v>
      </c>
      <c r="M36">
        <v>1</v>
      </c>
    </row>
    <row r="37" spans="1:13" x14ac:dyDescent="0.25">
      <c r="A37" s="2">
        <v>46274</v>
      </c>
      <c r="B37" s="1" t="str">
        <f ca="1">IF(Información1[[#This Row],[Fecha]]='Ajuste de fechas'!$A$2,"Día actual","Día anterior")</f>
        <v>Día anterior</v>
      </c>
      <c r="C37" s="3" t="s">
        <v>71</v>
      </c>
      <c r="D37" t="s">
        <v>72</v>
      </c>
      <c r="E37" s="3" t="s">
        <v>150</v>
      </c>
      <c r="F37" s="3" t="s">
        <v>44</v>
      </c>
      <c r="G37" s="3" t="s">
        <v>151</v>
      </c>
      <c r="H37" s="3" t="s">
        <v>50</v>
      </c>
      <c r="I37" s="3" t="s">
        <v>7</v>
      </c>
      <c r="J37" s="3" t="s">
        <v>31</v>
      </c>
      <c r="K37" s="3" t="s">
        <v>73</v>
      </c>
      <c r="L37" s="3" t="s">
        <v>32</v>
      </c>
      <c r="M37">
        <v>1</v>
      </c>
    </row>
    <row r="38" spans="1:13" x14ac:dyDescent="0.25">
      <c r="A38" s="2">
        <v>46274</v>
      </c>
      <c r="B38" s="1" t="str">
        <f ca="1">IF(Información1[[#This Row],[Fecha]]='Ajuste de fechas'!$A$2,"Día actual","Día anterior")</f>
        <v>Día anterior</v>
      </c>
      <c r="C38" s="3" t="s">
        <v>71</v>
      </c>
      <c r="D38" t="s">
        <v>72</v>
      </c>
      <c r="E38" s="3" t="s">
        <v>152</v>
      </c>
      <c r="F38" s="3" t="s">
        <v>49</v>
      </c>
      <c r="G38" s="3" t="s">
        <v>143</v>
      </c>
      <c r="H38" s="3" t="s">
        <v>50</v>
      </c>
      <c r="I38" s="3" t="s">
        <v>7</v>
      </c>
      <c r="J38" s="3" t="s">
        <v>31</v>
      </c>
      <c r="K38" s="3" t="s">
        <v>73</v>
      </c>
      <c r="L38" s="3" t="s">
        <v>32</v>
      </c>
      <c r="M38">
        <v>1</v>
      </c>
    </row>
    <row r="39" spans="1:13" x14ac:dyDescent="0.25">
      <c r="A39" s="2">
        <v>46274</v>
      </c>
      <c r="B39" s="1" t="str">
        <f ca="1">IF(Información1[[#This Row],[Fecha]]='Ajuste de fechas'!$A$2,"Día actual","Día anterior")</f>
        <v>Día anterior</v>
      </c>
      <c r="C39" s="3" t="s">
        <v>8</v>
      </c>
      <c r="D39" t="s">
        <v>10</v>
      </c>
      <c r="E39" s="3" t="s">
        <v>142</v>
      </c>
      <c r="F39" s="3" t="s">
        <v>49</v>
      </c>
      <c r="G39" s="3" t="s">
        <v>143</v>
      </c>
      <c r="H39" s="3" t="s">
        <v>50</v>
      </c>
      <c r="I39" s="3" t="s">
        <v>7</v>
      </c>
      <c r="J39" s="3" t="s">
        <v>31</v>
      </c>
      <c r="K39" s="3" t="s">
        <v>12</v>
      </c>
      <c r="L39" s="3" t="s">
        <v>34</v>
      </c>
      <c r="M39">
        <v>1</v>
      </c>
    </row>
    <row r="40" spans="1:13" x14ac:dyDescent="0.25">
      <c r="A40" s="2">
        <v>46274</v>
      </c>
      <c r="B40" s="1" t="str">
        <f ca="1">IF(Información1[[#This Row],[Fecha]]='Ajuste de fechas'!$A$2,"Día actual","Día anterior")</f>
        <v>Día anterior</v>
      </c>
      <c r="C40" s="3" t="s">
        <v>8</v>
      </c>
      <c r="D40" t="s">
        <v>10</v>
      </c>
      <c r="E40" s="3" t="s">
        <v>153</v>
      </c>
      <c r="F40" s="3" t="s">
        <v>19</v>
      </c>
      <c r="G40" s="3" t="s">
        <v>99</v>
      </c>
      <c r="H40" s="3" t="s">
        <v>50</v>
      </c>
      <c r="I40" s="3" t="s">
        <v>7</v>
      </c>
      <c r="J40" s="3" t="s">
        <v>36</v>
      </c>
      <c r="K40" s="3" t="s">
        <v>12</v>
      </c>
      <c r="L40" s="3" t="s">
        <v>32</v>
      </c>
      <c r="M40">
        <v>1</v>
      </c>
    </row>
    <row r="41" spans="1:13" x14ac:dyDescent="0.25">
      <c r="A41" s="2">
        <v>46274</v>
      </c>
      <c r="B41" s="1" t="str">
        <f ca="1">IF(Información1[[#This Row],[Fecha]]='Ajuste de fechas'!$A$2,"Día actual","Día anterior")</f>
        <v>Día anterior</v>
      </c>
      <c r="C41" s="3" t="s">
        <v>71</v>
      </c>
      <c r="D41" t="s">
        <v>72</v>
      </c>
      <c r="E41" s="3" t="s">
        <v>154</v>
      </c>
      <c r="F41" s="3" t="s">
        <v>19</v>
      </c>
      <c r="G41" s="3" t="s">
        <v>82</v>
      </c>
      <c r="H41" s="3" t="s">
        <v>50</v>
      </c>
      <c r="I41" s="3" t="s">
        <v>7</v>
      </c>
      <c r="J41" s="3" t="s">
        <v>36</v>
      </c>
      <c r="K41" s="3" t="s">
        <v>73</v>
      </c>
      <c r="L41" s="3" t="s">
        <v>32</v>
      </c>
      <c r="M41">
        <v>1</v>
      </c>
    </row>
    <row r="42" spans="1:13" x14ac:dyDescent="0.25">
      <c r="A42" s="2">
        <v>46274</v>
      </c>
      <c r="B42" s="1" t="str">
        <f ca="1">IF(Información1[[#This Row],[Fecha]]='Ajuste de fechas'!$A$2,"Día actual","Día anterior")</f>
        <v>Día anterior</v>
      </c>
      <c r="C42" s="3" t="s">
        <v>71</v>
      </c>
      <c r="D42" t="s">
        <v>72</v>
      </c>
      <c r="E42" s="3" t="s">
        <v>155</v>
      </c>
      <c r="F42" s="3" t="s">
        <v>19</v>
      </c>
      <c r="G42" s="3" t="s">
        <v>82</v>
      </c>
      <c r="H42" s="3" t="s">
        <v>50</v>
      </c>
      <c r="I42" s="3" t="s">
        <v>7</v>
      </c>
      <c r="J42" s="3" t="s">
        <v>36</v>
      </c>
      <c r="K42" s="3" t="s">
        <v>73</v>
      </c>
      <c r="L42" s="3" t="s">
        <v>32</v>
      </c>
      <c r="M42">
        <v>1</v>
      </c>
    </row>
    <row r="43" spans="1:13" x14ac:dyDescent="0.25">
      <c r="A43" s="2">
        <v>46274</v>
      </c>
      <c r="B43" s="1" t="str">
        <f ca="1">IF(Información1[[#This Row],[Fecha]]='Ajuste de fechas'!$A$2,"Día actual","Día anterior")</f>
        <v>Día anterior</v>
      </c>
      <c r="C43" s="3" t="s">
        <v>8</v>
      </c>
      <c r="D43" t="s">
        <v>10</v>
      </c>
      <c r="E43" s="3" t="s">
        <v>156</v>
      </c>
      <c r="F43" s="3" t="s">
        <v>19</v>
      </c>
      <c r="G43" s="3" t="s">
        <v>86</v>
      </c>
      <c r="H43" s="3" t="s">
        <v>50</v>
      </c>
      <c r="I43" s="3" t="s">
        <v>7</v>
      </c>
      <c r="J43" s="3" t="s">
        <v>36</v>
      </c>
      <c r="K43" s="3" t="s">
        <v>12</v>
      </c>
      <c r="L43" s="3" t="s">
        <v>32</v>
      </c>
      <c r="M43">
        <v>1</v>
      </c>
    </row>
    <row r="44" spans="1:13" x14ac:dyDescent="0.25">
      <c r="A44" s="2">
        <v>46274</v>
      </c>
      <c r="B44" s="1" t="str">
        <f ca="1">IF(Información1[[#This Row],[Fecha]]='Ajuste de fechas'!$A$2,"Día actual","Día anterior")</f>
        <v>Día anterior</v>
      </c>
      <c r="C44" s="3" t="s">
        <v>8</v>
      </c>
      <c r="D44" t="s">
        <v>10</v>
      </c>
      <c r="E44" s="3" t="s">
        <v>157</v>
      </c>
      <c r="F44" s="3" t="s">
        <v>14</v>
      </c>
      <c r="G44" s="3" t="s">
        <v>158</v>
      </c>
      <c r="H44" s="3" t="s">
        <v>50</v>
      </c>
      <c r="I44" s="3" t="s">
        <v>22</v>
      </c>
      <c r="J44" s="3" t="s">
        <v>31</v>
      </c>
      <c r="K44" s="3" t="s">
        <v>12</v>
      </c>
      <c r="L44" s="3" t="s">
        <v>33</v>
      </c>
      <c r="M44">
        <v>1</v>
      </c>
    </row>
    <row r="45" spans="1:13" x14ac:dyDescent="0.25">
      <c r="A45" s="2">
        <v>46274</v>
      </c>
      <c r="B45" s="1" t="str">
        <f ca="1">IF(Información1[[#This Row],[Fecha]]='Ajuste de fechas'!$A$2,"Día actual","Día anterior")</f>
        <v>Día anterior</v>
      </c>
      <c r="C45" s="3" t="s">
        <v>8</v>
      </c>
      <c r="D45" t="s">
        <v>10</v>
      </c>
      <c r="E45" s="3" t="s">
        <v>159</v>
      </c>
      <c r="F45" s="3" t="s">
        <v>14</v>
      </c>
      <c r="G45" s="3" t="s">
        <v>158</v>
      </c>
      <c r="H45" s="3" t="s">
        <v>50</v>
      </c>
      <c r="I45" s="3" t="s">
        <v>22</v>
      </c>
      <c r="J45" s="3" t="s">
        <v>31</v>
      </c>
      <c r="K45" s="3" t="s">
        <v>9</v>
      </c>
      <c r="L45" s="3" t="s">
        <v>33</v>
      </c>
      <c r="M45">
        <v>1</v>
      </c>
    </row>
    <row r="46" spans="1:13" x14ac:dyDescent="0.25">
      <c r="A46" s="2">
        <v>46274</v>
      </c>
      <c r="B46" s="1" t="str">
        <f ca="1">IF(Información1[[#This Row],[Fecha]]='Ajuste de fechas'!$A$2,"Día actual","Día anterior")</f>
        <v>Día anterior</v>
      </c>
      <c r="C46" s="3" t="s">
        <v>8</v>
      </c>
      <c r="D46" t="s">
        <v>10</v>
      </c>
      <c r="E46" s="3" t="s">
        <v>160</v>
      </c>
      <c r="F46" s="3" t="s">
        <v>83</v>
      </c>
      <c r="G46" s="3" t="s">
        <v>161</v>
      </c>
      <c r="H46" s="3" t="s">
        <v>50</v>
      </c>
      <c r="I46" s="3" t="s">
        <v>7</v>
      </c>
      <c r="J46" s="3" t="s">
        <v>31</v>
      </c>
      <c r="K46" s="3" t="s">
        <v>12</v>
      </c>
      <c r="L46" s="3" t="s">
        <v>34</v>
      </c>
      <c r="M46">
        <v>1</v>
      </c>
    </row>
    <row r="47" spans="1:13" x14ac:dyDescent="0.25">
      <c r="A47" s="2">
        <v>46274</v>
      </c>
      <c r="B47" s="1" t="str">
        <f ca="1">IF(Información1[[#This Row],[Fecha]]='Ajuste de fechas'!$A$2,"Día actual","Día anterior")</f>
        <v>Día anterior</v>
      </c>
      <c r="C47" s="3" t="s">
        <v>71</v>
      </c>
      <c r="D47" t="s">
        <v>72</v>
      </c>
      <c r="E47" s="3" t="s">
        <v>162</v>
      </c>
      <c r="F47" s="3" t="s">
        <v>46</v>
      </c>
      <c r="G47" s="3" t="s">
        <v>163</v>
      </c>
      <c r="H47" s="3" t="s">
        <v>50</v>
      </c>
      <c r="I47" s="3" t="s">
        <v>7</v>
      </c>
      <c r="J47" s="3" t="s">
        <v>31</v>
      </c>
      <c r="K47" s="3" t="s">
        <v>73</v>
      </c>
      <c r="L47" s="3" t="s">
        <v>32</v>
      </c>
      <c r="M47">
        <v>1</v>
      </c>
    </row>
    <row r="48" spans="1:13" x14ac:dyDescent="0.25">
      <c r="A48" s="2">
        <v>46274</v>
      </c>
      <c r="B48" s="1" t="str">
        <f ca="1">IF(Información1[[#This Row],[Fecha]]='Ajuste de fechas'!$A$2,"Día actual","Día anterior")</f>
        <v>Día anterior</v>
      </c>
      <c r="C48" s="3" t="s">
        <v>8</v>
      </c>
      <c r="D48" t="s">
        <v>10</v>
      </c>
      <c r="E48" s="3" t="s">
        <v>164</v>
      </c>
      <c r="F48" s="3" t="s">
        <v>6</v>
      </c>
      <c r="G48" s="3" t="s">
        <v>165</v>
      </c>
      <c r="H48" s="3" t="s">
        <v>50</v>
      </c>
      <c r="I48" s="3" t="s">
        <v>22</v>
      </c>
      <c r="J48" s="3" t="s">
        <v>31</v>
      </c>
      <c r="K48" s="3" t="s">
        <v>9</v>
      </c>
      <c r="L48" s="3" t="s">
        <v>33</v>
      </c>
      <c r="M48">
        <v>1</v>
      </c>
    </row>
    <row r="49" spans="1:13" x14ac:dyDescent="0.25">
      <c r="A49" s="2">
        <v>46274</v>
      </c>
      <c r="B49" s="1" t="str">
        <f ca="1">IF(Información1[[#This Row],[Fecha]]='Ajuste de fechas'!$A$2,"Día actual","Día anterior")</f>
        <v>Día anterior</v>
      </c>
      <c r="C49" s="3" t="s">
        <v>71</v>
      </c>
      <c r="D49" t="s">
        <v>72</v>
      </c>
      <c r="E49" s="3" t="s">
        <v>166</v>
      </c>
      <c r="F49" s="3" t="s">
        <v>16</v>
      </c>
      <c r="G49" s="3" t="s">
        <v>167</v>
      </c>
      <c r="H49" s="3" t="s">
        <v>50</v>
      </c>
      <c r="I49" s="3" t="s">
        <v>22</v>
      </c>
      <c r="J49" s="3" t="s">
        <v>35</v>
      </c>
      <c r="K49" s="3" t="s">
        <v>73</v>
      </c>
      <c r="L49" s="3" t="s">
        <v>32</v>
      </c>
      <c r="M49">
        <v>1</v>
      </c>
    </row>
    <row r="50" spans="1:13" x14ac:dyDescent="0.25">
      <c r="A50" s="2">
        <v>46274</v>
      </c>
      <c r="B50" s="1" t="str">
        <f ca="1">IF(Información1[[#This Row],[Fecha]]='Ajuste de fechas'!$A$2,"Día actual","Día anterior")</f>
        <v>Día anterior</v>
      </c>
      <c r="C50" s="3" t="s">
        <v>71</v>
      </c>
      <c r="D50" t="s">
        <v>72</v>
      </c>
      <c r="E50" s="3" t="s">
        <v>168</v>
      </c>
      <c r="F50" s="3" t="s">
        <v>74</v>
      </c>
      <c r="G50" s="3" t="s">
        <v>117</v>
      </c>
      <c r="H50" s="3" t="s">
        <v>50</v>
      </c>
      <c r="I50" s="3" t="s">
        <v>7</v>
      </c>
      <c r="J50" s="3" t="s">
        <v>31</v>
      </c>
      <c r="K50" s="3" t="s">
        <v>73</v>
      </c>
      <c r="L50" s="3" t="s">
        <v>32</v>
      </c>
      <c r="M50">
        <v>1</v>
      </c>
    </row>
    <row r="51" spans="1:13" x14ac:dyDescent="0.25">
      <c r="A51" s="2">
        <v>46274</v>
      </c>
      <c r="B51" s="1" t="str">
        <f ca="1">IF(Información1[[#This Row],[Fecha]]='Ajuste de fechas'!$A$2,"Día actual","Día anterior")</f>
        <v>Día anterior</v>
      </c>
      <c r="C51" s="3" t="s">
        <v>8</v>
      </c>
      <c r="D51" t="s">
        <v>10</v>
      </c>
      <c r="E51" s="3" t="s">
        <v>169</v>
      </c>
      <c r="F51" s="3" t="s">
        <v>74</v>
      </c>
      <c r="G51" s="3" t="s">
        <v>117</v>
      </c>
      <c r="H51" s="3" t="s">
        <v>50</v>
      </c>
      <c r="I51" s="3" t="s">
        <v>7</v>
      </c>
      <c r="J51" s="3" t="s">
        <v>31</v>
      </c>
      <c r="K51" s="3" t="s">
        <v>12</v>
      </c>
      <c r="L51" s="3" t="s">
        <v>32</v>
      </c>
      <c r="M51">
        <v>1</v>
      </c>
    </row>
    <row r="52" spans="1:13" x14ac:dyDescent="0.25">
      <c r="A52" s="2">
        <v>46274</v>
      </c>
      <c r="B52" s="1" t="str">
        <f ca="1">IF(Información1[[#This Row],[Fecha]]='Ajuste de fechas'!$A$2,"Día actual","Día anterior")</f>
        <v>Día anterior</v>
      </c>
      <c r="C52" s="3" t="s">
        <v>8</v>
      </c>
      <c r="D52" t="s">
        <v>10</v>
      </c>
      <c r="E52" s="3" t="s">
        <v>170</v>
      </c>
      <c r="F52" s="3" t="s">
        <v>16</v>
      </c>
      <c r="G52" s="3" t="s">
        <v>171</v>
      </c>
      <c r="H52" s="3" t="s">
        <v>50</v>
      </c>
      <c r="I52" s="3" t="s">
        <v>7</v>
      </c>
      <c r="J52" s="3" t="s">
        <v>35</v>
      </c>
      <c r="K52" s="3" t="s">
        <v>9</v>
      </c>
      <c r="L52" s="3" t="s">
        <v>32</v>
      </c>
      <c r="M52">
        <v>1</v>
      </c>
    </row>
    <row r="53" spans="1:13" x14ac:dyDescent="0.25">
      <c r="A53" s="2">
        <v>46274</v>
      </c>
      <c r="B53" s="1" t="str">
        <f ca="1">IF(Información1[[#This Row],[Fecha]]='Ajuste de fechas'!$A$2,"Día actual","Día anterior")</f>
        <v>Día anterior</v>
      </c>
      <c r="C53" s="3" t="s">
        <v>71</v>
      </c>
      <c r="D53" t="s">
        <v>72</v>
      </c>
      <c r="E53" s="3" t="s">
        <v>172</v>
      </c>
      <c r="F53" s="3" t="s">
        <v>23</v>
      </c>
      <c r="G53" s="3" t="s">
        <v>173</v>
      </c>
      <c r="H53" s="3" t="s">
        <v>50</v>
      </c>
      <c r="I53" s="3" t="s">
        <v>7</v>
      </c>
      <c r="J53" s="3" t="s">
        <v>31</v>
      </c>
      <c r="K53" s="3" t="s">
        <v>73</v>
      </c>
      <c r="L53" s="3" t="s">
        <v>32</v>
      </c>
      <c r="M53">
        <v>1</v>
      </c>
    </row>
    <row r="54" spans="1:13" x14ac:dyDescent="0.25">
      <c r="A54" s="2">
        <v>46274</v>
      </c>
      <c r="B54" s="1" t="str">
        <f ca="1">IF(Información1[[#This Row],[Fecha]]='Ajuste de fechas'!$A$2,"Día actual","Día anterior")</f>
        <v>Día anterior</v>
      </c>
      <c r="C54" s="3" t="s">
        <v>71</v>
      </c>
      <c r="D54" t="s">
        <v>72</v>
      </c>
      <c r="E54" s="3" t="s">
        <v>174</v>
      </c>
      <c r="F54" s="3" t="s">
        <v>18</v>
      </c>
      <c r="G54" s="3" t="s">
        <v>121</v>
      </c>
      <c r="H54" s="3" t="s">
        <v>50</v>
      </c>
      <c r="I54" s="3" t="s">
        <v>7</v>
      </c>
      <c r="J54" s="3" t="s">
        <v>31</v>
      </c>
      <c r="K54" s="3" t="s">
        <v>73</v>
      </c>
      <c r="L54" s="3" t="s">
        <v>32</v>
      </c>
      <c r="M54">
        <v>1</v>
      </c>
    </row>
    <row r="55" spans="1:13" x14ac:dyDescent="0.25">
      <c r="A55" s="2">
        <v>46274</v>
      </c>
      <c r="B55" s="1" t="str">
        <f ca="1">IF(Información1[[#This Row],[Fecha]]='Ajuste de fechas'!$A$2,"Día actual","Día anterior")</f>
        <v>Día anterior</v>
      </c>
      <c r="C55" s="3" t="s">
        <v>71</v>
      </c>
      <c r="D55" t="s">
        <v>72</v>
      </c>
      <c r="E55" s="3" t="s">
        <v>175</v>
      </c>
      <c r="F55" s="3" t="s">
        <v>18</v>
      </c>
      <c r="G55" s="3" t="s">
        <v>176</v>
      </c>
      <c r="H55" s="3" t="s">
        <v>50</v>
      </c>
      <c r="I55" s="3" t="s">
        <v>7</v>
      </c>
      <c r="J55" s="3" t="s">
        <v>31</v>
      </c>
      <c r="K55" s="3" t="s">
        <v>73</v>
      </c>
      <c r="L55" s="3" t="s">
        <v>32</v>
      </c>
      <c r="M55">
        <v>1</v>
      </c>
    </row>
    <row r="56" spans="1:13" x14ac:dyDescent="0.25">
      <c r="A56" s="2">
        <v>46274</v>
      </c>
      <c r="B56" s="1" t="str">
        <f ca="1">IF(Información1[[#This Row],[Fecha]]='Ajuste de fechas'!$A$2,"Día actual","Día anterior")</f>
        <v>Día anterior</v>
      </c>
      <c r="C56" s="3" t="s">
        <v>8</v>
      </c>
      <c r="D56" t="s">
        <v>10</v>
      </c>
      <c r="E56" s="3" t="s">
        <v>122</v>
      </c>
      <c r="F56" s="3" t="s">
        <v>18</v>
      </c>
      <c r="G56" s="3" t="s">
        <v>123</v>
      </c>
      <c r="H56" s="3" t="s">
        <v>50</v>
      </c>
      <c r="I56" s="3" t="s">
        <v>7</v>
      </c>
      <c r="J56" s="3" t="s">
        <v>31</v>
      </c>
      <c r="K56" s="3" t="s">
        <v>12</v>
      </c>
      <c r="L56" s="3" t="s">
        <v>34</v>
      </c>
      <c r="M56">
        <v>1</v>
      </c>
    </row>
    <row r="57" spans="1:13" x14ac:dyDescent="0.25">
      <c r="A57" s="2">
        <v>46274</v>
      </c>
      <c r="B57" s="1" t="str">
        <f ca="1">IF(Información1[[#This Row],[Fecha]]='Ajuste de fechas'!$A$2,"Día actual","Día anterior")</f>
        <v>Día anterior</v>
      </c>
      <c r="C57" s="3" t="s">
        <v>71</v>
      </c>
      <c r="D57" t="s">
        <v>72</v>
      </c>
      <c r="E57" s="3" t="s">
        <v>177</v>
      </c>
      <c r="F57" s="3" t="s">
        <v>16</v>
      </c>
      <c r="G57" s="3" t="s">
        <v>178</v>
      </c>
      <c r="H57" s="3" t="s">
        <v>50</v>
      </c>
      <c r="I57" s="3" t="s">
        <v>22</v>
      </c>
      <c r="J57" s="3" t="s">
        <v>35</v>
      </c>
      <c r="K57" s="3" t="s">
        <v>73</v>
      </c>
      <c r="L57" s="3" t="s">
        <v>32</v>
      </c>
      <c r="M57">
        <v>1</v>
      </c>
    </row>
    <row r="58" spans="1:13" x14ac:dyDescent="0.25">
      <c r="A58" s="2">
        <v>46274</v>
      </c>
      <c r="B58" s="1" t="str">
        <f ca="1">IF(Información1[[#This Row],[Fecha]]='Ajuste de fechas'!$A$2,"Día actual","Día anterior")</f>
        <v>Día anterior</v>
      </c>
      <c r="C58" s="3" t="s">
        <v>8</v>
      </c>
      <c r="D58" t="s">
        <v>10</v>
      </c>
      <c r="E58" s="3" t="s">
        <v>179</v>
      </c>
      <c r="F58" s="3" t="s">
        <v>16</v>
      </c>
      <c r="G58" s="3" t="s">
        <v>94</v>
      </c>
      <c r="H58" s="3" t="s">
        <v>50</v>
      </c>
      <c r="I58" s="3" t="s">
        <v>22</v>
      </c>
      <c r="J58" s="3" t="s">
        <v>35</v>
      </c>
      <c r="K58" s="3" t="s">
        <v>9</v>
      </c>
      <c r="L58" s="3" t="s">
        <v>33</v>
      </c>
      <c r="M58">
        <v>1</v>
      </c>
    </row>
    <row r="59" spans="1:13" x14ac:dyDescent="0.25">
      <c r="A59" s="2">
        <v>46274</v>
      </c>
      <c r="B59" s="1" t="str">
        <f ca="1">IF(Información1[[#This Row],[Fecha]]='Ajuste de fechas'!$A$2,"Día actual","Día anterior")</f>
        <v>Día anterior</v>
      </c>
      <c r="C59" s="3" t="s">
        <v>8</v>
      </c>
      <c r="D59" t="s">
        <v>10</v>
      </c>
      <c r="E59" s="3" t="s">
        <v>180</v>
      </c>
      <c r="F59" s="3" t="s">
        <v>16</v>
      </c>
      <c r="G59" s="3" t="s">
        <v>94</v>
      </c>
      <c r="H59" s="3" t="s">
        <v>50</v>
      </c>
      <c r="I59" s="3" t="s">
        <v>22</v>
      </c>
      <c r="J59" s="3" t="s">
        <v>35</v>
      </c>
      <c r="K59" s="3" t="s">
        <v>9</v>
      </c>
      <c r="L59" s="3" t="s">
        <v>33</v>
      </c>
      <c r="M59">
        <v>1</v>
      </c>
    </row>
    <row r="60" spans="1:13" x14ac:dyDescent="0.25">
      <c r="A60" s="2">
        <v>46274</v>
      </c>
      <c r="B60" s="1" t="str">
        <f ca="1">IF(Información1[[#This Row],[Fecha]]='Ajuste de fechas'!$A$2,"Día actual","Día anterior")</f>
        <v>Día anterior</v>
      </c>
      <c r="C60" s="3" t="s">
        <v>59</v>
      </c>
      <c r="D60" t="s">
        <v>60</v>
      </c>
      <c r="E60" s="3" t="s">
        <v>181</v>
      </c>
      <c r="F60" s="3" t="s">
        <v>44</v>
      </c>
      <c r="G60" s="3" t="s">
        <v>182</v>
      </c>
      <c r="H60" s="3" t="s">
        <v>62</v>
      </c>
      <c r="I60" s="3" t="s">
        <v>7</v>
      </c>
      <c r="J60" s="3" t="s">
        <v>31</v>
      </c>
      <c r="K60" s="3" t="s">
        <v>63</v>
      </c>
      <c r="L60" s="3" t="s">
        <v>32</v>
      </c>
      <c r="M60">
        <v>1</v>
      </c>
    </row>
    <row r="61" spans="1:13" x14ac:dyDescent="0.25">
      <c r="A61" s="2">
        <v>46274</v>
      </c>
      <c r="B61" s="1" t="str">
        <f ca="1">IF(Información1[[#This Row],[Fecha]]='Ajuste de fechas'!$A$2,"Día actual","Día anterior")</f>
        <v>Día anterior</v>
      </c>
      <c r="C61" s="3" t="s">
        <v>59</v>
      </c>
      <c r="D61" t="s">
        <v>60</v>
      </c>
      <c r="E61" s="3" t="s">
        <v>183</v>
      </c>
      <c r="F61" s="3" t="s">
        <v>6</v>
      </c>
      <c r="G61" s="3" t="s">
        <v>48</v>
      </c>
      <c r="H61" s="3" t="s">
        <v>62</v>
      </c>
      <c r="I61" s="3" t="s">
        <v>22</v>
      </c>
      <c r="J61" s="3" t="s">
        <v>31</v>
      </c>
      <c r="K61" s="3" t="s">
        <v>9</v>
      </c>
      <c r="L61" s="3" t="s">
        <v>33</v>
      </c>
      <c r="M61">
        <v>1</v>
      </c>
    </row>
    <row r="62" spans="1:13" x14ac:dyDescent="0.25">
      <c r="A62" s="2">
        <v>46274</v>
      </c>
      <c r="B62" s="1" t="str">
        <f ca="1">IF(Información1[[#This Row],[Fecha]]='Ajuste de fechas'!$A$2,"Día actual","Día anterior")</f>
        <v>Día anterior</v>
      </c>
      <c r="C62" s="3" t="s">
        <v>59</v>
      </c>
      <c r="D62" t="s">
        <v>60</v>
      </c>
      <c r="E62" s="3" t="s">
        <v>122</v>
      </c>
      <c r="F62" s="3" t="s">
        <v>18</v>
      </c>
      <c r="G62" s="3" t="s">
        <v>123</v>
      </c>
      <c r="H62" s="3" t="s">
        <v>62</v>
      </c>
      <c r="I62" s="3" t="s">
        <v>7</v>
      </c>
      <c r="J62" s="3" t="s">
        <v>31</v>
      </c>
      <c r="K62" s="3" t="s">
        <v>63</v>
      </c>
      <c r="L62" s="3" t="s">
        <v>34</v>
      </c>
      <c r="M62">
        <v>1</v>
      </c>
    </row>
    <row r="63" spans="1:13" x14ac:dyDescent="0.25">
      <c r="A63" s="2">
        <v>46274</v>
      </c>
      <c r="B63" s="1" t="str">
        <f ca="1">IF(Información1[[#This Row],[Fecha]]='Ajuste de fechas'!$A$2,"Día actual","Día anterior")</f>
        <v>Día anterior</v>
      </c>
      <c r="C63" s="3" t="s">
        <v>55</v>
      </c>
      <c r="D63" t="s">
        <v>56</v>
      </c>
      <c r="E63" s="3" t="s">
        <v>184</v>
      </c>
      <c r="F63" s="3" t="s">
        <v>16</v>
      </c>
      <c r="G63" s="3" t="s">
        <v>185</v>
      </c>
      <c r="H63" s="3" t="s">
        <v>50</v>
      </c>
      <c r="I63" s="3" t="s">
        <v>7</v>
      </c>
      <c r="J63" s="3" t="s">
        <v>35</v>
      </c>
      <c r="K63" s="3" t="s">
        <v>58</v>
      </c>
      <c r="L63" s="3" t="s">
        <v>32</v>
      </c>
      <c r="M63">
        <v>1</v>
      </c>
    </row>
    <row r="64" spans="1:13" x14ac:dyDescent="0.25">
      <c r="A64" s="2">
        <v>46274</v>
      </c>
      <c r="B64" s="1" t="str">
        <f ca="1">IF(Información1[[#This Row],[Fecha]]='Ajuste de fechas'!$A$2,"Día actual","Día anterior")</f>
        <v>Día anterior</v>
      </c>
      <c r="C64" s="3" t="s">
        <v>55</v>
      </c>
      <c r="D64" t="s">
        <v>56</v>
      </c>
      <c r="E64" s="3" t="s">
        <v>186</v>
      </c>
      <c r="F64" s="3" t="s">
        <v>6</v>
      </c>
      <c r="G64" s="3" t="s">
        <v>187</v>
      </c>
      <c r="H64" s="3" t="s">
        <v>50</v>
      </c>
      <c r="I64" s="3" t="s">
        <v>7</v>
      </c>
      <c r="J64" s="3" t="s">
        <v>31</v>
      </c>
      <c r="K64" s="3" t="s">
        <v>95</v>
      </c>
      <c r="L64" s="3" t="s">
        <v>34</v>
      </c>
      <c r="M64">
        <v>1</v>
      </c>
    </row>
    <row r="65" spans="1:13" x14ac:dyDescent="0.25">
      <c r="A65" s="2">
        <v>46274</v>
      </c>
      <c r="B65" s="1" t="str">
        <f ca="1">IF(Información1[[#This Row],[Fecha]]='Ajuste de fechas'!$A$2,"Día actual","Día anterior")</f>
        <v>Día anterior</v>
      </c>
      <c r="C65" s="3" t="s">
        <v>55</v>
      </c>
      <c r="D65" t="s">
        <v>56</v>
      </c>
      <c r="E65" s="3" t="s">
        <v>188</v>
      </c>
      <c r="F65" s="3" t="s">
        <v>74</v>
      </c>
      <c r="G65" s="3" t="s">
        <v>189</v>
      </c>
      <c r="H65" s="3" t="s">
        <v>50</v>
      </c>
      <c r="I65" s="3" t="s">
        <v>7</v>
      </c>
      <c r="J65" s="3" t="s">
        <v>31</v>
      </c>
      <c r="K65" s="3" t="s">
        <v>58</v>
      </c>
      <c r="L65" s="3" t="s">
        <v>32</v>
      </c>
      <c r="M65">
        <v>1</v>
      </c>
    </row>
    <row r="66" spans="1:13" x14ac:dyDescent="0.25">
      <c r="A66" s="2">
        <v>46274</v>
      </c>
      <c r="B66" s="1" t="str">
        <f ca="1">IF(Información1[[#This Row],[Fecha]]='Ajuste de fechas'!$A$2,"Día actual","Día anterior")</f>
        <v>Día anterior</v>
      </c>
      <c r="C66" s="3" t="s">
        <v>55</v>
      </c>
      <c r="D66" t="s">
        <v>56</v>
      </c>
      <c r="E66" s="3" t="s">
        <v>190</v>
      </c>
      <c r="F66" s="3" t="s">
        <v>19</v>
      </c>
      <c r="G66" s="3" t="s">
        <v>99</v>
      </c>
      <c r="H66" s="3" t="s">
        <v>50</v>
      </c>
      <c r="I66" s="3" t="s">
        <v>7</v>
      </c>
      <c r="J66" s="3" t="s">
        <v>36</v>
      </c>
      <c r="K66" s="3" t="s">
        <v>84</v>
      </c>
      <c r="L66" s="3" t="s">
        <v>32</v>
      </c>
      <c r="M66">
        <v>1</v>
      </c>
    </row>
    <row r="67" spans="1:13" x14ac:dyDescent="0.25">
      <c r="A67" s="2">
        <v>46274</v>
      </c>
      <c r="B67" s="1" t="str">
        <f ca="1">IF(Información1[[#This Row],[Fecha]]='Ajuste de fechas'!$A$2,"Día actual","Día anterior")</f>
        <v>Día anterior</v>
      </c>
      <c r="C67" s="3" t="s">
        <v>55</v>
      </c>
      <c r="D67" t="s">
        <v>56</v>
      </c>
      <c r="E67" s="3" t="s">
        <v>191</v>
      </c>
      <c r="F67" s="3" t="s">
        <v>19</v>
      </c>
      <c r="G67" s="3" t="s">
        <v>192</v>
      </c>
      <c r="H67" s="3" t="s">
        <v>50</v>
      </c>
      <c r="I67" s="3" t="s">
        <v>7</v>
      </c>
      <c r="J67" s="3" t="s">
        <v>36</v>
      </c>
      <c r="K67" s="3" t="s">
        <v>58</v>
      </c>
      <c r="L67" s="3" t="s">
        <v>32</v>
      </c>
      <c r="M67">
        <v>1</v>
      </c>
    </row>
    <row r="68" spans="1:13" x14ac:dyDescent="0.25">
      <c r="A68" s="2">
        <v>46274</v>
      </c>
      <c r="B68" s="1" t="str">
        <f ca="1">IF(Información1[[#This Row],[Fecha]]='Ajuste de fechas'!$A$2,"Día actual","Día anterior")</f>
        <v>Día anterior</v>
      </c>
      <c r="C68" s="3" t="s">
        <v>55</v>
      </c>
      <c r="D68" t="s">
        <v>56</v>
      </c>
      <c r="E68" s="3" t="s">
        <v>193</v>
      </c>
      <c r="F68" s="3" t="s">
        <v>49</v>
      </c>
      <c r="G68" s="3" t="s">
        <v>91</v>
      </c>
      <c r="H68" s="3" t="s">
        <v>50</v>
      </c>
      <c r="I68" s="3" t="s">
        <v>7</v>
      </c>
      <c r="J68" s="3" t="s">
        <v>31</v>
      </c>
      <c r="K68" s="3" t="s">
        <v>66</v>
      </c>
      <c r="L68" s="3" t="s">
        <v>32</v>
      </c>
      <c r="M68">
        <v>1</v>
      </c>
    </row>
    <row r="69" spans="1:13" x14ac:dyDescent="0.25">
      <c r="A69" s="2">
        <v>46274</v>
      </c>
      <c r="B69" s="1" t="str">
        <f ca="1">IF(Información1[[#This Row],[Fecha]]='Ajuste de fechas'!$A$2,"Día actual","Día anterior")</f>
        <v>Día anterior</v>
      </c>
      <c r="C69" s="3" t="s">
        <v>55</v>
      </c>
      <c r="D69" t="s">
        <v>56</v>
      </c>
      <c r="E69" s="3" t="s">
        <v>194</v>
      </c>
      <c r="F69" s="3" t="s">
        <v>44</v>
      </c>
      <c r="G69" s="3" t="s">
        <v>131</v>
      </c>
      <c r="H69" s="3" t="s">
        <v>50</v>
      </c>
      <c r="I69" s="3" t="s">
        <v>7</v>
      </c>
      <c r="J69" s="3" t="s">
        <v>31</v>
      </c>
      <c r="K69" s="3" t="s">
        <v>95</v>
      </c>
      <c r="L69" s="3" t="s">
        <v>32</v>
      </c>
      <c r="M69">
        <v>1</v>
      </c>
    </row>
    <row r="70" spans="1:13" x14ac:dyDescent="0.25">
      <c r="A70" s="2">
        <v>46274</v>
      </c>
      <c r="B70" s="1" t="str">
        <f ca="1">IF(Información1[[#This Row],[Fecha]]='Ajuste de fechas'!$A$2,"Día actual","Día anterior")</f>
        <v>Día anterior</v>
      </c>
      <c r="C70" s="3" t="s">
        <v>55</v>
      </c>
      <c r="D70" t="s">
        <v>56</v>
      </c>
      <c r="E70" s="3" t="s">
        <v>120</v>
      </c>
      <c r="F70" s="3" t="s">
        <v>18</v>
      </c>
      <c r="G70" s="3" t="s">
        <v>121</v>
      </c>
      <c r="H70" s="3" t="s">
        <v>50</v>
      </c>
      <c r="I70" s="3" t="s">
        <v>7</v>
      </c>
      <c r="J70" s="3" t="s">
        <v>31</v>
      </c>
      <c r="K70" s="3" t="s">
        <v>58</v>
      </c>
      <c r="L70" s="3" t="s">
        <v>34</v>
      </c>
      <c r="M70">
        <v>1</v>
      </c>
    </row>
    <row r="71" spans="1:13" x14ac:dyDescent="0.25">
      <c r="A71" s="2">
        <v>46274</v>
      </c>
      <c r="B71" s="1" t="str">
        <f ca="1">IF(Información1[[#This Row],[Fecha]]='Ajuste de fechas'!$A$2,"Día actual","Día anterior")</f>
        <v>Día anterior</v>
      </c>
      <c r="C71" s="3" t="s">
        <v>55</v>
      </c>
      <c r="D71" t="s">
        <v>56</v>
      </c>
      <c r="E71" s="3" t="s">
        <v>195</v>
      </c>
      <c r="F71" s="3" t="s">
        <v>92</v>
      </c>
      <c r="G71" s="3" t="s">
        <v>196</v>
      </c>
      <c r="H71" s="3" t="s">
        <v>50</v>
      </c>
      <c r="I71" s="3" t="s">
        <v>7</v>
      </c>
      <c r="J71" s="3" t="s">
        <v>31</v>
      </c>
      <c r="K71" s="3" t="s">
        <v>95</v>
      </c>
      <c r="L71" s="3" t="s">
        <v>32</v>
      </c>
      <c r="M71">
        <v>1</v>
      </c>
    </row>
    <row r="72" spans="1:13" x14ac:dyDescent="0.25">
      <c r="A72" s="2">
        <v>46274</v>
      </c>
      <c r="B72" s="1" t="str">
        <f ca="1">IF(Información1[[#This Row],[Fecha]]='Ajuste de fechas'!$A$2,"Día actual","Día anterior")</f>
        <v>Día anterior</v>
      </c>
      <c r="C72" s="3" t="s">
        <v>55</v>
      </c>
      <c r="D72" t="s">
        <v>56</v>
      </c>
      <c r="E72" s="3" t="s">
        <v>197</v>
      </c>
      <c r="F72" s="3" t="s">
        <v>16</v>
      </c>
      <c r="G72" s="3" t="s">
        <v>198</v>
      </c>
      <c r="H72" s="3" t="s">
        <v>50</v>
      </c>
      <c r="I72" s="3" t="s">
        <v>7</v>
      </c>
      <c r="J72" s="3" t="s">
        <v>35</v>
      </c>
      <c r="K72" s="3" t="s">
        <v>66</v>
      </c>
      <c r="L72" s="3" t="s">
        <v>32</v>
      </c>
      <c r="M72">
        <v>1</v>
      </c>
    </row>
    <row r="73" spans="1:13" x14ac:dyDescent="0.25">
      <c r="A73" s="2">
        <v>46274</v>
      </c>
      <c r="B73" s="1" t="str">
        <f ca="1">IF(Información1[[#This Row],[Fecha]]='Ajuste de fechas'!$A$2,"Día actual","Día anterior")</f>
        <v>Día anterior</v>
      </c>
      <c r="C73" s="3" t="s">
        <v>55</v>
      </c>
      <c r="D73" t="s">
        <v>56</v>
      </c>
      <c r="E73" s="3" t="s">
        <v>199</v>
      </c>
      <c r="F73" s="3" t="s">
        <v>16</v>
      </c>
      <c r="G73" s="3" t="s">
        <v>200</v>
      </c>
      <c r="H73" s="3" t="s">
        <v>50</v>
      </c>
      <c r="I73" s="3" t="s">
        <v>7</v>
      </c>
      <c r="J73" s="3" t="s">
        <v>35</v>
      </c>
      <c r="K73" s="3" t="s">
        <v>95</v>
      </c>
      <c r="L73" s="3" t="s">
        <v>32</v>
      </c>
      <c r="M73">
        <v>1</v>
      </c>
    </row>
    <row r="74" spans="1:13" x14ac:dyDescent="0.25">
      <c r="A74" s="2">
        <v>46274</v>
      </c>
      <c r="B74" s="1" t="str">
        <f ca="1">IF(Información1[[#This Row],[Fecha]]='Ajuste de fechas'!$A$2,"Día actual","Día anterior")</f>
        <v>Día anterior</v>
      </c>
      <c r="C74" s="3" t="s">
        <v>55</v>
      </c>
      <c r="D74" t="s">
        <v>56</v>
      </c>
      <c r="E74" s="3" t="s">
        <v>201</v>
      </c>
      <c r="F74" s="3" t="s">
        <v>16</v>
      </c>
      <c r="G74" s="3" t="s">
        <v>202</v>
      </c>
      <c r="H74" s="3" t="s">
        <v>50</v>
      </c>
      <c r="I74" s="3" t="s">
        <v>7</v>
      </c>
      <c r="J74" s="3" t="s">
        <v>35</v>
      </c>
      <c r="K74" s="3" t="s">
        <v>95</v>
      </c>
      <c r="L74" s="3" t="s">
        <v>32</v>
      </c>
      <c r="M74">
        <v>1</v>
      </c>
    </row>
    <row r="75" spans="1:13" x14ac:dyDescent="0.25">
      <c r="A75" s="2">
        <v>46274</v>
      </c>
      <c r="B75" s="1" t="str">
        <f ca="1">IF(Información1[[#This Row],[Fecha]]='Ajuste de fechas'!$A$2,"Día actual","Día anterior")</f>
        <v>Día anterior</v>
      </c>
      <c r="C75" s="3" t="s">
        <v>55</v>
      </c>
      <c r="D75" t="s">
        <v>56</v>
      </c>
      <c r="E75" s="3" t="s">
        <v>67</v>
      </c>
      <c r="F75" s="3" t="s">
        <v>16</v>
      </c>
      <c r="G75" s="3" t="s">
        <v>68</v>
      </c>
      <c r="H75" s="3" t="s">
        <v>50</v>
      </c>
      <c r="I75" s="3" t="s">
        <v>7</v>
      </c>
      <c r="J75" s="3" t="s">
        <v>35</v>
      </c>
      <c r="K75" s="3" t="s">
        <v>69</v>
      </c>
      <c r="L75" s="3" t="s">
        <v>70</v>
      </c>
      <c r="M75">
        <v>1</v>
      </c>
    </row>
    <row r="76" spans="1:13" x14ac:dyDescent="0.25">
      <c r="A76" s="2">
        <v>46274</v>
      </c>
      <c r="B76" s="1" t="str">
        <f ca="1">IF(Información1[[#This Row],[Fecha]]='Ajuste de fechas'!$A$2,"Día actual","Día anterior")</f>
        <v>Día anterior</v>
      </c>
      <c r="C76" s="3" t="s">
        <v>55</v>
      </c>
      <c r="D76" t="s">
        <v>56</v>
      </c>
      <c r="E76" s="3" t="s">
        <v>203</v>
      </c>
      <c r="F76" s="3" t="s">
        <v>16</v>
      </c>
      <c r="G76" s="3" t="s">
        <v>204</v>
      </c>
      <c r="H76" s="3" t="s">
        <v>50</v>
      </c>
      <c r="I76" s="3" t="s">
        <v>22</v>
      </c>
      <c r="J76" s="3" t="s">
        <v>35</v>
      </c>
      <c r="K76" s="3" t="s">
        <v>58</v>
      </c>
      <c r="L76" s="3" t="s">
        <v>32</v>
      </c>
      <c r="M76">
        <v>1</v>
      </c>
    </row>
    <row r="77" spans="1:13" x14ac:dyDescent="0.25">
      <c r="A77" s="2">
        <v>46274</v>
      </c>
      <c r="B77" s="1" t="str">
        <f ca="1">IF(Información1[[#This Row],[Fecha]]='Ajuste de fechas'!$A$2,"Día actual","Día anterior")</f>
        <v>Día anterior</v>
      </c>
      <c r="C77" s="3" t="s">
        <v>55</v>
      </c>
      <c r="D77" t="s">
        <v>56</v>
      </c>
      <c r="E77" s="3" t="s">
        <v>205</v>
      </c>
      <c r="F77" s="3" t="s">
        <v>19</v>
      </c>
      <c r="G77" s="3" t="s">
        <v>86</v>
      </c>
      <c r="H77" s="3" t="s">
        <v>50</v>
      </c>
      <c r="I77" s="3" t="s">
        <v>7</v>
      </c>
      <c r="J77" s="3" t="s">
        <v>36</v>
      </c>
      <c r="K77" s="3" t="s">
        <v>95</v>
      </c>
      <c r="L77" s="3" t="s">
        <v>32</v>
      </c>
      <c r="M77">
        <v>1</v>
      </c>
    </row>
    <row r="78" spans="1:13" x14ac:dyDescent="0.25">
      <c r="A78" s="2">
        <v>46274</v>
      </c>
      <c r="B78" s="1" t="str">
        <f ca="1">IF(Información1[[#This Row],[Fecha]]='Ajuste de fechas'!$A$2,"Día actual","Día anterior")</f>
        <v>Día anterior</v>
      </c>
      <c r="C78" s="3" t="s">
        <v>55</v>
      </c>
      <c r="D78" t="s">
        <v>56</v>
      </c>
      <c r="E78" s="3" t="s">
        <v>206</v>
      </c>
      <c r="F78" s="3" t="s">
        <v>19</v>
      </c>
      <c r="G78" s="3" t="s">
        <v>207</v>
      </c>
      <c r="H78" s="3" t="s">
        <v>50</v>
      </c>
      <c r="I78" s="3" t="s">
        <v>22</v>
      </c>
      <c r="J78" s="3" t="s">
        <v>36</v>
      </c>
      <c r="K78" s="3" t="s">
        <v>66</v>
      </c>
      <c r="L78" s="3" t="s">
        <v>32</v>
      </c>
      <c r="M78">
        <v>1</v>
      </c>
    </row>
    <row r="79" spans="1:13" x14ac:dyDescent="0.25">
      <c r="A79" s="2">
        <v>46274</v>
      </c>
      <c r="B79" s="1" t="str">
        <f ca="1">IF(Información1[[#This Row],[Fecha]]='Ajuste de fechas'!$A$2,"Día actual","Día anterior")</f>
        <v>Día anterior</v>
      </c>
      <c r="C79" s="3" t="s">
        <v>55</v>
      </c>
      <c r="D79" t="s">
        <v>56</v>
      </c>
      <c r="E79" s="3" t="s">
        <v>208</v>
      </c>
      <c r="F79" s="3" t="s">
        <v>74</v>
      </c>
      <c r="G79" s="3" t="s">
        <v>117</v>
      </c>
      <c r="H79" s="3" t="s">
        <v>50</v>
      </c>
      <c r="I79" s="3" t="s">
        <v>7</v>
      </c>
      <c r="J79" s="3" t="s">
        <v>31</v>
      </c>
      <c r="K79" s="3" t="s">
        <v>95</v>
      </c>
      <c r="L79" s="3" t="s">
        <v>32</v>
      </c>
      <c r="M79">
        <v>1</v>
      </c>
    </row>
    <row r="80" spans="1:13" x14ac:dyDescent="0.25">
      <c r="A80" s="2">
        <v>46274</v>
      </c>
      <c r="B80" s="1" t="str">
        <f ca="1">IF(Información1[[#This Row],[Fecha]]='Ajuste de fechas'!$A$2,"Día actual","Día anterior")</f>
        <v>Día anterior</v>
      </c>
      <c r="C80" s="3" t="s">
        <v>55</v>
      </c>
      <c r="D80" t="s">
        <v>56</v>
      </c>
      <c r="E80" s="3" t="s">
        <v>209</v>
      </c>
      <c r="F80" s="3" t="s">
        <v>74</v>
      </c>
      <c r="G80" s="3" t="s">
        <v>117</v>
      </c>
      <c r="H80" s="3" t="s">
        <v>50</v>
      </c>
      <c r="I80" s="3" t="s">
        <v>22</v>
      </c>
      <c r="J80" s="3" t="s">
        <v>31</v>
      </c>
      <c r="K80" s="3" t="s">
        <v>58</v>
      </c>
      <c r="L80" s="3" t="s">
        <v>33</v>
      </c>
      <c r="M80">
        <v>1</v>
      </c>
    </row>
    <row r="81" spans="1:13" x14ac:dyDescent="0.25">
      <c r="A81" s="2">
        <v>46274</v>
      </c>
      <c r="B81" s="1" t="str">
        <f ca="1">IF(Información1[[#This Row],[Fecha]]='Ajuste de fechas'!$A$2,"Día actual","Día anterior")</f>
        <v>Día anterior</v>
      </c>
      <c r="C81" s="3" t="s">
        <v>59</v>
      </c>
      <c r="D81" t="s">
        <v>60</v>
      </c>
      <c r="E81" s="3" t="s">
        <v>210</v>
      </c>
      <c r="F81" s="3" t="s">
        <v>18</v>
      </c>
      <c r="G81" s="3" t="s">
        <v>211</v>
      </c>
      <c r="H81" s="3" t="s">
        <v>62</v>
      </c>
      <c r="I81" s="3" t="s">
        <v>22</v>
      </c>
      <c r="J81" s="3" t="s">
        <v>31</v>
      </c>
      <c r="K81" s="3" t="s">
        <v>64</v>
      </c>
      <c r="L81" s="3" t="s">
        <v>33</v>
      </c>
      <c r="M81">
        <v>1</v>
      </c>
    </row>
    <row r="82" spans="1:13" x14ac:dyDescent="0.25">
      <c r="A82" s="2">
        <v>46274</v>
      </c>
      <c r="B82" s="1" t="str">
        <f ca="1">IF(Información1[[#This Row],[Fecha]]='Ajuste de fechas'!$A$2,"Día actual","Día anterior")</f>
        <v>Día anterior</v>
      </c>
      <c r="C82" s="3" t="s">
        <v>59</v>
      </c>
      <c r="D82" t="s">
        <v>60</v>
      </c>
      <c r="E82" s="3" t="s">
        <v>212</v>
      </c>
      <c r="F82" s="3" t="s">
        <v>16</v>
      </c>
      <c r="G82" s="3" t="s">
        <v>81</v>
      </c>
      <c r="H82" s="3" t="s">
        <v>62</v>
      </c>
      <c r="I82" s="3" t="s">
        <v>7</v>
      </c>
      <c r="J82" s="3" t="s">
        <v>35</v>
      </c>
      <c r="K82" s="3" t="s">
        <v>64</v>
      </c>
      <c r="L82" s="3" t="s">
        <v>32</v>
      </c>
      <c r="M82">
        <v>1</v>
      </c>
    </row>
    <row r="83" spans="1:13" x14ac:dyDescent="0.25">
      <c r="A83" s="2">
        <v>46274</v>
      </c>
      <c r="B83" s="1" t="str">
        <f ca="1">IF(Información1[[#This Row],[Fecha]]='Ajuste de fechas'!$A$2,"Día actual","Día anterior")</f>
        <v>Día anterior</v>
      </c>
      <c r="C83" s="3" t="s">
        <v>59</v>
      </c>
      <c r="D83" t="s">
        <v>60</v>
      </c>
      <c r="E83" s="3" t="s">
        <v>213</v>
      </c>
      <c r="F83" s="3" t="s">
        <v>16</v>
      </c>
      <c r="G83" s="3" t="s">
        <v>93</v>
      </c>
      <c r="H83" s="3" t="s">
        <v>62</v>
      </c>
      <c r="I83" s="3" t="s">
        <v>11</v>
      </c>
      <c r="J83" s="3" t="s">
        <v>35</v>
      </c>
      <c r="K83" s="3" t="s">
        <v>97</v>
      </c>
      <c r="L83" s="3" t="s">
        <v>70</v>
      </c>
      <c r="M83">
        <v>1</v>
      </c>
    </row>
    <row r="84" spans="1:13" x14ac:dyDescent="0.25">
      <c r="A84" s="2">
        <v>46274</v>
      </c>
      <c r="B84" s="1" t="str">
        <f ca="1">IF(Información1[[#This Row],[Fecha]]='Ajuste de fechas'!$A$2,"Día actual","Día anterior")</f>
        <v>Día anterior</v>
      </c>
      <c r="C84" s="3" t="s">
        <v>59</v>
      </c>
      <c r="D84" t="s">
        <v>60</v>
      </c>
      <c r="E84" s="3" t="s">
        <v>214</v>
      </c>
      <c r="F84" s="3" t="s">
        <v>44</v>
      </c>
      <c r="G84" s="3" t="s">
        <v>119</v>
      </c>
      <c r="H84" s="3" t="s">
        <v>62</v>
      </c>
      <c r="I84" s="3" t="s">
        <v>11</v>
      </c>
      <c r="J84" s="3" t="s">
        <v>31</v>
      </c>
      <c r="K84" s="3" t="s">
        <v>97</v>
      </c>
      <c r="L84" s="3" t="s">
        <v>32</v>
      </c>
      <c r="M84">
        <v>1</v>
      </c>
    </row>
    <row r="85" spans="1:13" x14ac:dyDescent="0.25">
      <c r="A85" s="2">
        <v>46274</v>
      </c>
      <c r="B85" s="1" t="str">
        <f ca="1">IF(Información1[[#This Row],[Fecha]]='Ajuste de fechas'!$A$2,"Día actual","Día anterior")</f>
        <v>Día anterior</v>
      </c>
      <c r="C85" s="3" t="s">
        <v>59</v>
      </c>
      <c r="D85" t="s">
        <v>60</v>
      </c>
      <c r="E85" s="3" t="s">
        <v>215</v>
      </c>
      <c r="F85" s="3" t="s">
        <v>16</v>
      </c>
      <c r="G85" s="3" t="s">
        <v>100</v>
      </c>
      <c r="H85" s="3" t="s">
        <v>62</v>
      </c>
      <c r="I85" s="3" t="s">
        <v>22</v>
      </c>
      <c r="J85" s="3" t="s">
        <v>35</v>
      </c>
      <c r="K85" s="3" t="s">
        <v>64</v>
      </c>
      <c r="L85" s="3" t="s">
        <v>32</v>
      </c>
      <c r="M85">
        <v>1</v>
      </c>
    </row>
    <row r="86" spans="1:13" x14ac:dyDescent="0.25">
      <c r="A86" s="2">
        <v>46274</v>
      </c>
      <c r="B86" s="1" t="str">
        <f ca="1">IF(Información1[[#This Row],[Fecha]]='Ajuste de fechas'!$A$2,"Día actual","Día anterior")</f>
        <v>Día anterior</v>
      </c>
      <c r="C86" s="3" t="s">
        <v>59</v>
      </c>
      <c r="D86" t="s">
        <v>60</v>
      </c>
      <c r="E86" s="3" t="s">
        <v>137</v>
      </c>
      <c r="F86" s="3" t="s">
        <v>65</v>
      </c>
      <c r="G86" s="3" t="s">
        <v>138</v>
      </c>
      <c r="H86" s="3" t="s">
        <v>62</v>
      </c>
      <c r="I86" s="3" t="s">
        <v>7</v>
      </c>
      <c r="J86" s="3" t="s">
        <v>31</v>
      </c>
      <c r="K86" s="3" t="s">
        <v>63</v>
      </c>
      <c r="L86" s="3" t="s">
        <v>34</v>
      </c>
      <c r="M86">
        <v>1</v>
      </c>
    </row>
    <row r="87" spans="1:13" x14ac:dyDescent="0.25">
      <c r="A87" s="2">
        <v>46274</v>
      </c>
      <c r="B87" s="1" t="str">
        <f ca="1">IF(Información1[[#This Row],[Fecha]]='Ajuste de fechas'!$A$2,"Día actual","Día anterior")</f>
        <v>Día anterior</v>
      </c>
      <c r="C87" s="3" t="s">
        <v>59</v>
      </c>
      <c r="D87" t="s">
        <v>60</v>
      </c>
      <c r="E87" s="3" t="s">
        <v>118</v>
      </c>
      <c r="F87" s="3" t="s">
        <v>44</v>
      </c>
      <c r="G87" s="3" t="s">
        <v>119</v>
      </c>
      <c r="H87" s="3" t="s">
        <v>62</v>
      </c>
      <c r="I87" s="3" t="s">
        <v>7</v>
      </c>
      <c r="J87" s="3" t="s">
        <v>31</v>
      </c>
      <c r="K87" s="3" t="s">
        <v>63</v>
      </c>
      <c r="L87" s="3" t="s">
        <v>34</v>
      </c>
      <c r="M87">
        <v>1</v>
      </c>
    </row>
    <row r="88" spans="1:13" x14ac:dyDescent="0.25">
      <c r="A88" s="2">
        <v>46274</v>
      </c>
      <c r="B88" s="1" t="str">
        <f ca="1">IF(Información1[[#This Row],[Fecha]]='Ajuste de fechas'!$A$2,"Día actual","Día anterior")</f>
        <v>Día anterior</v>
      </c>
      <c r="C88" s="3" t="s">
        <v>59</v>
      </c>
      <c r="D88" t="s">
        <v>60</v>
      </c>
      <c r="E88" s="3" t="s">
        <v>216</v>
      </c>
      <c r="F88" s="3" t="s">
        <v>16</v>
      </c>
      <c r="G88" s="3" t="s">
        <v>57</v>
      </c>
      <c r="H88" s="3" t="s">
        <v>62</v>
      </c>
      <c r="I88" s="3" t="s">
        <v>22</v>
      </c>
      <c r="J88" s="3" t="s">
        <v>35</v>
      </c>
      <c r="K88" s="3" t="s">
        <v>64</v>
      </c>
      <c r="L88" s="3" t="s">
        <v>32</v>
      </c>
      <c r="M88">
        <v>1</v>
      </c>
    </row>
    <row r="89" spans="1:13" x14ac:dyDescent="0.25">
      <c r="A89" s="2">
        <v>46274</v>
      </c>
      <c r="B89" s="1" t="str">
        <f ca="1">IF(Información1[[#This Row],[Fecha]]='Ajuste de fechas'!$A$2,"Día actual","Día anterior")</f>
        <v>Día anterior</v>
      </c>
      <c r="C89" s="3" t="s">
        <v>59</v>
      </c>
      <c r="D89" t="s">
        <v>60</v>
      </c>
      <c r="E89" s="3" t="s">
        <v>217</v>
      </c>
      <c r="F89" s="3" t="s">
        <v>61</v>
      </c>
      <c r="G89" s="3" t="s">
        <v>218</v>
      </c>
      <c r="H89" s="3" t="s">
        <v>62</v>
      </c>
      <c r="I89" s="3" t="s">
        <v>22</v>
      </c>
      <c r="J89" s="3" t="s">
        <v>31</v>
      </c>
      <c r="K89" s="3" t="s">
        <v>64</v>
      </c>
      <c r="L89" s="3" t="s">
        <v>32</v>
      </c>
      <c r="M89">
        <v>1</v>
      </c>
    </row>
    <row r="90" spans="1:13" x14ac:dyDescent="0.25">
      <c r="A90" s="2">
        <v>46274</v>
      </c>
      <c r="B90" s="1" t="str">
        <f ca="1">IF(Información1[[#This Row],[Fecha]]='Ajuste de fechas'!$A$2,"Día actual","Día anterior")</f>
        <v>Día anterior</v>
      </c>
      <c r="C90" s="3" t="s">
        <v>59</v>
      </c>
      <c r="D90" t="s">
        <v>60</v>
      </c>
      <c r="E90" s="3" t="s">
        <v>219</v>
      </c>
      <c r="F90" s="3" t="s">
        <v>16</v>
      </c>
      <c r="G90" s="3" t="s">
        <v>220</v>
      </c>
      <c r="H90" s="3" t="s">
        <v>62</v>
      </c>
      <c r="I90" s="3" t="s">
        <v>22</v>
      </c>
      <c r="J90" s="3" t="s">
        <v>35</v>
      </c>
      <c r="K90" s="3" t="s">
        <v>64</v>
      </c>
      <c r="L90" s="3" t="s">
        <v>32</v>
      </c>
      <c r="M90">
        <v>1</v>
      </c>
    </row>
    <row r="91" spans="1:13" x14ac:dyDescent="0.25">
      <c r="A91" s="2">
        <v>46274</v>
      </c>
      <c r="B91" s="1" t="str">
        <f ca="1">IF(Información1[[#This Row],[Fecha]]='Ajuste de fechas'!$A$2,"Día actual","Día anterior")</f>
        <v>Día anterior</v>
      </c>
      <c r="C91" s="3" t="s">
        <v>59</v>
      </c>
      <c r="D91" t="s">
        <v>60</v>
      </c>
      <c r="E91" s="3" t="s">
        <v>221</v>
      </c>
      <c r="F91" s="3" t="s">
        <v>41</v>
      </c>
      <c r="G91" s="3" t="s">
        <v>98</v>
      </c>
      <c r="H91" s="3" t="s">
        <v>62</v>
      </c>
      <c r="I91" s="3" t="s">
        <v>22</v>
      </c>
      <c r="J91" s="3" t="s">
        <v>21</v>
      </c>
      <c r="K91" s="3" t="s">
        <v>64</v>
      </c>
      <c r="L91" s="3" t="s">
        <v>33</v>
      </c>
      <c r="M91">
        <v>1</v>
      </c>
    </row>
    <row r="92" spans="1:13" x14ac:dyDescent="0.25">
      <c r="A92" s="2">
        <v>46274</v>
      </c>
      <c r="B92" s="1" t="str">
        <f ca="1">IF(Información1[[#This Row],[Fecha]]='Ajuste de fechas'!$A$2,"Día actual","Día anterior")</f>
        <v>Día anterior</v>
      </c>
      <c r="C92" s="3" t="s">
        <v>59</v>
      </c>
      <c r="D92" t="s">
        <v>60</v>
      </c>
      <c r="E92" s="3" t="s">
        <v>116</v>
      </c>
      <c r="F92" s="3" t="s">
        <v>20</v>
      </c>
      <c r="G92" s="3" t="s">
        <v>117</v>
      </c>
      <c r="H92" s="3" t="s">
        <v>62</v>
      </c>
      <c r="I92" s="3" t="s">
        <v>7</v>
      </c>
      <c r="J92" s="3" t="s">
        <v>31</v>
      </c>
      <c r="K92" s="3" t="s">
        <v>64</v>
      </c>
      <c r="L92" s="3" t="s">
        <v>34</v>
      </c>
      <c r="M92">
        <v>1</v>
      </c>
    </row>
    <row r="93" spans="1:13" x14ac:dyDescent="0.25">
      <c r="A93" s="2">
        <v>46274</v>
      </c>
      <c r="B93" s="1" t="str">
        <f ca="1">IF(Información1[[#This Row],[Fecha]]='Ajuste de fechas'!$A$2,"Día actual","Día anterior")</f>
        <v>Día anterior</v>
      </c>
      <c r="C93" s="3" t="s">
        <v>59</v>
      </c>
      <c r="D93" t="s">
        <v>60</v>
      </c>
      <c r="E93" s="3" t="s">
        <v>222</v>
      </c>
      <c r="F93" s="3" t="s">
        <v>46</v>
      </c>
      <c r="G93" s="3" t="s">
        <v>85</v>
      </c>
      <c r="H93" s="3" t="s">
        <v>62</v>
      </c>
      <c r="I93" s="3" t="s">
        <v>7</v>
      </c>
      <c r="J93" s="3" t="s">
        <v>31</v>
      </c>
      <c r="K93" s="3" t="s">
        <v>64</v>
      </c>
      <c r="L93" s="3" t="s">
        <v>32</v>
      </c>
      <c r="M93">
        <v>1</v>
      </c>
    </row>
    <row r="94" spans="1:13" x14ac:dyDescent="0.25">
      <c r="A94" s="2">
        <v>46274</v>
      </c>
      <c r="B94" s="1" t="str">
        <f ca="1">IF(Información1[[#This Row],[Fecha]]='Ajuste de fechas'!$A$2,"Día actual","Día anterior")</f>
        <v>Día anterior</v>
      </c>
      <c r="C94" s="3" t="s">
        <v>59</v>
      </c>
      <c r="D94" t="s">
        <v>60</v>
      </c>
      <c r="E94" s="3" t="s">
        <v>223</v>
      </c>
      <c r="F94" s="3" t="s">
        <v>46</v>
      </c>
      <c r="G94" s="3" t="s">
        <v>163</v>
      </c>
      <c r="H94" s="3" t="s">
        <v>62</v>
      </c>
      <c r="I94" s="3" t="s">
        <v>7</v>
      </c>
      <c r="J94" s="3" t="s">
        <v>31</v>
      </c>
      <c r="K94" s="3" t="s">
        <v>64</v>
      </c>
      <c r="L94" s="3" t="s">
        <v>34</v>
      </c>
      <c r="M94">
        <v>1</v>
      </c>
    </row>
    <row r="95" spans="1:13" x14ac:dyDescent="0.25">
      <c r="A95" s="2">
        <v>46274</v>
      </c>
      <c r="B95" s="1" t="str">
        <f ca="1">IF(Información1[[#This Row],[Fecha]]='Ajuste de fechas'!$A$2,"Día actual","Día anterior")</f>
        <v>Día anterior</v>
      </c>
      <c r="C95" s="3" t="s">
        <v>59</v>
      </c>
      <c r="D95" t="s">
        <v>60</v>
      </c>
      <c r="E95" s="3" t="s">
        <v>224</v>
      </c>
      <c r="F95" s="3" t="s">
        <v>23</v>
      </c>
      <c r="G95" s="3" t="s">
        <v>87</v>
      </c>
      <c r="H95" s="3" t="s">
        <v>62</v>
      </c>
      <c r="I95" s="3" t="s">
        <v>11</v>
      </c>
      <c r="J95" s="3" t="s">
        <v>31</v>
      </c>
      <c r="K95" s="3" t="s">
        <v>64</v>
      </c>
      <c r="L95" s="3" t="s">
        <v>32</v>
      </c>
      <c r="M95">
        <v>1</v>
      </c>
    </row>
    <row r="96" spans="1:13" x14ac:dyDescent="0.25">
      <c r="A96" s="2">
        <v>46274</v>
      </c>
      <c r="B96" s="1" t="str">
        <f ca="1">IF(Información1[[#This Row],[Fecha]]='Ajuste de fechas'!$A$2,"Día actual","Día anterior")</f>
        <v>Día anterior</v>
      </c>
      <c r="C96" s="3" t="s">
        <v>59</v>
      </c>
      <c r="D96" t="s">
        <v>60</v>
      </c>
      <c r="E96" s="3" t="s">
        <v>225</v>
      </c>
      <c r="F96" s="3" t="s">
        <v>226</v>
      </c>
      <c r="G96" s="3" t="s">
        <v>178</v>
      </c>
      <c r="H96" s="3" t="s">
        <v>62</v>
      </c>
      <c r="I96" s="3" t="s">
        <v>7</v>
      </c>
      <c r="J96" s="3" t="s">
        <v>31</v>
      </c>
      <c r="K96" s="3" t="s">
        <v>64</v>
      </c>
      <c r="L96" s="3" t="s">
        <v>32</v>
      </c>
      <c r="M96">
        <v>1</v>
      </c>
    </row>
    <row r="97" spans="1:13" x14ac:dyDescent="0.25">
      <c r="A97" s="2">
        <v>46274</v>
      </c>
      <c r="B97" s="1" t="str">
        <f ca="1">IF(Información1[[#This Row],[Fecha]]='Ajuste de fechas'!$A$2,"Día actual","Día anterior")</f>
        <v>Día anterior</v>
      </c>
      <c r="C97" s="3" t="s">
        <v>59</v>
      </c>
      <c r="D97" t="s">
        <v>60</v>
      </c>
      <c r="E97" s="3" t="s">
        <v>227</v>
      </c>
      <c r="F97" s="3" t="s">
        <v>16</v>
      </c>
      <c r="G97" s="3" t="s">
        <v>100</v>
      </c>
      <c r="H97" s="3" t="s">
        <v>62</v>
      </c>
      <c r="I97" s="3" t="s">
        <v>22</v>
      </c>
      <c r="J97" s="3" t="s">
        <v>35</v>
      </c>
      <c r="K97" s="3" t="s">
        <v>64</v>
      </c>
      <c r="L97" s="3" t="s">
        <v>32</v>
      </c>
      <c r="M97">
        <v>1</v>
      </c>
    </row>
    <row r="98" spans="1:13" x14ac:dyDescent="0.25">
      <c r="A98" s="2">
        <v>46275</v>
      </c>
      <c r="B98" s="1" t="str">
        <f ca="1">IF(Información1[[#This Row],[Fecha]]='Ajuste de fechas'!$A$2,"Día actual","Día anterior")</f>
        <v>Día actual</v>
      </c>
      <c r="C98" s="3" t="s">
        <v>59</v>
      </c>
      <c r="D98" t="s">
        <v>60</v>
      </c>
      <c r="E98" s="3" t="s">
        <v>228</v>
      </c>
      <c r="F98" s="3" t="s">
        <v>229</v>
      </c>
      <c r="G98" s="3" t="s">
        <v>230</v>
      </c>
      <c r="H98" s="3" t="s">
        <v>62</v>
      </c>
      <c r="I98" s="3" t="s">
        <v>7</v>
      </c>
      <c r="J98" s="3" t="s">
        <v>231</v>
      </c>
      <c r="K98" s="3" t="s">
        <v>64</v>
      </c>
      <c r="L98" s="3" t="s">
        <v>32</v>
      </c>
      <c r="M98">
        <v>1</v>
      </c>
    </row>
    <row r="99" spans="1:13" x14ac:dyDescent="0.25">
      <c r="A99" s="2">
        <v>46275</v>
      </c>
      <c r="B99" s="1" t="str">
        <f ca="1">IF(Información1[[#This Row],[Fecha]]='Ajuste de fechas'!$A$2,"Día actual","Día anterior")</f>
        <v>Día actual</v>
      </c>
      <c r="C99" s="3" t="s">
        <v>59</v>
      </c>
      <c r="D99" t="s">
        <v>60</v>
      </c>
      <c r="E99" s="3" t="s">
        <v>232</v>
      </c>
      <c r="F99" s="3" t="s">
        <v>233</v>
      </c>
      <c r="G99" s="3" t="s">
        <v>234</v>
      </c>
      <c r="H99" s="3" t="s">
        <v>62</v>
      </c>
      <c r="I99" s="3" t="s">
        <v>7</v>
      </c>
      <c r="J99" s="3" t="s">
        <v>231</v>
      </c>
      <c r="K99" s="3" t="s">
        <v>64</v>
      </c>
      <c r="L99" s="3" t="s">
        <v>33</v>
      </c>
      <c r="M99">
        <v>1</v>
      </c>
    </row>
    <row r="100" spans="1:13" x14ac:dyDescent="0.25">
      <c r="A100" s="2">
        <v>46275</v>
      </c>
      <c r="B100" s="1" t="str">
        <f ca="1">IF(Información1[[#This Row],[Fecha]]='Ajuste de fechas'!$A$2,"Día actual","Día anterior")</f>
        <v>Día actual</v>
      </c>
      <c r="C100" s="3" t="s">
        <v>59</v>
      </c>
      <c r="D100" t="s">
        <v>60</v>
      </c>
      <c r="E100" s="3" t="s">
        <v>235</v>
      </c>
      <c r="F100" s="3" t="s">
        <v>61</v>
      </c>
      <c r="G100" s="3" t="s">
        <v>236</v>
      </c>
      <c r="H100" s="3" t="s">
        <v>62</v>
      </c>
      <c r="I100" s="3" t="s">
        <v>7</v>
      </c>
      <c r="J100" s="3" t="s">
        <v>31</v>
      </c>
      <c r="K100" s="3" t="s">
        <v>64</v>
      </c>
      <c r="L100" s="3" t="s">
        <v>32</v>
      </c>
      <c r="M100">
        <v>1</v>
      </c>
    </row>
    <row r="101" spans="1:13" x14ac:dyDescent="0.25">
      <c r="A101" s="2">
        <v>46275</v>
      </c>
      <c r="B101" s="1" t="str">
        <f ca="1">IF(Información1[[#This Row],[Fecha]]='Ajuste de fechas'!$A$2,"Día actual","Día anterior")</f>
        <v>Día actual</v>
      </c>
      <c r="C101" s="3" t="s">
        <v>59</v>
      </c>
      <c r="D101" t="s">
        <v>60</v>
      </c>
      <c r="E101" s="3" t="s">
        <v>237</v>
      </c>
      <c r="F101" s="3" t="s">
        <v>16</v>
      </c>
      <c r="G101" s="3" t="s">
        <v>68</v>
      </c>
      <c r="H101" s="3" t="s">
        <v>62</v>
      </c>
      <c r="I101" s="3" t="s">
        <v>7</v>
      </c>
      <c r="J101" s="3" t="s">
        <v>35</v>
      </c>
      <c r="K101" s="3" t="s">
        <v>64</v>
      </c>
      <c r="L101" s="3" t="s">
        <v>32</v>
      </c>
      <c r="M101">
        <v>1</v>
      </c>
    </row>
    <row r="102" spans="1:13" x14ac:dyDescent="0.25">
      <c r="A102" s="2">
        <v>46275</v>
      </c>
      <c r="B102" s="1" t="str">
        <f ca="1">IF(Información1[[#This Row],[Fecha]]='Ajuste de fechas'!$A$2,"Día actual","Día anterior")</f>
        <v>Día actual</v>
      </c>
      <c r="C102" s="3" t="s">
        <v>55</v>
      </c>
      <c r="D102" t="s">
        <v>56</v>
      </c>
      <c r="E102" s="3" t="s">
        <v>238</v>
      </c>
      <c r="F102" s="3" t="s">
        <v>14</v>
      </c>
      <c r="G102" s="3" t="s">
        <v>133</v>
      </c>
      <c r="H102" s="3" t="s">
        <v>50</v>
      </c>
      <c r="I102" s="3" t="s">
        <v>7</v>
      </c>
      <c r="J102" s="3" t="s">
        <v>31</v>
      </c>
      <c r="K102" s="3" t="s">
        <v>58</v>
      </c>
      <c r="L102" s="3" t="s">
        <v>33</v>
      </c>
      <c r="M102">
        <v>1</v>
      </c>
    </row>
    <row r="103" spans="1:13" x14ac:dyDescent="0.25">
      <c r="A103" s="2">
        <v>46275</v>
      </c>
      <c r="B103" s="1" t="str">
        <f ca="1">IF(Información1[[#This Row],[Fecha]]='Ajuste de fechas'!$A$2,"Día actual","Día anterior")</f>
        <v>Día actual</v>
      </c>
      <c r="C103" s="3" t="s">
        <v>55</v>
      </c>
      <c r="D103" t="s">
        <v>56</v>
      </c>
      <c r="E103" s="3" t="s">
        <v>239</v>
      </c>
      <c r="F103" s="3" t="s">
        <v>44</v>
      </c>
      <c r="G103" s="3" t="s">
        <v>182</v>
      </c>
      <c r="H103" s="3" t="s">
        <v>50</v>
      </c>
      <c r="I103" s="3" t="s">
        <v>11</v>
      </c>
      <c r="J103" s="3" t="s">
        <v>31</v>
      </c>
      <c r="K103" s="3" t="s">
        <v>58</v>
      </c>
      <c r="L103" s="3" t="s">
        <v>33</v>
      </c>
      <c r="M103">
        <v>1</v>
      </c>
    </row>
    <row r="104" spans="1:13" x14ac:dyDescent="0.25">
      <c r="A104" s="2">
        <v>46275</v>
      </c>
      <c r="B104" s="1" t="str">
        <f ca="1">IF(Información1[[#This Row],[Fecha]]='Ajuste de fechas'!$A$2,"Día actual","Día anterior")</f>
        <v>Día actual</v>
      </c>
      <c r="C104" s="3" t="s">
        <v>55</v>
      </c>
      <c r="D104" t="s">
        <v>56</v>
      </c>
      <c r="E104" s="3" t="s">
        <v>240</v>
      </c>
      <c r="F104" s="3" t="s">
        <v>16</v>
      </c>
      <c r="G104" s="3" t="s">
        <v>79</v>
      </c>
      <c r="H104" s="3" t="s">
        <v>50</v>
      </c>
      <c r="I104" s="3" t="s">
        <v>7</v>
      </c>
      <c r="J104" s="3" t="s">
        <v>35</v>
      </c>
      <c r="K104" s="3" t="s">
        <v>66</v>
      </c>
      <c r="L104" s="3" t="s">
        <v>32</v>
      </c>
      <c r="M104">
        <v>1</v>
      </c>
    </row>
    <row r="105" spans="1:13" x14ac:dyDescent="0.25">
      <c r="A105" s="2">
        <v>46275</v>
      </c>
      <c r="B105" s="1" t="str">
        <f ca="1">IF(Información1[[#This Row],[Fecha]]='Ajuste de fechas'!$A$2,"Día actual","Día anterior")</f>
        <v>Día actual</v>
      </c>
      <c r="C105" s="3" t="s">
        <v>55</v>
      </c>
      <c r="D105" t="s">
        <v>56</v>
      </c>
      <c r="E105" s="3" t="s">
        <v>241</v>
      </c>
      <c r="F105" s="3" t="s">
        <v>74</v>
      </c>
      <c r="G105" s="3" t="s">
        <v>96</v>
      </c>
      <c r="H105" s="3" t="s">
        <v>50</v>
      </c>
      <c r="I105" s="3" t="s">
        <v>7</v>
      </c>
      <c r="J105" s="3" t="s">
        <v>31</v>
      </c>
      <c r="K105" s="3" t="s">
        <v>66</v>
      </c>
      <c r="L105" s="3" t="s">
        <v>32</v>
      </c>
      <c r="M105">
        <v>1</v>
      </c>
    </row>
    <row r="106" spans="1:13" x14ac:dyDescent="0.25">
      <c r="A106" s="2">
        <v>46275</v>
      </c>
      <c r="B106" s="1" t="str">
        <f ca="1">IF(Información1[[#This Row],[Fecha]]='Ajuste de fechas'!$A$2,"Día actual","Día anterior")</f>
        <v>Día actual</v>
      </c>
      <c r="C106" s="3" t="s">
        <v>55</v>
      </c>
      <c r="D106" t="s">
        <v>56</v>
      </c>
      <c r="E106" s="3" t="s">
        <v>242</v>
      </c>
      <c r="F106" s="3" t="s">
        <v>74</v>
      </c>
      <c r="G106" s="3" t="s">
        <v>243</v>
      </c>
      <c r="H106" s="3" t="s">
        <v>50</v>
      </c>
      <c r="I106" s="3" t="s">
        <v>7</v>
      </c>
      <c r="J106" s="3" t="s">
        <v>31</v>
      </c>
      <c r="K106" s="3" t="s">
        <v>95</v>
      </c>
      <c r="L106" s="3" t="s">
        <v>32</v>
      </c>
      <c r="M106">
        <v>1</v>
      </c>
    </row>
    <row r="107" spans="1:13" x14ac:dyDescent="0.25">
      <c r="A107" s="2">
        <v>46275</v>
      </c>
      <c r="B107" s="1" t="str">
        <f ca="1">IF(Información1[[#This Row],[Fecha]]='Ajuste de fechas'!$A$2,"Día actual","Día anterior")</f>
        <v>Día actual</v>
      </c>
      <c r="C107" s="3" t="s">
        <v>55</v>
      </c>
      <c r="D107" t="s">
        <v>56</v>
      </c>
      <c r="E107" s="3" t="s">
        <v>244</v>
      </c>
      <c r="F107" s="3" t="s">
        <v>16</v>
      </c>
      <c r="G107" s="3" t="s">
        <v>245</v>
      </c>
      <c r="H107" s="3" t="s">
        <v>50</v>
      </c>
      <c r="I107" s="3" t="s">
        <v>7</v>
      </c>
      <c r="J107" s="3" t="s">
        <v>35</v>
      </c>
      <c r="K107" s="3" t="s">
        <v>66</v>
      </c>
      <c r="L107" s="3" t="s">
        <v>32</v>
      </c>
      <c r="M107">
        <v>1</v>
      </c>
    </row>
    <row r="108" spans="1:13" x14ac:dyDescent="0.25">
      <c r="A108" s="2">
        <v>46275</v>
      </c>
      <c r="B108" s="1" t="str">
        <f ca="1">IF(Información1[[#This Row],[Fecha]]='Ajuste de fechas'!$A$2,"Día actual","Día anterior")</f>
        <v>Día actual</v>
      </c>
      <c r="C108" s="3" t="s">
        <v>55</v>
      </c>
      <c r="D108" t="s">
        <v>56</v>
      </c>
      <c r="E108" s="3" t="s">
        <v>246</v>
      </c>
      <c r="F108" s="3" t="s">
        <v>49</v>
      </c>
      <c r="G108" s="3" t="s">
        <v>247</v>
      </c>
      <c r="H108" s="3" t="s">
        <v>50</v>
      </c>
      <c r="I108" s="3" t="s">
        <v>7</v>
      </c>
      <c r="J108" s="3" t="s">
        <v>31</v>
      </c>
      <c r="K108" s="3" t="s">
        <v>95</v>
      </c>
      <c r="L108" s="3" t="s">
        <v>34</v>
      </c>
      <c r="M108">
        <v>1</v>
      </c>
    </row>
    <row r="109" spans="1:13" x14ac:dyDescent="0.25">
      <c r="A109" s="2">
        <v>46275</v>
      </c>
      <c r="B109" s="1" t="str">
        <f ca="1">IF(Información1[[#This Row],[Fecha]]='Ajuste de fechas'!$A$2,"Día actual","Día anterior")</f>
        <v>Día actual</v>
      </c>
      <c r="C109" s="3" t="s">
        <v>55</v>
      </c>
      <c r="D109" t="s">
        <v>56</v>
      </c>
      <c r="E109" s="3" t="s">
        <v>248</v>
      </c>
      <c r="F109" s="3" t="s">
        <v>89</v>
      </c>
      <c r="G109" s="3" t="s">
        <v>90</v>
      </c>
      <c r="H109" s="3" t="s">
        <v>50</v>
      </c>
      <c r="I109" s="3" t="s">
        <v>7</v>
      </c>
      <c r="J109" s="3" t="s">
        <v>21</v>
      </c>
      <c r="K109" s="3" t="s">
        <v>95</v>
      </c>
      <c r="L109" s="3" t="s">
        <v>32</v>
      </c>
      <c r="M109">
        <v>1</v>
      </c>
    </row>
    <row r="110" spans="1:13" x14ac:dyDescent="0.25">
      <c r="A110" s="2">
        <v>46275</v>
      </c>
      <c r="B110" s="1" t="str">
        <f ca="1">IF(Información1[[#This Row],[Fecha]]='Ajuste de fechas'!$A$2,"Día actual","Día anterior")</f>
        <v>Día actual</v>
      </c>
      <c r="C110" s="3" t="s">
        <v>55</v>
      </c>
      <c r="D110" t="s">
        <v>56</v>
      </c>
      <c r="E110" s="3" t="s">
        <v>249</v>
      </c>
      <c r="F110" s="3" t="s">
        <v>14</v>
      </c>
      <c r="G110" s="3" t="s">
        <v>133</v>
      </c>
      <c r="H110" s="3" t="s">
        <v>50</v>
      </c>
      <c r="I110" s="3" t="s">
        <v>7</v>
      </c>
      <c r="J110" s="3" t="s">
        <v>31</v>
      </c>
      <c r="K110" s="3" t="s">
        <v>58</v>
      </c>
      <c r="L110" s="3" t="s">
        <v>32</v>
      </c>
      <c r="M110">
        <v>1</v>
      </c>
    </row>
    <row r="111" spans="1:13" x14ac:dyDescent="0.25">
      <c r="A111" s="2">
        <v>46275</v>
      </c>
      <c r="B111" s="1" t="str">
        <f ca="1">IF(Información1[[#This Row],[Fecha]]='Ajuste de fechas'!$A$2,"Día actual","Día anterior")</f>
        <v>Día actual</v>
      </c>
      <c r="C111" s="3" t="s">
        <v>55</v>
      </c>
      <c r="D111" t="s">
        <v>56</v>
      </c>
      <c r="E111" s="3" t="s">
        <v>250</v>
      </c>
      <c r="F111" s="3" t="s">
        <v>16</v>
      </c>
      <c r="G111" s="3" t="s">
        <v>251</v>
      </c>
      <c r="H111" s="3" t="s">
        <v>50</v>
      </c>
      <c r="I111" s="3" t="s">
        <v>7</v>
      </c>
      <c r="J111" s="3" t="s">
        <v>35</v>
      </c>
      <c r="K111" s="3" t="s">
        <v>58</v>
      </c>
      <c r="L111" s="3" t="s">
        <v>32</v>
      </c>
      <c r="M111">
        <v>1</v>
      </c>
    </row>
    <row r="112" spans="1:13" x14ac:dyDescent="0.25">
      <c r="A112" s="2">
        <v>46275</v>
      </c>
      <c r="B112" s="1" t="str">
        <f ca="1">IF(Información1[[#This Row],[Fecha]]='Ajuste de fechas'!$A$2,"Día actual","Día anterior")</f>
        <v>Día actual</v>
      </c>
      <c r="C112" s="3" t="s">
        <v>55</v>
      </c>
      <c r="D112" t="s">
        <v>56</v>
      </c>
      <c r="E112" s="3" t="s">
        <v>252</v>
      </c>
      <c r="F112" s="3" t="s">
        <v>16</v>
      </c>
      <c r="G112" s="3" t="s">
        <v>253</v>
      </c>
      <c r="H112" s="3" t="s">
        <v>50</v>
      </c>
      <c r="I112" s="3" t="s">
        <v>7</v>
      </c>
      <c r="J112" s="3" t="s">
        <v>35</v>
      </c>
      <c r="K112" s="3" t="s">
        <v>66</v>
      </c>
      <c r="L112" s="3" t="s">
        <v>32</v>
      </c>
      <c r="M112">
        <v>1</v>
      </c>
    </row>
    <row r="113" spans="1:13" x14ac:dyDescent="0.25">
      <c r="A113" s="2">
        <v>46275</v>
      </c>
      <c r="B113" s="1" t="str">
        <f ca="1">IF(Información1[[#This Row],[Fecha]]='Ajuste de fechas'!$A$2,"Día actual","Día anterior")</f>
        <v>Día actual</v>
      </c>
      <c r="C113" s="3" t="s">
        <v>55</v>
      </c>
      <c r="D113" t="s">
        <v>56</v>
      </c>
      <c r="E113" s="3" t="s">
        <v>254</v>
      </c>
      <c r="F113" s="3" t="s">
        <v>41</v>
      </c>
      <c r="G113" s="3" t="s">
        <v>255</v>
      </c>
      <c r="H113" s="3" t="s">
        <v>50</v>
      </c>
      <c r="I113" s="3" t="s">
        <v>7</v>
      </c>
      <c r="J113" s="3" t="s">
        <v>21</v>
      </c>
      <c r="K113" s="3" t="s">
        <v>95</v>
      </c>
      <c r="L113" s="3" t="s">
        <v>32</v>
      </c>
      <c r="M113">
        <v>1</v>
      </c>
    </row>
    <row r="114" spans="1:13" x14ac:dyDescent="0.25">
      <c r="A114" s="2">
        <v>46275</v>
      </c>
      <c r="B114" s="1" t="str">
        <f ca="1">IF(Información1[[#This Row],[Fecha]]='Ajuste de fechas'!$A$2,"Día actual","Día anterior")</f>
        <v>Día actual</v>
      </c>
      <c r="C114" s="3" t="s">
        <v>55</v>
      </c>
      <c r="D114" t="s">
        <v>56</v>
      </c>
      <c r="E114" s="3" t="s">
        <v>256</v>
      </c>
      <c r="F114" s="3" t="s">
        <v>23</v>
      </c>
      <c r="G114" s="3" t="s">
        <v>127</v>
      </c>
      <c r="H114" s="3" t="s">
        <v>50</v>
      </c>
      <c r="I114" s="3" t="s">
        <v>7</v>
      </c>
      <c r="J114" s="3" t="s">
        <v>31</v>
      </c>
      <c r="K114" s="3" t="s">
        <v>58</v>
      </c>
      <c r="L114" s="3" t="s">
        <v>32</v>
      </c>
      <c r="M114">
        <v>1</v>
      </c>
    </row>
    <row r="115" spans="1:13" x14ac:dyDescent="0.25">
      <c r="A115" s="2">
        <v>46275</v>
      </c>
      <c r="B115" s="1" t="str">
        <f ca="1">IF(Información1[[#This Row],[Fecha]]='Ajuste de fechas'!$A$2,"Día actual","Día anterior")</f>
        <v>Día actual</v>
      </c>
      <c r="C115" s="3" t="s">
        <v>55</v>
      </c>
      <c r="D115" t="s">
        <v>56</v>
      </c>
      <c r="E115" s="3" t="s">
        <v>257</v>
      </c>
      <c r="F115" s="3" t="s">
        <v>44</v>
      </c>
      <c r="G115" s="3" t="s">
        <v>182</v>
      </c>
      <c r="H115" s="3" t="s">
        <v>50</v>
      </c>
      <c r="I115" s="3" t="s">
        <v>7</v>
      </c>
      <c r="J115" s="3" t="s">
        <v>31</v>
      </c>
      <c r="K115" s="3" t="s">
        <v>66</v>
      </c>
      <c r="L115" s="3" t="s">
        <v>32</v>
      </c>
      <c r="M115">
        <v>1</v>
      </c>
    </row>
    <row r="116" spans="1:13" x14ac:dyDescent="0.25">
      <c r="A116" s="2">
        <v>46275</v>
      </c>
      <c r="B116" s="1" t="str">
        <f ca="1">IF(Información1[[#This Row],[Fecha]]='Ajuste de fechas'!$A$2,"Día actual","Día anterior")</f>
        <v>Día actual</v>
      </c>
      <c r="C116" s="3" t="s">
        <v>55</v>
      </c>
      <c r="D116" t="s">
        <v>56</v>
      </c>
      <c r="E116" s="3" t="s">
        <v>258</v>
      </c>
      <c r="F116" s="3" t="s">
        <v>46</v>
      </c>
      <c r="G116" s="3" t="s">
        <v>259</v>
      </c>
      <c r="H116" s="3" t="s">
        <v>50</v>
      </c>
      <c r="I116" s="3" t="s">
        <v>7</v>
      </c>
      <c r="J116" s="3" t="s">
        <v>31</v>
      </c>
      <c r="K116" s="3" t="s">
        <v>95</v>
      </c>
      <c r="L116" s="3" t="s">
        <v>32</v>
      </c>
      <c r="M116">
        <v>1</v>
      </c>
    </row>
    <row r="117" spans="1:13" x14ac:dyDescent="0.25">
      <c r="A117" s="2">
        <v>46275</v>
      </c>
      <c r="B117" s="1" t="str">
        <f ca="1">IF(Información1[[#This Row],[Fecha]]='Ajuste de fechas'!$A$2,"Día actual","Día anterior")</f>
        <v>Día actual</v>
      </c>
      <c r="C117" s="3" t="s">
        <v>55</v>
      </c>
      <c r="D117" t="s">
        <v>56</v>
      </c>
      <c r="E117" s="3" t="s">
        <v>67</v>
      </c>
      <c r="F117" s="3" t="s">
        <v>16</v>
      </c>
      <c r="G117" s="3" t="s">
        <v>68</v>
      </c>
      <c r="H117" s="3" t="s">
        <v>50</v>
      </c>
      <c r="I117" s="3" t="s">
        <v>7</v>
      </c>
      <c r="J117" s="3" t="s">
        <v>35</v>
      </c>
      <c r="K117" s="3" t="s">
        <v>69</v>
      </c>
      <c r="L117" s="3" t="s">
        <v>70</v>
      </c>
      <c r="M117">
        <v>1</v>
      </c>
    </row>
    <row r="118" spans="1:13" x14ac:dyDescent="0.25">
      <c r="A118" s="2">
        <v>46275</v>
      </c>
      <c r="B118" s="1" t="str">
        <f ca="1">IF(Información1[[#This Row],[Fecha]]='Ajuste de fechas'!$A$2,"Día actual","Día anterior")</f>
        <v>Día actual</v>
      </c>
      <c r="C118" s="3" t="s">
        <v>55</v>
      </c>
      <c r="D118" t="s">
        <v>56</v>
      </c>
      <c r="E118" s="3" t="s">
        <v>260</v>
      </c>
      <c r="F118" s="3" t="s">
        <v>16</v>
      </c>
      <c r="G118" s="3" t="s">
        <v>85</v>
      </c>
      <c r="H118" s="3" t="s">
        <v>50</v>
      </c>
      <c r="I118" s="3" t="s">
        <v>7</v>
      </c>
      <c r="J118" s="3" t="s">
        <v>35</v>
      </c>
      <c r="K118" s="3" t="s">
        <v>58</v>
      </c>
      <c r="L118" s="3" t="s">
        <v>32</v>
      </c>
      <c r="M118">
        <v>1</v>
      </c>
    </row>
    <row r="119" spans="1:13" x14ac:dyDescent="0.25">
      <c r="A119" s="2">
        <v>46275</v>
      </c>
      <c r="B119" s="1" t="str">
        <f ca="1">IF(Información1[[#This Row],[Fecha]]='Ajuste de fechas'!$A$2,"Día actual","Día anterior")</f>
        <v>Día actual</v>
      </c>
      <c r="C119" s="3" t="s">
        <v>55</v>
      </c>
      <c r="D119" t="s">
        <v>56</v>
      </c>
      <c r="E119" s="3" t="s">
        <v>261</v>
      </c>
      <c r="F119" s="3" t="s">
        <v>18</v>
      </c>
      <c r="G119" s="3" t="s">
        <v>121</v>
      </c>
      <c r="H119" s="3" t="s">
        <v>50</v>
      </c>
      <c r="I119" s="3" t="s">
        <v>7</v>
      </c>
      <c r="J119" s="3" t="s">
        <v>31</v>
      </c>
      <c r="K119" s="3" t="s">
        <v>58</v>
      </c>
      <c r="L119" s="3" t="s">
        <v>32</v>
      </c>
      <c r="M119">
        <v>1</v>
      </c>
    </row>
    <row r="120" spans="1:13" x14ac:dyDescent="0.25">
      <c r="A120" s="2">
        <v>46275</v>
      </c>
      <c r="B120" s="1" t="str">
        <f ca="1">IF(Información1[[#This Row],[Fecha]]='Ajuste de fechas'!$A$2,"Día actual","Día anterior")</f>
        <v>Día actual</v>
      </c>
      <c r="C120" s="3" t="s">
        <v>55</v>
      </c>
      <c r="D120" t="s">
        <v>56</v>
      </c>
      <c r="E120" s="3" t="s">
        <v>262</v>
      </c>
      <c r="F120" s="3" t="s">
        <v>41</v>
      </c>
      <c r="G120" s="3" t="s">
        <v>263</v>
      </c>
      <c r="H120" s="3" t="s">
        <v>50</v>
      </c>
      <c r="I120" s="3" t="s">
        <v>7</v>
      </c>
      <c r="J120" s="3" t="s">
        <v>21</v>
      </c>
      <c r="K120" s="3" t="s">
        <v>95</v>
      </c>
      <c r="L120" s="3" t="s">
        <v>32</v>
      </c>
      <c r="M120">
        <v>1</v>
      </c>
    </row>
    <row r="121" spans="1:13" x14ac:dyDescent="0.25">
      <c r="A121" s="2">
        <v>46275</v>
      </c>
      <c r="B121" s="1" t="str">
        <f ca="1">IF(Información1[[#This Row],[Fecha]]='Ajuste de fechas'!$A$2,"Día actual","Día anterior")</f>
        <v>Día actual</v>
      </c>
      <c r="C121" s="3" t="s">
        <v>55</v>
      </c>
      <c r="D121" t="s">
        <v>56</v>
      </c>
      <c r="E121" s="3" t="s">
        <v>264</v>
      </c>
      <c r="F121" s="3" t="s">
        <v>16</v>
      </c>
      <c r="G121" s="3" t="s">
        <v>265</v>
      </c>
      <c r="H121" s="3" t="s">
        <v>50</v>
      </c>
      <c r="I121" s="3" t="s">
        <v>7</v>
      </c>
      <c r="J121" s="3" t="s">
        <v>35</v>
      </c>
      <c r="K121" s="3" t="s">
        <v>95</v>
      </c>
      <c r="L121" s="3" t="s">
        <v>32</v>
      </c>
      <c r="M121">
        <v>1</v>
      </c>
    </row>
    <row r="122" spans="1:13" x14ac:dyDescent="0.25">
      <c r="A122" s="2">
        <v>46275</v>
      </c>
      <c r="B122" s="1" t="str">
        <f ca="1">IF(Información1[[#This Row],[Fecha]]='Ajuste de fechas'!$A$2,"Día actual","Día anterior")</f>
        <v>Día actual</v>
      </c>
      <c r="C122" s="3" t="s">
        <v>59</v>
      </c>
      <c r="D122" t="s">
        <v>60</v>
      </c>
      <c r="E122" s="3" t="s">
        <v>266</v>
      </c>
      <c r="F122" s="3" t="s">
        <v>16</v>
      </c>
      <c r="G122" s="3" t="s">
        <v>100</v>
      </c>
      <c r="H122" s="3" t="s">
        <v>62</v>
      </c>
      <c r="I122" s="3" t="s">
        <v>22</v>
      </c>
      <c r="J122" s="3" t="s">
        <v>35</v>
      </c>
      <c r="K122" s="3" t="s">
        <v>64</v>
      </c>
      <c r="L122" s="3" t="s">
        <v>33</v>
      </c>
      <c r="M122">
        <v>1</v>
      </c>
    </row>
    <row r="123" spans="1:13" x14ac:dyDescent="0.25">
      <c r="A123" s="2">
        <v>46274</v>
      </c>
      <c r="B123" s="1" t="str">
        <f ca="1">IF(Información1[[#This Row],[Fecha]]='Ajuste de fechas'!$A$2,"Día actual","Día anterior")</f>
        <v>Día anterior</v>
      </c>
      <c r="C123" s="3" t="s">
        <v>59</v>
      </c>
      <c r="D123" t="s">
        <v>60</v>
      </c>
      <c r="E123" s="3" t="s">
        <v>267</v>
      </c>
      <c r="F123" s="3" t="s">
        <v>16</v>
      </c>
      <c r="G123" s="3" t="s">
        <v>100</v>
      </c>
      <c r="H123" s="3" t="s">
        <v>62</v>
      </c>
      <c r="I123" s="3" t="s">
        <v>22</v>
      </c>
      <c r="J123" s="3" t="s">
        <v>35</v>
      </c>
      <c r="K123" s="3" t="s">
        <v>64</v>
      </c>
      <c r="L123" s="3" t="s">
        <v>33</v>
      </c>
      <c r="M123">
        <v>1</v>
      </c>
    </row>
    <row r="124" spans="1:13" x14ac:dyDescent="0.25">
      <c r="A124" s="2">
        <v>46274</v>
      </c>
      <c r="B124" s="1" t="str">
        <f ca="1">IF(Información1[[#This Row],[Fecha]]='Ajuste de fechas'!$A$2,"Día actual","Día anterior")</f>
        <v>Día anterior</v>
      </c>
      <c r="C124" s="3" t="s">
        <v>59</v>
      </c>
      <c r="D124" t="s">
        <v>60</v>
      </c>
      <c r="E124" s="3" t="s">
        <v>268</v>
      </c>
      <c r="F124" s="3" t="s">
        <v>16</v>
      </c>
      <c r="G124" s="3" t="s">
        <v>100</v>
      </c>
      <c r="H124" s="3" t="s">
        <v>62</v>
      </c>
      <c r="I124" s="3" t="s">
        <v>22</v>
      </c>
      <c r="J124" s="3" t="s">
        <v>35</v>
      </c>
      <c r="K124" s="3" t="s">
        <v>64</v>
      </c>
      <c r="L124" s="3" t="s">
        <v>33</v>
      </c>
      <c r="M124">
        <v>1</v>
      </c>
    </row>
    <row r="125" spans="1:13" x14ac:dyDescent="0.25">
      <c r="A125" s="2">
        <v>46274</v>
      </c>
      <c r="B125" s="1" t="str">
        <f ca="1">IF(Información1[[#This Row],[Fecha]]='Ajuste de fechas'!$A$2,"Día actual","Día anterior")</f>
        <v>Día anterior</v>
      </c>
      <c r="C125" s="3" t="s">
        <v>59</v>
      </c>
      <c r="D125" t="s">
        <v>60</v>
      </c>
      <c r="E125" s="3" t="s">
        <v>269</v>
      </c>
      <c r="F125" s="3" t="s">
        <v>16</v>
      </c>
      <c r="G125" s="3" t="s">
        <v>93</v>
      </c>
      <c r="H125" s="3" t="s">
        <v>62</v>
      </c>
      <c r="I125" s="3" t="s">
        <v>11</v>
      </c>
      <c r="J125" s="3" t="s">
        <v>35</v>
      </c>
      <c r="K125" s="3" t="s">
        <v>97</v>
      </c>
      <c r="L125" s="3" t="s">
        <v>70</v>
      </c>
      <c r="M125">
        <v>1</v>
      </c>
    </row>
    <row r="126" spans="1:13" x14ac:dyDescent="0.25">
      <c r="A126" s="2">
        <v>46274</v>
      </c>
      <c r="B126" s="1" t="str">
        <f ca="1">IF(Información1[[#This Row],[Fecha]]='Ajuste de fechas'!$A$2,"Día actual","Día anterior")</f>
        <v>Día anterior</v>
      </c>
      <c r="C126" s="3" t="s">
        <v>59</v>
      </c>
      <c r="D126" t="s">
        <v>60</v>
      </c>
      <c r="E126" s="3" t="s">
        <v>270</v>
      </c>
      <c r="F126" s="3" t="s">
        <v>16</v>
      </c>
      <c r="G126" s="3" t="s">
        <v>100</v>
      </c>
      <c r="H126" s="3" t="s">
        <v>62</v>
      </c>
      <c r="I126" s="3" t="s">
        <v>22</v>
      </c>
      <c r="J126" s="3" t="s">
        <v>35</v>
      </c>
      <c r="K126" s="3" t="s">
        <v>64</v>
      </c>
      <c r="L126" s="3" t="s">
        <v>32</v>
      </c>
      <c r="M126">
        <v>1</v>
      </c>
    </row>
    <row r="127" spans="1:13" x14ac:dyDescent="0.25">
      <c r="A127" s="2">
        <v>46274</v>
      </c>
      <c r="B127" s="1" t="str">
        <f ca="1">IF(Información1[[#This Row],[Fecha]]='Ajuste de fechas'!$A$2,"Día actual","Día anterior")</f>
        <v>Día anterior</v>
      </c>
      <c r="C127" s="3" t="s">
        <v>59</v>
      </c>
      <c r="D127" t="s">
        <v>60</v>
      </c>
      <c r="E127" s="3" t="s">
        <v>271</v>
      </c>
      <c r="F127" s="3" t="s">
        <v>16</v>
      </c>
      <c r="G127" s="3" t="s">
        <v>100</v>
      </c>
      <c r="H127" s="3" t="s">
        <v>62</v>
      </c>
      <c r="I127" s="3" t="s">
        <v>22</v>
      </c>
      <c r="J127" s="3" t="s">
        <v>35</v>
      </c>
      <c r="K127" s="3" t="s">
        <v>64</v>
      </c>
      <c r="L127" s="3" t="s">
        <v>32</v>
      </c>
      <c r="M127">
        <v>1</v>
      </c>
    </row>
    <row r="128" spans="1:13" x14ac:dyDescent="0.25">
      <c r="A128" s="2">
        <v>46274</v>
      </c>
      <c r="B128" s="1" t="str">
        <f ca="1">IF(Información1[[#This Row],[Fecha]]='Ajuste de fechas'!$A$2,"Día actual","Día anterior")</f>
        <v>Día anterior</v>
      </c>
      <c r="C128" s="3" t="s">
        <v>59</v>
      </c>
      <c r="D128" t="s">
        <v>60</v>
      </c>
      <c r="E128" s="3" t="s">
        <v>272</v>
      </c>
      <c r="F128" s="3" t="s">
        <v>16</v>
      </c>
      <c r="G128" s="3" t="s">
        <v>100</v>
      </c>
      <c r="H128" s="3" t="s">
        <v>62</v>
      </c>
      <c r="I128" s="3" t="s">
        <v>22</v>
      </c>
      <c r="J128" s="3" t="s">
        <v>35</v>
      </c>
      <c r="K128" s="3" t="s">
        <v>64</v>
      </c>
      <c r="L128" s="3" t="s">
        <v>32</v>
      </c>
      <c r="M128">
        <v>1</v>
      </c>
    </row>
    <row r="129" spans="1:13" x14ac:dyDescent="0.25">
      <c r="A129" s="2">
        <v>46275</v>
      </c>
      <c r="B129" s="1" t="str">
        <f ca="1">IF(Información1[[#This Row],[Fecha]]='Ajuste de fechas'!$A$2,"Día actual","Día anterior")</f>
        <v>Día actual</v>
      </c>
      <c r="C129" s="3" t="s">
        <v>59</v>
      </c>
      <c r="D129" t="s">
        <v>60</v>
      </c>
      <c r="E129" s="3" t="s">
        <v>273</v>
      </c>
      <c r="F129" s="3" t="s">
        <v>274</v>
      </c>
      <c r="G129" s="3" t="s">
        <v>275</v>
      </c>
      <c r="H129" s="3" t="s">
        <v>62</v>
      </c>
      <c r="I129" s="3" t="s">
        <v>11</v>
      </c>
      <c r="J129" s="3" t="s">
        <v>31</v>
      </c>
      <c r="K129" s="3" t="s">
        <v>64</v>
      </c>
      <c r="L129" s="3" t="s">
        <v>32</v>
      </c>
      <c r="M129">
        <v>1</v>
      </c>
    </row>
    <row r="130" spans="1:13" x14ac:dyDescent="0.25">
      <c r="A130" s="2">
        <v>46275</v>
      </c>
      <c r="B130" s="1" t="str">
        <f ca="1">IF(Información1[[#This Row],[Fecha]]='Ajuste de fechas'!$A$2,"Día actual","Día anterior")</f>
        <v>Día actual</v>
      </c>
      <c r="C130" s="3" t="s">
        <v>59</v>
      </c>
      <c r="D130" t="s">
        <v>60</v>
      </c>
      <c r="E130" s="3" t="s">
        <v>276</v>
      </c>
      <c r="F130" s="3" t="s">
        <v>18</v>
      </c>
      <c r="G130" s="3" t="s">
        <v>277</v>
      </c>
      <c r="H130" s="3" t="s">
        <v>62</v>
      </c>
      <c r="I130" s="3" t="s">
        <v>11</v>
      </c>
      <c r="J130" s="3" t="s">
        <v>31</v>
      </c>
      <c r="K130" s="3" t="s">
        <v>64</v>
      </c>
      <c r="L130" s="3" t="s">
        <v>32</v>
      </c>
      <c r="M130">
        <v>1</v>
      </c>
    </row>
    <row r="131" spans="1:13" x14ac:dyDescent="0.25">
      <c r="A131" s="2">
        <v>46275</v>
      </c>
      <c r="B131" s="1" t="str">
        <f ca="1">IF(Información1[[#This Row],[Fecha]]='Ajuste de fechas'!$A$2,"Día actual","Día anterior")</f>
        <v>Día actual</v>
      </c>
      <c r="C131" s="3" t="s">
        <v>59</v>
      </c>
      <c r="D131" t="s">
        <v>60</v>
      </c>
      <c r="E131" s="3" t="s">
        <v>278</v>
      </c>
      <c r="F131" s="3" t="s">
        <v>89</v>
      </c>
      <c r="G131" s="3" t="s">
        <v>90</v>
      </c>
      <c r="H131" s="3" t="s">
        <v>62</v>
      </c>
      <c r="I131" s="3" t="s">
        <v>22</v>
      </c>
      <c r="J131" s="3" t="s">
        <v>21</v>
      </c>
      <c r="K131" s="3" t="s">
        <v>64</v>
      </c>
      <c r="L131" s="3" t="s">
        <v>32</v>
      </c>
      <c r="M131">
        <v>1</v>
      </c>
    </row>
    <row r="132" spans="1:13" x14ac:dyDescent="0.25">
      <c r="A132" s="2">
        <v>46275</v>
      </c>
      <c r="B132" s="1" t="str">
        <f ca="1">IF(Información1[[#This Row],[Fecha]]='Ajuste de fechas'!$A$2,"Día actual","Día anterior")</f>
        <v>Día actual</v>
      </c>
      <c r="C132" s="3" t="s">
        <v>59</v>
      </c>
      <c r="D132" t="s">
        <v>60</v>
      </c>
      <c r="E132" s="3" t="s">
        <v>279</v>
      </c>
      <c r="F132" s="3" t="s">
        <v>19</v>
      </c>
      <c r="G132" s="3" t="s">
        <v>280</v>
      </c>
      <c r="H132" s="3" t="s">
        <v>62</v>
      </c>
      <c r="I132" s="3" t="s">
        <v>7</v>
      </c>
      <c r="J132" s="3" t="s">
        <v>36</v>
      </c>
      <c r="K132" s="3" t="s">
        <v>64</v>
      </c>
      <c r="L132" s="3" t="s">
        <v>32</v>
      </c>
      <c r="M132">
        <v>1</v>
      </c>
    </row>
    <row r="133" spans="1:13" x14ac:dyDescent="0.25">
      <c r="A133" s="2">
        <v>46275</v>
      </c>
      <c r="B133" s="1" t="str">
        <f ca="1">IF(Información1[[#This Row],[Fecha]]='Ajuste de fechas'!$A$2,"Día actual","Día anterior")</f>
        <v>Día actual</v>
      </c>
      <c r="C133" s="3" t="s">
        <v>59</v>
      </c>
      <c r="D133" t="s">
        <v>60</v>
      </c>
      <c r="E133" s="3" t="s">
        <v>281</v>
      </c>
      <c r="F133" s="3" t="s">
        <v>41</v>
      </c>
      <c r="G133" s="3" t="s">
        <v>282</v>
      </c>
      <c r="H133" s="3" t="s">
        <v>62</v>
      </c>
      <c r="I133" s="3" t="s">
        <v>22</v>
      </c>
      <c r="J133" s="3" t="s">
        <v>21</v>
      </c>
      <c r="K133" s="3" t="s">
        <v>64</v>
      </c>
      <c r="L133" s="3" t="s">
        <v>33</v>
      </c>
      <c r="M133">
        <v>1</v>
      </c>
    </row>
    <row r="134" spans="1:13" x14ac:dyDescent="0.25">
      <c r="A134" s="2">
        <v>46275</v>
      </c>
      <c r="B134" s="1" t="str">
        <f ca="1">IF(Información1[[#This Row],[Fecha]]='Ajuste de fechas'!$A$2,"Día actual","Día anterior")</f>
        <v>Día actual</v>
      </c>
      <c r="C134" s="3" t="s">
        <v>59</v>
      </c>
      <c r="D134" t="s">
        <v>60</v>
      </c>
      <c r="E134" s="3" t="s">
        <v>283</v>
      </c>
      <c r="F134" s="3" t="s">
        <v>41</v>
      </c>
      <c r="G134" s="3" t="s">
        <v>284</v>
      </c>
      <c r="H134" s="3" t="s">
        <v>62</v>
      </c>
      <c r="I134" s="3" t="s">
        <v>11</v>
      </c>
      <c r="J134" s="3" t="s">
        <v>21</v>
      </c>
      <c r="K134" s="3" t="s">
        <v>64</v>
      </c>
      <c r="L134" s="3" t="s">
        <v>32</v>
      </c>
      <c r="M134">
        <v>1</v>
      </c>
    </row>
    <row r="135" spans="1:13" x14ac:dyDescent="0.25">
      <c r="A135" s="2">
        <v>46275</v>
      </c>
      <c r="B135" s="1" t="str">
        <f ca="1">IF(Información1[[#This Row],[Fecha]]='Ajuste de fechas'!$A$2,"Día actual","Día anterior")</f>
        <v>Día actual</v>
      </c>
      <c r="C135" s="3" t="s">
        <v>59</v>
      </c>
      <c r="D135" t="s">
        <v>60</v>
      </c>
      <c r="E135" s="3" t="s">
        <v>285</v>
      </c>
      <c r="F135" s="3" t="s">
        <v>23</v>
      </c>
      <c r="G135" s="3" t="s">
        <v>87</v>
      </c>
      <c r="H135" s="3" t="s">
        <v>62</v>
      </c>
      <c r="I135" s="3" t="s">
        <v>7</v>
      </c>
      <c r="J135" s="3" t="s">
        <v>31</v>
      </c>
      <c r="K135" s="3" t="s">
        <v>64</v>
      </c>
      <c r="L135" s="3" t="s">
        <v>32</v>
      </c>
      <c r="M135">
        <v>1</v>
      </c>
    </row>
    <row r="136" spans="1:13" x14ac:dyDescent="0.25">
      <c r="A136" s="2">
        <v>46275</v>
      </c>
      <c r="B136" s="1" t="str">
        <f ca="1">IF(Información1[[#This Row],[Fecha]]='Ajuste de fechas'!$A$2,"Día actual","Día anterior")</f>
        <v>Día actual</v>
      </c>
      <c r="C136" s="3" t="s">
        <v>8</v>
      </c>
      <c r="D136" t="s">
        <v>10</v>
      </c>
      <c r="E136" s="3" t="s">
        <v>286</v>
      </c>
      <c r="F136" s="3" t="s">
        <v>19</v>
      </c>
      <c r="G136" s="3" t="s">
        <v>287</v>
      </c>
      <c r="H136" s="3" t="s">
        <v>50</v>
      </c>
      <c r="I136" s="3" t="s">
        <v>7</v>
      </c>
      <c r="J136" s="3" t="s">
        <v>36</v>
      </c>
      <c r="K136" s="3" t="s">
        <v>12</v>
      </c>
      <c r="L136" s="3" t="s">
        <v>32</v>
      </c>
      <c r="M136">
        <v>1</v>
      </c>
    </row>
    <row r="137" spans="1:13" x14ac:dyDescent="0.25">
      <c r="A137" s="2">
        <v>46275</v>
      </c>
      <c r="B137" s="1" t="str">
        <f ca="1">IF(Información1[[#This Row],[Fecha]]='Ajuste de fechas'!$A$2,"Día actual","Día anterior")</f>
        <v>Día actual</v>
      </c>
      <c r="C137" s="3" t="s">
        <v>8</v>
      </c>
      <c r="D137" t="s">
        <v>10</v>
      </c>
      <c r="E137" s="3" t="s">
        <v>288</v>
      </c>
      <c r="F137" s="3" t="s">
        <v>41</v>
      </c>
      <c r="G137" s="3" t="s">
        <v>289</v>
      </c>
      <c r="H137" s="3" t="s">
        <v>50</v>
      </c>
      <c r="I137" s="3" t="s">
        <v>7</v>
      </c>
      <c r="J137" s="3" t="s">
        <v>21</v>
      </c>
      <c r="K137" s="3" t="s">
        <v>12</v>
      </c>
      <c r="L137" s="3" t="s">
        <v>42</v>
      </c>
      <c r="M137">
        <v>1</v>
      </c>
    </row>
    <row r="138" spans="1:13" x14ac:dyDescent="0.25">
      <c r="A138" s="2">
        <v>46275</v>
      </c>
      <c r="B138" s="1" t="str">
        <f ca="1">IF(Información1[[#This Row],[Fecha]]='Ajuste de fechas'!$A$2,"Día actual","Día anterior")</f>
        <v>Día actual</v>
      </c>
      <c r="C138" s="3" t="s">
        <v>71</v>
      </c>
      <c r="D138" t="s">
        <v>72</v>
      </c>
      <c r="E138" s="3" t="s">
        <v>290</v>
      </c>
      <c r="F138" s="3" t="s">
        <v>226</v>
      </c>
      <c r="G138" s="3" t="s">
        <v>178</v>
      </c>
      <c r="H138" s="3" t="s">
        <v>50</v>
      </c>
      <c r="I138" s="3" t="s">
        <v>7</v>
      </c>
      <c r="J138" s="3" t="s">
        <v>31</v>
      </c>
      <c r="K138" s="3" t="s">
        <v>73</v>
      </c>
      <c r="L138" s="3" t="s">
        <v>32</v>
      </c>
      <c r="M138">
        <v>1</v>
      </c>
    </row>
    <row r="139" spans="1:13" x14ac:dyDescent="0.25">
      <c r="A139" s="2">
        <v>46275</v>
      </c>
      <c r="B139" s="1" t="str">
        <f ca="1">IF(Información1[[#This Row],[Fecha]]='Ajuste de fechas'!$A$2,"Día actual","Día anterior")</f>
        <v>Día actual</v>
      </c>
      <c r="C139" s="3" t="s">
        <v>71</v>
      </c>
      <c r="D139" t="s">
        <v>72</v>
      </c>
      <c r="E139" s="3" t="s">
        <v>291</v>
      </c>
      <c r="F139" s="3" t="s">
        <v>21</v>
      </c>
      <c r="G139" s="3" t="s">
        <v>178</v>
      </c>
      <c r="H139" s="3" t="s">
        <v>50</v>
      </c>
      <c r="I139" s="3" t="s">
        <v>7</v>
      </c>
      <c r="J139" s="3" t="s">
        <v>21</v>
      </c>
      <c r="K139" s="3" t="s">
        <v>73</v>
      </c>
      <c r="L139" s="3" t="s">
        <v>33</v>
      </c>
      <c r="M139">
        <v>1</v>
      </c>
    </row>
    <row r="140" spans="1:13" x14ac:dyDescent="0.25">
      <c r="A140" s="2">
        <v>46275</v>
      </c>
      <c r="B140" s="1" t="str">
        <f ca="1">IF(Información1[[#This Row],[Fecha]]='Ajuste de fechas'!$A$2,"Día actual","Día anterior")</f>
        <v>Día actual</v>
      </c>
      <c r="C140" s="3" t="s">
        <v>71</v>
      </c>
      <c r="D140" t="s">
        <v>72</v>
      </c>
      <c r="E140" s="3" t="s">
        <v>292</v>
      </c>
      <c r="F140" s="3" t="s">
        <v>226</v>
      </c>
      <c r="G140" s="3" t="s">
        <v>178</v>
      </c>
      <c r="H140" s="3" t="s">
        <v>50</v>
      </c>
      <c r="I140" s="3" t="s">
        <v>7</v>
      </c>
      <c r="J140" s="3" t="s">
        <v>31</v>
      </c>
      <c r="K140" s="3" t="s">
        <v>73</v>
      </c>
      <c r="L140" s="3" t="s">
        <v>32</v>
      </c>
      <c r="M140">
        <v>1</v>
      </c>
    </row>
    <row r="141" spans="1:13" x14ac:dyDescent="0.25">
      <c r="A141" s="2">
        <v>46275</v>
      </c>
      <c r="B141" s="1" t="str">
        <f ca="1">IF(Información1[[#This Row],[Fecha]]='Ajuste de fechas'!$A$2,"Día actual","Día anterior")</f>
        <v>Día actual</v>
      </c>
      <c r="C141" s="3" t="s">
        <v>8</v>
      </c>
      <c r="D141" t="s">
        <v>10</v>
      </c>
      <c r="E141" s="3" t="s">
        <v>293</v>
      </c>
      <c r="F141" s="3" t="s">
        <v>14</v>
      </c>
      <c r="G141" s="3" t="s">
        <v>106</v>
      </c>
      <c r="H141" s="3" t="s">
        <v>50</v>
      </c>
      <c r="I141" s="3" t="s">
        <v>22</v>
      </c>
      <c r="J141" s="3" t="s">
        <v>31</v>
      </c>
      <c r="K141" s="3" t="s">
        <v>9</v>
      </c>
      <c r="L141" s="3" t="s">
        <v>33</v>
      </c>
      <c r="M141">
        <v>1</v>
      </c>
    </row>
    <row r="142" spans="1:13" x14ac:dyDescent="0.25">
      <c r="A142" s="2">
        <v>46275</v>
      </c>
      <c r="B142" s="1" t="str">
        <f ca="1">IF(Información1[[#This Row],[Fecha]]='Ajuste de fechas'!$A$2,"Día actual","Día anterior")</f>
        <v>Día actual</v>
      </c>
      <c r="C142" s="3" t="s">
        <v>8</v>
      </c>
      <c r="D142" t="s">
        <v>10</v>
      </c>
      <c r="E142" s="3" t="s">
        <v>294</v>
      </c>
      <c r="F142" s="3" t="s">
        <v>19</v>
      </c>
      <c r="G142" s="3" t="s">
        <v>80</v>
      </c>
      <c r="H142" s="3" t="s">
        <v>50</v>
      </c>
      <c r="I142" s="3" t="s">
        <v>7</v>
      </c>
      <c r="J142" s="3" t="s">
        <v>36</v>
      </c>
      <c r="K142" s="3" t="s">
        <v>12</v>
      </c>
      <c r="L142" s="3" t="s">
        <v>42</v>
      </c>
      <c r="M142">
        <v>1</v>
      </c>
    </row>
    <row r="143" spans="1:13" x14ac:dyDescent="0.25">
      <c r="A143" s="2">
        <v>46275</v>
      </c>
      <c r="B143" s="1" t="str">
        <f ca="1">IF(Información1[[#This Row],[Fecha]]='Ajuste de fechas'!$A$2,"Día actual","Día anterior")</f>
        <v>Día actual</v>
      </c>
      <c r="C143" s="3" t="s">
        <v>71</v>
      </c>
      <c r="D143" t="s">
        <v>72</v>
      </c>
      <c r="E143" s="3" t="s">
        <v>295</v>
      </c>
      <c r="F143" s="3" t="s">
        <v>49</v>
      </c>
      <c r="G143" s="3" t="s">
        <v>259</v>
      </c>
      <c r="H143" s="3" t="s">
        <v>50</v>
      </c>
      <c r="I143" s="3" t="s">
        <v>7</v>
      </c>
      <c r="J143" s="3" t="s">
        <v>31</v>
      </c>
      <c r="K143" s="3" t="s">
        <v>73</v>
      </c>
      <c r="L143" s="3" t="s">
        <v>32</v>
      </c>
      <c r="M143">
        <v>1</v>
      </c>
    </row>
    <row r="144" spans="1:13" x14ac:dyDescent="0.25">
      <c r="A144" s="2">
        <v>46275</v>
      </c>
      <c r="B144" s="1" t="str">
        <f ca="1">IF(Información1[[#This Row],[Fecha]]='Ajuste de fechas'!$A$2,"Día actual","Día anterior")</f>
        <v>Día actual</v>
      </c>
      <c r="C144" s="3" t="s">
        <v>71</v>
      </c>
      <c r="D144" t="s">
        <v>72</v>
      </c>
      <c r="E144" s="3" t="s">
        <v>296</v>
      </c>
      <c r="F144" s="3" t="s">
        <v>46</v>
      </c>
      <c r="G144" s="3" t="s">
        <v>259</v>
      </c>
      <c r="H144" s="3" t="s">
        <v>50</v>
      </c>
      <c r="I144" s="3" t="s">
        <v>7</v>
      </c>
      <c r="J144" s="3" t="s">
        <v>31</v>
      </c>
      <c r="K144" s="3" t="s">
        <v>73</v>
      </c>
      <c r="L144" s="3" t="s">
        <v>32</v>
      </c>
      <c r="M144">
        <v>1</v>
      </c>
    </row>
    <row r="145" spans="1:13" x14ac:dyDescent="0.25">
      <c r="A145" s="2">
        <v>46275</v>
      </c>
      <c r="B145" s="1" t="str">
        <f ca="1">IF(Información1[[#This Row],[Fecha]]='Ajuste de fechas'!$A$2,"Día actual","Día anterior")</f>
        <v>Día actual</v>
      </c>
      <c r="C145" s="3" t="s">
        <v>8</v>
      </c>
      <c r="D145" t="s">
        <v>10</v>
      </c>
      <c r="E145" s="3" t="s">
        <v>297</v>
      </c>
      <c r="F145" s="3" t="s">
        <v>89</v>
      </c>
      <c r="G145" s="3" t="s">
        <v>90</v>
      </c>
      <c r="H145" s="3" t="s">
        <v>50</v>
      </c>
      <c r="I145" s="3" t="s">
        <v>7</v>
      </c>
      <c r="J145" s="3" t="s">
        <v>21</v>
      </c>
      <c r="K145" s="3" t="s">
        <v>12</v>
      </c>
      <c r="L145" s="3" t="s">
        <v>32</v>
      </c>
      <c r="M145">
        <v>1</v>
      </c>
    </row>
    <row r="146" spans="1:13" x14ac:dyDescent="0.25">
      <c r="A146" s="2">
        <v>46275</v>
      </c>
      <c r="B146" s="1" t="str">
        <f ca="1">IF(Información1[[#This Row],[Fecha]]='Ajuste de fechas'!$A$2,"Día actual","Día anterior")</f>
        <v>Día actual</v>
      </c>
      <c r="C146" s="3" t="s">
        <v>71</v>
      </c>
      <c r="D146" t="s">
        <v>72</v>
      </c>
      <c r="E146" s="3" t="s">
        <v>298</v>
      </c>
      <c r="F146" s="3" t="s">
        <v>19</v>
      </c>
      <c r="G146" s="3" t="s">
        <v>263</v>
      </c>
      <c r="H146" s="3" t="s">
        <v>50</v>
      </c>
      <c r="I146" s="3" t="s">
        <v>7</v>
      </c>
      <c r="J146" s="3" t="s">
        <v>36</v>
      </c>
      <c r="K146" s="3" t="s">
        <v>73</v>
      </c>
      <c r="L146" s="3" t="s">
        <v>32</v>
      </c>
      <c r="M146">
        <v>1</v>
      </c>
    </row>
    <row r="147" spans="1:13" x14ac:dyDescent="0.25">
      <c r="A147" s="2">
        <v>46275</v>
      </c>
      <c r="B147" s="1" t="str">
        <f ca="1">IF(Información1[[#This Row],[Fecha]]='Ajuste de fechas'!$A$2,"Día actual","Día anterior")</f>
        <v>Día actual</v>
      </c>
      <c r="C147" s="3" t="s">
        <v>71</v>
      </c>
      <c r="D147" t="s">
        <v>72</v>
      </c>
      <c r="E147" s="3" t="s">
        <v>299</v>
      </c>
      <c r="F147" s="3" t="s">
        <v>19</v>
      </c>
      <c r="G147" s="3" t="s">
        <v>300</v>
      </c>
      <c r="H147" s="3" t="s">
        <v>50</v>
      </c>
      <c r="I147" s="3" t="s">
        <v>7</v>
      </c>
      <c r="J147" s="3" t="s">
        <v>36</v>
      </c>
      <c r="K147" s="3" t="s">
        <v>73</v>
      </c>
      <c r="L147" s="3" t="s">
        <v>32</v>
      </c>
      <c r="M147">
        <v>1</v>
      </c>
    </row>
    <row r="148" spans="1:13" x14ac:dyDescent="0.25">
      <c r="A148" s="2">
        <v>46275</v>
      </c>
      <c r="B148" s="1" t="str">
        <f ca="1">IF(Información1[[#This Row],[Fecha]]='Ajuste de fechas'!$A$2,"Día actual","Día anterior")</f>
        <v>Día actual</v>
      </c>
      <c r="C148" s="3" t="s">
        <v>8</v>
      </c>
      <c r="D148" t="s">
        <v>10</v>
      </c>
      <c r="E148" s="3" t="s">
        <v>301</v>
      </c>
      <c r="F148" s="3" t="s">
        <v>16</v>
      </c>
      <c r="G148" s="3" t="s">
        <v>302</v>
      </c>
      <c r="H148" s="3" t="s">
        <v>50</v>
      </c>
      <c r="I148" s="3" t="s">
        <v>7</v>
      </c>
      <c r="J148" s="3" t="s">
        <v>35</v>
      </c>
      <c r="K148" s="3" t="s">
        <v>12</v>
      </c>
      <c r="L148" s="3" t="s">
        <v>32</v>
      </c>
      <c r="M148">
        <v>1</v>
      </c>
    </row>
    <row r="149" spans="1:13" x14ac:dyDescent="0.25">
      <c r="A149" s="2">
        <v>46275</v>
      </c>
      <c r="B149" s="1" t="str">
        <f ca="1">IF(Información1[[#This Row],[Fecha]]='Ajuste de fechas'!$A$2,"Día actual","Día anterior")</f>
        <v>Día actual</v>
      </c>
      <c r="C149" s="3" t="s">
        <v>8</v>
      </c>
      <c r="D149" t="s">
        <v>10</v>
      </c>
      <c r="E149" s="3" t="s">
        <v>303</v>
      </c>
      <c r="F149" s="3" t="s">
        <v>46</v>
      </c>
      <c r="G149" s="3" t="s">
        <v>163</v>
      </c>
      <c r="H149" s="3" t="s">
        <v>50</v>
      </c>
      <c r="I149" s="3" t="s">
        <v>7</v>
      </c>
      <c r="J149" s="3" t="s">
        <v>31</v>
      </c>
      <c r="K149" s="3" t="s">
        <v>12</v>
      </c>
      <c r="L149" s="3" t="s">
        <v>32</v>
      </c>
      <c r="M149">
        <v>1</v>
      </c>
    </row>
    <row r="150" spans="1:13" x14ac:dyDescent="0.25">
      <c r="A150" s="2">
        <v>46275</v>
      </c>
      <c r="B150" s="1" t="str">
        <f ca="1">IF(Información1[[#This Row],[Fecha]]='Ajuste de fechas'!$A$2,"Día actual","Día anterior")</f>
        <v>Día actual</v>
      </c>
      <c r="C150" s="3" t="s">
        <v>71</v>
      </c>
      <c r="D150" t="s">
        <v>72</v>
      </c>
      <c r="E150" s="3" t="s">
        <v>304</v>
      </c>
      <c r="F150" s="3" t="s">
        <v>18</v>
      </c>
      <c r="G150" s="3" t="s">
        <v>277</v>
      </c>
      <c r="H150" s="3" t="s">
        <v>50</v>
      </c>
      <c r="I150" s="3" t="s">
        <v>7</v>
      </c>
      <c r="J150" s="3" t="s">
        <v>31</v>
      </c>
      <c r="K150" s="3" t="s">
        <v>73</v>
      </c>
      <c r="L150" s="3" t="s">
        <v>32</v>
      </c>
      <c r="M150">
        <v>1</v>
      </c>
    </row>
    <row r="151" spans="1:13" x14ac:dyDescent="0.25">
      <c r="A151" s="2">
        <v>46275</v>
      </c>
      <c r="B151" s="1" t="str">
        <f ca="1">IF(Información1[[#This Row],[Fecha]]='Ajuste de fechas'!$A$2,"Día actual","Día anterior")</f>
        <v>Día actual</v>
      </c>
      <c r="C151" s="3" t="s">
        <v>8</v>
      </c>
      <c r="D151" t="s">
        <v>10</v>
      </c>
      <c r="E151" s="3" t="s">
        <v>305</v>
      </c>
      <c r="F151" s="3" t="s">
        <v>306</v>
      </c>
      <c r="G151" s="3" t="s">
        <v>307</v>
      </c>
      <c r="H151" s="3" t="s">
        <v>50</v>
      </c>
      <c r="I151" s="3" t="s">
        <v>11</v>
      </c>
      <c r="J151" s="3" t="s">
        <v>31</v>
      </c>
      <c r="K151" s="3" t="s">
        <v>12</v>
      </c>
      <c r="L151" s="3" t="s">
        <v>308</v>
      </c>
      <c r="M151">
        <v>1</v>
      </c>
    </row>
    <row r="152" spans="1:13" x14ac:dyDescent="0.25">
      <c r="A152" s="2">
        <v>46275</v>
      </c>
      <c r="B152" s="1" t="str">
        <f ca="1">IF(Información1[[#This Row],[Fecha]]='Ajuste de fechas'!$A$2,"Día actual","Día anterior")</f>
        <v>Día actual</v>
      </c>
      <c r="C152" s="3" t="s">
        <v>8</v>
      </c>
      <c r="D152" t="s">
        <v>10</v>
      </c>
      <c r="E152" s="3" t="s">
        <v>309</v>
      </c>
      <c r="F152" s="3" t="s">
        <v>41</v>
      </c>
      <c r="G152" s="3" t="s">
        <v>255</v>
      </c>
      <c r="H152" s="3" t="s">
        <v>50</v>
      </c>
      <c r="I152" s="3" t="s">
        <v>7</v>
      </c>
      <c r="J152" s="3" t="s">
        <v>21</v>
      </c>
      <c r="K152" s="3" t="s">
        <v>12</v>
      </c>
      <c r="L152" s="3" t="s">
        <v>32</v>
      </c>
      <c r="M152">
        <v>1</v>
      </c>
    </row>
    <row r="153" spans="1:13" x14ac:dyDescent="0.25">
      <c r="A153" s="2">
        <v>46275</v>
      </c>
      <c r="B153" s="1" t="str">
        <f ca="1">IF(Información1[[#This Row],[Fecha]]='Ajuste de fechas'!$A$2,"Día actual","Día anterior")</f>
        <v>Día actual</v>
      </c>
      <c r="C153" s="3" t="s">
        <v>8</v>
      </c>
      <c r="D153" t="s">
        <v>10</v>
      </c>
      <c r="E153" s="3" t="s">
        <v>310</v>
      </c>
      <c r="F153" s="3" t="s">
        <v>16</v>
      </c>
      <c r="G153" s="3" t="s">
        <v>143</v>
      </c>
      <c r="H153" s="3" t="s">
        <v>50</v>
      </c>
      <c r="I153" s="3" t="s">
        <v>7</v>
      </c>
      <c r="J153" s="3" t="s">
        <v>35</v>
      </c>
      <c r="K153" s="3" t="s">
        <v>12</v>
      </c>
      <c r="L153" s="3" t="s">
        <v>32</v>
      </c>
      <c r="M153">
        <v>1</v>
      </c>
    </row>
    <row r="154" spans="1:13" x14ac:dyDescent="0.25">
      <c r="A154" s="2">
        <v>46275</v>
      </c>
      <c r="B154" s="1" t="str">
        <f ca="1">IF(Información1[[#This Row],[Fecha]]='Ajuste de fechas'!$A$2,"Día actual","Día anterior")</f>
        <v>Día actual</v>
      </c>
      <c r="C154" s="3" t="s">
        <v>8</v>
      </c>
      <c r="D154" t="s">
        <v>10</v>
      </c>
      <c r="E154" s="3" t="s">
        <v>17</v>
      </c>
      <c r="F154" s="3" t="s">
        <v>16</v>
      </c>
      <c r="G154" s="3" t="s">
        <v>24</v>
      </c>
      <c r="H154" s="3" t="s">
        <v>50</v>
      </c>
      <c r="I154" s="3" t="s">
        <v>11</v>
      </c>
      <c r="J154" s="3" t="s">
        <v>35</v>
      </c>
      <c r="K154" s="3" t="s">
        <v>12</v>
      </c>
      <c r="L154" s="3" t="s">
        <v>33</v>
      </c>
      <c r="M154">
        <v>1</v>
      </c>
    </row>
    <row r="155" spans="1:13" x14ac:dyDescent="0.25">
      <c r="A155" s="2">
        <v>46275</v>
      </c>
      <c r="B155" s="1" t="str">
        <f ca="1">IF(Información1[[#This Row],[Fecha]]='Ajuste de fechas'!$A$2,"Día actual","Día anterior")</f>
        <v>Día actual</v>
      </c>
      <c r="C155" s="3" t="s">
        <v>8</v>
      </c>
      <c r="D155" t="s">
        <v>10</v>
      </c>
      <c r="E155" s="3" t="s">
        <v>15</v>
      </c>
      <c r="F155" s="3" t="s">
        <v>16</v>
      </c>
      <c r="G155" s="3" t="s">
        <v>24</v>
      </c>
      <c r="H155" s="3" t="s">
        <v>50</v>
      </c>
      <c r="I155" s="3" t="s">
        <v>11</v>
      </c>
      <c r="J155" s="3" t="s">
        <v>35</v>
      </c>
      <c r="K155" s="3" t="s">
        <v>12</v>
      </c>
      <c r="L155" s="3" t="s">
        <v>33</v>
      </c>
      <c r="M155">
        <v>1</v>
      </c>
    </row>
    <row r="156" spans="1:13" x14ac:dyDescent="0.25">
      <c r="A156" s="2">
        <v>46275</v>
      </c>
      <c r="B156" s="1" t="str">
        <f ca="1">IF(Información1[[#This Row],[Fecha]]='Ajuste de fechas'!$A$2,"Día actual","Día anterior")</f>
        <v>Día actual</v>
      </c>
      <c r="C156" s="3" t="s">
        <v>8</v>
      </c>
      <c r="D156" t="s">
        <v>10</v>
      </c>
      <c r="E156" s="3" t="s">
        <v>43</v>
      </c>
      <c r="F156" s="3" t="s">
        <v>41</v>
      </c>
      <c r="G156" s="3" t="s">
        <v>24</v>
      </c>
      <c r="H156" s="3" t="s">
        <v>50</v>
      </c>
      <c r="I156" s="3" t="s">
        <v>11</v>
      </c>
      <c r="J156" s="3" t="s">
        <v>21</v>
      </c>
      <c r="K156" s="3" t="s">
        <v>12</v>
      </c>
      <c r="L156" s="3" t="s">
        <v>33</v>
      </c>
      <c r="M156">
        <v>1</v>
      </c>
    </row>
    <row r="157" spans="1:13" x14ac:dyDescent="0.25">
      <c r="A157" s="2">
        <v>46275</v>
      </c>
      <c r="B157" s="1" t="str">
        <f ca="1">IF(Información1[[#This Row],[Fecha]]='Ajuste de fechas'!$A$2,"Día actual","Día anterior")</f>
        <v>Día actual</v>
      </c>
      <c r="C157" s="3" t="s">
        <v>8</v>
      </c>
      <c r="D157" t="s">
        <v>10</v>
      </c>
      <c r="E157" s="3" t="s">
        <v>45</v>
      </c>
      <c r="F157" s="3" t="s">
        <v>18</v>
      </c>
      <c r="G157" s="3" t="s">
        <v>24</v>
      </c>
      <c r="H157" s="3" t="s">
        <v>50</v>
      </c>
      <c r="I157" s="3" t="s">
        <v>11</v>
      </c>
      <c r="J157" s="3" t="s">
        <v>31</v>
      </c>
      <c r="K157" s="3" t="s">
        <v>12</v>
      </c>
      <c r="L157" s="3" t="s">
        <v>33</v>
      </c>
      <c r="M157">
        <v>1</v>
      </c>
    </row>
    <row r="158" spans="1:13" x14ac:dyDescent="0.25">
      <c r="A158" s="2">
        <v>46275</v>
      </c>
      <c r="B158" s="1" t="str">
        <f ca="1">IF(Información1[[#This Row],[Fecha]]='Ajuste de fechas'!$A$2,"Día actual","Día anterior")</f>
        <v>Día actual</v>
      </c>
      <c r="C158" s="3" t="s">
        <v>8</v>
      </c>
      <c r="D158" t="s">
        <v>10</v>
      </c>
      <c r="E158" s="3" t="s">
        <v>47</v>
      </c>
      <c r="F158" s="3" t="s">
        <v>46</v>
      </c>
      <c r="G158" s="3" t="s">
        <v>24</v>
      </c>
      <c r="H158" s="3" t="s">
        <v>50</v>
      </c>
      <c r="I158" s="3" t="s">
        <v>11</v>
      </c>
      <c r="J158" s="3" t="s">
        <v>31</v>
      </c>
      <c r="K158" s="3" t="s">
        <v>12</v>
      </c>
      <c r="L158" s="3" t="s">
        <v>33</v>
      </c>
      <c r="M158">
        <v>1</v>
      </c>
    </row>
    <row r="159" spans="1:13" x14ac:dyDescent="0.25">
      <c r="A159" s="2">
        <v>46275</v>
      </c>
      <c r="B159" s="1" t="str">
        <f ca="1">IF(Información1[[#This Row],[Fecha]]='Ajuste de fechas'!$A$2,"Día actual","Día anterior")</f>
        <v>Día actual</v>
      </c>
      <c r="C159" s="3" t="s">
        <v>8</v>
      </c>
      <c r="D159" t="s">
        <v>10</v>
      </c>
      <c r="E159" s="3" t="s">
        <v>13</v>
      </c>
      <c r="F159" s="3" t="s">
        <v>14</v>
      </c>
      <c r="G159" s="3" t="s">
        <v>24</v>
      </c>
      <c r="H159" s="3" t="s">
        <v>50</v>
      </c>
      <c r="I159" s="3" t="s">
        <v>11</v>
      </c>
      <c r="J159" s="3" t="s">
        <v>31</v>
      </c>
      <c r="K159" s="3" t="s">
        <v>12</v>
      </c>
      <c r="L159" s="3" t="s">
        <v>33</v>
      </c>
      <c r="M159">
        <v>1</v>
      </c>
    </row>
    <row r="160" spans="1:13" x14ac:dyDescent="0.25">
      <c r="A160" s="2">
        <v>46275</v>
      </c>
      <c r="B160" s="1" t="str">
        <f ca="1">IF(Información1[[#This Row],[Fecha]]='Ajuste de fechas'!$A$2,"Día actual","Día anterior")</f>
        <v>Día actual</v>
      </c>
      <c r="C160" s="3" t="s">
        <v>8</v>
      </c>
      <c r="D160" t="s">
        <v>10</v>
      </c>
      <c r="E160" s="3" t="s">
        <v>40</v>
      </c>
      <c r="F160" s="3" t="s">
        <v>6</v>
      </c>
      <c r="G160" s="3" t="s">
        <v>24</v>
      </c>
      <c r="H160" s="3" t="s">
        <v>50</v>
      </c>
      <c r="I160" s="3" t="s">
        <v>11</v>
      </c>
      <c r="J160" s="3" t="s">
        <v>31</v>
      </c>
      <c r="K160" s="3" t="s">
        <v>12</v>
      </c>
      <c r="L160" s="3" t="s">
        <v>33</v>
      </c>
      <c r="M160">
        <v>1</v>
      </c>
    </row>
    <row r="161" spans="1:13" x14ac:dyDescent="0.25">
      <c r="A161" s="2">
        <v>46275</v>
      </c>
      <c r="B161" s="1" t="str">
        <f ca="1">IF(Información1[[#This Row],[Fecha]]='Ajuste de fechas'!$A$2,"Día actual","Día anterior")</f>
        <v>Día actual</v>
      </c>
      <c r="C161" s="3" t="s">
        <v>8</v>
      </c>
      <c r="D161" t="s">
        <v>10</v>
      </c>
      <c r="E161" s="3" t="s">
        <v>311</v>
      </c>
      <c r="F161" s="3" t="s">
        <v>44</v>
      </c>
      <c r="G161" s="3" t="s">
        <v>182</v>
      </c>
      <c r="H161" s="3" t="s">
        <v>50</v>
      </c>
      <c r="I161" s="3" t="s">
        <v>7</v>
      </c>
      <c r="J161" s="3" t="s">
        <v>31</v>
      </c>
      <c r="K161" s="3" t="s">
        <v>12</v>
      </c>
      <c r="L161" s="3" t="s">
        <v>32</v>
      </c>
      <c r="M161">
        <v>1</v>
      </c>
    </row>
    <row r="162" spans="1:13" x14ac:dyDescent="0.25">
      <c r="A162" s="2">
        <v>46275</v>
      </c>
      <c r="B162" s="1" t="str">
        <f ca="1">IF(Información1[[#This Row],[Fecha]]='Ajuste de fechas'!$A$2,"Día actual","Día anterior")</f>
        <v>Día actual</v>
      </c>
      <c r="C162" s="3" t="s">
        <v>51</v>
      </c>
      <c r="D162" t="s">
        <v>52</v>
      </c>
      <c r="E162" s="3" t="s">
        <v>312</v>
      </c>
      <c r="F162" s="3" t="s">
        <v>14</v>
      </c>
      <c r="G162" s="3" t="s">
        <v>106</v>
      </c>
      <c r="H162" s="3" t="s">
        <v>50</v>
      </c>
      <c r="I162" s="3" t="s">
        <v>22</v>
      </c>
      <c r="J162" s="3" t="s">
        <v>31</v>
      </c>
      <c r="K162" s="3" t="s">
        <v>9</v>
      </c>
      <c r="L162" s="3" t="s">
        <v>33</v>
      </c>
      <c r="M162">
        <v>1</v>
      </c>
    </row>
    <row r="163" spans="1:13" x14ac:dyDescent="0.25">
      <c r="A163" s="2">
        <v>46275</v>
      </c>
      <c r="B163" s="1" t="str">
        <f ca="1">IF(Información1[[#This Row],[Fecha]]='Ajuste de fechas'!$A$2,"Día actual","Día anterior")</f>
        <v>Día actual</v>
      </c>
      <c r="C163" s="3" t="s">
        <v>51</v>
      </c>
      <c r="D163" t="s">
        <v>52</v>
      </c>
      <c r="E163" s="3" t="s">
        <v>313</v>
      </c>
      <c r="F163" s="3" t="s">
        <v>19</v>
      </c>
      <c r="G163" s="3" t="s">
        <v>314</v>
      </c>
      <c r="H163" s="3" t="s">
        <v>50</v>
      </c>
      <c r="I163" s="3" t="s">
        <v>22</v>
      </c>
      <c r="J163" s="3" t="s">
        <v>36</v>
      </c>
      <c r="K163" s="3" t="s">
        <v>9</v>
      </c>
      <c r="L163" s="3" t="s">
        <v>33</v>
      </c>
      <c r="M163">
        <v>1</v>
      </c>
    </row>
    <row r="164" spans="1:13" x14ac:dyDescent="0.25">
      <c r="A164" s="2">
        <v>46275</v>
      </c>
      <c r="B164" s="1" t="str">
        <f ca="1">IF(Información1[[#This Row],[Fecha]]='Ajuste de fechas'!$A$2,"Día actual","Día anterior")</f>
        <v>Día actual</v>
      </c>
      <c r="C164" s="3" t="s">
        <v>51</v>
      </c>
      <c r="D164" t="s">
        <v>52</v>
      </c>
      <c r="E164" s="3" t="s">
        <v>315</v>
      </c>
      <c r="F164" s="3" t="s">
        <v>21</v>
      </c>
      <c r="G164" s="3" t="s">
        <v>80</v>
      </c>
      <c r="H164" s="3" t="s">
        <v>50</v>
      </c>
      <c r="I164" s="3" t="s">
        <v>7</v>
      </c>
      <c r="J164" s="3" t="s">
        <v>21</v>
      </c>
      <c r="K164" s="3" t="s">
        <v>53</v>
      </c>
      <c r="L164" s="3" t="s">
        <v>32</v>
      </c>
      <c r="M164">
        <v>1</v>
      </c>
    </row>
    <row r="165" spans="1:13" x14ac:dyDescent="0.25">
      <c r="A165" s="2">
        <v>46275</v>
      </c>
      <c r="B165" s="1" t="str">
        <f ca="1">IF(Información1[[#This Row],[Fecha]]='Ajuste de fechas'!$A$2,"Día actual","Día anterior")</f>
        <v>Día actual</v>
      </c>
      <c r="C165" s="3" t="s">
        <v>51</v>
      </c>
      <c r="D165" t="s">
        <v>52</v>
      </c>
      <c r="E165" s="3" t="s">
        <v>316</v>
      </c>
      <c r="F165" s="3" t="s">
        <v>44</v>
      </c>
      <c r="G165" s="3" t="s">
        <v>182</v>
      </c>
      <c r="H165" s="3" t="s">
        <v>50</v>
      </c>
      <c r="I165" s="3" t="s">
        <v>7</v>
      </c>
      <c r="J165" s="3" t="s">
        <v>31</v>
      </c>
      <c r="K165" s="3" t="s">
        <v>54</v>
      </c>
      <c r="L165" s="3" t="s">
        <v>34</v>
      </c>
      <c r="M165">
        <v>1</v>
      </c>
    </row>
    <row r="166" spans="1:13" x14ac:dyDescent="0.25">
      <c r="A166" s="2">
        <v>46275</v>
      </c>
      <c r="B166" s="1" t="str">
        <f ca="1">IF(Información1[[#This Row],[Fecha]]='Ajuste de fechas'!$A$2,"Día actual","Día anterior")</f>
        <v>Día actual</v>
      </c>
      <c r="C166" s="3" t="s">
        <v>51</v>
      </c>
      <c r="D166" t="s">
        <v>52</v>
      </c>
      <c r="E166" s="3" t="s">
        <v>317</v>
      </c>
      <c r="F166" s="3" t="s">
        <v>18</v>
      </c>
      <c r="G166" s="3" t="s">
        <v>318</v>
      </c>
      <c r="H166" s="3" t="s">
        <v>50</v>
      </c>
      <c r="I166" s="3" t="s">
        <v>22</v>
      </c>
      <c r="J166" s="3" t="s">
        <v>31</v>
      </c>
      <c r="K166" s="3" t="s">
        <v>53</v>
      </c>
      <c r="L166" s="3" t="s">
        <v>42</v>
      </c>
      <c r="M166">
        <v>1</v>
      </c>
    </row>
    <row r="167" spans="1:13" x14ac:dyDescent="0.25">
      <c r="A167" s="2">
        <v>46275</v>
      </c>
      <c r="B167" s="1" t="str">
        <f ca="1">IF(Información1[[#This Row],[Fecha]]='Ajuste de fechas'!$A$2,"Día actual","Día anterior")</f>
        <v>Día actual</v>
      </c>
      <c r="C167" s="3" t="s">
        <v>51</v>
      </c>
      <c r="D167" t="s">
        <v>52</v>
      </c>
      <c r="E167" s="3" t="s">
        <v>319</v>
      </c>
      <c r="F167" s="3" t="s">
        <v>61</v>
      </c>
      <c r="G167" s="3" t="s">
        <v>320</v>
      </c>
      <c r="H167" s="3" t="s">
        <v>50</v>
      </c>
      <c r="I167" s="3" t="s">
        <v>7</v>
      </c>
      <c r="J167" s="3" t="s">
        <v>31</v>
      </c>
      <c r="K167" s="3" t="s">
        <v>54</v>
      </c>
      <c r="L167" s="3" t="s">
        <v>34</v>
      </c>
      <c r="M167">
        <v>1</v>
      </c>
    </row>
    <row r="168" spans="1:13" x14ac:dyDescent="0.25">
      <c r="A168" s="2">
        <v>46275</v>
      </c>
      <c r="B168" s="1" t="str">
        <f ca="1">IF(Información1[[#This Row],[Fecha]]='Ajuste de fechas'!$A$2,"Día actual","Día anterior")</f>
        <v>Día actual</v>
      </c>
      <c r="C168" s="3" t="s">
        <v>51</v>
      </c>
      <c r="D168" t="s">
        <v>52</v>
      </c>
      <c r="E168" s="3" t="s">
        <v>321</v>
      </c>
      <c r="F168" s="3" t="s">
        <v>41</v>
      </c>
      <c r="G168" s="3" t="s">
        <v>322</v>
      </c>
      <c r="H168" s="3" t="s">
        <v>50</v>
      </c>
      <c r="I168" s="3" t="s">
        <v>7</v>
      </c>
      <c r="J168" s="3" t="s">
        <v>21</v>
      </c>
      <c r="K168" s="3" t="s">
        <v>54</v>
      </c>
      <c r="L168" s="3" t="s">
        <v>32</v>
      </c>
      <c r="M168">
        <v>1</v>
      </c>
    </row>
    <row r="169" spans="1:13" x14ac:dyDescent="0.25">
      <c r="A169" s="2">
        <v>46275</v>
      </c>
      <c r="B169" s="1" t="str">
        <f ca="1">IF(Información1[[#This Row],[Fecha]]='Ajuste de fechas'!$A$2,"Día actual","Día anterior")</f>
        <v>Día actual</v>
      </c>
      <c r="C169" s="3" t="s">
        <v>51</v>
      </c>
      <c r="D169" t="s">
        <v>52</v>
      </c>
      <c r="E169" s="3" t="s">
        <v>323</v>
      </c>
      <c r="F169" s="3" t="s">
        <v>41</v>
      </c>
      <c r="G169" s="3" t="s">
        <v>322</v>
      </c>
      <c r="H169" s="3" t="s">
        <v>50</v>
      </c>
      <c r="I169" s="3" t="s">
        <v>7</v>
      </c>
      <c r="J169" s="3" t="s">
        <v>21</v>
      </c>
      <c r="K169" s="3" t="s">
        <v>54</v>
      </c>
      <c r="L169" s="3" t="s">
        <v>32</v>
      </c>
      <c r="M169">
        <v>1</v>
      </c>
    </row>
    <row r="170" spans="1:13" x14ac:dyDescent="0.25">
      <c r="A170" s="2">
        <v>46275</v>
      </c>
      <c r="B170" s="1" t="str">
        <f ca="1">IF(Información1[[#This Row],[Fecha]]='Ajuste de fechas'!$A$2,"Día actual","Día anterior")</f>
        <v>Día actual</v>
      </c>
      <c r="C170" s="3" t="s">
        <v>51</v>
      </c>
      <c r="D170" t="s">
        <v>52</v>
      </c>
      <c r="E170" s="3" t="s">
        <v>324</v>
      </c>
      <c r="F170" s="3" t="s">
        <v>41</v>
      </c>
      <c r="G170" s="3" t="s">
        <v>322</v>
      </c>
      <c r="H170" s="3" t="s">
        <v>50</v>
      </c>
      <c r="I170" s="3" t="s">
        <v>7</v>
      </c>
      <c r="J170" s="3" t="s">
        <v>21</v>
      </c>
      <c r="K170" s="3" t="s">
        <v>54</v>
      </c>
      <c r="L170" s="3" t="s">
        <v>32</v>
      </c>
      <c r="M170">
        <v>1</v>
      </c>
    </row>
    <row r="171" spans="1:13" x14ac:dyDescent="0.25">
      <c r="A171" s="2">
        <v>46275</v>
      </c>
      <c r="B171" s="1" t="str">
        <f ca="1">IF(Información1[[#This Row],[Fecha]]='Ajuste de fechas'!$A$2,"Día actual","Día anterior")</f>
        <v>Día actual</v>
      </c>
      <c r="C171" s="3" t="s">
        <v>51</v>
      </c>
      <c r="D171" t="s">
        <v>52</v>
      </c>
      <c r="E171" s="3" t="s">
        <v>325</v>
      </c>
      <c r="F171" s="3" t="s">
        <v>41</v>
      </c>
      <c r="G171" s="3" t="s">
        <v>322</v>
      </c>
      <c r="H171" s="3" t="s">
        <v>50</v>
      </c>
      <c r="I171" s="3" t="s">
        <v>7</v>
      </c>
      <c r="J171" s="3" t="s">
        <v>21</v>
      </c>
      <c r="K171" s="3" t="s">
        <v>54</v>
      </c>
      <c r="L171" s="3" t="s">
        <v>32</v>
      </c>
      <c r="M171">
        <v>1</v>
      </c>
    </row>
    <row r="172" spans="1:13" x14ac:dyDescent="0.25">
      <c r="A172" s="2">
        <v>46275</v>
      </c>
      <c r="B172" s="1" t="str">
        <f ca="1">IF(Información1[[#This Row],[Fecha]]='Ajuste de fechas'!$A$2,"Día actual","Día anterior")</f>
        <v>Día actual</v>
      </c>
      <c r="C172" s="3" t="s">
        <v>51</v>
      </c>
      <c r="D172" t="s">
        <v>52</v>
      </c>
      <c r="E172" s="3" t="s">
        <v>326</v>
      </c>
      <c r="F172" s="3" t="s">
        <v>46</v>
      </c>
      <c r="G172" s="3" t="s">
        <v>259</v>
      </c>
      <c r="H172" s="3" t="s">
        <v>50</v>
      </c>
      <c r="I172" s="3" t="s">
        <v>7</v>
      </c>
      <c r="J172" s="3" t="s">
        <v>31</v>
      </c>
      <c r="K172" s="3" t="s">
        <v>54</v>
      </c>
      <c r="L172" s="3" t="s">
        <v>34</v>
      </c>
      <c r="M172">
        <v>1</v>
      </c>
    </row>
    <row r="173" spans="1:13" x14ac:dyDescent="0.25">
      <c r="A173" s="2">
        <v>46275</v>
      </c>
      <c r="B173" s="1" t="str">
        <f ca="1">IF(Información1[[#This Row],[Fecha]]='Ajuste de fechas'!$A$2,"Día actual","Día anterior")</f>
        <v>Día actual</v>
      </c>
      <c r="C173" s="3" t="s">
        <v>51</v>
      </c>
      <c r="D173" t="s">
        <v>52</v>
      </c>
      <c r="E173" s="3" t="s">
        <v>246</v>
      </c>
      <c r="F173" s="3" t="s">
        <v>49</v>
      </c>
      <c r="G173" s="3" t="s">
        <v>247</v>
      </c>
      <c r="H173" s="3" t="s">
        <v>50</v>
      </c>
      <c r="I173" s="3" t="s">
        <v>7</v>
      </c>
      <c r="J173" s="3" t="s">
        <v>31</v>
      </c>
      <c r="K173" s="3" t="s">
        <v>54</v>
      </c>
      <c r="L173" s="3" t="s">
        <v>34</v>
      </c>
      <c r="M173">
        <v>1</v>
      </c>
    </row>
    <row r="174" spans="1:13" x14ac:dyDescent="0.25">
      <c r="A174" s="2">
        <v>46275</v>
      </c>
      <c r="B174" s="1" t="str">
        <f ca="1">IF(Información1[[#This Row],[Fecha]]='Ajuste de fechas'!$A$2,"Día actual","Día anterior")</f>
        <v>Día actual</v>
      </c>
      <c r="C174" s="3" t="s">
        <v>51</v>
      </c>
      <c r="D174" t="s">
        <v>52</v>
      </c>
      <c r="E174" s="3" t="s">
        <v>327</v>
      </c>
      <c r="F174" s="3" t="s">
        <v>18</v>
      </c>
      <c r="G174" s="3" t="s">
        <v>328</v>
      </c>
      <c r="H174" s="3" t="s">
        <v>50</v>
      </c>
      <c r="I174" s="3" t="s">
        <v>11</v>
      </c>
      <c r="J174" s="3" t="s">
        <v>31</v>
      </c>
      <c r="K174" s="3" t="s">
        <v>54</v>
      </c>
      <c r="L174" s="3" t="s">
        <v>32</v>
      </c>
      <c r="M174">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38</v>
      </c>
      <c r="B1" t="s">
        <v>39</v>
      </c>
    </row>
    <row r="2" spans="1:2" x14ac:dyDescent="0.25">
      <c r="A2" s="2">
        <f ca="1">TODAY()</f>
        <v>46275</v>
      </c>
      <c r="B2" s="2">
        <f ca="1">A2-1</f>
        <v>46274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2026-09-10T22:38:06Z</dcterms:modified>
</cp:coreProperties>
</file>