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6391D13C-D7CF-4A9D-BBC1-A6CAA1E51549}"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68" i="2"/>
  <c r="B70" i="2"/>
  <c r="B72" i="2"/>
  <c r="B74" i="2"/>
  <c r="B76" i="2"/>
  <c r="B78" i="2"/>
  <c r="B81" i="2"/>
  <c r="B84" i="2"/>
  <c r="B86" i="2"/>
  <c r="B88" i="2"/>
  <c r="B90" i="2"/>
  <c r="B92" i="2"/>
  <c r="B94" i="2"/>
  <c r="B96" i="2"/>
  <c r="B98" i="2"/>
  <c r="B100" i="2"/>
  <c r="B102" i="2"/>
  <c r="B104" i="2"/>
  <c r="B106" i="2"/>
  <c r="B108" i="2"/>
  <c r="B110" i="2"/>
  <c r="B112" i="2"/>
  <c r="B114" i="2"/>
  <c r="B116" i="2"/>
  <c r="B118" i="2"/>
  <c r="B119" i="2"/>
  <c r="B121" i="2"/>
  <c r="B122" i="2"/>
  <c r="B124" i="2"/>
  <c r="B126" i="2"/>
  <c r="B127" i="2"/>
  <c r="B129" i="2"/>
  <c r="B131" i="2"/>
  <c r="B133" i="2"/>
  <c r="B134" i="2"/>
  <c r="B136" i="2"/>
  <c r="B138" i="2"/>
  <c r="B140" i="2"/>
  <c r="B142" i="2"/>
  <c r="B143" i="2"/>
  <c r="B145" i="2"/>
  <c r="B148" i="2"/>
  <c r="B149"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9" i="2"/>
  <c r="B71" i="2"/>
  <c r="B73" i="2"/>
  <c r="B75" i="2"/>
  <c r="B77" i="2"/>
  <c r="B79" i="2"/>
  <c r="B80" i="2"/>
  <c r="B82" i="2"/>
  <c r="B83" i="2"/>
  <c r="B85" i="2"/>
  <c r="B87" i="2"/>
  <c r="B89" i="2"/>
  <c r="B91" i="2"/>
  <c r="B93" i="2"/>
  <c r="B95" i="2"/>
  <c r="B97" i="2"/>
  <c r="B99" i="2"/>
  <c r="B101" i="2"/>
  <c r="B103" i="2"/>
  <c r="B105" i="2"/>
  <c r="B107" i="2"/>
  <c r="B109" i="2"/>
  <c r="B111" i="2"/>
  <c r="B113" i="2"/>
  <c r="B115" i="2"/>
  <c r="B117" i="2"/>
  <c r="B120" i="2"/>
  <c r="B123" i="2"/>
  <c r="B125" i="2"/>
  <c r="B128" i="2"/>
  <c r="B130" i="2"/>
  <c r="B132" i="2"/>
  <c r="B135" i="2"/>
  <c r="B137" i="2"/>
  <c r="B139" i="2"/>
  <c r="B141" i="2"/>
  <c r="B144" i="2"/>
  <c r="B146" i="2"/>
  <c r="B147"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<sst xmlns="http://schemas.openxmlformats.org/spreadsheetml/2006/main" count="1493" uniqueCount="275">
  <si>
    <t>Fecha</t>
  </si>
  <si>
    <t>Titular</t>
  </si>
  <si>
    <t>Dependencia</t>
  </si>
  <si>
    <t>Canal</t>
  </si>
  <si>
    <t>Tema</t>
  </si>
  <si>
    <t>Estatus</t>
  </si>
  <si>
    <t>Sipdus</t>
  </si>
  <si>
    <t>Informativa</t>
  </si>
  <si>
    <t>Radio local</t>
  </si>
  <si>
    <t>Segobh</t>
  </si>
  <si>
    <t>Ayuntamiento</t>
  </si>
  <si>
    <t>Presidencia</t>
  </si>
  <si>
    <t>SSPH</t>
  </si>
  <si>
    <t>Otros</t>
  </si>
  <si>
    <t>Negativa</t>
  </si>
  <si>
    <t>Gobernador</t>
  </si>
  <si>
    <t>Súper Stéreo 100.5 FM</t>
  </si>
  <si>
    <t>Planeación</t>
  </si>
  <si>
    <t>Día</t>
  </si>
  <si>
    <t>Radiodifusora</t>
  </si>
  <si>
    <t>Programa</t>
  </si>
  <si>
    <t>Clasificación</t>
  </si>
  <si>
    <t>Autor</t>
  </si>
  <si>
    <t>Género</t>
  </si>
  <si>
    <t>Noticia</t>
  </si>
  <si>
    <t>Opinión</t>
  </si>
  <si>
    <t>Boletín</t>
  </si>
  <si>
    <t>Recuento</t>
  </si>
  <si>
    <t>Día actual</t>
  </si>
  <si>
    <t>Día anterior</t>
  </si>
  <si>
    <t>Juan Carlos Santamaria</t>
  </si>
  <si>
    <t>NQ 90.1 FM</t>
  </si>
  <si>
    <t>Jesús Riveros</t>
  </si>
  <si>
    <t>Enlace Hidalgo1</t>
  </si>
  <si>
    <t>Congreso</t>
  </si>
  <si>
    <t>SSH</t>
  </si>
  <si>
    <t>Enlace Hidalgo2</t>
  </si>
  <si>
    <t>DIFH</t>
  </si>
  <si>
    <t>Ke Buena 106.7 FM</t>
  </si>
  <si>
    <t>Noticias 106.7</t>
  </si>
  <si>
    <t>David Cárdenas</t>
  </si>
  <si>
    <t>OCSAD</t>
  </si>
  <si>
    <t>Procuraduría Municipal del Menor</t>
  </si>
  <si>
    <t>Alerta Meteorológica</t>
  </si>
  <si>
    <t>Turismo</t>
  </si>
  <si>
    <t>La Poderosa Tuxpan 93.1 FM</t>
  </si>
  <si>
    <t>NN Nuestras Noticias Zona Norte</t>
  </si>
  <si>
    <t>Liz Argüelles</t>
  </si>
  <si>
    <t>Atención Afectaciones Por Lluvias</t>
  </si>
  <si>
    <t>Radio Lobo 96.7 FM</t>
  </si>
  <si>
    <t>Gina Lorenzo</t>
  </si>
  <si>
    <t>Enlace Noticias</t>
  </si>
  <si>
    <t>Rodolfo López</t>
  </si>
  <si>
    <t>Enfoque Regional Matutino</t>
  </si>
  <si>
    <t>Marcha CNTE</t>
  </si>
  <si>
    <t>Monitoreo De Presas</t>
  </si>
  <si>
    <t>Donación de sangre</t>
  </si>
  <si>
    <t>Gobierno del estado</t>
  </si>
  <si>
    <t>Presidencia de la República</t>
  </si>
  <si>
    <t>Alcaldías</t>
  </si>
  <si>
    <t>La Comisión Nacional del Agua (Conagua) tiene identificados 121 sitios vulnerables a inundaciones, los cuales son monitoreados de manera permanente durante la temporada de lluvias para prevenir riesgos a la población. Durante la presentación de las condiciones hidrometeorológicas en la entidad, el coordinador de Saneamiento y Calidad del Agua de la Conagua, Sergio Guzmán Morales, explicó que estos puntos son supervisados dos veces al día como parte de las acciones preventivas implementadas en coordinación con autoridades estatales y municipales.</t>
  </si>
  <si>
    <t>Prevención De Riesgos</t>
  </si>
  <si>
    <t>Muerte en Cereso</t>
  </si>
  <si>
    <t>Donación móvil de sangre, ruta que salva vidas en Hidalgo</t>
  </si>
  <si>
    <t>Saderh</t>
  </si>
  <si>
    <t>Apoyo Al Agro</t>
  </si>
  <si>
    <t>SEPH</t>
  </si>
  <si>
    <t>TV Cable hidalguense Canal 6</t>
  </si>
  <si>
    <t>Contigo Noticias</t>
  </si>
  <si>
    <t>TV local</t>
  </si>
  <si>
    <t>Ultra 102.9 FM</t>
  </si>
  <si>
    <t>Ultra Noticias1</t>
  </si>
  <si>
    <t>Bienestar</t>
  </si>
  <si>
    <t>Izza Hernández</t>
  </si>
  <si>
    <t>Rehabilitación Vial</t>
  </si>
  <si>
    <t>Partidos</t>
  </si>
  <si>
    <t>PGJEH</t>
  </si>
  <si>
    <t>Vía telefónica el reporte de Bombero y Protección Civil con Abner Yáñez informa de las diversas emergencias reportadas por la ciudadanía y que fueron atendidas.</t>
  </si>
  <si>
    <t>Canal del Pueblo</t>
  </si>
  <si>
    <t>Vocales Radio</t>
  </si>
  <si>
    <t>Morena</t>
  </si>
  <si>
    <t>Andrés Torres</t>
  </si>
  <si>
    <t>Becas Para La Transformación</t>
  </si>
  <si>
    <t>Feria Patronal</t>
  </si>
  <si>
    <t>Detención de policía</t>
  </si>
  <si>
    <t>Radiodifusoras</t>
  </si>
  <si>
    <t>Auxilio a la ciudadanía</t>
  </si>
  <si>
    <t>Salón De Plenos</t>
  </si>
  <si>
    <t>SEP Hidalgo logra 415 mdp para infraestructura educativa</t>
  </si>
  <si>
    <t>Infraestructura escolar</t>
  </si>
  <si>
    <t>Iza Hernández</t>
  </si>
  <si>
    <t>Pobladores de Ixmiquilpan y en pleno día de Tianguis alertaron sobre la presencia de un hombre portando un machete en la mano mientras caminaba por la calle, en la zona centro de Ixmiquilpan Hidalgo. Vecinos y comerciantes alertaron que el sujeto quien aparentemente se encuentra en situación de calle, caminaba sujetando con la mano el machete lo que ha generado miedo y preocupación. Ante estos hechos, se realizó la denuncia a las autoridades para que acudieran, controlarán la situación y verificar si existe riesgo para la población. No obstante, algunos comerciantes señalaron que la respuesta de las corporaciones tardó más de lo esperado, situación que generó inconformidad debido a la cantidad de personas que se encontraban en la zona al momento del incidente. Pidieron se le dé asistencia de salud</t>
  </si>
  <si>
    <t>Detención</t>
  </si>
  <si>
    <t>Dos elementos de la Secretaría de Seguridad Ciudadana (SSC) de Tizayuca fueron detenidos durante un operativo encabezado por agentes de la Policía de Investigación de la Procuraduría General de Justicia del Estado de Hidalgo (PGJEH), al estar presuntamente relacionados con un caso de robo de vehículo ocurrido en la zona industrial del municipio. De acuerdo con información preliminar, los detenidos fueron identificados como José Antonio I.R. y Jorge Alberto H.L., quienes presuntamente contaban con órdenes de aprehensión derivadas de una investigación por el robo de un vehículo. La captura se llevó a cabo mediante un despliegue coordinado en distintos puntos de Tizayuca, donde agentes ministeriales implementaron un importante dispositivo de seguridad para ubicar y asegurar a los oficiales. Hasta el momento, las autoridades no han emitido información oficial sobre los hechos ni sobre el proceso legal que enfrentarán los detenidos, no obstante, se espera que en las próximas horas se dé a conocer su situación jurídica y los avances de la investigación. Las investigaciones continúan para determinar el grado de participación de los detenidos y esclarecer los hechos que dieron origen a las órdenes de aprehensión.</t>
  </si>
  <si>
    <t>En cabina Maricruz García, directora del Zoológico Municipal de Tulancingo informó que el Zoológico de Tulancingo se suma a la campaña nacional “Anota un gol por el medio ambiente”, promovida por la Procuraduría Federal de Protección al Ambiente (PROFEPA) en Hidalgo. y próximamente recibirá envases de plástico y prendas de mezclilla para darles una segunda vida. Los materiales recolectados serán transformados en escobas, manteles y otros productos útiles, promoviendo el reciclaje y la reducción de residuos. Con esta iniciativa, el recinto fortalece su labor de conservación y educación ambiental entre las familias hidalguenses.</t>
  </si>
  <si>
    <t>Campaña de reciclaje</t>
  </si>
  <si>
    <t>Entrevista</t>
  </si>
  <si>
    <t>Ahora vamos a la región de Ixmiquilpan (sic) en donde padres de familia de la Escuela Primaria "20 de Noviembre", ubicada en la comunidad de Zacamulpa, realizaron una protesta a las afueras del plantel educativo para exigir explicaciones a las autoridades escolares tras la desaparición temporal de un alumno de 10 años ocurrida el pasado 9 de junio. Con pancartas y consignas, los manifestantes denunciaron presuntas omisiones por parte del personal responsable de la institución, luego de que, según relataron familiares del menor, el estudiante habría salido o sido retirado del plantel sin que se notificara oportunamente a su madre. Los inconformes señalaron que uno de los aspectos que más preocupa a la comunidad escolar es la aparente falta de protocolos de seguridad para garantizar la protección de los alumnos durante el horario de clases. Asimismo, cuestionaron la actuación de las autoridades educativas al solicitar las grabaciones de las cámaras de vigilancia del día de los hechos, las cuales, según denunciaron, les fueron negadas bajo el argumento de que no había suministro de energía eléctrica en ese momento. La movilización ocurre luego de que la desaparición del menor derivara en la apertura de una carpeta de investigación y en la emisión de la cédula de búsqueda. Durante la protesta, los manifestantes acusaron que la escuela carece de medidas suficientes para garantizar la seguridad de los estudiantes y exigieron una investigación transparente que permita esclarecer lo ocurrido, determinar posibles responsabilidades y evitar que un hecho similar vuelva a repetirse.</t>
  </si>
  <si>
    <t>Exigen localización de persona</t>
  </si>
  <si>
    <t>Un hombre privado de la libertad fue localizado sin vida la mañana de este lunes dentro del Centro de Reinserción Social de Tulancingo, hecho que ya es investigado por las autoridades estatales. De acuerdo con información proporcionada por la Secretaría de Seguridad Pública de Hidalgo, el hallazgo ocurrió en una de las áreas sanitarias del penal. Las primeras indagatorias apuntan a que podría tratarse de un suicidio, aunque serán las investigaciones correspondientes las que determinen las causas oficiales del fallecimiento. La dependencia informó que el interno contaba con antecedentes de intentos de autolesión, por lo que desde finales de 2025 recibía atención psicológica y seguimiento especializado por parte del personal correspondiente. Asimismo, se dio a conocer que la persona se encontraba sujeta a un proceso judicial por el delito de violación agravada. Tras el reporte, autoridades ministeriales iniciaron las diligencias de ley para esclarecer los hechos y recabar los elementos necesarios que permitan determinar cómo ocurrió el deceso. Hasta el momento no se han revelado más detalles sobre la identidad del fallecido ni sobre las circunstancias específicas del caso.</t>
  </si>
  <si>
    <t>Muerte interno</t>
  </si>
  <si>
    <t>Hidalgo, segundo estado con más becas para universitarios: Julio Menchaca</t>
  </si>
  <si>
    <t>En los últimos cuatro años, la Comisión de Derechos Humanos del Estado de Hidalgo ha registrado 169 expedientes relacionados con presuntas irregularidades cometidas por elementos de la Secretaría de Seguridad Pública estatal. La cifra fue dada a conocer por la presidenta del organismo, Ana Karen Parra Bonilla, quien informó que entre los asuntos más recientes se encuentra la investigación abierta tras los hechos ocurridos durante una manifestación de trabajadores del ISSSTE el pasado 5 de junio. De acuerdo con la titular de la Comisión, el caso continúa en análisis luego de que surgieran señalamientos sobre un posible uso excesivo de la fuerza por parte de agentes estatales durante la protesta. Parra Bonilla destacó la necesidad de fortalecer los mecanismos de actuación policial en escenarios de movilización social, por lo que planteó la posibilidad de establecer espacios de coordinación con la corporación estatal para revisar procedimientos y mejorar la atención de este tipo de eventos. La ombudsperson explicó que personal de la Comisión estuvo presente para brindar orientación a los manifestantes y dar seguimiento a los hechos reportados. Posteriormente, la intervención derivó en la apertura de una investigación formal. Asimismo, señaló que la defensa de los derechos humanos implica garantizar tanto el ejercicio de la protesta como el desempeño de las funciones de seguridad pública dentro de los límites establecidos por la ley. La presidenta de la CDHEH enfatizó que el organismo mantendrá el acompañamiento de las investigaciones necesarias para esclarecer lo ocurrido y determinar si existieron vulneraciones a las garantías de las personas involucradas.</t>
  </si>
  <si>
    <t>CDHEH</t>
  </si>
  <si>
    <t>Abuso Policiaco</t>
  </si>
  <si>
    <t>El gobierno de Hidalgo continuará ejecutando proyectos de infraestructura sin recurrir a créditos o financiamientos adicionales, aseguró el gobernador Julio Menchaca Salazar, quien afirmó que las obras en desarrollo cuentan con respaldo económico suficiente para concluirse. Las declaraciones surgieron luego de que se diera a conocer un ajuste en el costo de construcción de la nueva sede de sesiones del Congreso local, cuyo presupuesto aumentó en 20 millones de pesos respecto a la estimación inicial. El mandatario explicó que el cambio fue consecuencia de adecuaciones técnicas realizadas tras observaciones en materia de seguridad estructural, por lo que fue necesario modificar parte del proyecto original para garantizar condiciones adecuadas en el inmueble. Menchaca señaló que la administración estatal contempla reservas financieras para hacer frente a incrementos en los costos de construcción, situación que puede presentarse por factores económicos nacionales e internacionales. Destacó además que la entidad ha mantenido una política de disciplina financiera, lo que ha permitido avanzar en la reducción de compromisos heredados sin frenar la inversión pública. Entre los factores que han impactado los costos de algunas obras mencionó el encarecimiento de materiales de construcción y el aumento en los costos de mano de obra, elementos que obligan a realizar ajustes presupuestales durante la ejecución de los proyectos. Pese a ello, aseguró que las finanzas estatales se mantienen estables y que los recursos destinados a infraestructura están garantizados, por lo que descartó la necesidad de contratar deuda para solventar las obras actualmente en marcha.</t>
  </si>
  <si>
    <t>Disciplina financiera</t>
  </si>
  <si>
    <t>En el marco del Día Mundial de Toma de Conciencia del Abuso y Maltrato en la Vejez, conmemorado cada 15 de junio, la Secretaría de Salud de Hidalgo exhortó a la población a promover el respeto y la protección de los derechos de las personas adultas mayores. La dependencia destacó que esta fecha busca visibilizar problemáticas como el abandono, la discriminación, la violencia y otras formas de vulneración que afectan a este sector de la población, tanto en el ámbito familiar como social. Autoridades de salud señalaron que el maltrato hacia las personas mayores puede presentarse de distintas maneras, entre ellas agresiones físicas, afectaciones psicológicas, abuso económico, negligencia en los cuidados e incluso aislamiento social, situaciones que impactan directamente en su bienestar y calidad de vida. Asimismo, resaltaron la importancia de fomentar una cultura de inclusión y reconocimiento hacia quienes han contribuido al desarrollo de sus comunidades, promoviendo entornos donde puedan vivir con dignidad, seguridad y acceso a servicios básicos. La conmemoración también busca fortalecer la prevención de conductas abusivas, impulsar la denuncia de casos de violencia y generar conciencia sobre la necesidad de garantizar condiciones adecuadas para un envejecimiento saludable y pleno. Finalmente, la Secretaría de Salud reiteró el llamado a la sociedad, instituciones y familias a trabajar de manera conjunta para proteger a las personas adultas mayores y asegurar el respeto de sus derechos humanos.</t>
  </si>
  <si>
    <t>Maltrato en la vejez</t>
  </si>
  <si>
    <t>El gobierno municipal de Mineral de la Reforma emitió un posicionamiento sobre los hechos ocurridos al término de la más reciente sesión ordinaria de Cabildo, donde se registró una confrontación relacionada con la organización de la feria de la colonia 11 de Julio. De acuerdo con la administración municipal, un hombre identificado como Raúl “N” acudió a las instalaciones de la Teleaula acompañado por familiares para exigir la devolución de la organización de las festividades de dicha colonia. En el lugar también se encontraba Teresa “N”, quien actualmente encabeza los preparativos del evento. Según el comunicado, entre ambas partes surgió una discusión derivada de diferencias previas y señalamientos mutuos. La situación motivó la intervención de autoridades municipales, quienes solicitaron a los involucrados mantener el orden y retirarse del recinto. El Ayuntamiento señaló que Teresa “N” había presentado anteriormente denuncias por presuntas amenazas en contra de Raúl “N”, por lo que solicitó la presencia de elementos de Seguridad Ciudadana al considerar que existían medidas de restricción relacionadas con el caso. Tras el arribo de los policías, se intentó que el hombre abandonara el lugar; sin embargo, la situación generó nuevas confrontaciones verbales. En el comunicado también se menciona la participación de integrantes del Cabildo, entre ellos una regidora del PAN y un regidor de Movimiento Ciudadano, quienes expresaron posturas distintas respecto a la actuación de las autoridades. La administración municipal indicó que previamente se promovieron mesas de diálogo para buscar una solución al conflicto relacionado con la feria de la colonia 11 de Julio, aunque los desacuerdos entre las partes persistieron.</t>
  </si>
  <si>
    <t>Riña</t>
  </si>
  <si>
    <t>Una disputa relacionada con la organización de la feria de la colonia 11 de Julio generó momentos de tensión al concluir una sesión ordinaria de Cabildo en Mineral de la Reforma, informó el gobierno municipal. Según la versión oficial, un vecino identificado como Raúl “N” acudió a la Teleaula municipal acompañado de familiares para solicitar que le fuera devuelta la coordinación de los festejos. En el lugar también se encontraba Teresa “N”, quien actualmente encabeza la organización del evento y quien previamente interpuso denuncias por presuntas amenazas en contra del hombre. El Ayuntamiento señaló que durante el encuentro ambas partes sostuvieron un intercambio de señalamientos, situación que motivó la intervención de autoridades municipales para evitar que el conflicto escalara. Ante el altercado, el secretario general, Pablo Jaramillo, solicitó mantener el orden, mientras que el alcalde pidió a los involucrados abandonar el recinto. Posteriormente, Teresa “N” solicitó apoyo de la Secretaría de Seguridad Ciudadana al señalar que existe una medida de restricción vigente contra Raúl “N”. Elementos policiacos acudieron al sitio y pidieron al hombre retirarse; sin embargo, durante la intervención, la regidora panista Marlene Puertas Ramírez expresó inconformidad con la actuación de los agentes, de acuerdo con el comunicado emitido por la administración municipal. El gobierno local indicó que anteriormente promovió reuniones entre las partes para intentar resolver las diferencias sobre la organización de la feria, aunque los acercamientos no lograron alcanzar acuerdos.</t>
  </si>
  <si>
    <t>Comerciantes ambulantes que fueron trasladados de la Plaza Constitución a una nueva explanada comercial se manifestaron este lunes en la sede de la Presidencia Municipal de Pachuca para exponer las dificultades que enfrentan desde su reubicación. Los vendedores aseguraron que gran parte de la ciudadanía desconoce dónde se encuentra el espacio habilitado junto al Mercado Benito Juárez, lo que ha impactado negativamente en sus ingresos debido a la baja afluencia de compradores. A esta situación se suman las condiciones climáticas de las últimas semanas, pues las lluvias han reducido aún más la presencia de clientes en la zona, afectando las ventas de quienes dependen del comercio diario. Durante la movilización, los manifestantes también solicitaron al gobierno municipal limitar la entrega de permisos a comerciantes provenientes de otros estados, al considerar que ello incrementa la competencia en un momento complicado para quienes ya aceptaron su traslado. La protesta fue encabezada por Óscar Pelcastre, líder de la Federación de Organizaciones Independientes del Estado de Hidalgo (FOIDEH), quien ingresó a la Casa Rule acompañado de representantes del grupo para dialogar con funcionarios municipales. El traslado de los vendedores se concretó en abril de este año como parte de las acciones emprendidas por el ayuntamiento para reorganizar el comercio informal en el Centro Histórico de Pachuca. Antes de ello, decenas de comerciantes habían sido retirados de calles y espacios públicos de la zona centro.</t>
  </si>
  <si>
    <t>Ambulantaje</t>
  </si>
  <si>
    <t>Radioescucha: un llamado para que abran el río ya que actualmente se encuentra cerrado bloqueando la salida del agua. Alguna persona tomó posesión de este sitio y lo bloqueó. Esto es donde inicia el Circuito Chapultepec en la bajada de la Secundaria Técnica 56.</t>
  </si>
  <si>
    <t>Desazolve</t>
  </si>
  <si>
    <t>Radioescucha</t>
  </si>
  <si>
    <t>Con el objetivo de brindar alternativas de regularización antes de que concluya el año, el Departamento de Ejecución Fiscal realiza recorridos en distintas colonias del municipio para establecer un acercamiento directo con propietarios de inmuebles que forman parte de la cartera vencida, informándoles sobre los mecanismos disponibles para ponerse al corriente en sus contribuciones. La estrategia busca privilegiar el diálogo y la atención personalizada, ofreciendo opciones que permitan a los ciudadanos regularizar el pago de su predial de manera accesible y sin afectar su economía familiar. Entre las facilidades se encuentran convenios para el pago en parcialidades, siempre que estos se concreten dentro del presente ejercicio fiscal. El Gobierno de Tulancingo señala que, como parte de la revisión de la cartera vencida, se ha detectado que algunos adeudos corresponden a inmuebles cuyos propietarios han fallecido, propiedades intestadas, viviendas abandonadas o predios sujetos a procesos hipotecarios, situaciones que requieren atención específica para su regularización. De acuerdo con datos de la Secretaría de Tesorería y Administración, durante el presente año se han visitado 78 colonias y entregado 2 mil 263 invitaciones de pago, labor que continuará en diversos sectores del municipio durante los próximos meses.</t>
  </si>
  <si>
    <t>Predial</t>
  </si>
  <si>
    <t>Las fuertes lluvias registradas en Apan han dejado afectaciones en la comunidad de Chimalpa Tlalayote, donde el escurrimiento de agua proveniente de la zona montañosa ha ocasionado anegamientos en vialidades y viviendas. De acuerdo a los últimos reportes de Protección Civil el agua descendió desde la zona que divide a las comunidades de Lázaro Cárdenas y Chimalpa provocando la saturación de la carretera Apan-Calpulalpan y de vialidades aledañas. Posteriormente, el escurrimiento continuó hacia la zona de la Alameda, donde se registró el desbordamiento de un jagüey que afectó viviendas cercanas y distintos espacios de la comunidad. Tras esta contingencia la Comisión de Agua Potable y Alcantarillado del Municipio de Apan (CAAPAN) desplegó trabajos de limpieza y desazolve en la red de drenaje. De igual forma, el área de Sanidad Municipal, en coordinación con personal de la Comisión para la Protección contra Riesgos Sanitarios del Estado de Hidalgo (COPRISEH), realizó visitas domiciliarias para emitir recomendaciones preventivas y proteger la salud de la población. Las autoridades también llevaron a cabo pruebas de calidad del agua e iniciaron trabajos de cloración de la red de distribución con el objetivo de garantizar condiciones seguras para el restablecimiento del servicio.</t>
  </si>
  <si>
    <t>Lluvias dejan afectaciones en 46 caminos de Hidalgo; nueve permanecen cerrados. Las recientes lluvias registradas en Hidalgo han provocado derrumbes y afectaciones en distintos tramos carreteros de la entidad, informó el secretario de Infraestructura Pública y Desarrollo Urbano Sostenible, Alejandro Sánchez García. Durante una conferencia de prensa, el funcionario detalló que se han contabilizado aproximadamente 8 mil 610 metros cúbicos de material desprendido en carreteras a consecuencia de las precipitaciones. De acuerdo con el reporte presentado, un total de 46 caminos han registrado algún tipo de contingencia relacionada con las lluvias. De estos, 20 ya fueron atendidos en su totalidad y se encuentran operando con normalidad. Sin embargo, nueve vialidades continúan cerradas debido a las condiciones de riesgo que persisten en las zonas afectadas, mientras que brigadas de la dependencia mantienen labores de limpieza, retiro de escombros y evaluación de daños. Las autoridades estatales señalaron que los trabajos continuarán en los puntos con mayores afectaciones para restablecer la circulación y garantizar la seguridad de quienes transitan por la red carretera de Hidalgo.</t>
  </si>
  <si>
    <t>Las autoridades federales mantienen vigilancia permanente en diferentes regiones de Hidalgo luego de detectar 121 sitios con potencial de inundación durante la actual temporada de lluvias, informó la Comisión Nacional del Agua (Conagua). De acuerdo con la dependencia, los puntos de mayor atención se concentran en municipios de la Huasteca, la Sierra Otomí-Tepehua, además de las regiones de Pachuca y Tula, donde se realizan recorridos y seguimiento constante para prevenir afectaciones a la población. Además de los puntos vulnerables, Conagua supervisa el comportamiento de las presas más importantes del estado. Actualmente, los embalses de Taxhimay, Requena, Endhó y La Esperanza presentan almacenamientos superiores a su capacidad ordinaria; no obstante, las autoridades descartaron riesgos inmediatos al tratarse de infraestructura destinada principalmente a actividades agrícolas. La dependencia también mantiene especial atención sobre el río Tula, considerado una zona estratégica debido a los antecedentes de contingencias registradas en años pasados. Para ello, existe coordinación continua con instancias del Valle de México y un sistema de observación permanente de los niveles del afluente. Según datos oficiales, las obras realizadas en el cauce del río entre 2022 y 2024 permitieron incrementar significativamente su capacidad hidráulica, pasando de 300 a 500 metros cúbicos por segundo, con el objetivo de disminuir el riesgo de inundaciones. Hasta ahora, los escurrimientos registrados durante esta temporada se mantienen dentro de parámetros seguros, por lo que no existe peligro de desbordamiento, indicaron autoridades de Conagua.</t>
  </si>
  <si>
    <t>Se reunió la dirigente de la UNTA, Martha López Ríos con el presidente municipal de Pachuca, Jorge Reyes y el diputado Andrés Velázquez y dicen que ya traen acuerdos.</t>
  </si>
  <si>
    <t>Reunión con actores políticos</t>
  </si>
  <si>
    <t>Vía telefónica Milton Cortés menciona que las obras que se realizan en la zona centro de Pachuca y la zona sur siguen generando una movilidad complicada.</t>
  </si>
  <si>
    <t>Milton Cortés</t>
  </si>
  <si>
    <t>Vía telefónica Milton Cortés informa que Oscar Pelcastre, alias "El Perro" junto a su hija Jeazul Pelcastre acudieron a la presidencia municipal de Pachuca para exigir espacios en la vía pública, porque el espacio que fue proporcionado por ayuntamiento les ha sido insuficiente y la gente no acude al lugar, lo que les ha generado pérdidas económicas. Señaló que se cuenta con 150 permisos para trabajar en la vía pública y exigen que se cumplan los acuerdos respecto a la construcción y condiciones del mercado destinado para los comerciantes ambulantes. De no atender sus demandas se volverán a instalar en la Plaza Constitución. Se acercan eventos político como el informe de la alcalde y las fiestas patrias y seguramente esto provocará la visibilidad cada vez más de los comerciantes.</t>
  </si>
  <si>
    <t>Radioescucha, Rod Mendoza: aunque las mejoras del Sistema de Transporte Metropolitano prometían maravilla , aún no se logran satisfacer las necesidades. La frecuencia sigue siendo pobre, creo que deben de reconfigurarse las rutas de as alimentadoras, ampliarlas a pun tos más concurridos para evitar trasbordos y esperas. Los domingos incluir la $T y ampliar el horario. Ayer se lanzó una nueva ruta alimentaria 20b (sic), ,e parece buena. (51.38-52.06)</t>
  </si>
  <si>
    <t>Semot</t>
  </si>
  <si>
    <t>Deficiencias Tuzobús</t>
  </si>
  <si>
    <t>Andrés Torres habla de la diferencia entre el periodismo y la propaganda, misma que muchos hacen mal, y en este sentido critica que en los boletines hay "puros adjetivos, en el mismo párrafo cambian los tiempos verbales, no conocen un punto y coma, no conocen un sujeto, verbo y predicado desde lejos; simple y llanamente transcriben los discursos y ahí están los errores y la comunicación trunca, que es lo que está pasando ¿Por qué no permea? porque no saben comunicar, no se entienden sus mensajes y eso es desde saber leer y escribir. Así de grave está la cosa." Manda a corte de televisión y durante la transmisión de Facebook sigue comentando que "y si no me creen, lean los boletines de hoy. No se les entiende nada. los boletines que mandó Comunicación Social de Gobierno del Estado. (45.21-46.57)</t>
  </si>
  <si>
    <t>Comunicación gubernamental</t>
  </si>
  <si>
    <t>Simpatizantes del diputado federal, Cuauhtémoc Ochoa recorrió Cubitos y parte de Real de Minas, en las Terrazas en Pachuca solicitando se sumen a su proyecto político y para esto les solicitaban su credencial de elector.</t>
  </si>
  <si>
    <t>Aspirantes</t>
  </si>
  <si>
    <t>Sucesión Gubernamental</t>
  </si>
  <si>
    <t>Sucesión gubernamental</t>
  </si>
  <si>
    <t>Radioescucha, Gustavo Perlín: que se pongan a trabajar los directivos de Radio y Televisión. Andrés Torres responde a este comentario: nada más que no se roben lo que hay, nada más que no agarren lo que no es suyo, con eso es suficiente. Que no trabajen, ya nos echamos 4 años con alana Austria de nada. nada más que no se roben lo que hay, ya nada más les falta llevarse los focos. (39.41- 39.59)</t>
  </si>
  <si>
    <t>Desvío de recursos</t>
  </si>
  <si>
    <t>Radioescucha, Liz Valdespino: lamentable que una institución como Radio y TV de Hidalgo la dejen morir porque no está en sus prioridades. Andrés Torres responde que "sigue siendo un trampolín político y mientras usen Radio y Televisión de Hidalgo para el siguiente puesto o para poner al amigo del amigo para que cobre está complicado. Tienen que poner a alguien que por lo menos conozca el estado, que si le preguntas algo no responda -es que mi carro no tiene llanta de refacción-. Que esa sea la prioridad de un Director General, pedir que su carro tenga llanta de refacción. un carro utilitario porque pues no pone su carro." (38.43-39.30)</t>
  </si>
  <si>
    <t>Mal desempeño</t>
  </si>
  <si>
    <t>Radioescucha: En Tasquillo tenemos una Unidad Básica de Rehabilitación y nuestro presidente quiere meter una Procuraduría del Menor, Nosotros como padres de familia no queremos que se instale este servicio. El presidente es muy grosero y nos dijo que lo va a poner porque las instalaciones pertenecen al municipio y él lo puede destinar para lo que quiera ¿a dónde podemos acudir para que no se instale esta unidad? Andrés Torres le recomienda al radioescucha denunciar al alcalde porque no puede hacer lo que quiera y solicitar a través del Cabildo que les enseñe el proyecto y que le recuerden lo que pasó por querer poner ahí un Cereso.</t>
  </si>
  <si>
    <t>En el Cardonal se llevará el Festival del Chile Rayado del 18 al 20 de junio en La Misión. Agradece al alcalde Israel Villeda por la invitación.</t>
  </si>
  <si>
    <t>Festival Gastronómico</t>
  </si>
  <si>
    <t>Andrés Torres menciona que "en Tulancingo tampoco hay señal de televisión (del Canal del Pueblo) también por problemas técnicos que no quieren arreglar. No hay televisión en la región de Tulancingo, no hay radio en la Huasteca; entonces ¿Qué están haciendo? ¿a qué se dedican en Radio y Televisión de Hidalgo? porque tampoco hay programación. mientras que en las 5 estaciones de radio tenemos programación diferente, que bueno, se acaban de enterar hace 8 días. No lo sabían, imagínese usted." (14.05-14.43)</t>
  </si>
  <si>
    <t>Andrés Torres señala que "el 1010 AM El Vocero Huasteco sigue fuera del aire por un capricho, porque no quieren comprar diesel, porque los combustibles son para los directores y sigue fuera del aire nuestra estación bilingüe de Náhuatl y Castellano. No podemos estar en contacto, lo cual es un delito y es sancionable porque es una deuda social porque está tipificado en la ley. no podemos estar comunicados con nuestras comunidades indígenas en la Huasteca para avisarles de la vaguada monzónica, de estas tremendas lluvias , las crecidas de ríos. Es un asunto criminal, pero la dirección de administración dice que ese no es su problema. El Vocero Huasteco fue la primera estación que recuperamos y por un capricho no quieren encenderla. A ver si cuando nos avisen que nos van a quitar la concesión recientemente adquirida, entonces se ponen a trabajar. Lo denuncio todos los días, tengo dos meses denunciándolo todos los días y nadie me hace caso, lo cual me preocupa porque quiere decir que nadie ve este programa. A ver si alguien en la Contraloría, a ver si alguien en gobierno del Estado hace su trabajo y ponemos al aire una estación que es una estación indígena y que además está en riesgo porque no tiene transmisión en internet lo cual está obligado en la concesión, pero tampoco lo quieren hacer. Nosotros estamos aquí todos los días haciendo nuestro trabajo y no pedimos carro oficial con llantita de refacción y sí sé cuántos trabajadores hay en Radio y televisión, no como cuando le preguntan y no sabe. Yo sí tengo vergüenza profesional." (11.40- 13.48)</t>
  </si>
  <si>
    <t>Un trágico accidente vial cobró la vida de un hombre la mañana de este lunes, luego de ser atropellado cuando intentaba cruzar el bulevar Felipe Ángeles, una de las principales arterias de la capital hidalguense. De acuerdo con los reportes emitidos por la policía municipal, el percance ocurrió a la altura de la Plaza de Toros, dónde el peatón intentaba atravesar la vialidad cuando fue impactado de manera frontal por un vehículo en movimiento. Debido a la fuerza del golpe, el cuerpo de la víctima sufrió lesiones de extrema gravedad, confirmándose que perdió una de sus extremidades inferiores tras el impacto y quedó semidesnudo sobre la carpeta asfáltica. Paramédicos y elementos de seguridad que arribaron al sitio confirmaron que el sujeto ya no contaba con signos vitales, por lo que falleció de forma instantánea en el lugar de los hechos. La zona fue debidamente acordonada por las autoridades locales para evitar otros incidentes y resguardar la escena. Horas más tarde personal de la Procuraduría General de Justicia del Estado de Hidalgo (PGJEH), se encargaron de realizar las indagatorias correspondientes, el peritaje terrestre y el levantamiento del cuerpo.</t>
  </si>
  <si>
    <t>Levantamiento De Cuerpo</t>
  </si>
  <si>
    <t>La Subsecretaría de Protección Civil y Gestión de Riesgos informa a la población que, para este 16 de junio de 2026, se prevén intervalos de chubascos con lluvias puntuales fuertes de 25 a 50 mm en las regiones norte y sureste del estado. Asimismo, se pronostican temperaturas máximas de 35 a 40 °C en las regiones norte y este, así como viento de dirección variable de 10 a 20 km/h con rachas de 30 a 40 km/h. Ante estas condiciones, se exhorta a la ciudadanía a mantener medidas preventivas, especialmente en zonas susceptibles a encharcamientos, escurrimientos, caída de ramas u objetos y afectaciones derivadas del viento y del calor. Se recomienda a la población: Por lluvias- Evitar cruzar calles inundadas, vados, ríos, arroyos o corrientes de agua, ni a pie ni en vehículo. No realizar traslados innecesarios mientras se presenten lluvias. Conducir con precaución, reducir la velocidad y mantener distancia entre vehículos. Mantener limpias coladeras, desagües y azoteas. No tirar basura en la vía pública; si observas residuos en la calle, recógelos y deposítalos en su lugar para ayudar a prevenir taponamientos.</t>
  </si>
  <si>
    <t>Decomisan 3 mil 470 dosis de distintas drogas</t>
  </si>
  <si>
    <t>Reunión Gabinete De Seguridad</t>
  </si>
  <si>
    <t>El día del hoy en el Congreso se planteará la iniciativa para declarar el tercer sábado del mes de junio como el Día del chile rayado.</t>
  </si>
  <si>
    <t>Iniciativa</t>
  </si>
  <si>
    <t>Becas para la Transformación</t>
  </si>
  <si>
    <t>Conmemora IAAMEH el Día Mundial de Toma de Conciencia del Abuso y Maltrato en la Vejez 2026</t>
  </si>
  <si>
    <t>Violentómetro</t>
  </si>
  <si>
    <t>La Coordinadora Nacional de Trabajadores de la Educación (CNTE) ha endurecido sus protestas y mantiene un plantón indefinido en el Zócalo de la Ciudad de México tras evaluar como insuficientes las propuestas del gobierno federal. Las movilizaciones han causado el cierre de vialidades clave y pérdidas económicas millonarias.</t>
  </si>
  <si>
    <t>Locutor Jesús Riveros da lectura a comentario de radioescucha que reporta, que el día de ayer en San Bartolo Tututepec un taxista le gritó y ofendió y los oficiales no hicieron nada; Jesús Riveros responde que va a compartir el número de la Semot para el reporte correspondiente y recuerda, que la propia secretaria ha dicho en los micrófonos de la NQ, que es importante realizar los reportes de manera directa y oficial.</t>
  </si>
  <si>
    <t>Queja transporte público</t>
  </si>
  <si>
    <t>Locutor Jesús Riveros da lectura a comentario de radioescucha que reporta, que abordó una colectiva ruta Tecocomulco-Tulancingo con placa número A57815 y el chofer le cobró 20 pesos de pasaje cuando la tarifa es de 12 pesos, cabe hacer mención que es adulto mayor.</t>
  </si>
  <si>
    <t>Presentó Navor Alberto Rojas Mancera su renuncia a la delegación en Hidalgo de la Procuraduría Federal del Consumidor (Profeco), tras reconocer que buscará un cargo de elección popular. Rojas indicó que tiene puesta la mira en una diputación federal o en la presidencia municipal de Pachuca.</t>
  </si>
  <si>
    <t>Habitantes del municipio de San Salvador externaron su preocupación ante el incremento de la inseguridad, luego de que este día un sujeto presuntamente intentó ingresar a robar en una casa habitación ubicada en la localidad de El Tablón. De acuerdo con la información, una de las propietarias de la vivienda denunció que un masculino ingresó a su hogar, sin embargo huyó en una motocicleta tras ser descubierto. El hombre fue descrito de complexión delgada y estatura alta. Portaba pantalón de mezclilla, chamarra negra, guantes negros, botas de trabajo color camel y un casco negro. Este hecho se suma a los ocurridos en semanas anteriores en la comunidad de San Antonio Zaragoza, en donde apenas el pasado 6 de junio se reportó el intento de robo de una camioneta. Mientras que en mayo un sujeto fue detenido por los pobladores luego de intentar hurtar una motocicleta. Y en abril tuvieron lugar dos hechos, el robo dentro de una carnicería y el saqueo a una unidad del transporte público.</t>
  </si>
  <si>
    <t>Inseguridad</t>
  </si>
  <si>
    <t>Respecto a la reciente renuncia de Navor Rojas a la delegación en Hidalgo de la Profeco, David cárdenas comnetó que ya comienzan a darse los movimientos, se había destacado que quien tenga la intención de participar, tiene que dejar el cargo. En ese sentido, el día de ayer, después de un evento, le preguntaban al gobernador Julio Menchaca Salazar que muchos no se ha decidido y hubo quien también consideró que, mientras estén en funciones, son mencionados, están participando en sus encargos y entonces, al día, siguen mencionando sus nombres, pero, por el otro lado, vemos esa participación no abierta en lo que es su área de competencia y la otra es que se han incrementado las participaciones en plataformas de redes sociales.</t>
  </si>
  <si>
    <t>Hay comunicación en todas las localidades hidalguenses tras el paso de “Boris”: SIPDUS (AUDIO ASG)</t>
  </si>
  <si>
    <t>Inicia Secturh nuevas capacitaciones para el sector turístico de Hidalgo</t>
  </si>
  <si>
    <t>Capacitación turística</t>
  </si>
  <si>
    <t>Hidalgo, segundo estado con más becas para universitarios: Julio Menchaca. (AUDIO JMS).</t>
  </si>
  <si>
    <t>Gabinete de Seguridad de Hidalgo frena a narcomenudistas en 11 municipios</t>
  </si>
  <si>
    <t>Combate Al Huachicol</t>
  </si>
  <si>
    <t>Una persona privada de la libertad fue localizada sin vida en los sanitarios del Centro de Reinserción Social de Tulancingo, de acuerdo con los primeros reportes. Las autoridades investigan el caso bajo la hipótesis de un probable suicidio. El interno se encontraba sujeto a proceso penal por el delito de violación agravada y recibió atención psicológica especializada desde diciembre de 2025 tras un intento previo de quitarse la vida. La muerte ocurrió durante la mañana de ayer lunes y activó los protocolos de investigación al interior del penal.</t>
  </si>
  <si>
    <t>Un hombre fue asegurado por elementos estatales tras ser sorprendido transportando 225 litros de hidrocarburo de aparente procedencia ilícita en la comunidad de Lázaro Cárdenas en Tezontepec de Aldama. Los agentes detectaron una camioneta que circulaba sobre esta vía a exceso de velocidad. Al intentar realizar una revisión, el conductor se negó, por lo que los oficiales efectuaron una inspección más exhaustiva. Durante la intervención localizaron diversos contenedores con un total de 225 litros de huachicol.</t>
  </si>
  <si>
    <t>El subsecretario de Protección Civil del Estado, Román Bernal, informó que el Comité de Emergencias permanece activo ante las lluvias recientes. Se atendieron afectaciones en 21 municipios, además de 22 derrumbes registrados en carreteras de la zona serrana del Estado. En las últimas 96 horas en el Estado tuvimos la presencia de lluvias fuertes e intensas, lo cual ha provocado derrumbes, deslaves, así como crecimiento de los ríos. Román Bernal también dijo que esta semana se esperan más lluvias en territorio hidalguense. Para esta semana continúan las lluvias fuertes, pero con menor intensidad que la semana pasada. Las mismas recomendaciones son no tratar de cruzar los cuerpos de agua que nos estamos presentando, así modernizar nuestras casas de habitación, saber en dónde estamos habitando y minimizar el riesgo. AUDIO DE APOYO.</t>
  </si>
  <si>
    <t>El subdirector técnico de Conagua en Hidalgo Sergio Guzmán Morales informó que diariamente se monitorea siete presas estratégicas aunque algunas presas registran niveles superiores al 100% de su capacidad el funcionario aseguró que no existe riesgo para la población aguas abajo ya que operan dentro de parámetros normales y cuentan con sistemas permanentes de desfogue. AUDIO DE APOYO.</t>
  </si>
  <si>
    <t>Tepeji del Río como parte de las acciones para fortalecer la infraestructura educativa en Hidalgo, el secretario Natividad Castrejón anunció la construcción de una techumbre en la Escuela Primaria Enrique Corona en Tepeji del Río, además del inicio de los trabajos de rehabilitación del comedor y la habilitación de la biblioteca escolar. Con una inversión superior a los 415 millones de pesos, el gobierno de Hidalgo reforzará la infraestructura de educación básica durante este 2026. El secretario de Educación Natividad Castrejón Valdés informó que los recursos permitirán mejorar escuelas de preescolar, primaria y secundaria en distintas regiones del estado. Detalló que mediante el Fondo de Aportaciones Múltiples se invertirán 150 millones de pesos en 87 planteles de 41 municipios, mientras que el programa FAM potenciado apostará otros 265 millones para ampliar la cobertura de obras en cerca de 160 escuelas. Algunos edificios nuevos, algunas obras complementarias, pero bueno eso es lo que teníamos planeado para el año. AUDIO DE APOYO</t>
  </si>
  <si>
    <t>Un grupo de comerciantes ambulantes que habían sido reubicados se manifestaron afuera de la presidencia municipal de Pachuca para denunciar una disminución en sus ventas y solicitar una audiencia con el alcalde para plantear sus inquietudes. Estuvieron liderados por Oscar Pelcastre, líder de la FOIDE. Y aquí está la autorización y firmado efectivamente por presidencia municipal. Si no hay una solución, no es amenaza ni nada, vamos a tomar nuestras áreas de trabajo porque presidencia municipal no va a cumplir los acuerdos que definitivamente habíamos tenido. Tenemos 150 términos en el primer cuadro de la ciudad que se ganó ante el tribunal. A mí me engañaron que iban a recibir hoy a tales horas y yo efectivamente no hemos recibido nada. AUDIO DE APOYO</t>
  </si>
  <si>
    <t>El gobernador, Julio Menchaca Salazar encabezó la primera entrega del programa becas para la transformación 2026, que va a beneficiar a más de 17 mil estudiantes de educación superior en universidades públicas de Hidalgo. Durante el evento, el mandatario destacó que la entidad es el segundo estado del país que más apoya con becas a nivel superior y señaló que la inversión en educación ha crecido de manera importante durante su administración. AUDIO DE APOYO Por su parte, el secretario de Educación Pública Natividad Castrejón informó que este año se destinan 130 millones de pesos al programa para respaldar a 17 mil 400 jóvenes y reducir la deserción escolar. En esta primera etapa se entregaron 11 mil 700 apoyos equivalentes a 71 millones de pesos. Autoridades estatales señalaron que estas becas buscan ampliar las oportunidades educativas y garantizar que más estudiantes continúen su formación profesional. AUDIO DE APOYO</t>
  </si>
  <si>
    <t>Durante la última semana, el Gabinete de Seguridad de Hidalgo detuvo a 18 personas vinculadas con actividades de narcomenudeo y aseguró 3470 dosis de distintas drogas, además de siete básculas grameras, informó el gobernador Julio Menchaca Salazar. En la reunión semanal de seguridad, el mandatario destacó que los operativos se realizaron en 11 municipios. En Tulancingo fueron detenidas tres personas relacionadas con el robo a una joyería, recuperándose la mercancía sustraída y un arma de fuego. Asimismo, gracias a un reporte al 911, fue capturado un presunto ladrón de vehículos sobre la carretera México-Pachuca. En Tizayuca también se logró la detención de una persona señalada por el asalto a una farmacia recuperando el dinero robado. Las autoridades informaron además la localización de siete personas con ficha de búsqueda y continúan las investigaciones por el homicidio de tres personas en Zacualtipán.</t>
  </si>
  <si>
    <t>El gobernador habló y anunció que el próximo fin de semana se pone en funcionamiento la unidad deportiva de alto rendimiento. “No es que el sábado lo hacen, este va a haber una carrera, parece que es de la Plaza Fuertes a la Ciudad Deportiva para ya ponerla en funcionamiento. Es una emoción considerable, pero es otro espacio. Además, para poder, por un lado, atender a la juventud, a todos los sectores deportistas, pero vamos a tener una villa en donde se van a poder hospedar los deportistas de alto rendimiento del interior del estado para que puedan competir en las competencias nacionales e internacionales, pues con mucho mejor preparación”. AUDIO DE APOYO</t>
  </si>
  <si>
    <t>Ciudad deportiva</t>
  </si>
  <si>
    <t>El fin de semana me tocó ver por ahí algunos actores políticos que ya se hacen presentes. Hay unas dinámicas familiares en las plazas públicas y es que mire, al parecer la encuesta para elegir a los candidatos va a ser que si tú lo conoces o no, ese es uno de los filtros. Por eso, pues hay que salir en las fotos. De este tema de las elecciones habló el gobernador. AUDIO DE APOYO JMS</t>
  </si>
  <si>
    <t>Hoy hablemos del tema del tren México- Querétaro. Usted recuerda que va a pasar por nuestro estado. En días pasados se dijo que se iba a realizar una consulta informativa sobre el proyecto, sobre este tren México-Querétaro, y estaba programada en la comunidad indígena de San Ildefonso en Tepeji del Río. Bueno, esta consulta informativa fue cancelada debido a la falta de consenso entre los habitantes. Pobladores han señalado que la decisión se derivó del incumplimiento de compromisos asumidos por las autoridades federales desde finales de 2025, entre ellos la construcción de un camino artesanal de 8 kilómetros hacia el cerro del Chantepec, la atención al conflicto agrario con el ejido de conejos y la transferencia de la concesión del pozo Las Peras a la comunidad. Aunque una parte de la población estaba dispuesta a escuchar la información sobre el proyecto ferroviario, el desacuerdo entre los habitantes impidió que se desarrollara la reunión. Como en todo conflicto social, hay quienes tienen intereses personales que ejercen cierta presión para que se cumplan sus caprichos. AUDIOS DE APOYO DE VECINOS.</t>
  </si>
  <si>
    <t>Tren México Querétaro</t>
  </si>
  <si>
    <t>Un conflicto vecinal estalló en Mineral de la Reforma, luego que un hombre con orden de restricción irrumpió al concluir la sesión del cabildo con la finalidad de exigir el control de la feria de la colonia 11 de Julio. El hombre arribó acompañado de familiares al término de la cuadragésima tercera sesión ordinaria de cabildo, donde también se encontraba Teresa “N”, actual responsable de las festividades de esa localidad, quien había presentado previamente carpetas de investigación por amenazas de muerte en contra de Raúl “N”, situación que derivó en medidas de restricción. La confrontación verbal entre ambas partes elevó la tensión en la tele aula, ubicada en Pachuquilla, por lo que inicialmente el secretario general, Pablo Jaramillo, solicitó mantener el orden. Posteriormente, el presidente municipal, Eduardo Medécigo, solicitó a los involucrados retirarse del lugar. La administración municipal detalló que anteriormente se realizaron mesas de diálogo entre las partes para tratar el conflicto relacionado con la organización de la feria de la colonia 11 de Julio; sin embargo, sostuvo que las diferencias persistieron y derivaron en denuncias por amenazas.</t>
  </si>
  <si>
    <t>Locutor Jesús Riveros da lectura a comentario de radioescucha que reporta, que el día de ayer hicieron ir a los alumnos de la UTEC a Pachuca para recibir una tarjeta en la cual les hicieron firmar que tenía seis mil pesos de apoyo y resulta, que, al activarla, la tarjeta está en ceros, pregunta ¿Qué se puede hacer?</t>
  </si>
  <si>
    <t>Locutor Juan Carlos Santamaría responde al comentario de radioescucha respecto al depósito de becas, con información del área de Becas de la Coordinación de comunicación Social de la SEPH que han confirmado con el área de becas que el depósito ya se hizo, pero que, si hay alguna duda, alguna situación particular que comentar pueden comunicarse la siguiente número 7717172510 ext 4799.</t>
  </si>
  <si>
    <t>Ayer por la tarde se confirmaba que un interno de 50 años de edad, del Cereso de Tulancingo fue encontrado sin vida. De acuerdo con los primeros reportes, fue localizado suspendido del cuello en uno de los baños y aunque fue trasladado al Consultorio Médico del Cereso, minutos más tarde se confirmó que ya no contaba con signos vitales. Por lo anterior, se notificó la Ministerio Público para que iniciara las dirigencias correspondientes, posteriormente se dio aviso a los familiares del fallecido. De acuerdo con las primeras investigaciones, se apunta a que podría haber sido un suicidio, se dio a conocer que el interno enfrentaba un proceso penal por el delito de violación agravada y que, anteriormente, ya había atentado contra su vida, por lo que, recibía atención psicológica. Con este caso, suman ya tres suicidios registrados en el Cereso de Tulancingo en un periodo de nueve meses.</t>
  </si>
  <si>
    <t>Hidalgo define a quienes vigilarán la legalidad, la transparencia y el combate a la corrupción durante los próximos cuatro años.</t>
  </si>
  <si>
    <t>Contraloría</t>
  </si>
  <si>
    <t>Órgano Interno de Control</t>
  </si>
  <si>
    <t>SSPH detiene a hombre que transportaba hidrocarburo ilícito en Tezontepec de Aldama</t>
  </si>
  <si>
    <t>Impulsa Hidalgo el desarrollo agropecuario con entrega de apoyos por más de 3.3 mdp en Cuautepec de Hinojosa</t>
  </si>
  <si>
    <t>Capacitación</t>
  </si>
  <si>
    <t>En rueda de prensa, la diputada Claudia Lilia Luna Islas presentó la actividad “Cascarita por la inclusión”, con el objetivo de visibilizar los grandes retos que enfrentan las personas con discapacidad al realizar algún tipo de deporte, generando empatía y conciencia entre las y los participantes. La legisladora destacó que la inclusión ha sido uno de los ejes centrales de su agenda legislativa, con más de 13 iniciativas presentadas a favor de este sector. Explicó que el evento busca sensibilidad a las y los diputados mediante la participación en partidos de fútbol inclusivo junto a personas ciegas, sordas, de talla baja y con discapacidad intelectual, utilizando adaptaciones como vendas en los ojos, tapones auditivos y equipamiento especializado. Asimismo, hizo un llamado a la sociedad a sumarse a este esfuerzo con el objetivo de promover una cultura más empática e incluyente que garantice espacios dignos de participación y desarrollo para todas las personas.</t>
  </si>
  <si>
    <t>Inclusión</t>
  </si>
  <si>
    <t>Fue la mañana de este día donde un camión materialista impactó contra el cerro, por así decirlo, esto a la altura de conocidos salones cuando circulaba sobre el bulevar Colosio. Afortunadamente no se reportan personas lesionadas, solamente daños materiales, pero hay que recordar que son constantes los traslado de estos camiones materialistas; tanto por los que están realizando las obras del tren que viajará de la de Pachuca al aeropuerto Felipe Ángeles, por tal motivo los automovilistas piden también y la gente de estas colonias aledañas que se mantengan operativo por parte de elementos de la Secretaría Pública, ya que el incidente que se generó el día de hoy, pues encendió las alarmas, ya que muchas de estas personas dicen que es la hora en que algunas de las personas viajan hacia el trabajo en las instituciones educativas y podría generar algún incidente mayor. Por tal motivo, piden a las autoridades que se tomen las medidas necesarias para evitar este tipo de percances.</t>
  </si>
  <si>
    <t>Prevención de accidentes</t>
  </si>
  <si>
    <t>Aldo Falcón</t>
  </si>
  <si>
    <t>Una noche complicada principalmente para todos los automovilistas que se dirigen al sur de la ciudad, eso debido a la intensa lluvia que se presentó en gran parte de esta zona, principalmente algunas de las zonas más afectadas son en la carretera México-Pachuca en su tramo correspondiente al bulevar Felipe Ángeles, igualmente Mineral de la Reforma en el fraccionamiento Los Tuzos donde ya empiezan a haber estragos por esta lluvia. Las lluvias asentaron principalmente sobre el bulevar Felipe Ángeles lo que ha generado un intenso caos vial, algunas de las zonas afectadas son la procuradora general de justicia, igualmente con las instalaciones de Radio y Televisión de Hidalgo, esto debido a que el agua ya rebasó los límites de guarnición, dejando cubiertos algunos de vehículos. Cabe mencionar que en la zona también se ven afectado el tráfico por las obras que se están realizando en el bulevar Santa Catarina, donde un vehículo que intentaba ingresar al fraccionamiento Electricistas, quedó atrapado entre la tierra. En estos momentos ya personal de la obra, acompañados de una retroexcavadora, lo intenta sacar del lodo donde quedó atropado. Igualmente, en Mineral de la Reforma en el fraccionamiento Los Tuzos, ya personal de la Comisión de Agua, Alcantarillados y Sistemas Intermunicipales (CAASIM) labora con bombas para que el agua no suba más, ya que existe un riesgo de inundación. Cabe mencionar que hasta el momento no hay personas lesionadas, pero por estos motivos el personal de la Secretaría de Seguridad Pública, tanto del Mineral de la Reforma como de Pachuca, están realizando el operativo Carrusel, que consiste en implementar que los vehículos viajen a cierta velocidad para evitar algún incidente vial.</t>
  </si>
  <si>
    <t>Con el objetivo de fortalecer el bienestar patrimonial de las familias de Mineral de la Reforma, el presidente municipal, Eduardo Medécigo Rubio, entregó números oficiales a viviendas de la Colonia La Mesa II, brindando certeza jurídica e identidad domiciliaria a sus habitantes. Durante el acto realizado en el Auditorio Municipal de Pachuquilla, el alcalde estuvo acompañado por la presidenta del sistema DIF municipal, Samantha Esparza Hernández; por el Secretario de Desarrollo Urbano Sostenible e Infraestructura Pública, Juan Carlos Zarco Cruz. En su mensaje, Medécigo Rubio reconoció la confianza de las y los vecinos en la actual administración para resolver una demanda que permaneció sin atender durante más de diez años. Esta situación impedía a las familias contar con la documentación necesaria para realizar diversos trámites, acceder a servicios básicos y consolidar su patrimonio.</t>
  </si>
  <si>
    <t>respecto al incidente registrado el día anterior en las inmediaciones de la teleaula, donde una persona ingresó a la sesión de cabildo para exigir la restitución de la organización de la feria de la colonia 11 de Julio. De acuerdo con las autoridades, el individuo contaba con una orden de restricción en contra de una regidora, motivo por el cual fue retirado del recinto por elementos de seguridad, mientras era respaldado por la regidora del Pan, Marlene Puertas. Al respecto, Eduardo, alcalde Mineral de la Reforma ofreció su versión de los hechos. Posteriormente, María Teresa Alarcón compartió su testimonio sobre lo ocurrido durante el desarrollo de la sesión, aportando su perspectiva respecto a los acontecimientos registrados.</t>
  </si>
  <si>
    <t>Durante mayo de 2026, el municipio de Mineral de la Reforma registró una disminución en delitos como robo a casa-habitación y violencia familiar, informó la Secretaría de Seguridad Pública municipal durante la presentación mensual de resultados en materia de seguridad. De acuerdo con el reporte, durante mayo se contabilizaron ocho robos a casa-habitación, lo que representa una reducción del 27 por ciento en comparación con abril. El fraccionamiento Los Tuzos concentró la mayor incidencia de este delito con tres casos. Asimismo, se registraron siete robos de pertenencias en vehículos a lo largo de Mineral de la Reforma, de los cuales dos ocurrieron en la colonia El Chacón. En cuanto asalto a negocio, se reportaron seis, principalmente en los fraccionamientos Quinta Bonita, Santa María la Calera y Rinconada de los Ángeles.</t>
  </si>
  <si>
    <t>Incidencia Delictiva</t>
  </si>
  <si>
    <t>El ex atleta olímpico y medallista panamericano de triatlón, Eligio Cervantes Islas, habló sobre la experiencia de competir en Guasca de Ocampo y los retos que representa esta disciplina. Asimismo, compartió recomendaciones para quienes participarán en el Triatlón Huasca 2026 e invitó a la población a formar parte de este evento, en el que también estará presente como competidor.</t>
  </si>
  <si>
    <t>Turismo Deportivo</t>
  </si>
  <si>
    <t>Con la expectativa de reunir a competidores de distintas partes del estado y del país, la Secretaría de Turismo de Hidalgo presentó la edición 2026 del Triatlón Huasca, un evento que tendrá como sede el Bosque de las Truchas y que apuesta por consolidar a la entidad como referente nacional del turismo deportivo mediante actividades que combinan competencia, naturaleza y convivencia familiar. Durante la presentación, Eligio Cervantes Islas, presidente de la Asociación Estatal de Triatlón de Hidalgo y ex atleta olímpico, destacó la importancia del deporte y la experiencia que representa competir en los paisajes naturales de Huasca de Ocampo.</t>
  </si>
  <si>
    <t>Gobierno de Hidalgo destinará más de 415 mdp para infraestructura educativa</t>
  </si>
  <si>
    <t>El Instituto de Seguridad y Servicios Sociales de los Trabajadores del Estado (ISSSTE) en Hidalgo consolidó una profunda renovación interna orientada a simplificar y transparentar sus servicios. A través de la Dirección de Prestaciones, se logró erradicar de manera definitiva los sorteos; hoy en día, cada solicitud gestionada ante esta área cuenta con una aprobación directa y garantizada. Este giro estratégico responde firmemente a la visión social del Director General del ISSSTE, Martí Batres Guadarrama, cuyo objetivo es transformar las prestaciones en derechos accesibles, ágiles y libres de intermediarios o procesos aleatorios que en el pasado generaban incertidumbre. Con esto, las y los trabajadores activos, jubilados y pensionados afiliados al instituto, que ingresan formalmente su documentación tienen la total certeza de recibir el beneficio sin depender de la suerte, aplicando para todas las modalidades vigentes: préstamos ordinarios, especiales, conmemorativos y exclusivos para pensionados.</t>
  </si>
  <si>
    <t>UPLAPH impulsa la actualización del Plan Municipal de Desarrollo en Zapotlán de Juárez</t>
  </si>
  <si>
    <t>Plan Municipal de Desarrollo</t>
  </si>
  <si>
    <t>SSPH asegura a mujer por extorsión a comerciantes en Central de Abastos de Tezontepec de Aldama</t>
  </si>
  <si>
    <t>Combate a la extorsión</t>
  </si>
  <si>
    <t>Una iniciativa presentada en el Congreso de Hidalgo busca endurecer las sanciones contra automovilistas que ocasionen fallecimientos o lesiones en percances de tránsito al conducir bajo condiciones consideradas de riesgo. La propuesta, impulsada por la diputada Yarabi González Martínez, plantea modificaciones al Código Penal estatal para incrementar las penas cuando el responsable de un accidente mortal se encuentre bajo los efectos del alcohol o de alguna sustancia que altere sus capacidades físicas o mentales. El proyecto también contempla sanciones más elevadas para quienes provoquen hechos de tránsito al exceder los límites de velocidad, invadir espacios destinados a peatones o ciclistas, así como por utilizar dispositivos móviles mientras manejan.</t>
  </si>
  <si>
    <t>Las personas que se incorporaron durante abril a las Pensiones para Adultos Mayores y Mujeres Bienestar comenzaron a recibir sus tarjetas bancarias, informó la Delegación de Programas para el Bienestar en Hidalgo. El delegado estatal, Abraham Mendoza Zenteno, explicó que la distribución de los plásticos se lleva a cabo del 15 al 21 de junio y está dirigida a quienes concluyeron recientemente su proceso de registro en ambos programas sociales. Para conocer la fecha, hora y sede de entrega, los beneficiarios recibirán una notificación vía mensaje de texto o podrán consultar la información utilizando su CURP en los canales oficiales de la Secretaría de Bienestar. Las autoridades recordaron que para recoger la tarjeta es necesario presentar el comprobante de registro, así como una identificación oficial vigente en original y copia. Por otra parte, Mendoza Zenteno destacó la participación ciudadana en las asambleas comunitarias realizadas como parte del Fondo de Aportaciones para la Infraestructura Social para Pueblos y Comunidades Indígenas y Afromexicanas (FAIS), donde más de 145 mil personas colaboraron en la integración de comités encargados de supervisar y priorizar obras de infraestructura básica en sus localidades. Asimismo, informó que continúa el proceso de credencialización para el Servicio Universal de Salud. Hasta el momento, más de 12 mil personas han solicitado este trámite en Hidalgo.</t>
  </si>
  <si>
    <t>Delegación</t>
  </si>
  <si>
    <t>Pensión Del Bienestar</t>
  </si>
  <si>
    <t>A pesar de que la construcción de miles de viviendas del programa Viviendas para el Bienestar registra avances en Hidalgo, las autoridades federales aún no cuentan con una fecha concreta para iniciar la entrega de los inmuebles a las personas seleccionadas como beneficiarias. El delegado de Programas para el Bienestar en la entidad, Abraham Mendoza Zenteno, informó que las obras presentan un progreso importante tanto en edificación como en la instalación de servicios básicos; sin embargo, reconoció que la empresa encargada de los trabajos no ha cumplido con los tiempos previstos. Explicó que diversos factores, entre ellos las condiciones climatológicas, han influido en los retrasos, por lo que evitó adelantar una nueva fecha para la conclusión y entrega de las viviendas. Mientras continúa el proceso de construcción, la Comisión Nacional de Vivienda se prepara para abrir una nueva convocatoria durante 2026 dirigida a personas interesadas en acceder a este esquema habitacional. De acuerdo con la información proporcionada por las autoridades, en Hidalgo se contempla la entrega de 5 mil 400 viviendas edificadas en municipios como Tepeji del Río, Tepeapulco, El Arenal, Ixmiquilpan y San Agustín Tlaxiaca, donde se desarrollan dos complejos habitacionales. En otro tema, Mendoza Zenteno adelantó que durante julio comenzará la dispersión de recursos del programa FAIS PIAM para comunidades indígenas. Los proyectos priorizados por la población están relacionados principalmente con sistemas de agua potable, drenaje y mejoramiento de infraestructura urbana. Asimismo, informó que continúa el proceso de incorporación al programa de credencialización universal de salud, que hasta ahora suma más de 12 mil solicitudes. Durante este año, el trámite estará enfocado en personas adultas mayores y personas con discapacidad que ya forman parte de los programas de pensión para el bienestar.</t>
  </si>
  <si>
    <t>Plan Nacional De Vivienda</t>
  </si>
  <si>
    <t>La presidenta de la Cámara de Diputados, Kenia López, afirmó que combatir la violencia en México requiere no sólo atender sus causas, sino también sancionar a los políticos vinculados con el crimen organizado. Sostuvo que la construcción de la paz demanda acabar con la impunidad y desmantelar las redes de protección política que han permitido el avance de grupos criminales. Y respecto a las cifras oficiales de seguridad, señaló que la inseguridad sigue siendo la principal preocupación de los mexicanos y advirtió que el aumento de personas desaparecidas refleja una realidad que no puede ocultarse con estadísticas.</t>
  </si>
  <si>
    <t>Combate a la delincuencia</t>
  </si>
  <si>
    <t>El gobernador Julio Menchaca habló sobre la posibilidad de que integrantes de su gabinete busquen un cargo de elección popular en las elecciones del próximo año. El mandatario señaló que, hasta el momento, ningún secretario o secretaria le ha manifestado formalmente su intención de separarse del cargo para participar en la contienda electoral.</t>
  </si>
  <si>
    <t>En Hidalgo se registra una de las primeras renuncias rumbo a la definición de candidaturas de Morena para el proceso electoral de 2027, luego de que el titular de la Oficina de Defensa del Consumidor, Navor Rojas Mancera, presentó su renuncia para buscar una candidatura a la alcaldía de Pachuca o una diputación federal.</t>
  </si>
  <si>
    <t>Con el objetivo de fortalecer la competitividad de emprendedores, microempresarios y productores de la región, el Gobierno Municipal de Tulancingo invita a la conferencia magistral que impartirá José Antonio Rodríguez Tarango, fundador y director general del Instituto Mexicano de Profesionales de Envase y Embalaje. La capacitación se llevará a cabo el próximo viernes 19 de junio, a las 12:00 horas, en las instalaciones de la Presidencia Municipal. El acceso será gratuito y estará abierto al público en general. La secretaria de Fomento Económico, Minerva Rosales Gayoso, destacó que la presencia de uno de los especialistas más reconocidos de Latinoamérica en materia de envase y embalaje representa una valiosa oportunidad para quienes buscan fortalecer sus conocimientos y mejorar la presentación de sus productos. Rodríguez Tarango es integrante del Consejo Científico de la Secretaría de Salud para la COFEPRIS, asesor de diversos gobiernos estatales y fue reconocido en 2022 como uno de los diez principales líderes de opinión en América Latina en temas relacionados con envase y embalaje. La invitación está dirigida a emprendedores, comerciantes, productores, estudiantes y ciudadanía interesada en conocer cómo el empaque puede convertirse en un factor estratégico para impulsar las ventas y generar nuevas oportunidades de negocio.</t>
  </si>
  <si>
    <t>Elementos de Bomberos y Protección Civil de Tulancingo intensificaron las acciones de limpieza y mantenimiento en la infraestructura pluvial de diversas zonas del municipio para reducir riesgos de inundaciones durante la temporada de lluvias. Las labores se concentran en calles como 21 de Marzo y San Luis, además de la colonia Insurgentes, donde personal operativo realiza el retiro de residuos y el desazolve de alcantarillas para mejorar el flujo del agua y evitar encharcamientos. De manera complementaria, las autoridades mantienen vigilancia constante en drenes, canales y puntos considerados de riesgo, con el propósito de responder de forma inmediata ante cualquier afectación ocasionada por las precipitaciones. Estas acciones se desarrollan en coordinación con corporaciones de Seguridad Pública, Movilidad y Transporte, la Comisión de Agua y Alcantarillado del Municipio de Tulancingo (CAAMT) y áreas de Mantenimiento Urbano. Las autoridades municipales hicieron un llamado a la población para evitar tirar basura en calles, banquetas y coladeras, ya que los residuos sólidos son una de las principales causas de obstrucción en los sistemas de drenaje y favorecen la formación de anegamientos.</t>
  </si>
  <si>
    <t>Prevención de inundaciones</t>
  </si>
  <si>
    <t>Faltan menos de un mes para que venza el plazo de registro obligatorio de líneas celulares con CURP en México, y más de 96 millones de líneas permanecen sin vincular. No se ha anunciado ninguna prórroga para el registro.</t>
  </si>
  <si>
    <t>Registro de celulares</t>
  </si>
  <si>
    <t>Operativos dejan 18 detenidos y miles de dosis de droga aseguradas en Hidalgo. Las acciones coordinadas de las corporaciones de seguridad en Hidalgo permitieron la captura de 18 personas presuntamente vinculadas con actividades de narcomenudeo, además del decomiso de miles de dosis de sustancias ilícitas en distintos puntos del estado. Durante la sesión semanal del Gabinete de Seguridad, el gobernador Julio Menchaca informó que los resultados se obtuvieron mediante operativos desplegados en 11 municipios, donde también fueron aseguradas siete básculas utilizadas presuntamente para la distribución de droga. En materia de combate al robo de combustible, las autoridades reportaron la detención de un individuo en Tezontepec de Aldama, quien transportaba 225 litros de hidrocarburo sin acreditar su procedencia legal. Por otra parte, en Tulancingo fueron capturadas tres personas señaladas por un robo cometido en una joyería. Como parte de la intervención policial se logró recuperar los artículos sustraídos y asegurar un arma de fuego. Las autoridades también destacaron la detención de un presunto robacoches sobre la carretera México-Pachuca, luego de una denuncia recibida a través del número de emergencias 911. El sospechoso estaría relacionado con el robo de una unidad en la capital hidalguense. En Tizayuca, elementos de seguridad lograron ubicar y detener a una persona presuntamente involucrada en el asalto a una farmacia, recuperando además el dinero obtenido durante el atraco. El informe incluyó la localización de siete personas que contaban con reporte de búsqueda, mientras continúan las investigaciones para esclarecer el asesinato de tres personas ocurrido recientemente en Zacualtipán. En paralelo, el gobierno estatal mantiene activos los protocolos de atención por las lluvias registradas en los últimos días. Entre las afectaciones reportadas se encuentran la caída de árboles, derrumbes en carreteras serranas y diversos puntos con inundaciones y anegamientos en al menos 21 municipios de la entidad.</t>
  </si>
  <si>
    <t>Desde que inició el Mundial de Fútbol han bajado las cifras de los homicidios. el día de la inauguración fue el día en que menos homicidios hubo en varios estados donde la incidencia delictiva es alta.</t>
  </si>
  <si>
    <t>Las cifras de incidencia delictiva presentadas por el Gobierno de México colocan a Hidalgo entre las entidades que han logrado disminuir los homicidios dolosos en lo que va del año. De acuerdo con información difundida por el Secretariado Ejecutivo del Sistema Nacional de Seguridad Pública (SESNSP), entre enero y mayo de 2026 la entidad registró una baja de 19.3 por ciento en el promedio diario de este delito respecto al mismo periodo de 2025. Durante la conferencia presidencial, la titular del organismo, Marcela Figueroa Franco, señaló que Hidalgo forma parte de los estados donde se observó una reducción en los asesinatos intencionales, comportamiento que coincide con la tendencia nacional reportada en los últimos meses. Los datos oficiales indican que en los primeros cinco meses del año se contabilizaron 97 víctimas de homicidio doloso en territorio hidalguense, cifra que representa una pequeña proporción del total registrado en el país. A nivel nacional, mayo de 2026 fue identificado como el mes de mayo con el menor promedio diario de homicidios de los últimos 12 años. Además, las autoridades federales destacaron que la incidencia diaria de este delito ha mostrado una disminución significativa desde el inicio de la actual administración. Según el reporte, estos resultados son atribuidos a la coordinación entre las instituciones de seguridad de los tres órdenes de gobierno y a las acciones implementadas dentro de la estrategia federal para contener la violencia y fortalecer la prevención del delito.</t>
  </si>
  <si>
    <t>Izza Hernández y Yessenia Romero respecto a la nota de que cuatro internos han sido hallados sin vida en el Cereso de Tulancingo en los últimos dos años y medio, comentan que llama la atención esto por las características de cómo han sido hallados sin vida estos internos y que se deben revisar lo que está faltando en cuanto a protocolos y temas de salud mental. Es algo que las autoridades deben revisar porque la incidencia es alta y se abre un debate de si las medidas implementadas han sido suficientes o si existen factores de riesgo que no pudieron ser contenidos, porque en el caso del último interno, recibía atención psicológica y seguimiento especializado de acuerdo a las autoridades y son muchas preguntas que nos hacemos como población y si hablamos de un presunto suicidio más, es preocupante.</t>
  </si>
  <si>
    <t>El hallazgo de un hombre privado de la libertad sin vida al interior del Centro de Reinserción Social (Cereso) de Tulancingo, registrado la mañana de este lunes 15 de junio, volvió a encender las alertas sobre los fallecimientos ocurridos dentro del penal en los últimos años. De acuerdo con información policial, alrededor de las 6:30 horas un custodio localizó al interno suspendido en el área de sanitarios del centro penitenciario. Personal médico confirmó que ya no contaba con signos vitales, por lo que se dio parte al Ministerio Público para el inicio de las investigaciones correspondientes. Con este hecho, suman al menos cuatro personas privadas de la libertad encontradas sin vida dentro del Cereso de Tulancingo desde enero de 2024, en casos que han sido investigados bajo la hipótesis de suicidio. El primer antecedente reciente ocurrió el 13 de enero de 2024, cuando un interno procesado por secuestro agravado fue localizado sin vida en el área de sentenciados. Las autoridades informaron que el hombre se habría quitado la vida utilizando una prenda de vestir. Más de un año después, el 4 de septiembre de 2025, otro reo, de aproximadamente 55 años de edad, fue encontrado muerto durante el pase de lista realizado por custodios. Los primeros reportes señalaron un posible ahorcamiento. Apenas 18 días después, el 22 de septiembre de 2025, un joven de 28 años fue hallado sin vida en el dormitorio número tres del penal. Según las investigaciones, el hombre fue localizado suspendido con un trozo de cobija atado a una estructura de la celda. El caso más reciente ocurrió este 15 de junio de 2026, cuando un interno fue encontrado sin vida en los sanitarios del centro penitenciario. Autoridades estatales informaron que recibía atención psicológica y seguimiento especializado desde finales del año pasado. Todos los casos quedaron a disposición de agentes de la Procuraduría General de Justicia del Estado de Hidalgo, instancia encargada de realizar las diligencias para determinar las causas exactas de cada fallecimiento.</t>
  </si>
  <si>
    <t>Daniel Martínez</t>
  </si>
  <si>
    <t>Andrés Torres comenta que el gobernador Julio Menchaca ha declarado hace unos días que todos aquellos dentro de su gabinete que quieran participar en el proceso electoral están en libertad de hacerlo, pero tienen que renunciar a sus cargos.</t>
  </si>
  <si>
    <t>Hidalgo recupera la Presa Azul: retiran más de mil toneladas de lirio acuático en Huasca</t>
  </si>
  <si>
    <t>Semarnath</t>
  </si>
  <si>
    <t>Control lirio acuático</t>
  </si>
  <si>
    <t>El día de hoy a las 10:45 de la mañana en la Sala del Pueblo de Palacio de Gobierno de Pachuca, el gobernador Julio Menchaca a las Primera Sesión Ordinaria del Consejo Catastral, Entrega de Cartografía Catastral.</t>
  </si>
  <si>
    <t>Consejo Catastral</t>
  </si>
  <si>
    <t>Entrega Saderh apoyos directos en la Huasteca y Sierra Alta</t>
  </si>
  <si>
    <t>La Casita DIFH cumple 32 años fortaleciendo a la niñez y a las familias de La Raza</t>
  </si>
  <si>
    <t>Centros asistenciales</t>
  </si>
  <si>
    <t>Radioescucha, Lilí Smith: como consecuencia de las tormentas en Jacala y una mala estrategia de ubicación se vieron afectados algunos de los vendedores que permanecían en las instalaciones de la feria. otra vez las redes sociales pusieron en evidencia la deficiente actuación. (Envía video)</t>
  </si>
  <si>
    <t>PLAPH impulsa la actualización del Plan Municipal de Desarrollo en Zapotlán de Juárez</t>
  </si>
  <si>
    <t>Andrés Torres comenta que por lo menos dos medios oficiales de Morena en Hidalgo ya están filtrando cambios en la dirigencia estatal de Morena. El día de hoy se publica la convocatoria nacional de Morena para que se elijan los Coordinadores Territoriales a las 11 de la mañana, de acuerdo a lo que dijo Adriana Montes, dirigente nocional del partido. En conferencia de prensa, la presidenta nacional de Morena, Ariadna Montiel, señaló que dicha convocatoria se presentará junto con las dirigencias del Partido Verde Ecologista de México (PVEM) y del Partido del Trabajo (PT), aliados políticos de la fuerza guinda. Tras la designación ayer de Manuel Jesús Zavala como secretario de Organización del partido y la integración formal de la Comisión Nacional de Elecciones, presidida por Citlalli Hernández, Morena alista los motores para el proceso electoral del año entrante ( da lectura a nota publicada en El Sol de México). En Hidalgo los rumores dicen que vienen cambios en la dirigencia de Morena y se dice que Julio Valera, delegado de SEDATU podría ir a labores del partido de Morena como organización, gestión y otras cosas; pues parece que no están contentos con el trabajo de Marco Antonio Rico. Fura del aire de televisión Andrés Torres continúa diciendo que si este tipo de información saliera de La Crónica o Las Vocales dirían que solo quieren "alborotar el gallinero o sacar raja policía", pero si sale desde El Universal... y ese se dicta desde Palacio de Gobierno. Señala que habrá secretarios que se van a enojar.</t>
  </si>
  <si>
    <t>Dirigencia Partidista</t>
  </si>
  <si>
    <t>Vía telefónica Milton Cortés informó que el gobierno municipal de Mineral de la Reforma emitió un posicionamiento sobre los hechos ocurridos al término de la más reciente sesión ordinaria de Cabildo, donde se registró una confrontación relacionada con la organización de la feria de la colonia 11 de Julio. De acuerdo con la administración municipal, un hombre identificado como Raúl “N” acudió a las instalaciones de la Teleaula acompañado por familiares para exigir la devolución de la organización de las festividades de dicha colonia. En el lugar también se encontraba Teresa “N”, quien actualmente encabeza los preparativos del evento. Según el comunicado, entre ambas partes surgió una discusión derivada de diferencias previas y señalamientos mutuos. La situación motivó la intervención de autoridades municipales, quienes solicitaron a los involucrados mantener el orden y retirarse del recinto.</t>
  </si>
  <si>
    <t>Vía telefónica Milton Cortés informa que la tarde de ayer en Pachuca y parte de la Zona Metropolitana se presentaron lluvias intensas que dejó en algunas zonas encharcamientos como en la colonia Rojo Gómez, en donde personal de Protección Civil acudió a auxiliar a las personas afectadas. En Mineral de la Reforma también se presentaron encharcamientos, así como en Zempoala.</t>
  </si>
  <si>
    <t>Mañana empieza el Primer Festival del Chile rayado en La Misión. Agradece al alcalde Israel Villeda por la invitación.</t>
  </si>
  <si>
    <t>En Huautla se hizo la reparación del puente del Río Garcés, lo que ha permitido el paso y hasta el momento no se reporta creciente de este río.</t>
  </si>
  <si>
    <t>Andrés Torres comenta que el 1010 AM El Vocero Huasteco sigue fuera del aire y ya es hasta ocioso estárselos recordando y que ojalá que algún día vulva la estación a transmitir. Asevera que ya no es una cuestión de Radio, ya es una cuestión de voluntad y ahí sabrán los responsables, los que tengan que responder a esto, ya hemos platicado con la autoridad y se hará lo correspondiente.</t>
  </si>
  <si>
    <t>La Subsecretaría de Protección Civil y Gestión de Riesgos informa a la población que, para este 17 de junio de 2026, se prevén intervalos de chubascos con lluvias puntuales fuertes de 25 a 50 mm en la región sureste del estado. Asimismo, se pronostican temperaturas máximas de 40 a 45 °C en la región norte, así como vientos de 20 a 40 km/h con rachas de 50 a 70 km/h.</t>
  </si>
  <si>
    <t>El secretario de Educación Pública, Mario Delgado, informó a través de sus redes sociales que este día, a las 13:30 horas, continuará la mesa de diálogo con la Coordinadora Nacional de Trabajadores de la Educación (CNTE). Además, confirmó la participación de la Secretaría de Gobernación (SEGOB), el Instituto de Seguridad y Servicios Sociales de los Trabajadores del Estado (ISSSTE) y la propia Secretaría de Educación Pública (SEP). El día de hoy a las 13:30 horas continuará el diálogo con la CNTE, la Secretaría de Gobernación, el ISSSTE y la Secretaría de Educación Pública con el fin de concretar compromisos para que todas las niñas y niños del país puedan cerrar satisfactoriamente y sin contratiempos el ciclo escolar.</t>
  </si>
  <si>
    <t>Habitantes de Zacualtipán mantienen un bloqueo sobre la vía federal México-Tampico, a la altura del crucero hacia Tianguistengo, como medida de presión para exigir acciones de seguridad vial en un punto que, señalan, se ha convertido en zona de riesgo para peatones y automovilistas. De acuerdo con reportes de automovilistas, la presencia de manifestantes se registra en el tramo conocido como El Crucero, cerca del Oxxo de la colonia Tepeyac y del entronque hacia Tianguistengo. La movilización ha generado afectaciones a la circulación, por lo que se pidió a los conductores reducir la velocidad, tomar precauciones y buscar vías alternas en caso de tener que transitar por la zona. El motivo principal de la protesta es la falta de infraestructura y medidas preventivas en este punto carretero. Vecinos aseguran que en el área se han registrado accidentes, atropellamientos e incluso pérdidas humanas, sin que hasta el momento exista una respuesta integral por parte de las autoridades.</t>
  </si>
  <si>
    <t>Bloqueo Carretero</t>
  </si>
  <si>
    <t>Gobierno de Hidalgo continúa con acciones de limpieza en caminos y carreteras</t>
  </si>
  <si>
    <t>El Congreso de Hidalgo autorizó a 26 municipios afectados por la Vaguada Monzónica contratar financiamientos de largo plazo con instituciones del sistema financiero mexicano, con el objetivo de ejecutar obras y acciones dirigidas a la población en condiciones de mayor vulnerabilidad. De acuerdo con el decreto publicado en el Periódico Oficial del Estado de Hidalgo (POEH), los ayuntamientos podrán gestionar créditos con las instituciones que ofrezcan las mejores condiciones del mercado, utilizando como fuente de pago recursos del Fondo de Aportaciones para la Infraestructura Social Municipal y de las Demarcaciones Territoriales del Distrito Federal (FAISMUN).</t>
  </si>
  <si>
    <t>Financiamiento municipios</t>
  </si>
  <si>
    <t>Navor Rojas Mancera, presentó su renuncia como titular de la Oficina de Defensa del Consumidor, se declara listo para buscar una candidatura en la siguiente elección.</t>
  </si>
  <si>
    <t>Aseguran a dos presuntos integrantes de banda dedicada al robo de motocicletas en Pachuca</t>
  </si>
  <si>
    <t>En la agenda del día de hoy, el gobernador Julio Menchaca preside la primera sesión ordinaria del Consejo Catastral, donde se entrega equipo y cartografía catastral.</t>
  </si>
  <si>
    <t>Agenda gobernador</t>
  </si>
  <si>
    <t>El presidente municipal de Tula de Allende, Cristian Martínez Reséndiz, encabezó una gira de trabajo para inaugurar obras de infraestructura básica en las comunidades de Teocalco, La Amistad y La Romera, acumulando una inversión superior a los tres millones cuatrocientos mil pesos. En Teocalco se realizó la apertura de la pavimentación hidráulica en la prolongación de la avenida Álvaro Obregón, con un costo de quinientos veinticinco mil pesos. Posteriormente, en las colonias La Amistad y La Romera, el edil entregó la rehabilitación de la línea de conducción de agua potable por bombeo, proyecto que requirió cerca de dos punto nueve millones de pesos para asegurar el abasto del servicio, destacando que la administración atiende las demandas prioritarias de las cincuenta y cuatro localidades del municipio. AUDIO DE APOYO</t>
  </si>
  <si>
    <t>Obras De Infraestructura</t>
  </si>
  <si>
    <t>La Secretaría de Educación Pública de Hidalgo ejerce una inversión superior a los 415 millones de pesos para el fortalecimiento de la infraestructura en escuelas de nivel básico durante este año 2026. El secretario de Educación Pública, Natividad Castrejón Valdés, detalló que a través del Fondo de Aportaciones Múltiples regular se destinan ciento cincuenta millones de pesos para obras de atención urgente en ochenta y siete planteles de cuarenta y un municipios. Asimismo, mediante el programa extraordinario FAM Potenciado 2026 se aplican doscientos sesenta y cinco millones de pesos adicionales en beneficio de cerca de ciento sesenta escuelas y treinta y cinco mil estudiantes, incluyendo cincuenta millones de pesos específicos para el equipamiento de laboratorios y talleres de secundarias, así como obras de techumbre, comedores y bibliotecas en diversas regiones. AUDIO DE APOYO</t>
  </si>
  <si>
    <t>Rumbo a los procesos electorales de 2027, el exsenador Navor Rojas Mancera anunció su renuncia a la delegación de la Procuraduría Federal del Consumidor en Hidalgo. El funcionario fundamentó su separación del cargo en un principio de honestidad, congruencia y transparencia para garantizar la equidad institucional y evitar suspicacias sobre el uso de recursos públicos. Quien fuera suplente en el Senado del hoy gobernador Julio Menchaca Salazar confirmó que buscará participar en las definiciones internas del partido Morena, contemplando una eventual candidatura para la presidencia municipal de Pachuca o una diputación federal.</t>
  </si>
  <si>
    <t>En el ámbito político local, una regidora del municipio de Francisco I. Madero denunció públicamente haber sido víctima de violencia verbal por parte de la alcaldesa Maricela Hernández durante una sesión de cabildo, tras difundirse un video donde la edila se refiere a la asambleísta con adjetivos despectivos, situación que la afectada calificó como un exceso que vulnera el derecho a cuestionar e informar a la ciudadanía. AUDIO DE APOYO</t>
  </si>
  <si>
    <t>Violencia política</t>
  </si>
  <si>
    <t>La Subsecretaría de Protección Civil de Hidalgo informó que para este 17 de junio se prevén lluvias fuertes de veinticinco a cincuenta milímetros en las regiones norte y sureste de la entidad, acompañadas de altas temperaturas y rachas de viento, por lo que se exhorta a la población a evitar el cruce de zonas inundadas.</t>
  </si>
  <si>
    <t>La Secretaría de Medio Ambiente y Recursos Naturales de Hidalgo informó la conclusión de los trabajos de control mecánico en la presa Azul, ubicada en el municipio de Huasca de Ocampo, logrando el retiro de mil cincuenta toneladas de lirio acuático, equivalentes a tres mil cuatrocientos metros cúbicos de biomasa invasora. Para el saneamiento de las tres hectáreas afectadas se utilizó maquinaria especializada adquirida mediante una inversión superior a los once millones de pesos. En estas jornadas de limpieza participaron operadores, personal técnico, prestadores de servicios turísticos y más de trescientos ejidatarios de la zona. Tras conseguir la extracción total de la maleza acuática, la dependencia estatal anunció el inicio de una etapa de monitoreo y mantenimiento permanente para evitar nuevas infestaciones, precisando que una parte del lirio retirado se aprovechará como abono orgánico para actividades agrícolas. AUDIO DE APOYO</t>
  </si>
  <si>
    <t>Dentro de la región de Tula, la Comisión Nacional del Agua, anunció el reforzamiento de este plan maestro de recuperación de la Presa Endhó, con la próxima incorporación en una embarcación de alta tecnología. ¿Para qué se incorpora esta embarcación por parte de la Conagua? Pues va a acelerar, según el organismo, la extracción del lirio acuático y la ampliación del programa de fumigación contra el musco cúlex en comunidades ribereñas. Durante una reunión con autoridades municipales y representantes comunitarios de Tepetitlán. Tezontepec de Aldama y Tula de Allende la Conagua informó que este nuevo sistema automatizado podrá recolectar, triturar y empacar hasta 80 metros cúbicos de lirio por hora. Lo permitirá agilizar el saneamiento de la presa y aprovechar la biomasa para fines productivos. Sin duda una buena noticia con la que seguramente los pobladores empezarán a hacer cuentas de cuántas horas se tendrán que necesitar, o cuántas horas podrá trabajar esta máquina todos los días, para tener un plazo aproximado de cuándo se podría ya sanear la presa Endhó0. De eso también, pues, hay muchas variantes; hay que señalar que las máquinas siguen siendo máquinas, así que se pueden descomponer o pueden tener una afectación, y también repararlas, pues ya lo sabemos, ¿no? Ahí están las máquinas que se están utilizando y que pues por muchos meses se quedaron paradas porque presentaron alguna avería, y para poder repararlas, pues hay que meter un documento, hay que avisar a las autoridades, así que pues las aproximaciones son eso: aproximaciones nada más. Además, este programa de fumigación se amplía de 27 a 46 comunidades con apoyo de la Secretaría de Infraestructura, Comunicaciones y Transportes y de los gobiernos municipales, que aportarán vehículos al personal de las labores.</t>
  </si>
  <si>
    <t>Presa Endhó</t>
  </si>
  <si>
    <t>Menchaca Salazar también se refirió a la disminución de un cuarenta por ciento de la obra pública de la entidad. AUDIO DE APOYO.</t>
  </si>
  <si>
    <t>El gobernador de Hidalgo, Julio Menchaca Salazar, calificó como austera la remodelación del salón de plenos del Congreso del Estado, cuyo presupuesto original pasó de ochenta a cien millones de pesos. El mandatario explicó que este incremento se encuentra dentro de un rango normal debido al aumento en los costos de materiales de construcción, como el acero, que se han modificado desde el planteamiento del primer proyecto. AUDIO DE APOYO.</t>
  </si>
  <si>
    <t>Lluvia intensa en la capital hidalguense que, sin duda, mire, ya la capital, la zona metropolitana es un caos. Platicando ayer con algunos transportistas, taxistas, colectivos de la capital, comentaban: ya a cualquier hora puedes encontrar tráfico, ya ni rutas alternas. Y sí, ayer también tras la lluvia, a eso de las seis, siete de la tarde noche de ayer martes, pudimos observar cómo el bulevar Felipe Ángeles se empieza a congestionar desde casi Plaza Galerías, a la altura de la lida, hasta San Antonio. Un avance lento; yo creo que usted se va haciendo unos treinta, cuarenta minutos para poder salir hacia la Ciudad de México. Sin duda, pues la situación de la movilidad en Pachuca se tiene que resolver. Hay más autos, sí, las condiciones climáticas afectan también, pero pues sin duda también no hay infraestructura necesaria para poder utilizar otros transportes alternativos además del automóvil, como por ejemplo la bicicleta; no hay la infraestructura en la capital para poder hacerlo y que eso pudiera aligerar el tráfico en él, pero pues lamentablemente es lo que se está viviendo. Veremos qué es lo que lo que se puede solucionar respecto a ese tema.</t>
  </si>
  <si>
    <t>Movilidad urbana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</si>
</sst>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49" tableType="queryTable" totalsRowShown="0">
  <autoFilter ref="A1:M149"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49"/>
  <sheetViews>
    <sheetView tabSelected="1" topLeftCell="D114" workbookViewId="0">
      <selection activeCell="M149" sqref="M149"/>
    </sheetView>
  </sheetViews>
  <sheetFormatPr baseColWidth="10" defaultRowHeight="15" x14ac:dyDescent="0.25"/>
  <cols>
    <col min="1" max="1" width="8.5703125" bestFit="1" customWidth="1"/>
    <col min="2" max="2" width="11.42578125" bestFit="1" customWidth="1"/>
    <col min="3" max="3" width="27.28515625" bestFit="1" customWidth="1"/>
    <col min="4" max="4" width="30.7109375" bestFit="1" customWidth="1"/>
    <col min="5" max="5" width="81.140625" bestFit="1" customWidth="1"/>
    <col min="6" max="6" width="15.28515625" bestFit="1" customWidth="1"/>
    <col min="7" max="7" width="31.7109375" bestFit="1" customWidth="1"/>
    <col min="8" max="8" width="11" bestFit="1" customWidth="1"/>
    <col min="9" max="9" width="11.1406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18</v>
      </c>
      <c r="C1" t="s">
        <v>19</v>
      </c>
      <c r="D1" t="s">
        <v>20</v>
      </c>
      <c r="E1" t="s">
        <v>1</v>
      </c>
      <c r="F1" t="s">
        <v>2</v>
      </c>
      <c r="G1" t="s">
        <v>4</v>
      </c>
      <c r="H1" t="s">
        <v>3</v>
      </c>
      <c r="I1" t="s">
        <v>5</v>
      </c>
      <c r="J1" t="s">
        <v>21</v>
      </c>
      <c r="K1" t="s">
        <v>22</v>
      </c>
      <c r="L1" t="s">
        <v>23</v>
      </c>
      <c r="M1" t="s">
        <v>27</v>
      </c>
    </row>
    <row r="2" spans="1:13" x14ac:dyDescent="0.25">
      <c r="A2" s="2">
        <v>46189</v>
      </c>
      <c r="B2" s="1" t="str">
        <f ca="1">IF(Información1[[#This Row],[Fecha]]='Ajuste de fechas'!$A$2,"Día actual","Día anterior")</f>
        <v>Día anterior</v>
      </c>
      <c r="C2" s="3" t="s">
        <v>70</v>
      </c>
      <c r="D2" t="s">
        <v>71</v>
      </c>
      <c r="E2" s="3" t="s">
        <v>88</v>
      </c>
      <c r="F2" s="3" t="s">
        <v>66</v>
      </c>
      <c r="G2" s="3" t="s">
        <v>89</v>
      </c>
      <c r="H2" s="3" t="s">
        <v>8</v>
      </c>
      <c r="I2" s="3" t="s">
        <v>7</v>
      </c>
      <c r="J2" s="3" t="s">
        <v>57</v>
      </c>
      <c r="K2" s="3" t="s">
        <v>90</v>
      </c>
      <c r="L2" s="3" t="s">
        <v>26</v>
      </c>
      <c r="M2">
        <v>1</v>
      </c>
    </row>
    <row r="3" spans="1:13" x14ac:dyDescent="0.25">
      <c r="A3" s="2">
        <v>46189</v>
      </c>
      <c r="B3" s="1" t="str">
        <f ca="1">IF(Información1[[#This Row],[Fecha]]='Ajuste de fechas'!$A$2,"Día actual","Día anterior")</f>
        <v>Día anterior</v>
      </c>
      <c r="C3" s="3" t="s">
        <v>70</v>
      </c>
      <c r="D3" t="s">
        <v>71</v>
      </c>
      <c r="E3" s="3" t="s">
        <v>91</v>
      </c>
      <c r="F3" s="3" t="s">
        <v>10</v>
      </c>
      <c r="G3" s="3" t="s">
        <v>92</v>
      </c>
      <c r="H3" s="3" t="s">
        <v>8</v>
      </c>
      <c r="I3" s="3" t="s">
        <v>7</v>
      </c>
      <c r="J3" s="3" t="s">
        <v>59</v>
      </c>
      <c r="K3" s="3" t="s">
        <v>90</v>
      </c>
      <c r="L3" s="3" t="s">
        <v>24</v>
      </c>
      <c r="M3">
        <v>1</v>
      </c>
    </row>
    <row r="4" spans="1:13" x14ac:dyDescent="0.25">
      <c r="A4" s="2">
        <v>46189</v>
      </c>
      <c r="B4" s="1" t="str">
        <f ca="1">IF(Información1[[#This Row],[Fecha]]='Ajuste de fechas'!$A$2,"Día actual","Día anterior")</f>
        <v>Día anterior</v>
      </c>
      <c r="C4" s="3" t="s">
        <v>70</v>
      </c>
      <c r="D4" t="s">
        <v>71</v>
      </c>
      <c r="E4" s="3" t="s">
        <v>93</v>
      </c>
      <c r="F4" s="3" t="s">
        <v>76</v>
      </c>
      <c r="G4" s="3" t="s">
        <v>84</v>
      </c>
      <c r="H4" s="3" t="s">
        <v>8</v>
      </c>
      <c r="I4" s="3" t="s">
        <v>7</v>
      </c>
      <c r="J4" s="3" t="s">
        <v>57</v>
      </c>
      <c r="K4" s="3" t="s">
        <v>90</v>
      </c>
      <c r="L4" s="3" t="s">
        <v>24</v>
      </c>
      <c r="M4">
        <v>1</v>
      </c>
    </row>
    <row r="5" spans="1:13" x14ac:dyDescent="0.25">
      <c r="A5" s="2">
        <v>46189</v>
      </c>
      <c r="B5" s="1" t="str">
        <f ca="1">IF(Información1[[#This Row],[Fecha]]='Ajuste de fechas'!$A$2,"Día actual","Día anterior")</f>
        <v>Día anterior</v>
      </c>
      <c r="C5" s="3" t="s">
        <v>70</v>
      </c>
      <c r="D5" t="s">
        <v>71</v>
      </c>
      <c r="E5" s="3" t="s">
        <v>94</v>
      </c>
      <c r="F5" s="3" t="s">
        <v>10</v>
      </c>
      <c r="G5" s="3" t="s">
        <v>95</v>
      </c>
      <c r="H5" s="3" t="s">
        <v>8</v>
      </c>
      <c r="I5" s="3" t="s">
        <v>7</v>
      </c>
      <c r="J5" s="3" t="s">
        <v>59</v>
      </c>
      <c r="K5" s="3" t="s">
        <v>90</v>
      </c>
      <c r="L5" s="3" t="s">
        <v>96</v>
      </c>
      <c r="M5">
        <v>1</v>
      </c>
    </row>
    <row r="6" spans="1:13" x14ac:dyDescent="0.25">
      <c r="A6" s="2">
        <v>46189</v>
      </c>
      <c r="B6" s="1" t="str">
        <f ca="1">IF(Información1[[#This Row],[Fecha]]='Ajuste de fechas'!$A$2,"Día actual","Día anterior")</f>
        <v>Día anterior</v>
      </c>
      <c r="C6" s="3" t="s">
        <v>70</v>
      </c>
      <c r="D6" t="s">
        <v>71</v>
      </c>
      <c r="E6" s="3" t="s">
        <v>97</v>
      </c>
      <c r="F6" s="3" t="s">
        <v>66</v>
      </c>
      <c r="G6" s="3" t="s">
        <v>98</v>
      </c>
      <c r="H6" s="3" t="s">
        <v>8</v>
      </c>
      <c r="I6" s="3" t="s">
        <v>14</v>
      </c>
      <c r="J6" s="3" t="s">
        <v>57</v>
      </c>
      <c r="K6" s="3" t="s">
        <v>90</v>
      </c>
      <c r="L6" s="3" t="s">
        <v>24</v>
      </c>
      <c r="M6">
        <v>1</v>
      </c>
    </row>
    <row r="7" spans="1:13" x14ac:dyDescent="0.25">
      <c r="A7" s="2">
        <v>46189</v>
      </c>
      <c r="B7" s="1" t="str">
        <f ca="1">IF(Información1[[#This Row],[Fecha]]='Ajuste de fechas'!$A$2,"Día actual","Día anterior")</f>
        <v>Día anterior</v>
      </c>
      <c r="C7" s="3" t="s">
        <v>70</v>
      </c>
      <c r="D7" t="s">
        <v>71</v>
      </c>
      <c r="E7" s="3" t="s">
        <v>99</v>
      </c>
      <c r="F7" s="3" t="s">
        <v>12</v>
      </c>
      <c r="G7" s="3" t="s">
        <v>100</v>
      </c>
      <c r="H7" s="3" t="s">
        <v>8</v>
      </c>
      <c r="I7" s="3" t="s">
        <v>7</v>
      </c>
      <c r="J7" s="3" t="s">
        <v>57</v>
      </c>
      <c r="K7" s="3" t="s">
        <v>90</v>
      </c>
      <c r="L7" s="3" t="s">
        <v>24</v>
      </c>
      <c r="M7">
        <v>1</v>
      </c>
    </row>
    <row r="8" spans="1:13" x14ac:dyDescent="0.25">
      <c r="A8" s="2">
        <v>46189</v>
      </c>
      <c r="B8" s="1" t="str">
        <f ca="1">IF(Información1[[#This Row],[Fecha]]='Ajuste de fechas'!$A$2,"Día actual","Día anterior")</f>
        <v>Día anterior</v>
      </c>
      <c r="C8" s="3" t="s">
        <v>70</v>
      </c>
      <c r="D8" t="s">
        <v>71</v>
      </c>
      <c r="E8" s="3" t="s">
        <v>101</v>
      </c>
      <c r="F8" s="3" t="s">
        <v>15</v>
      </c>
      <c r="G8" s="3" t="s">
        <v>82</v>
      </c>
      <c r="H8" s="3" t="s">
        <v>8</v>
      </c>
      <c r="I8" s="3" t="s">
        <v>7</v>
      </c>
      <c r="J8" s="3" t="s">
        <v>57</v>
      </c>
      <c r="K8" s="3" t="s">
        <v>90</v>
      </c>
      <c r="L8" s="3" t="s">
        <v>26</v>
      </c>
      <c r="M8">
        <v>1</v>
      </c>
    </row>
    <row r="9" spans="1:13" x14ac:dyDescent="0.25">
      <c r="A9" s="2">
        <v>46189</v>
      </c>
      <c r="B9" s="1" t="str">
        <f ca="1">IF(Información1[[#This Row],[Fecha]]='Ajuste de fechas'!$A$2,"Día actual","Día anterior")</f>
        <v>Día anterior</v>
      </c>
      <c r="C9" s="3" t="s">
        <v>70</v>
      </c>
      <c r="D9" t="s">
        <v>71</v>
      </c>
      <c r="E9" s="3" t="s">
        <v>102</v>
      </c>
      <c r="F9" s="3" t="s">
        <v>103</v>
      </c>
      <c r="G9" s="3" t="s">
        <v>104</v>
      </c>
      <c r="H9" s="3" t="s">
        <v>8</v>
      </c>
      <c r="I9" s="3" t="s">
        <v>7</v>
      </c>
      <c r="J9" s="3" t="s">
        <v>13</v>
      </c>
      <c r="K9" s="3" t="s">
        <v>90</v>
      </c>
      <c r="L9" s="3" t="s">
        <v>24</v>
      </c>
      <c r="M9">
        <v>1</v>
      </c>
    </row>
    <row r="10" spans="1:13" x14ac:dyDescent="0.25">
      <c r="A10" s="2">
        <v>46189</v>
      </c>
      <c r="B10" s="1" t="str">
        <f ca="1">IF(Información1[[#This Row],[Fecha]]='Ajuste de fechas'!$A$2,"Día actual","Día anterior")</f>
        <v>Día anterior</v>
      </c>
      <c r="C10" s="3" t="s">
        <v>70</v>
      </c>
      <c r="D10" t="s">
        <v>71</v>
      </c>
      <c r="E10" s="3" t="s">
        <v>105</v>
      </c>
      <c r="F10" s="3" t="s">
        <v>15</v>
      </c>
      <c r="G10" s="3" t="s">
        <v>106</v>
      </c>
      <c r="H10" s="3" t="s">
        <v>8</v>
      </c>
      <c r="I10" s="3" t="s">
        <v>7</v>
      </c>
      <c r="J10" s="3" t="s">
        <v>57</v>
      </c>
      <c r="K10" s="3" t="s">
        <v>90</v>
      </c>
      <c r="L10" s="3" t="s">
        <v>24</v>
      </c>
      <c r="M10">
        <v>1</v>
      </c>
    </row>
    <row r="11" spans="1:13" x14ac:dyDescent="0.25">
      <c r="A11" s="2">
        <v>46189</v>
      </c>
      <c r="B11" s="1" t="str">
        <f ca="1">IF(Información1[[#This Row],[Fecha]]='Ajuste de fechas'!$A$2,"Día actual","Día anterior")</f>
        <v>Día anterior</v>
      </c>
      <c r="C11" s="3" t="s">
        <v>70</v>
      </c>
      <c r="D11" t="s">
        <v>71</v>
      </c>
      <c r="E11" s="3" t="s">
        <v>107</v>
      </c>
      <c r="F11" s="3" t="s">
        <v>35</v>
      </c>
      <c r="G11" s="3" t="s">
        <v>108</v>
      </c>
      <c r="H11" s="3" t="s">
        <v>8</v>
      </c>
      <c r="I11" s="3" t="s">
        <v>7</v>
      </c>
      <c r="J11" s="3" t="s">
        <v>57</v>
      </c>
      <c r="K11" s="3" t="s">
        <v>90</v>
      </c>
      <c r="L11" s="3" t="s">
        <v>24</v>
      </c>
      <c r="M11">
        <v>1</v>
      </c>
    </row>
    <row r="12" spans="1:13" x14ac:dyDescent="0.25">
      <c r="A12" s="2">
        <v>46189</v>
      </c>
      <c r="B12" s="1" t="str">
        <f ca="1">IF(Información1[[#This Row],[Fecha]]='Ajuste de fechas'!$A$2,"Día actual","Día anterior")</f>
        <v>Día anterior</v>
      </c>
      <c r="C12" s="3" t="s">
        <v>70</v>
      </c>
      <c r="D12" t="s">
        <v>71</v>
      </c>
      <c r="E12" s="3" t="s">
        <v>109</v>
      </c>
      <c r="F12" s="3" t="s">
        <v>10</v>
      </c>
      <c r="G12" s="3" t="s">
        <v>110</v>
      </c>
      <c r="H12" s="3" t="s">
        <v>8</v>
      </c>
      <c r="I12" s="3" t="s">
        <v>14</v>
      </c>
      <c r="J12" s="3" t="s">
        <v>59</v>
      </c>
      <c r="K12" s="3" t="s">
        <v>90</v>
      </c>
      <c r="L12" s="3" t="s">
        <v>24</v>
      </c>
      <c r="M12">
        <v>1</v>
      </c>
    </row>
    <row r="13" spans="1:13" x14ac:dyDescent="0.25">
      <c r="A13" s="2">
        <v>46189</v>
      </c>
      <c r="B13" s="1" t="str">
        <f ca="1">IF(Información1[[#This Row],[Fecha]]='Ajuste de fechas'!$A$2,"Día actual","Día anterior")</f>
        <v>Día anterior</v>
      </c>
      <c r="C13" s="3" t="s">
        <v>70</v>
      </c>
      <c r="D13" t="s">
        <v>71</v>
      </c>
      <c r="E13" s="3" t="s">
        <v>111</v>
      </c>
      <c r="F13" s="3" t="s">
        <v>10</v>
      </c>
      <c r="G13" s="3" t="s">
        <v>110</v>
      </c>
      <c r="H13" s="3" t="s">
        <v>8</v>
      </c>
      <c r="I13" s="3" t="s">
        <v>14</v>
      </c>
      <c r="J13" s="3" t="s">
        <v>59</v>
      </c>
      <c r="K13" s="3" t="s">
        <v>90</v>
      </c>
      <c r="L13" s="3" t="s">
        <v>24</v>
      </c>
      <c r="M13">
        <v>1</v>
      </c>
    </row>
    <row r="14" spans="1:13" x14ac:dyDescent="0.25">
      <c r="A14" s="2">
        <v>46189</v>
      </c>
      <c r="B14" s="1" t="str">
        <f ca="1">IF(Información1[[#This Row],[Fecha]]='Ajuste de fechas'!$A$2,"Día actual","Día anterior")</f>
        <v>Día anterior</v>
      </c>
      <c r="C14" s="3" t="s">
        <v>70</v>
      </c>
      <c r="D14" t="s">
        <v>71</v>
      </c>
      <c r="E14" s="3" t="s">
        <v>112</v>
      </c>
      <c r="F14" s="3" t="s">
        <v>10</v>
      </c>
      <c r="G14" s="3" t="s">
        <v>113</v>
      </c>
      <c r="H14" s="3" t="s">
        <v>8</v>
      </c>
      <c r="I14" s="3" t="s">
        <v>7</v>
      </c>
      <c r="J14" s="3" t="s">
        <v>59</v>
      </c>
      <c r="K14" s="3" t="s">
        <v>90</v>
      </c>
      <c r="L14" s="3" t="s">
        <v>24</v>
      </c>
      <c r="M14">
        <v>1</v>
      </c>
    </row>
    <row r="15" spans="1:13" x14ac:dyDescent="0.25">
      <c r="A15" s="2">
        <v>46189</v>
      </c>
      <c r="B15" s="1" t="str">
        <f ca="1">IF(Información1[[#This Row],[Fecha]]='Ajuste de fechas'!$A$2,"Día actual","Día anterior")</f>
        <v>Día anterior</v>
      </c>
      <c r="C15" s="3" t="s">
        <v>70</v>
      </c>
      <c r="D15" t="s">
        <v>71</v>
      </c>
      <c r="E15" s="3" t="s">
        <v>114</v>
      </c>
      <c r="F15" s="3" t="s">
        <v>10</v>
      </c>
      <c r="G15" s="3" t="s">
        <v>115</v>
      </c>
      <c r="H15" s="3" t="s">
        <v>8</v>
      </c>
      <c r="I15" s="3" t="s">
        <v>7</v>
      </c>
      <c r="J15" s="3" t="s">
        <v>59</v>
      </c>
      <c r="K15" s="3" t="s">
        <v>116</v>
      </c>
      <c r="L15" s="3" t="s">
        <v>24</v>
      </c>
      <c r="M15">
        <v>1</v>
      </c>
    </row>
    <row r="16" spans="1:13" x14ac:dyDescent="0.25">
      <c r="A16" s="2">
        <v>46189</v>
      </c>
      <c r="B16" s="1" t="str">
        <f ca="1">IF(Información1[[#This Row],[Fecha]]='Ajuste de fechas'!$A$2,"Día actual","Día anterior")</f>
        <v>Día anterior</v>
      </c>
      <c r="C16" s="3" t="s">
        <v>70</v>
      </c>
      <c r="D16" t="s">
        <v>71</v>
      </c>
      <c r="E16" s="3" t="s">
        <v>77</v>
      </c>
      <c r="F16" s="3" t="s">
        <v>10</v>
      </c>
      <c r="G16" s="3" t="s">
        <v>86</v>
      </c>
      <c r="H16" s="3" t="s">
        <v>8</v>
      </c>
      <c r="I16" s="3" t="s">
        <v>7</v>
      </c>
      <c r="J16" s="3" t="s">
        <v>59</v>
      </c>
      <c r="K16" s="3" t="s">
        <v>73</v>
      </c>
      <c r="L16" s="3" t="s">
        <v>24</v>
      </c>
      <c r="M16">
        <v>1</v>
      </c>
    </row>
    <row r="17" spans="1:13" x14ac:dyDescent="0.25">
      <c r="A17" s="2">
        <v>46189</v>
      </c>
      <c r="B17" s="1" t="str">
        <f ca="1">IF(Información1[[#This Row],[Fecha]]='Ajuste de fechas'!$A$2,"Día actual","Día anterior")</f>
        <v>Día anterior</v>
      </c>
      <c r="C17" s="3" t="s">
        <v>70</v>
      </c>
      <c r="D17" t="s">
        <v>71</v>
      </c>
      <c r="E17" s="3" t="s">
        <v>117</v>
      </c>
      <c r="F17" s="3" t="s">
        <v>10</v>
      </c>
      <c r="G17" s="3" t="s">
        <v>118</v>
      </c>
      <c r="H17" s="3" t="s">
        <v>8</v>
      </c>
      <c r="I17" s="3" t="s">
        <v>7</v>
      </c>
      <c r="J17" s="3" t="s">
        <v>59</v>
      </c>
      <c r="K17" s="3" t="s">
        <v>73</v>
      </c>
      <c r="L17" s="3" t="s">
        <v>24</v>
      </c>
      <c r="M17">
        <v>1</v>
      </c>
    </row>
    <row r="18" spans="1:13" x14ac:dyDescent="0.25">
      <c r="A18" s="2">
        <v>46189</v>
      </c>
      <c r="B18" s="1" t="str">
        <f ca="1">IF(Información1[[#This Row],[Fecha]]='Ajuste de fechas'!$A$2,"Día actual","Día anterior")</f>
        <v>Día anterior</v>
      </c>
      <c r="C18" s="3" t="s">
        <v>70</v>
      </c>
      <c r="D18" t="s">
        <v>71</v>
      </c>
      <c r="E18" s="3" t="s">
        <v>119</v>
      </c>
      <c r="F18" s="3" t="s">
        <v>10</v>
      </c>
      <c r="G18" s="3" t="s">
        <v>48</v>
      </c>
      <c r="H18" s="3" t="s">
        <v>8</v>
      </c>
      <c r="I18" s="3" t="s">
        <v>7</v>
      </c>
      <c r="J18" s="3" t="s">
        <v>59</v>
      </c>
      <c r="K18" s="3" t="s">
        <v>73</v>
      </c>
      <c r="L18" s="3" t="s">
        <v>24</v>
      </c>
      <c r="M18">
        <v>1</v>
      </c>
    </row>
    <row r="19" spans="1:13" x14ac:dyDescent="0.25">
      <c r="A19" s="2">
        <v>46189</v>
      </c>
      <c r="B19" s="1" t="str">
        <f ca="1">IF(Información1[[#This Row],[Fecha]]='Ajuste de fechas'!$A$2,"Día actual","Día anterior")</f>
        <v>Día anterior</v>
      </c>
      <c r="C19" s="3" t="s">
        <v>70</v>
      </c>
      <c r="D19" t="s">
        <v>71</v>
      </c>
      <c r="E19" s="3" t="s">
        <v>120</v>
      </c>
      <c r="F19" s="3" t="s">
        <v>41</v>
      </c>
      <c r="G19" s="3" t="s">
        <v>48</v>
      </c>
      <c r="H19" s="3" t="s">
        <v>8</v>
      </c>
      <c r="I19" s="3" t="s">
        <v>7</v>
      </c>
      <c r="J19" s="3" t="s">
        <v>57</v>
      </c>
      <c r="K19" s="3" t="s">
        <v>73</v>
      </c>
      <c r="L19" s="3" t="s">
        <v>24</v>
      </c>
      <c r="M19">
        <v>1</v>
      </c>
    </row>
    <row r="20" spans="1:13" x14ac:dyDescent="0.25">
      <c r="A20" s="2">
        <v>46189</v>
      </c>
      <c r="B20" s="1" t="str">
        <f ca="1">IF(Información1[[#This Row],[Fecha]]='Ajuste de fechas'!$A$2,"Día actual","Día anterior")</f>
        <v>Día anterior</v>
      </c>
      <c r="C20" s="3" t="s">
        <v>70</v>
      </c>
      <c r="D20" t="s">
        <v>71</v>
      </c>
      <c r="E20" s="3" t="s">
        <v>121</v>
      </c>
      <c r="F20" s="3" t="s">
        <v>41</v>
      </c>
      <c r="G20" s="3" t="s">
        <v>55</v>
      </c>
      <c r="H20" s="3" t="s">
        <v>8</v>
      </c>
      <c r="I20" s="3" t="s">
        <v>7</v>
      </c>
      <c r="J20" s="3" t="s">
        <v>57</v>
      </c>
      <c r="K20" s="3" t="s">
        <v>73</v>
      </c>
      <c r="L20" s="3" t="s">
        <v>24</v>
      </c>
      <c r="M20">
        <v>1</v>
      </c>
    </row>
    <row r="21" spans="1:13" x14ac:dyDescent="0.25">
      <c r="A21" s="2">
        <v>46189</v>
      </c>
      <c r="B21" s="1" t="str">
        <f ca="1">IF(Información1[[#This Row],[Fecha]]='Ajuste de fechas'!$A$2,"Día actual","Día anterior")</f>
        <v>Día anterior</v>
      </c>
      <c r="C21" s="3" t="s">
        <v>78</v>
      </c>
      <c r="D21" t="s">
        <v>79</v>
      </c>
      <c r="E21" s="3" t="s">
        <v>122</v>
      </c>
      <c r="F21" s="3" t="s">
        <v>34</v>
      </c>
      <c r="G21" s="3" t="s">
        <v>123</v>
      </c>
      <c r="H21" s="3" t="s">
        <v>69</v>
      </c>
      <c r="I21" s="3" t="s">
        <v>7</v>
      </c>
      <c r="J21" s="3" t="s">
        <v>13</v>
      </c>
      <c r="K21" s="3" t="s">
        <v>81</v>
      </c>
      <c r="L21" s="3" t="s">
        <v>24</v>
      </c>
      <c r="M21">
        <v>1</v>
      </c>
    </row>
    <row r="22" spans="1:13" x14ac:dyDescent="0.25">
      <c r="A22" s="2">
        <v>46189</v>
      </c>
      <c r="B22" s="1" t="str">
        <f ca="1">IF(Información1[[#This Row],[Fecha]]='Ajuste de fechas'!$A$2,"Día actual","Día anterior")</f>
        <v>Día anterior</v>
      </c>
      <c r="C22" s="3" t="s">
        <v>78</v>
      </c>
      <c r="D22" t="s">
        <v>79</v>
      </c>
      <c r="E22" s="3" t="s">
        <v>122</v>
      </c>
      <c r="F22" s="3" t="s">
        <v>10</v>
      </c>
      <c r="G22" s="3" t="s">
        <v>123</v>
      </c>
      <c r="H22" s="3" t="s">
        <v>69</v>
      </c>
      <c r="I22" s="3" t="s">
        <v>7</v>
      </c>
      <c r="J22" s="3" t="s">
        <v>59</v>
      </c>
      <c r="K22" s="3" t="s">
        <v>81</v>
      </c>
      <c r="L22" s="3" t="s">
        <v>24</v>
      </c>
      <c r="M22">
        <v>1</v>
      </c>
    </row>
    <row r="23" spans="1:13" x14ac:dyDescent="0.25">
      <c r="A23" s="2">
        <v>46189</v>
      </c>
      <c r="B23" s="1" t="str">
        <f ca="1">IF(Información1[[#This Row],[Fecha]]='Ajuste de fechas'!$A$2,"Día actual","Día anterior")</f>
        <v>Día anterior</v>
      </c>
      <c r="C23" s="3" t="s">
        <v>78</v>
      </c>
      <c r="D23" t="s">
        <v>79</v>
      </c>
      <c r="E23" s="3" t="s">
        <v>124</v>
      </c>
      <c r="F23" s="3" t="s">
        <v>6</v>
      </c>
      <c r="G23" s="3" t="s">
        <v>74</v>
      </c>
      <c r="H23" s="3" t="s">
        <v>69</v>
      </c>
      <c r="I23" s="3" t="s">
        <v>14</v>
      </c>
      <c r="J23" s="3" t="s">
        <v>57</v>
      </c>
      <c r="K23" s="3" t="s">
        <v>125</v>
      </c>
      <c r="L23" s="3" t="s">
        <v>25</v>
      </c>
      <c r="M23">
        <v>1</v>
      </c>
    </row>
    <row r="24" spans="1:13" x14ac:dyDescent="0.25">
      <c r="A24" s="2">
        <v>46189</v>
      </c>
      <c r="B24" s="1" t="str">
        <f ca="1">IF(Información1[[#This Row],[Fecha]]='Ajuste de fechas'!$A$2,"Día actual","Día anterior")</f>
        <v>Día anterior</v>
      </c>
      <c r="C24" s="3" t="s">
        <v>78</v>
      </c>
      <c r="D24" t="s">
        <v>79</v>
      </c>
      <c r="E24" s="3" t="s">
        <v>126</v>
      </c>
      <c r="F24" s="3" t="s">
        <v>10</v>
      </c>
      <c r="G24" s="3" t="s">
        <v>113</v>
      </c>
      <c r="H24" s="3" t="s">
        <v>69</v>
      </c>
      <c r="I24" s="3" t="s">
        <v>14</v>
      </c>
      <c r="J24" s="3" t="s">
        <v>59</v>
      </c>
      <c r="K24" s="3" t="s">
        <v>125</v>
      </c>
      <c r="L24" s="3" t="s">
        <v>24</v>
      </c>
      <c r="M24">
        <v>1</v>
      </c>
    </row>
    <row r="25" spans="1:13" x14ac:dyDescent="0.25">
      <c r="A25" s="2">
        <v>46189</v>
      </c>
      <c r="B25" s="1" t="str">
        <f ca="1">IF(Información1[[#This Row],[Fecha]]='Ajuste de fechas'!$A$2,"Día actual","Día anterior")</f>
        <v>Día anterior</v>
      </c>
      <c r="C25" s="3" t="s">
        <v>78</v>
      </c>
      <c r="D25" t="s">
        <v>79</v>
      </c>
      <c r="E25" s="3" t="s">
        <v>127</v>
      </c>
      <c r="F25" s="3" t="s">
        <v>128</v>
      </c>
      <c r="G25" s="3" t="s">
        <v>129</v>
      </c>
      <c r="H25" s="3" t="s">
        <v>69</v>
      </c>
      <c r="I25" s="3" t="s">
        <v>14</v>
      </c>
      <c r="J25" s="3" t="s">
        <v>57</v>
      </c>
      <c r="K25" s="3" t="s">
        <v>116</v>
      </c>
      <c r="L25" s="3" t="s">
        <v>25</v>
      </c>
      <c r="M25">
        <v>1</v>
      </c>
    </row>
    <row r="26" spans="1:13" x14ac:dyDescent="0.25">
      <c r="A26" s="2">
        <v>46189</v>
      </c>
      <c r="B26" s="1" t="str">
        <f ca="1">IF(Información1[[#This Row],[Fecha]]='Ajuste de fechas'!$A$2,"Día actual","Día anterior")</f>
        <v>Día anterior</v>
      </c>
      <c r="C26" s="3" t="s">
        <v>78</v>
      </c>
      <c r="D26" t="s">
        <v>79</v>
      </c>
      <c r="E26" s="3" t="s">
        <v>130</v>
      </c>
      <c r="F26" s="3" t="s">
        <v>41</v>
      </c>
      <c r="G26" s="3" t="s">
        <v>131</v>
      </c>
      <c r="H26" s="3" t="s">
        <v>69</v>
      </c>
      <c r="I26" s="3" t="s">
        <v>14</v>
      </c>
      <c r="J26" s="3" t="s">
        <v>57</v>
      </c>
      <c r="K26" s="3" t="s">
        <v>81</v>
      </c>
      <c r="L26" s="3" t="s">
        <v>25</v>
      </c>
      <c r="M26">
        <v>1</v>
      </c>
    </row>
    <row r="27" spans="1:13" x14ac:dyDescent="0.25">
      <c r="A27" s="2">
        <v>46189</v>
      </c>
      <c r="B27" s="1" t="str">
        <f ca="1">IF(Información1[[#This Row],[Fecha]]='Ajuste de fechas'!$A$2,"Día actual","Día anterior")</f>
        <v>Día anterior</v>
      </c>
      <c r="C27" s="3" t="s">
        <v>78</v>
      </c>
      <c r="D27" t="s">
        <v>79</v>
      </c>
      <c r="E27" s="3" t="s">
        <v>132</v>
      </c>
      <c r="F27" s="3" t="s">
        <v>133</v>
      </c>
      <c r="G27" s="3" t="s">
        <v>134</v>
      </c>
      <c r="H27" s="3" t="s">
        <v>69</v>
      </c>
      <c r="I27" s="3" t="s">
        <v>7</v>
      </c>
      <c r="J27" s="3" t="s">
        <v>135</v>
      </c>
      <c r="K27" s="3" t="s">
        <v>81</v>
      </c>
      <c r="L27" s="3" t="s">
        <v>24</v>
      </c>
      <c r="M27">
        <v>1</v>
      </c>
    </row>
    <row r="28" spans="1:13" x14ac:dyDescent="0.25">
      <c r="A28" s="2">
        <v>46189</v>
      </c>
      <c r="B28" s="1" t="str">
        <f ca="1">IF(Información1[[#This Row],[Fecha]]='Ajuste de fechas'!$A$2,"Día actual","Día anterior")</f>
        <v>Día anterior</v>
      </c>
      <c r="C28" s="3" t="s">
        <v>78</v>
      </c>
      <c r="D28" t="s">
        <v>79</v>
      </c>
      <c r="E28" s="3" t="s">
        <v>136</v>
      </c>
      <c r="F28" s="3" t="s">
        <v>9</v>
      </c>
      <c r="G28" s="3" t="s">
        <v>137</v>
      </c>
      <c r="H28" s="3" t="s">
        <v>69</v>
      </c>
      <c r="I28" s="3" t="s">
        <v>14</v>
      </c>
      <c r="J28" s="3" t="s">
        <v>57</v>
      </c>
      <c r="K28" s="3" t="s">
        <v>81</v>
      </c>
      <c r="L28" s="3" t="s">
        <v>25</v>
      </c>
      <c r="M28">
        <v>1</v>
      </c>
    </row>
    <row r="29" spans="1:13" x14ac:dyDescent="0.25">
      <c r="A29" s="2">
        <v>46189</v>
      </c>
      <c r="B29" s="1" t="str">
        <f ca="1">IF(Información1[[#This Row],[Fecha]]='Ajuste de fechas'!$A$2,"Día actual","Día anterior")</f>
        <v>Día anterior</v>
      </c>
      <c r="C29" s="3" t="s">
        <v>78</v>
      </c>
      <c r="D29" t="s">
        <v>79</v>
      </c>
      <c r="E29" s="3" t="s">
        <v>138</v>
      </c>
      <c r="F29" s="3" t="s">
        <v>9</v>
      </c>
      <c r="G29" s="3" t="s">
        <v>139</v>
      </c>
      <c r="H29" s="3" t="s">
        <v>69</v>
      </c>
      <c r="I29" s="3" t="s">
        <v>14</v>
      </c>
      <c r="J29" s="3" t="s">
        <v>57</v>
      </c>
      <c r="K29" s="3" t="s">
        <v>81</v>
      </c>
      <c r="L29" s="3" t="s">
        <v>25</v>
      </c>
      <c r="M29">
        <v>1</v>
      </c>
    </row>
    <row r="30" spans="1:13" x14ac:dyDescent="0.25">
      <c r="A30" s="2">
        <v>46189</v>
      </c>
      <c r="B30" s="1" t="str">
        <f ca="1">IF(Información1[[#This Row],[Fecha]]='Ajuste de fechas'!$A$2,"Día actual","Día anterior")</f>
        <v>Día anterior</v>
      </c>
      <c r="C30" s="3" t="s">
        <v>78</v>
      </c>
      <c r="D30" t="s">
        <v>79</v>
      </c>
      <c r="E30" s="3" t="s">
        <v>140</v>
      </c>
      <c r="F30" s="3" t="s">
        <v>10</v>
      </c>
      <c r="G30" s="3" t="s">
        <v>42</v>
      </c>
      <c r="H30" s="3" t="s">
        <v>69</v>
      </c>
      <c r="I30" s="3" t="s">
        <v>14</v>
      </c>
      <c r="J30" s="3" t="s">
        <v>59</v>
      </c>
      <c r="K30" s="3" t="s">
        <v>116</v>
      </c>
      <c r="L30" s="3" t="s">
        <v>25</v>
      </c>
      <c r="M30">
        <v>1</v>
      </c>
    </row>
    <row r="31" spans="1:13" x14ac:dyDescent="0.25">
      <c r="A31" s="2">
        <v>46189</v>
      </c>
      <c r="B31" s="1" t="str">
        <f ca="1">IF(Información1[[#This Row],[Fecha]]='Ajuste de fechas'!$A$2,"Día actual","Día anterior")</f>
        <v>Día anterior</v>
      </c>
      <c r="C31" s="3" t="s">
        <v>78</v>
      </c>
      <c r="D31" t="s">
        <v>79</v>
      </c>
      <c r="E31" s="3" t="s">
        <v>141</v>
      </c>
      <c r="F31" s="3" t="s">
        <v>10</v>
      </c>
      <c r="G31" s="3" t="s">
        <v>142</v>
      </c>
      <c r="H31" s="3" t="s">
        <v>69</v>
      </c>
      <c r="I31" s="3" t="s">
        <v>7</v>
      </c>
      <c r="J31" s="3" t="s">
        <v>59</v>
      </c>
      <c r="K31" s="3" t="s">
        <v>81</v>
      </c>
      <c r="L31" s="3" t="s">
        <v>24</v>
      </c>
      <c r="M31">
        <v>1</v>
      </c>
    </row>
    <row r="32" spans="1:13" x14ac:dyDescent="0.25">
      <c r="A32" s="2">
        <v>46189</v>
      </c>
      <c r="B32" s="1" t="str">
        <f ca="1">IF(Información1[[#This Row],[Fecha]]='Ajuste de fechas'!$A$2,"Día actual","Día anterior")</f>
        <v>Día anterior</v>
      </c>
      <c r="C32" s="3" t="s">
        <v>78</v>
      </c>
      <c r="D32" t="s">
        <v>79</v>
      </c>
      <c r="E32" s="3" t="s">
        <v>143</v>
      </c>
      <c r="F32" s="3" t="s">
        <v>9</v>
      </c>
      <c r="G32" s="3" t="s">
        <v>78</v>
      </c>
      <c r="H32" s="3" t="s">
        <v>69</v>
      </c>
      <c r="I32" s="3" t="s">
        <v>14</v>
      </c>
      <c r="J32" s="3" t="s">
        <v>57</v>
      </c>
      <c r="K32" s="3" t="s">
        <v>81</v>
      </c>
      <c r="L32" s="3" t="s">
        <v>25</v>
      </c>
      <c r="M32">
        <v>1</v>
      </c>
    </row>
    <row r="33" spans="1:13" x14ac:dyDescent="0.25">
      <c r="A33" s="2">
        <v>46189</v>
      </c>
      <c r="B33" s="1" t="str">
        <f ca="1">IF(Información1[[#This Row],[Fecha]]='Ajuste de fechas'!$A$2,"Día actual","Día anterior")</f>
        <v>Día anterior</v>
      </c>
      <c r="C33" s="3" t="s">
        <v>78</v>
      </c>
      <c r="D33" t="s">
        <v>79</v>
      </c>
      <c r="E33" s="3" t="s">
        <v>144</v>
      </c>
      <c r="F33" s="3" t="s">
        <v>9</v>
      </c>
      <c r="G33" s="3" t="s">
        <v>85</v>
      </c>
      <c r="H33" s="3" t="s">
        <v>69</v>
      </c>
      <c r="I33" s="3" t="s">
        <v>14</v>
      </c>
      <c r="J33" s="3" t="s">
        <v>57</v>
      </c>
      <c r="K33" s="3" t="s">
        <v>81</v>
      </c>
      <c r="L33" s="3" t="s">
        <v>25</v>
      </c>
      <c r="M33">
        <v>1</v>
      </c>
    </row>
    <row r="34" spans="1:13" x14ac:dyDescent="0.25">
      <c r="A34" s="2">
        <v>46189</v>
      </c>
      <c r="B34" s="1" t="str">
        <f ca="1">IF(Información1[[#This Row],[Fecha]]='Ajuste de fechas'!$A$2,"Día actual","Día anterior")</f>
        <v>Día anterior</v>
      </c>
      <c r="C34" s="3" t="s">
        <v>78</v>
      </c>
      <c r="D34" t="s">
        <v>79</v>
      </c>
      <c r="E34" s="3" t="s">
        <v>145</v>
      </c>
      <c r="F34" s="3" t="s">
        <v>76</v>
      </c>
      <c r="G34" s="3" t="s">
        <v>146</v>
      </c>
      <c r="H34" s="3" t="s">
        <v>69</v>
      </c>
      <c r="I34" s="3" t="s">
        <v>7</v>
      </c>
      <c r="J34" s="3" t="s">
        <v>57</v>
      </c>
      <c r="K34" s="3" t="s">
        <v>81</v>
      </c>
      <c r="L34" s="3" t="s">
        <v>24</v>
      </c>
      <c r="M34">
        <v>1</v>
      </c>
    </row>
    <row r="35" spans="1:13" x14ac:dyDescent="0.25">
      <c r="A35" s="2">
        <v>46189</v>
      </c>
      <c r="B35" s="1" t="str">
        <f ca="1">IF(Información1[[#This Row],[Fecha]]='Ajuste de fechas'!$A$2,"Día actual","Día anterior")</f>
        <v>Día anterior</v>
      </c>
      <c r="C35" s="3" t="s">
        <v>78</v>
      </c>
      <c r="D35" t="s">
        <v>79</v>
      </c>
      <c r="E35" s="3" t="s">
        <v>147</v>
      </c>
      <c r="F35" s="3" t="s">
        <v>9</v>
      </c>
      <c r="G35" s="3" t="s">
        <v>43</v>
      </c>
      <c r="H35" s="3" t="s">
        <v>69</v>
      </c>
      <c r="I35" s="3" t="s">
        <v>7</v>
      </c>
      <c r="J35" s="3" t="s">
        <v>57</v>
      </c>
      <c r="K35" s="3" t="s">
        <v>81</v>
      </c>
      <c r="L35" s="3" t="s">
        <v>24</v>
      </c>
      <c r="M35">
        <v>1</v>
      </c>
    </row>
    <row r="36" spans="1:13" x14ac:dyDescent="0.25">
      <c r="A36" s="2">
        <v>46189</v>
      </c>
      <c r="B36" s="1" t="str">
        <f ca="1">IF(Información1[[#This Row],[Fecha]]='Ajuste de fechas'!$A$2,"Día actual","Día anterior")</f>
        <v>Día anterior</v>
      </c>
      <c r="C36" s="3" t="s">
        <v>78</v>
      </c>
      <c r="D36" t="s">
        <v>79</v>
      </c>
      <c r="E36" s="3" t="s">
        <v>148</v>
      </c>
      <c r="F36" s="3" t="s">
        <v>15</v>
      </c>
      <c r="G36" s="3" t="s">
        <v>149</v>
      </c>
      <c r="H36" s="3" t="s">
        <v>69</v>
      </c>
      <c r="I36" s="3" t="s">
        <v>7</v>
      </c>
      <c r="J36" s="3" t="s">
        <v>57</v>
      </c>
      <c r="K36" s="3" t="s">
        <v>81</v>
      </c>
      <c r="L36" s="3" t="s">
        <v>26</v>
      </c>
      <c r="M36">
        <v>1</v>
      </c>
    </row>
    <row r="37" spans="1:13" x14ac:dyDescent="0.25">
      <c r="A37" s="2">
        <v>46189</v>
      </c>
      <c r="B37" s="1" t="str">
        <f ca="1">IF(Información1[[#This Row],[Fecha]]='Ajuste de fechas'!$A$2,"Día actual","Día anterior")</f>
        <v>Día anterior</v>
      </c>
      <c r="C37" s="3" t="s">
        <v>78</v>
      </c>
      <c r="D37" t="s">
        <v>79</v>
      </c>
      <c r="E37" s="3" t="s">
        <v>150</v>
      </c>
      <c r="F37" s="3" t="s">
        <v>34</v>
      </c>
      <c r="G37" s="3" t="s">
        <v>151</v>
      </c>
      <c r="H37" s="3" t="s">
        <v>69</v>
      </c>
      <c r="I37" s="3" t="s">
        <v>7</v>
      </c>
      <c r="J37" s="3" t="s">
        <v>13</v>
      </c>
      <c r="K37" s="3" t="s">
        <v>81</v>
      </c>
      <c r="L37" s="3" t="s">
        <v>24</v>
      </c>
      <c r="M37">
        <v>1</v>
      </c>
    </row>
    <row r="38" spans="1:13" x14ac:dyDescent="0.25">
      <c r="A38" s="2">
        <v>46189</v>
      </c>
      <c r="B38" s="1" t="str">
        <f ca="1">IF(Información1[[#This Row],[Fecha]]='Ajuste de fechas'!$A$2,"Día actual","Día anterior")</f>
        <v>Día anterior</v>
      </c>
      <c r="C38" s="3" t="s">
        <v>78</v>
      </c>
      <c r="D38" t="s">
        <v>79</v>
      </c>
      <c r="E38" s="3" t="s">
        <v>101</v>
      </c>
      <c r="F38" s="3" t="s">
        <v>15</v>
      </c>
      <c r="G38" s="3" t="s">
        <v>152</v>
      </c>
      <c r="H38" s="3" t="s">
        <v>69</v>
      </c>
      <c r="I38" s="3" t="s">
        <v>7</v>
      </c>
      <c r="J38" s="3" t="s">
        <v>57</v>
      </c>
      <c r="K38" s="3" t="s">
        <v>81</v>
      </c>
      <c r="L38" s="3" t="s">
        <v>26</v>
      </c>
      <c r="M38">
        <v>1</v>
      </c>
    </row>
    <row r="39" spans="1:13" x14ac:dyDescent="0.25">
      <c r="A39" s="2">
        <v>46189</v>
      </c>
      <c r="B39" s="1" t="str">
        <f ca="1">IF(Información1[[#This Row],[Fecha]]='Ajuste de fechas'!$A$2,"Día actual","Día anterior")</f>
        <v>Día anterior</v>
      </c>
      <c r="C39" s="3" t="s">
        <v>49</v>
      </c>
      <c r="D39" t="s">
        <v>51</v>
      </c>
      <c r="E39" s="3" t="s">
        <v>153</v>
      </c>
      <c r="F39" s="3" t="s">
        <v>72</v>
      </c>
      <c r="G39" s="3" t="s">
        <v>154</v>
      </c>
      <c r="H39" s="3" t="s">
        <v>8</v>
      </c>
      <c r="I39" s="3" t="s">
        <v>7</v>
      </c>
      <c r="J39" s="3" t="s">
        <v>57</v>
      </c>
      <c r="K39" s="3" t="s">
        <v>50</v>
      </c>
      <c r="L39" s="3" t="s">
        <v>26</v>
      </c>
      <c r="M39">
        <v>1</v>
      </c>
    </row>
    <row r="40" spans="1:13" x14ac:dyDescent="0.25">
      <c r="A40" s="2">
        <v>46189</v>
      </c>
      <c r="B40" s="1" t="str">
        <f ca="1">IF(Información1[[#This Row],[Fecha]]='Ajuste de fechas'!$A$2,"Día actual","Día anterior")</f>
        <v>Día anterior</v>
      </c>
      <c r="C40" s="3" t="s">
        <v>31</v>
      </c>
      <c r="D40" t="s">
        <v>36</v>
      </c>
      <c r="E40" s="3" t="s">
        <v>155</v>
      </c>
      <c r="F40" s="3" t="s">
        <v>11</v>
      </c>
      <c r="G40" s="3" t="s">
        <v>54</v>
      </c>
      <c r="H40" s="3" t="s">
        <v>8</v>
      </c>
      <c r="I40" s="3" t="s">
        <v>7</v>
      </c>
      <c r="J40" s="3" t="s">
        <v>58</v>
      </c>
      <c r="K40" s="3" t="s">
        <v>32</v>
      </c>
      <c r="L40" s="3" t="s">
        <v>24</v>
      </c>
      <c r="M40">
        <v>1</v>
      </c>
    </row>
    <row r="41" spans="1:13" x14ac:dyDescent="0.25">
      <c r="A41" s="2">
        <v>46189</v>
      </c>
      <c r="B41" s="1" t="str">
        <f ca="1">IF(Información1[[#This Row],[Fecha]]='Ajuste de fechas'!$A$2,"Día actual","Día anterior")</f>
        <v>Día anterior</v>
      </c>
      <c r="C41" s="3" t="s">
        <v>31</v>
      </c>
      <c r="D41" t="s">
        <v>36</v>
      </c>
      <c r="E41" s="3" t="s">
        <v>156</v>
      </c>
      <c r="F41" s="3" t="s">
        <v>128</v>
      </c>
      <c r="G41" s="3" t="s">
        <v>157</v>
      </c>
      <c r="H41" s="3" t="s">
        <v>8</v>
      </c>
      <c r="I41" s="3" t="s">
        <v>7</v>
      </c>
      <c r="J41" s="3" t="s">
        <v>57</v>
      </c>
      <c r="K41" s="3" t="s">
        <v>116</v>
      </c>
      <c r="L41" s="3" t="s">
        <v>25</v>
      </c>
      <c r="M41">
        <v>1</v>
      </c>
    </row>
    <row r="42" spans="1:13" x14ac:dyDescent="0.25">
      <c r="A42" s="2">
        <v>46189</v>
      </c>
      <c r="B42" s="1" t="str">
        <f ca="1">IF(Información1[[#This Row],[Fecha]]='Ajuste de fechas'!$A$2,"Día actual","Día anterior")</f>
        <v>Día anterior</v>
      </c>
      <c r="C42" s="3" t="s">
        <v>31</v>
      </c>
      <c r="D42" t="s">
        <v>36</v>
      </c>
      <c r="E42" s="3" t="s">
        <v>158</v>
      </c>
      <c r="F42" s="3" t="s">
        <v>128</v>
      </c>
      <c r="G42" s="3" t="s">
        <v>157</v>
      </c>
      <c r="H42" s="3" t="s">
        <v>8</v>
      </c>
      <c r="I42" s="3" t="s">
        <v>7</v>
      </c>
      <c r="J42" s="3" t="s">
        <v>57</v>
      </c>
      <c r="K42" s="3" t="s">
        <v>116</v>
      </c>
      <c r="L42" s="3" t="s">
        <v>25</v>
      </c>
      <c r="M42">
        <v>1</v>
      </c>
    </row>
    <row r="43" spans="1:13" x14ac:dyDescent="0.25">
      <c r="A43" s="2">
        <v>46189</v>
      </c>
      <c r="B43" s="1" t="str">
        <f ca="1">IF(Información1[[#This Row],[Fecha]]='Ajuste de fechas'!$A$2,"Día actual","Día anterior")</f>
        <v>Día anterior</v>
      </c>
      <c r="C43" s="3" t="s">
        <v>38</v>
      </c>
      <c r="D43" t="s">
        <v>39</v>
      </c>
      <c r="E43" s="3" t="s">
        <v>159</v>
      </c>
      <c r="F43" s="3" t="s">
        <v>11</v>
      </c>
      <c r="G43" s="3" t="s">
        <v>133</v>
      </c>
      <c r="H43" s="3" t="s">
        <v>8</v>
      </c>
      <c r="I43" s="3" t="s">
        <v>7</v>
      </c>
      <c r="J43" s="3" t="s">
        <v>58</v>
      </c>
      <c r="K43" s="3" t="s">
        <v>40</v>
      </c>
      <c r="L43" s="3" t="s">
        <v>24</v>
      </c>
      <c r="M43">
        <v>1</v>
      </c>
    </row>
    <row r="44" spans="1:13" x14ac:dyDescent="0.25">
      <c r="A44" s="2">
        <v>46189</v>
      </c>
      <c r="B44" s="1" t="str">
        <f ca="1">IF(Información1[[#This Row],[Fecha]]='Ajuste de fechas'!$A$2,"Día actual","Día anterior")</f>
        <v>Día anterior</v>
      </c>
      <c r="C44" s="3" t="s">
        <v>38</v>
      </c>
      <c r="D44" t="s">
        <v>39</v>
      </c>
      <c r="E44" s="3" t="s">
        <v>60</v>
      </c>
      <c r="F44" s="3" t="s">
        <v>11</v>
      </c>
      <c r="G44" s="3" t="s">
        <v>61</v>
      </c>
      <c r="H44" s="3" t="s">
        <v>8</v>
      </c>
      <c r="I44" s="3" t="s">
        <v>7</v>
      </c>
      <c r="J44" s="3" t="s">
        <v>58</v>
      </c>
      <c r="K44" s="3" t="s">
        <v>40</v>
      </c>
      <c r="L44" s="3" t="s">
        <v>24</v>
      </c>
      <c r="M44">
        <v>1</v>
      </c>
    </row>
    <row r="45" spans="1:13" x14ac:dyDescent="0.25">
      <c r="A45" s="2">
        <v>46189</v>
      </c>
      <c r="B45" s="1" t="str">
        <f ca="1">IF(Información1[[#This Row],[Fecha]]='Ajuste de fechas'!$A$2,"Día actual","Día anterior")</f>
        <v>Día anterior</v>
      </c>
      <c r="C45" s="3" t="s">
        <v>38</v>
      </c>
      <c r="D45" t="s">
        <v>39</v>
      </c>
      <c r="E45" s="3" t="s">
        <v>160</v>
      </c>
      <c r="F45" s="3" t="s">
        <v>10</v>
      </c>
      <c r="G45" s="3" t="s">
        <v>161</v>
      </c>
      <c r="H45" s="3" t="s">
        <v>8</v>
      </c>
      <c r="I45" s="3" t="s">
        <v>14</v>
      </c>
      <c r="J45" s="3" t="s">
        <v>59</v>
      </c>
      <c r="K45" s="3" t="s">
        <v>40</v>
      </c>
      <c r="L45" s="3" t="s">
        <v>24</v>
      </c>
      <c r="M45">
        <v>1</v>
      </c>
    </row>
    <row r="46" spans="1:13" x14ac:dyDescent="0.25">
      <c r="A46" s="2">
        <v>46189</v>
      </c>
      <c r="B46" s="1" t="str">
        <f ca="1">IF(Información1[[#This Row],[Fecha]]='Ajuste de fechas'!$A$2,"Día actual","Día anterior")</f>
        <v>Día anterior</v>
      </c>
      <c r="C46" s="3" t="s">
        <v>38</v>
      </c>
      <c r="D46" t="s">
        <v>39</v>
      </c>
      <c r="E46" s="3" t="s">
        <v>162</v>
      </c>
      <c r="F46" s="3" t="s">
        <v>15</v>
      </c>
      <c r="G46" s="3" t="s">
        <v>133</v>
      </c>
      <c r="H46" s="3" t="s">
        <v>8</v>
      </c>
      <c r="I46" s="3" t="s">
        <v>7</v>
      </c>
      <c r="J46" s="3" t="s">
        <v>57</v>
      </c>
      <c r="K46" s="3" t="s">
        <v>40</v>
      </c>
      <c r="L46" s="3" t="s">
        <v>25</v>
      </c>
      <c r="M46">
        <v>1</v>
      </c>
    </row>
    <row r="47" spans="1:13" x14ac:dyDescent="0.25">
      <c r="A47" s="2">
        <v>46189</v>
      </c>
      <c r="B47" s="1" t="str">
        <f ca="1">IF(Información1[[#This Row],[Fecha]]='Ajuste de fechas'!$A$2,"Día actual","Día anterior")</f>
        <v>Día anterior</v>
      </c>
      <c r="C47" s="3" t="s">
        <v>38</v>
      </c>
      <c r="D47" t="s">
        <v>39</v>
      </c>
      <c r="E47" s="3" t="s">
        <v>163</v>
      </c>
      <c r="F47" s="3" t="s">
        <v>41</v>
      </c>
      <c r="G47" s="3" t="s">
        <v>48</v>
      </c>
      <c r="H47" s="3" t="s">
        <v>8</v>
      </c>
      <c r="I47" s="3" t="s">
        <v>7</v>
      </c>
      <c r="J47" s="3" t="s">
        <v>57</v>
      </c>
      <c r="K47" s="3" t="s">
        <v>40</v>
      </c>
      <c r="L47" s="3" t="s">
        <v>26</v>
      </c>
      <c r="M47">
        <v>1</v>
      </c>
    </row>
    <row r="48" spans="1:13" x14ac:dyDescent="0.25">
      <c r="A48" s="2">
        <v>46189</v>
      </c>
      <c r="B48" s="1" t="str">
        <f ca="1">IF(Información1[[#This Row],[Fecha]]='Ajuste de fechas'!$A$2,"Día actual","Día anterior")</f>
        <v>Día anterior</v>
      </c>
      <c r="C48" s="3" t="s">
        <v>38</v>
      </c>
      <c r="D48" t="s">
        <v>39</v>
      </c>
      <c r="E48" s="3" t="s">
        <v>164</v>
      </c>
      <c r="F48" s="3" t="s">
        <v>44</v>
      </c>
      <c r="G48" s="3" t="s">
        <v>165</v>
      </c>
      <c r="H48" s="3" t="s">
        <v>8</v>
      </c>
      <c r="I48" s="3" t="s">
        <v>7</v>
      </c>
      <c r="J48" s="3" t="s">
        <v>57</v>
      </c>
      <c r="K48" s="3" t="s">
        <v>40</v>
      </c>
      <c r="L48" s="3" t="s">
        <v>26</v>
      </c>
      <c r="M48">
        <v>1</v>
      </c>
    </row>
    <row r="49" spans="1:13" x14ac:dyDescent="0.25">
      <c r="A49" s="2">
        <v>46189</v>
      </c>
      <c r="B49" s="1" t="str">
        <f ca="1">IF(Información1[[#This Row],[Fecha]]='Ajuste de fechas'!$A$2,"Día actual","Día anterior")</f>
        <v>Día anterior</v>
      </c>
      <c r="C49" s="3" t="s">
        <v>38</v>
      </c>
      <c r="D49" t="s">
        <v>39</v>
      </c>
      <c r="E49" s="3" t="s">
        <v>166</v>
      </c>
      <c r="F49" s="3" t="s">
        <v>15</v>
      </c>
      <c r="G49" s="3" t="s">
        <v>82</v>
      </c>
      <c r="H49" s="3" t="s">
        <v>8</v>
      </c>
      <c r="I49" s="3" t="s">
        <v>7</v>
      </c>
      <c r="J49" s="3" t="s">
        <v>57</v>
      </c>
      <c r="K49" s="3" t="s">
        <v>40</v>
      </c>
      <c r="L49" s="3" t="s">
        <v>26</v>
      </c>
      <c r="M49">
        <v>1</v>
      </c>
    </row>
    <row r="50" spans="1:13" x14ac:dyDescent="0.25">
      <c r="A50" s="2">
        <v>46189</v>
      </c>
      <c r="B50" s="1" t="str">
        <f ca="1">IF(Información1[[#This Row],[Fecha]]='Ajuste de fechas'!$A$2,"Día actual","Día anterior")</f>
        <v>Día anterior</v>
      </c>
      <c r="C50" s="3" t="s">
        <v>38</v>
      </c>
      <c r="D50" t="s">
        <v>39</v>
      </c>
      <c r="E50" s="3" t="s">
        <v>167</v>
      </c>
      <c r="F50" s="3" t="s">
        <v>12</v>
      </c>
      <c r="G50" s="3" t="s">
        <v>168</v>
      </c>
      <c r="H50" s="3" t="s">
        <v>8</v>
      </c>
      <c r="I50" s="3" t="s">
        <v>7</v>
      </c>
      <c r="J50" s="3" t="s">
        <v>57</v>
      </c>
      <c r="K50" s="3" t="s">
        <v>40</v>
      </c>
      <c r="L50" s="3" t="s">
        <v>26</v>
      </c>
      <c r="M50">
        <v>1</v>
      </c>
    </row>
    <row r="51" spans="1:13" x14ac:dyDescent="0.25">
      <c r="A51" s="2">
        <v>46189</v>
      </c>
      <c r="B51" s="1" t="str">
        <f ca="1">IF(Información1[[#This Row],[Fecha]]='Ajuste de fechas'!$A$2,"Día actual","Día anterior")</f>
        <v>Día anterior</v>
      </c>
      <c r="C51" s="3" t="s">
        <v>16</v>
      </c>
      <c r="D51" t="s">
        <v>53</v>
      </c>
      <c r="E51" s="3" t="s">
        <v>169</v>
      </c>
      <c r="F51" s="3" t="s">
        <v>12</v>
      </c>
      <c r="G51" s="3" t="s">
        <v>62</v>
      </c>
      <c r="H51" s="3" t="s">
        <v>8</v>
      </c>
      <c r="I51" s="3" t="s">
        <v>7</v>
      </c>
      <c r="J51" s="3" t="s">
        <v>57</v>
      </c>
      <c r="K51" s="3" t="s">
        <v>52</v>
      </c>
      <c r="L51" s="3" t="s">
        <v>24</v>
      </c>
      <c r="M51">
        <v>1</v>
      </c>
    </row>
    <row r="52" spans="1:13" x14ac:dyDescent="0.25">
      <c r="A52" s="2">
        <v>46189</v>
      </c>
      <c r="B52" s="1" t="str">
        <f ca="1">IF(Información1[[#This Row],[Fecha]]='Ajuste de fechas'!$A$2,"Día actual","Día anterior")</f>
        <v>Día anterior</v>
      </c>
      <c r="C52" s="3" t="s">
        <v>16</v>
      </c>
      <c r="D52" t="s">
        <v>53</v>
      </c>
      <c r="E52" s="3" t="s">
        <v>170</v>
      </c>
      <c r="F52" s="3" t="s">
        <v>12</v>
      </c>
      <c r="G52" s="3" t="s">
        <v>168</v>
      </c>
      <c r="H52" s="3" t="s">
        <v>8</v>
      </c>
      <c r="I52" s="3" t="s">
        <v>7</v>
      </c>
      <c r="J52" s="3" t="s">
        <v>57</v>
      </c>
      <c r="K52" s="3" t="s">
        <v>52</v>
      </c>
      <c r="L52" s="3" t="s">
        <v>24</v>
      </c>
      <c r="M52">
        <v>1</v>
      </c>
    </row>
    <row r="53" spans="1:13" x14ac:dyDescent="0.25">
      <c r="A53" s="2">
        <v>46189</v>
      </c>
      <c r="B53" s="1" t="str">
        <f ca="1">IF(Información1[[#This Row],[Fecha]]='Ajuste de fechas'!$A$2,"Día actual","Día anterior")</f>
        <v>Día anterior</v>
      </c>
      <c r="C53" s="3" t="s">
        <v>16</v>
      </c>
      <c r="D53" t="s">
        <v>53</v>
      </c>
      <c r="E53" s="3" t="s">
        <v>171</v>
      </c>
      <c r="F53" s="3" t="s">
        <v>9</v>
      </c>
      <c r="G53" s="3" t="s">
        <v>48</v>
      </c>
      <c r="H53" s="3" t="s">
        <v>8</v>
      </c>
      <c r="I53" s="3" t="s">
        <v>7</v>
      </c>
      <c r="J53" s="3" t="s">
        <v>57</v>
      </c>
      <c r="K53" s="3" t="s">
        <v>52</v>
      </c>
      <c r="L53" s="3" t="s">
        <v>24</v>
      </c>
      <c r="M53">
        <v>1</v>
      </c>
    </row>
    <row r="54" spans="1:13" x14ac:dyDescent="0.25">
      <c r="A54" s="2">
        <v>46189</v>
      </c>
      <c r="B54" s="1" t="str">
        <f ca="1">IF(Información1[[#This Row],[Fecha]]='Ajuste de fechas'!$A$2,"Día actual","Día anterior")</f>
        <v>Día anterior</v>
      </c>
      <c r="C54" s="3" t="s">
        <v>16</v>
      </c>
      <c r="D54" t="s">
        <v>53</v>
      </c>
      <c r="E54" s="3" t="s">
        <v>172</v>
      </c>
      <c r="F54" s="3" t="s">
        <v>11</v>
      </c>
      <c r="G54" s="3" t="s">
        <v>55</v>
      </c>
      <c r="H54" s="3" t="s">
        <v>8</v>
      </c>
      <c r="I54" s="3" t="s">
        <v>7</v>
      </c>
      <c r="J54" s="3" t="s">
        <v>58</v>
      </c>
      <c r="K54" s="3" t="s">
        <v>52</v>
      </c>
      <c r="L54" s="3" t="s">
        <v>24</v>
      </c>
      <c r="M54">
        <v>1</v>
      </c>
    </row>
    <row r="55" spans="1:13" x14ac:dyDescent="0.25">
      <c r="A55" s="2">
        <v>46189</v>
      </c>
      <c r="B55" s="1" t="str">
        <f ca="1">IF(Información1[[#This Row],[Fecha]]='Ajuste de fechas'!$A$2,"Día actual","Día anterior")</f>
        <v>Día anterior</v>
      </c>
      <c r="C55" s="3" t="s">
        <v>16</v>
      </c>
      <c r="D55" t="s">
        <v>53</v>
      </c>
      <c r="E55" s="3" t="s">
        <v>173</v>
      </c>
      <c r="F55" s="3" t="s">
        <v>66</v>
      </c>
      <c r="G55" s="3" t="s">
        <v>89</v>
      </c>
      <c r="H55" s="3" t="s">
        <v>8</v>
      </c>
      <c r="I55" s="3" t="s">
        <v>7</v>
      </c>
      <c r="J55" s="3" t="s">
        <v>57</v>
      </c>
      <c r="K55" s="3" t="s">
        <v>52</v>
      </c>
      <c r="L55" s="3" t="s">
        <v>24</v>
      </c>
      <c r="M55">
        <v>1</v>
      </c>
    </row>
    <row r="56" spans="1:13" x14ac:dyDescent="0.25">
      <c r="A56" s="2">
        <v>46189</v>
      </c>
      <c r="B56" s="1" t="str">
        <f ca="1">IF(Información1[[#This Row],[Fecha]]='Ajuste de fechas'!$A$2,"Día actual","Día anterior")</f>
        <v>Día anterior</v>
      </c>
      <c r="C56" s="3" t="s">
        <v>16</v>
      </c>
      <c r="D56" t="s">
        <v>53</v>
      </c>
      <c r="E56" s="3" t="s">
        <v>174</v>
      </c>
      <c r="F56" s="3" t="s">
        <v>10</v>
      </c>
      <c r="G56" s="3" t="s">
        <v>113</v>
      </c>
      <c r="H56" s="3" t="s">
        <v>8</v>
      </c>
      <c r="I56" s="3" t="s">
        <v>14</v>
      </c>
      <c r="J56" s="3" t="s">
        <v>59</v>
      </c>
      <c r="K56" s="3" t="s">
        <v>52</v>
      </c>
      <c r="L56" s="3" t="s">
        <v>24</v>
      </c>
      <c r="M56">
        <v>1</v>
      </c>
    </row>
    <row r="57" spans="1:13" x14ac:dyDescent="0.25">
      <c r="A57" s="2">
        <v>46189</v>
      </c>
      <c r="B57" s="1" t="str">
        <f ca="1">IF(Información1[[#This Row],[Fecha]]='Ajuste de fechas'!$A$2,"Día actual","Día anterior")</f>
        <v>Día anterior</v>
      </c>
      <c r="C57" s="3" t="s">
        <v>16</v>
      </c>
      <c r="D57" t="s">
        <v>53</v>
      </c>
      <c r="E57" s="3" t="s">
        <v>175</v>
      </c>
      <c r="F57" s="3" t="s">
        <v>15</v>
      </c>
      <c r="G57" s="3" t="s">
        <v>82</v>
      </c>
      <c r="H57" s="3" t="s">
        <v>8</v>
      </c>
      <c r="I57" s="3" t="s">
        <v>7</v>
      </c>
      <c r="J57" s="3" t="s">
        <v>57</v>
      </c>
      <c r="K57" s="3" t="s">
        <v>52</v>
      </c>
      <c r="L57" s="3" t="s">
        <v>24</v>
      </c>
      <c r="M57">
        <v>1</v>
      </c>
    </row>
    <row r="58" spans="1:13" x14ac:dyDescent="0.25">
      <c r="A58" s="2">
        <v>46189</v>
      </c>
      <c r="B58" s="1" t="str">
        <f ca="1">IF(Información1[[#This Row],[Fecha]]='Ajuste de fechas'!$A$2,"Día actual","Día anterior")</f>
        <v>Día anterior</v>
      </c>
      <c r="C58" s="3" t="s">
        <v>16</v>
      </c>
      <c r="D58" t="s">
        <v>53</v>
      </c>
      <c r="E58" s="3" t="s">
        <v>176</v>
      </c>
      <c r="F58" s="3" t="s">
        <v>15</v>
      </c>
      <c r="G58" s="3" t="s">
        <v>149</v>
      </c>
      <c r="H58" s="3" t="s">
        <v>8</v>
      </c>
      <c r="I58" s="3" t="s">
        <v>7</v>
      </c>
      <c r="J58" s="3" t="s">
        <v>57</v>
      </c>
      <c r="K58" s="3" t="s">
        <v>52</v>
      </c>
      <c r="L58" s="3" t="s">
        <v>24</v>
      </c>
      <c r="M58">
        <v>1</v>
      </c>
    </row>
    <row r="59" spans="1:13" x14ac:dyDescent="0.25">
      <c r="A59" s="2">
        <v>46189</v>
      </c>
      <c r="B59" s="1" t="str">
        <f ca="1">IF(Información1[[#This Row],[Fecha]]='Ajuste de fechas'!$A$2,"Día actual","Día anterior")</f>
        <v>Día anterior</v>
      </c>
      <c r="C59" s="3" t="s">
        <v>16</v>
      </c>
      <c r="D59" t="s">
        <v>53</v>
      </c>
      <c r="E59" s="3" t="s">
        <v>177</v>
      </c>
      <c r="F59" s="3" t="s">
        <v>15</v>
      </c>
      <c r="G59" s="3" t="s">
        <v>178</v>
      </c>
      <c r="H59" s="3" t="s">
        <v>8</v>
      </c>
      <c r="I59" s="3" t="s">
        <v>7</v>
      </c>
      <c r="J59" s="3" t="s">
        <v>57</v>
      </c>
      <c r="K59" s="3" t="s">
        <v>52</v>
      </c>
      <c r="L59" s="3" t="s">
        <v>24</v>
      </c>
      <c r="M59">
        <v>1</v>
      </c>
    </row>
    <row r="60" spans="1:13" x14ac:dyDescent="0.25">
      <c r="A60" s="2">
        <v>46189</v>
      </c>
      <c r="B60" s="1" t="str">
        <f ca="1">IF(Información1[[#This Row],[Fecha]]='Ajuste de fechas'!$A$2,"Día actual","Día anterior")</f>
        <v>Día anterior</v>
      </c>
      <c r="C60" s="3" t="s">
        <v>16</v>
      </c>
      <c r="D60" t="s">
        <v>53</v>
      </c>
      <c r="E60" s="3" t="s">
        <v>179</v>
      </c>
      <c r="F60" s="3" t="s">
        <v>15</v>
      </c>
      <c r="G60" s="3" t="s">
        <v>133</v>
      </c>
      <c r="H60" s="3" t="s">
        <v>8</v>
      </c>
      <c r="I60" s="3" t="s">
        <v>7</v>
      </c>
      <c r="J60" s="3" t="s">
        <v>57</v>
      </c>
      <c r="K60" s="3" t="s">
        <v>52</v>
      </c>
      <c r="L60" s="3" t="s">
        <v>24</v>
      </c>
      <c r="M60">
        <v>1</v>
      </c>
    </row>
    <row r="61" spans="1:13" x14ac:dyDescent="0.25">
      <c r="A61" s="2">
        <v>46189</v>
      </c>
      <c r="B61" s="1" t="str">
        <f ca="1">IF(Información1[[#This Row],[Fecha]]='Ajuste de fechas'!$A$2,"Día actual","Día anterior")</f>
        <v>Día anterior</v>
      </c>
      <c r="C61" s="3" t="s">
        <v>16</v>
      </c>
      <c r="D61" t="s">
        <v>53</v>
      </c>
      <c r="E61" s="3" t="s">
        <v>180</v>
      </c>
      <c r="F61" s="3" t="s">
        <v>11</v>
      </c>
      <c r="G61" s="3" t="s">
        <v>181</v>
      </c>
      <c r="H61" s="3" t="s">
        <v>8</v>
      </c>
      <c r="I61" s="3" t="s">
        <v>14</v>
      </c>
      <c r="J61" s="3" t="s">
        <v>58</v>
      </c>
      <c r="K61" s="3" t="s">
        <v>52</v>
      </c>
      <c r="L61" s="3" t="s">
        <v>24</v>
      </c>
      <c r="M61">
        <v>1</v>
      </c>
    </row>
    <row r="62" spans="1:13" x14ac:dyDescent="0.25">
      <c r="A62" s="2">
        <v>46189</v>
      </c>
      <c r="B62" s="1" t="str">
        <f ca="1">IF(Información1[[#This Row],[Fecha]]='Ajuste de fechas'!$A$2,"Día actual","Día anterior")</f>
        <v>Día anterior</v>
      </c>
      <c r="C62" s="3" t="s">
        <v>31</v>
      </c>
      <c r="D62" t="s">
        <v>33</v>
      </c>
      <c r="E62" s="3" t="s">
        <v>182</v>
      </c>
      <c r="F62" s="3" t="s">
        <v>10</v>
      </c>
      <c r="G62" s="3" t="s">
        <v>110</v>
      </c>
      <c r="H62" s="3" t="s">
        <v>8</v>
      </c>
      <c r="I62" s="3" t="s">
        <v>7</v>
      </c>
      <c r="J62" s="3" t="s">
        <v>59</v>
      </c>
      <c r="K62" s="3" t="s">
        <v>32</v>
      </c>
      <c r="L62" s="3" t="s">
        <v>24</v>
      </c>
      <c r="M62">
        <v>1</v>
      </c>
    </row>
    <row r="63" spans="1:13" x14ac:dyDescent="0.25">
      <c r="A63" s="2">
        <v>46189</v>
      </c>
      <c r="B63" s="1" t="str">
        <f ca="1">IF(Información1[[#This Row],[Fecha]]='Ajuste de fechas'!$A$2,"Día actual","Día anterior")</f>
        <v>Día anterior</v>
      </c>
      <c r="C63" s="3" t="s">
        <v>31</v>
      </c>
      <c r="D63" t="s">
        <v>33</v>
      </c>
      <c r="E63" s="3" t="s">
        <v>164</v>
      </c>
      <c r="F63" s="3" t="s">
        <v>44</v>
      </c>
      <c r="G63" s="3" t="s">
        <v>165</v>
      </c>
      <c r="H63" s="3" t="s">
        <v>8</v>
      </c>
      <c r="I63" s="3" t="s">
        <v>7</v>
      </c>
      <c r="J63" s="3" t="s">
        <v>57</v>
      </c>
      <c r="K63" s="3" t="s">
        <v>30</v>
      </c>
      <c r="L63" s="3" t="s">
        <v>26</v>
      </c>
      <c r="M63">
        <v>1</v>
      </c>
    </row>
    <row r="64" spans="1:13" x14ac:dyDescent="0.25">
      <c r="A64" s="2">
        <v>46189</v>
      </c>
      <c r="B64" s="1" t="str">
        <f ca="1">IF(Información1[[#This Row],[Fecha]]='Ajuste de fechas'!$A$2,"Día actual","Día anterior")</f>
        <v>Día anterior</v>
      </c>
      <c r="C64" s="3" t="s">
        <v>31</v>
      </c>
      <c r="D64" t="s">
        <v>33</v>
      </c>
      <c r="E64" s="3" t="s">
        <v>183</v>
      </c>
      <c r="F64" s="3" t="s">
        <v>66</v>
      </c>
      <c r="G64" s="3" t="s">
        <v>82</v>
      </c>
      <c r="H64" s="3" t="s">
        <v>8</v>
      </c>
      <c r="I64" s="3" t="s">
        <v>14</v>
      </c>
      <c r="J64" s="3" t="s">
        <v>57</v>
      </c>
      <c r="K64" s="3" t="s">
        <v>116</v>
      </c>
      <c r="L64" s="3" t="s">
        <v>25</v>
      </c>
      <c r="M64">
        <v>1</v>
      </c>
    </row>
    <row r="65" spans="1:13" x14ac:dyDescent="0.25">
      <c r="A65" s="2">
        <v>46189</v>
      </c>
      <c r="B65" s="1" t="str">
        <f ca="1">IF(Información1[[#This Row],[Fecha]]='Ajuste de fechas'!$A$2,"Día actual","Día anterior")</f>
        <v>Día anterior</v>
      </c>
      <c r="C65" s="3" t="s">
        <v>31</v>
      </c>
      <c r="D65" t="s">
        <v>33</v>
      </c>
      <c r="E65" s="3" t="s">
        <v>184</v>
      </c>
      <c r="F65" s="3" t="s">
        <v>66</v>
      </c>
      <c r="G65" s="3" t="s">
        <v>82</v>
      </c>
      <c r="H65" s="3" t="s">
        <v>8</v>
      </c>
      <c r="I65" s="3" t="s">
        <v>7</v>
      </c>
      <c r="J65" s="3" t="s">
        <v>57</v>
      </c>
      <c r="K65" s="3" t="s">
        <v>30</v>
      </c>
      <c r="L65" s="3" t="s">
        <v>25</v>
      </c>
      <c r="M65">
        <v>1</v>
      </c>
    </row>
    <row r="66" spans="1:13" x14ac:dyDescent="0.25">
      <c r="A66" s="2">
        <v>46189</v>
      </c>
      <c r="B66" s="1" t="str">
        <f ca="1">IF(Información1[[#This Row],[Fecha]]='Ajuste de fechas'!$A$2,"Día actual","Día anterior")</f>
        <v>Día anterior</v>
      </c>
      <c r="C66" s="3" t="s">
        <v>31</v>
      </c>
      <c r="D66" t="s">
        <v>33</v>
      </c>
      <c r="E66" s="3" t="s">
        <v>185</v>
      </c>
      <c r="F66" s="3" t="s">
        <v>12</v>
      </c>
      <c r="G66" s="3" t="s">
        <v>62</v>
      </c>
      <c r="H66" s="3" t="s">
        <v>8</v>
      </c>
      <c r="I66" s="3" t="s">
        <v>7</v>
      </c>
      <c r="J66" s="3" t="s">
        <v>57</v>
      </c>
      <c r="K66" s="3" t="s">
        <v>32</v>
      </c>
      <c r="L66" s="3" t="s">
        <v>24</v>
      </c>
      <c r="M66">
        <v>1</v>
      </c>
    </row>
    <row r="67" spans="1:13" x14ac:dyDescent="0.25">
      <c r="A67" s="2">
        <v>46189</v>
      </c>
      <c r="B67" s="1" t="str">
        <f ca="1">IF(Información1[[#This Row],[Fecha]]='Ajuste de fechas'!$A$2,"Día actual","Día anterior")</f>
        <v>Día anterior</v>
      </c>
      <c r="C67" s="3" t="s">
        <v>31</v>
      </c>
      <c r="D67" t="s">
        <v>33</v>
      </c>
      <c r="E67" s="3" t="s">
        <v>186</v>
      </c>
      <c r="F67" s="3" t="s">
        <v>187</v>
      </c>
      <c r="G67" s="3" t="s">
        <v>188</v>
      </c>
      <c r="H67" s="3" t="s">
        <v>8</v>
      </c>
      <c r="I67" s="3" t="s">
        <v>7</v>
      </c>
      <c r="J67" s="3" t="s">
        <v>57</v>
      </c>
      <c r="K67" s="3" t="s">
        <v>30</v>
      </c>
      <c r="L67" s="3" t="s">
        <v>26</v>
      </c>
      <c r="M67">
        <v>1</v>
      </c>
    </row>
    <row r="68" spans="1:13" x14ac:dyDescent="0.25">
      <c r="A68" s="2">
        <v>46189</v>
      </c>
      <c r="B68" s="1" t="str">
        <f ca="1">IF(Información1[[#This Row],[Fecha]]='Ajuste de fechas'!$A$2,"Día actual","Día anterior")</f>
        <v>Día anterior</v>
      </c>
      <c r="C68" s="3" t="s">
        <v>31</v>
      </c>
      <c r="D68" t="s">
        <v>33</v>
      </c>
      <c r="E68" s="3" t="s">
        <v>166</v>
      </c>
      <c r="F68" s="3" t="s">
        <v>15</v>
      </c>
      <c r="G68" s="3" t="s">
        <v>82</v>
      </c>
      <c r="H68" s="3" t="s">
        <v>8</v>
      </c>
      <c r="I68" s="3" t="s">
        <v>7</v>
      </c>
      <c r="J68" s="3" t="s">
        <v>57</v>
      </c>
      <c r="K68" s="3" t="s">
        <v>30</v>
      </c>
      <c r="L68" s="3" t="s">
        <v>26</v>
      </c>
      <c r="M68">
        <v>1</v>
      </c>
    </row>
    <row r="69" spans="1:13" x14ac:dyDescent="0.25">
      <c r="A69" s="2">
        <v>46189</v>
      </c>
      <c r="B69" s="1" t="str">
        <f ca="1">IF(Información1[[#This Row],[Fecha]]='Ajuste de fechas'!$A$2,"Día actual","Día anterior")</f>
        <v>Día anterior</v>
      </c>
      <c r="C69" s="3" t="s">
        <v>31</v>
      </c>
      <c r="D69" t="s">
        <v>33</v>
      </c>
      <c r="E69" s="3" t="s">
        <v>189</v>
      </c>
      <c r="F69" s="3" t="s">
        <v>12</v>
      </c>
      <c r="G69" s="3" t="s">
        <v>168</v>
      </c>
      <c r="H69" s="3" t="s">
        <v>8</v>
      </c>
      <c r="I69" s="3" t="s">
        <v>7</v>
      </c>
      <c r="J69" s="3" t="s">
        <v>57</v>
      </c>
      <c r="K69" s="3" t="s">
        <v>30</v>
      </c>
      <c r="L69" s="3" t="s">
        <v>26</v>
      </c>
      <c r="M69">
        <v>1</v>
      </c>
    </row>
    <row r="70" spans="1:13" x14ac:dyDescent="0.25">
      <c r="A70" s="2">
        <v>46189</v>
      </c>
      <c r="B70" s="1" t="str">
        <f ca="1">IF(Información1[[#This Row],[Fecha]]='Ajuste de fechas'!$A$2,"Día actual","Día anterior")</f>
        <v>Día anterior</v>
      </c>
      <c r="C70" s="3" t="s">
        <v>31</v>
      </c>
      <c r="D70" t="s">
        <v>33</v>
      </c>
      <c r="E70" s="3" t="s">
        <v>167</v>
      </c>
      <c r="F70" s="3" t="s">
        <v>15</v>
      </c>
      <c r="G70" s="3" t="s">
        <v>149</v>
      </c>
      <c r="H70" s="3" t="s">
        <v>8</v>
      </c>
      <c r="I70" s="3" t="s">
        <v>7</v>
      </c>
      <c r="J70" s="3" t="s">
        <v>57</v>
      </c>
      <c r="K70" s="3" t="s">
        <v>30</v>
      </c>
      <c r="L70" s="3" t="s">
        <v>26</v>
      </c>
      <c r="M70">
        <v>1</v>
      </c>
    </row>
    <row r="71" spans="1:13" x14ac:dyDescent="0.25">
      <c r="A71" s="2">
        <v>46189</v>
      </c>
      <c r="B71" s="1" t="str">
        <f ca="1">IF(Información1[[#This Row],[Fecha]]='Ajuste de fechas'!$A$2,"Día actual","Día anterior")</f>
        <v>Día anterior</v>
      </c>
      <c r="C71" s="3" t="s">
        <v>67</v>
      </c>
      <c r="D71" t="s">
        <v>68</v>
      </c>
      <c r="E71" s="3" t="s">
        <v>189</v>
      </c>
      <c r="F71" s="3" t="s">
        <v>12</v>
      </c>
      <c r="G71" s="3" t="s">
        <v>168</v>
      </c>
      <c r="H71" s="3" t="s">
        <v>69</v>
      </c>
      <c r="I71" s="3" t="s">
        <v>7</v>
      </c>
      <c r="J71" s="3" t="s">
        <v>57</v>
      </c>
      <c r="K71" s="3" t="s">
        <v>30</v>
      </c>
      <c r="L71" s="3" t="s">
        <v>26</v>
      </c>
      <c r="M71">
        <v>1</v>
      </c>
    </row>
    <row r="72" spans="1:13" x14ac:dyDescent="0.25">
      <c r="A72" s="2">
        <v>46189</v>
      </c>
      <c r="B72" s="1" t="str">
        <f ca="1">IF(Información1[[#This Row],[Fecha]]='Ajuste de fechas'!$A$2,"Día actual","Día anterior")</f>
        <v>Día anterior</v>
      </c>
      <c r="C72" s="3" t="s">
        <v>67</v>
      </c>
      <c r="D72" t="s">
        <v>68</v>
      </c>
      <c r="E72" s="3" t="s">
        <v>167</v>
      </c>
      <c r="F72" s="3" t="s">
        <v>15</v>
      </c>
      <c r="G72" s="3" t="s">
        <v>149</v>
      </c>
      <c r="H72" s="3" t="s">
        <v>69</v>
      </c>
      <c r="I72" s="3" t="s">
        <v>7</v>
      </c>
      <c r="J72" s="3" t="s">
        <v>57</v>
      </c>
      <c r="K72" s="3" t="s">
        <v>30</v>
      </c>
      <c r="L72" s="3" t="s">
        <v>26</v>
      </c>
      <c r="M72">
        <v>1</v>
      </c>
    </row>
    <row r="73" spans="1:13" x14ac:dyDescent="0.25">
      <c r="A73" s="2">
        <v>46189</v>
      </c>
      <c r="B73" s="1" t="str">
        <f ca="1">IF(Información1[[#This Row],[Fecha]]='Ajuste de fechas'!$A$2,"Día actual","Día anterior")</f>
        <v>Día anterior</v>
      </c>
      <c r="C73" s="3" t="s">
        <v>67</v>
      </c>
      <c r="D73" t="s">
        <v>68</v>
      </c>
      <c r="E73" s="3" t="s">
        <v>190</v>
      </c>
      <c r="F73" s="3" t="s">
        <v>64</v>
      </c>
      <c r="G73" s="3" t="s">
        <v>65</v>
      </c>
      <c r="H73" s="3" t="s">
        <v>69</v>
      </c>
      <c r="I73" s="3" t="s">
        <v>7</v>
      </c>
      <c r="J73" s="3" t="s">
        <v>57</v>
      </c>
      <c r="K73" s="3" t="s">
        <v>30</v>
      </c>
      <c r="L73" s="3" t="s">
        <v>26</v>
      </c>
      <c r="M73">
        <v>1</v>
      </c>
    </row>
    <row r="74" spans="1:13" x14ac:dyDescent="0.25">
      <c r="A74" s="2">
        <v>46189</v>
      </c>
      <c r="B74" s="1" t="str">
        <f ca="1">IF(Información1[[#This Row],[Fecha]]='Ajuste de fechas'!$A$2,"Día actual","Día anterior")</f>
        <v>Día anterior</v>
      </c>
      <c r="C74" s="3" t="s">
        <v>67</v>
      </c>
      <c r="D74" t="s">
        <v>68</v>
      </c>
      <c r="E74" s="3" t="s">
        <v>164</v>
      </c>
      <c r="F74" s="3" t="s">
        <v>44</v>
      </c>
      <c r="G74" s="3" t="s">
        <v>191</v>
      </c>
      <c r="H74" s="3" t="s">
        <v>69</v>
      </c>
      <c r="I74" s="3" t="s">
        <v>7</v>
      </c>
      <c r="J74" s="3" t="s">
        <v>57</v>
      </c>
      <c r="K74" s="3" t="s">
        <v>30</v>
      </c>
      <c r="L74" s="3" t="s">
        <v>26</v>
      </c>
      <c r="M74">
        <v>1</v>
      </c>
    </row>
    <row r="75" spans="1:13" x14ac:dyDescent="0.25">
      <c r="A75" s="2">
        <v>46189</v>
      </c>
      <c r="B75" s="1" t="str">
        <f ca="1">IF(Información1[[#This Row],[Fecha]]='Ajuste de fechas'!$A$2,"Día actual","Día anterior")</f>
        <v>Día anterior</v>
      </c>
      <c r="C75" s="3" t="s">
        <v>67</v>
      </c>
      <c r="D75" t="s">
        <v>68</v>
      </c>
      <c r="E75" s="3" t="s">
        <v>192</v>
      </c>
      <c r="F75" s="3" t="s">
        <v>34</v>
      </c>
      <c r="G75" s="3" t="s">
        <v>193</v>
      </c>
      <c r="H75" s="3" t="s">
        <v>69</v>
      </c>
      <c r="I75" s="3" t="s">
        <v>7</v>
      </c>
      <c r="J75" s="3" t="s">
        <v>13</v>
      </c>
      <c r="K75" s="3" t="s">
        <v>30</v>
      </c>
      <c r="L75" s="3" t="s">
        <v>24</v>
      </c>
      <c r="M75">
        <v>1</v>
      </c>
    </row>
    <row r="76" spans="1:13" x14ac:dyDescent="0.25">
      <c r="A76" s="2">
        <v>46189</v>
      </c>
      <c r="B76" s="1" t="str">
        <f ca="1">IF(Información1[[#This Row],[Fecha]]='Ajuste de fechas'!$A$2,"Día actual","Día anterior")</f>
        <v>Día anterior</v>
      </c>
      <c r="C76" s="3" t="s">
        <v>67</v>
      </c>
      <c r="D76" t="s">
        <v>68</v>
      </c>
      <c r="E76" s="3" t="s">
        <v>153</v>
      </c>
      <c r="F76" s="3" t="s">
        <v>72</v>
      </c>
      <c r="G76" s="3" t="s">
        <v>154</v>
      </c>
      <c r="H76" s="3" t="s">
        <v>69</v>
      </c>
      <c r="I76" s="3" t="s">
        <v>7</v>
      </c>
      <c r="J76" s="3" t="s">
        <v>57</v>
      </c>
      <c r="K76" s="3" t="s">
        <v>30</v>
      </c>
      <c r="L76" s="3" t="s">
        <v>26</v>
      </c>
      <c r="M76">
        <v>1</v>
      </c>
    </row>
    <row r="77" spans="1:13" x14ac:dyDescent="0.25">
      <c r="A77" s="2">
        <v>46189</v>
      </c>
      <c r="B77" s="1" t="str">
        <f ca="1">IF(Información1[[#This Row],[Fecha]]='Ajuste de fechas'!$A$2,"Día actual","Día anterior")</f>
        <v>Día anterior</v>
      </c>
      <c r="C77" s="3" t="s">
        <v>67</v>
      </c>
      <c r="D77" t="s">
        <v>68</v>
      </c>
      <c r="E77" s="3" t="s">
        <v>194</v>
      </c>
      <c r="F77" s="3" t="s">
        <v>11</v>
      </c>
      <c r="G77" s="3" t="s">
        <v>195</v>
      </c>
      <c r="H77" s="3" t="s">
        <v>69</v>
      </c>
      <c r="I77" s="3" t="s">
        <v>14</v>
      </c>
      <c r="J77" s="3" t="s">
        <v>58</v>
      </c>
      <c r="K77" s="3" t="s">
        <v>196</v>
      </c>
      <c r="L77" s="3" t="s">
        <v>24</v>
      </c>
      <c r="M77">
        <v>1</v>
      </c>
    </row>
    <row r="78" spans="1:13" x14ac:dyDescent="0.25">
      <c r="A78" s="2">
        <v>46189</v>
      </c>
      <c r="B78" s="1" t="str">
        <f ca="1">IF(Información1[[#This Row],[Fecha]]='Ajuste de fechas'!$A$2,"Día actual","Día anterior")</f>
        <v>Día anterior</v>
      </c>
      <c r="C78" s="3" t="s">
        <v>67</v>
      </c>
      <c r="D78" t="s">
        <v>68</v>
      </c>
      <c r="E78" s="3" t="s">
        <v>197</v>
      </c>
      <c r="F78" s="3" t="s">
        <v>6</v>
      </c>
      <c r="G78" s="3" t="s">
        <v>48</v>
      </c>
      <c r="H78" s="3" t="s">
        <v>69</v>
      </c>
      <c r="I78" s="3" t="s">
        <v>7</v>
      </c>
      <c r="J78" s="3" t="s">
        <v>57</v>
      </c>
      <c r="K78" s="3" t="s">
        <v>30</v>
      </c>
      <c r="L78" s="3" t="s">
        <v>24</v>
      </c>
      <c r="M78">
        <v>1</v>
      </c>
    </row>
    <row r="79" spans="1:13" x14ac:dyDescent="0.25">
      <c r="A79" s="2">
        <v>46189</v>
      </c>
      <c r="B79" s="1" t="str">
        <f ca="1">IF(Información1[[#This Row],[Fecha]]='Ajuste de fechas'!$A$2,"Día actual","Día anterior")</f>
        <v>Día anterior</v>
      </c>
      <c r="C79" s="3" t="s">
        <v>67</v>
      </c>
      <c r="D79" t="s">
        <v>68</v>
      </c>
      <c r="E79" s="3" t="s">
        <v>198</v>
      </c>
      <c r="F79" s="3" t="s">
        <v>10</v>
      </c>
      <c r="G79" s="3"/>
      <c r="H79" s="3" t="s">
        <v>69</v>
      </c>
      <c r="I79" s="3" t="s">
        <v>7</v>
      </c>
      <c r="J79" s="3" t="s">
        <v>59</v>
      </c>
      <c r="K79" s="3" t="s">
        <v>30</v>
      </c>
      <c r="L79" s="3" t="s">
        <v>24</v>
      </c>
      <c r="M79">
        <v>1</v>
      </c>
    </row>
    <row r="80" spans="1:13" x14ac:dyDescent="0.25">
      <c r="A80" s="2">
        <v>46189</v>
      </c>
      <c r="B80" s="1" t="str">
        <f ca="1">IF(Información1[[#This Row],[Fecha]]='Ajuste de fechas'!$A$2,"Día actual","Día anterior")</f>
        <v>Día anterior</v>
      </c>
      <c r="C80" s="3" t="s">
        <v>67</v>
      </c>
      <c r="D80" t="s">
        <v>68</v>
      </c>
      <c r="E80" s="3" t="s">
        <v>199</v>
      </c>
      <c r="F80" s="3" t="s">
        <v>10</v>
      </c>
      <c r="G80" s="3" t="s">
        <v>110</v>
      </c>
      <c r="H80" s="3" t="s">
        <v>69</v>
      </c>
      <c r="I80" s="3" t="s">
        <v>7</v>
      </c>
      <c r="J80" s="3" t="s">
        <v>59</v>
      </c>
      <c r="K80" s="3" t="s">
        <v>30</v>
      </c>
      <c r="L80" s="3" t="s">
        <v>24</v>
      </c>
      <c r="M80">
        <v>1</v>
      </c>
    </row>
    <row r="81" spans="1:13" x14ac:dyDescent="0.25">
      <c r="A81" s="2">
        <v>46189</v>
      </c>
      <c r="B81" s="1" t="str">
        <f ca="1">IF(Información1[[#This Row],[Fecha]]='Ajuste de fechas'!$A$2,"Día actual","Día anterior")</f>
        <v>Día anterior</v>
      </c>
      <c r="C81" s="3" t="s">
        <v>67</v>
      </c>
      <c r="D81" t="s">
        <v>68</v>
      </c>
      <c r="E81" s="3" t="s">
        <v>200</v>
      </c>
      <c r="F81" s="3" t="s">
        <v>10</v>
      </c>
      <c r="G81" s="3" t="s">
        <v>201</v>
      </c>
      <c r="H81" s="3" t="s">
        <v>69</v>
      </c>
      <c r="I81" s="3" t="s">
        <v>7</v>
      </c>
      <c r="J81" s="3" t="s">
        <v>59</v>
      </c>
      <c r="K81" s="3" t="s">
        <v>30</v>
      </c>
      <c r="L81" s="3" t="s">
        <v>24</v>
      </c>
      <c r="M81">
        <v>1</v>
      </c>
    </row>
    <row r="82" spans="1:13" x14ac:dyDescent="0.25">
      <c r="A82" s="2">
        <v>46189</v>
      </c>
      <c r="B82" s="1" t="str">
        <f ca="1">IF(Información1[[#This Row],[Fecha]]='Ajuste de fechas'!$A$2,"Día actual","Día anterior")</f>
        <v>Día anterior</v>
      </c>
      <c r="C82" s="3" t="s">
        <v>67</v>
      </c>
      <c r="D82" t="s">
        <v>68</v>
      </c>
      <c r="E82" s="3" t="s">
        <v>202</v>
      </c>
      <c r="F82" s="3" t="s">
        <v>44</v>
      </c>
      <c r="G82" s="3" t="s">
        <v>203</v>
      </c>
      <c r="H82" s="3" t="s">
        <v>69</v>
      </c>
      <c r="I82" s="3" t="s">
        <v>7</v>
      </c>
      <c r="J82" s="3" t="s">
        <v>57</v>
      </c>
      <c r="K82" s="3" t="s">
        <v>30</v>
      </c>
      <c r="L82" s="3" t="s">
        <v>24</v>
      </c>
      <c r="M82">
        <v>1</v>
      </c>
    </row>
    <row r="83" spans="1:13" x14ac:dyDescent="0.25">
      <c r="A83" s="2">
        <v>46189</v>
      </c>
      <c r="B83" s="1" t="str">
        <f ca="1">IF(Información1[[#This Row],[Fecha]]='Ajuste de fechas'!$A$2,"Día actual","Día anterior")</f>
        <v>Día anterior</v>
      </c>
      <c r="C83" s="3" t="s">
        <v>67</v>
      </c>
      <c r="D83" t="s">
        <v>68</v>
      </c>
      <c r="E83" s="3" t="s">
        <v>204</v>
      </c>
      <c r="F83" s="3" t="s">
        <v>44</v>
      </c>
      <c r="G83" s="3" t="s">
        <v>203</v>
      </c>
      <c r="H83" s="3" t="s">
        <v>69</v>
      </c>
      <c r="I83" s="3" t="s">
        <v>7</v>
      </c>
      <c r="J83" s="3" t="s">
        <v>57</v>
      </c>
      <c r="K83" s="3" t="s">
        <v>30</v>
      </c>
      <c r="L83" s="3" t="s">
        <v>24</v>
      </c>
      <c r="M83">
        <v>1</v>
      </c>
    </row>
    <row r="84" spans="1:13" x14ac:dyDescent="0.25">
      <c r="A84" s="2">
        <v>46190</v>
      </c>
      <c r="B84" s="1" t="str">
        <f ca="1">IF(Información1[[#This Row],[Fecha]]='Ajuste de fechas'!$A$2,"Día actual","Día anterior")</f>
        <v>Día actual</v>
      </c>
      <c r="C84" s="3" t="s">
        <v>70</v>
      </c>
      <c r="D84" t="s">
        <v>71</v>
      </c>
      <c r="E84" s="3" t="s">
        <v>205</v>
      </c>
      <c r="F84" s="3" t="s">
        <v>66</v>
      </c>
      <c r="G84" s="3" t="s">
        <v>89</v>
      </c>
      <c r="H84" s="3" t="s">
        <v>8</v>
      </c>
      <c r="I84" s="3" t="s">
        <v>7</v>
      </c>
      <c r="J84" s="3" t="s">
        <v>57</v>
      </c>
      <c r="K84" s="3" t="s">
        <v>73</v>
      </c>
      <c r="L84" s="3" t="s">
        <v>26</v>
      </c>
      <c r="M84">
        <v>1</v>
      </c>
    </row>
    <row r="85" spans="1:13" x14ac:dyDescent="0.25">
      <c r="A85" s="2">
        <v>46190</v>
      </c>
      <c r="B85" s="1" t="str">
        <f ca="1">IF(Información1[[#This Row],[Fecha]]='Ajuste de fechas'!$A$2,"Día actual","Día anterior")</f>
        <v>Día actual</v>
      </c>
      <c r="C85" s="3" t="s">
        <v>70</v>
      </c>
      <c r="D85" t="s">
        <v>71</v>
      </c>
      <c r="E85" s="3" t="s">
        <v>206</v>
      </c>
      <c r="F85" s="3" t="s">
        <v>11</v>
      </c>
      <c r="G85" s="3"/>
      <c r="H85" s="3" t="s">
        <v>8</v>
      </c>
      <c r="I85" s="3" t="s">
        <v>7</v>
      </c>
      <c r="J85" s="3" t="s">
        <v>58</v>
      </c>
      <c r="K85" s="3" t="s">
        <v>73</v>
      </c>
      <c r="L85" s="3" t="s">
        <v>24</v>
      </c>
      <c r="M85">
        <v>1</v>
      </c>
    </row>
    <row r="86" spans="1:13" x14ac:dyDescent="0.25">
      <c r="A86" s="2">
        <v>46190</v>
      </c>
      <c r="B86" s="1" t="str">
        <f ca="1">IF(Información1[[#This Row],[Fecha]]='Ajuste de fechas'!$A$2,"Día actual","Día anterior")</f>
        <v>Día actual</v>
      </c>
      <c r="C86" s="3" t="s">
        <v>70</v>
      </c>
      <c r="D86" t="s">
        <v>71</v>
      </c>
      <c r="E86" s="3" t="s">
        <v>207</v>
      </c>
      <c r="F86" s="3" t="s">
        <v>17</v>
      </c>
      <c r="G86" s="3" t="s">
        <v>208</v>
      </c>
      <c r="H86" s="3" t="s">
        <v>8</v>
      </c>
      <c r="I86" s="3" t="s">
        <v>7</v>
      </c>
      <c r="J86" s="3" t="s">
        <v>57</v>
      </c>
      <c r="K86" s="3" t="s">
        <v>73</v>
      </c>
      <c r="L86" s="3" t="s">
        <v>26</v>
      </c>
      <c r="M86">
        <v>1</v>
      </c>
    </row>
    <row r="87" spans="1:13" x14ac:dyDescent="0.25">
      <c r="A87" s="2">
        <v>46190</v>
      </c>
      <c r="B87" s="1" t="str">
        <f ca="1">IF(Información1[[#This Row],[Fecha]]='Ajuste de fechas'!$A$2,"Día actual","Día anterior")</f>
        <v>Día actual</v>
      </c>
      <c r="C87" s="3" t="s">
        <v>70</v>
      </c>
      <c r="D87" t="s">
        <v>71</v>
      </c>
      <c r="E87" s="3" t="s">
        <v>189</v>
      </c>
      <c r="F87" s="3" t="s">
        <v>12</v>
      </c>
      <c r="G87" s="3" t="s">
        <v>168</v>
      </c>
      <c r="H87" s="3" t="s">
        <v>8</v>
      </c>
      <c r="I87" s="3" t="s">
        <v>7</v>
      </c>
      <c r="J87" s="3" t="s">
        <v>57</v>
      </c>
      <c r="K87" s="3" t="s">
        <v>73</v>
      </c>
      <c r="L87" s="3" t="s">
        <v>26</v>
      </c>
      <c r="M87">
        <v>1</v>
      </c>
    </row>
    <row r="88" spans="1:13" x14ac:dyDescent="0.25">
      <c r="A88" s="2">
        <v>46190</v>
      </c>
      <c r="B88" s="1" t="str">
        <f ca="1">IF(Información1[[#This Row],[Fecha]]='Ajuste de fechas'!$A$2,"Día actual","Día anterior")</f>
        <v>Día actual</v>
      </c>
      <c r="C88" s="3" t="s">
        <v>70</v>
      </c>
      <c r="D88" t="s">
        <v>71</v>
      </c>
      <c r="E88" s="3" t="s">
        <v>209</v>
      </c>
      <c r="F88" s="3" t="s">
        <v>12</v>
      </c>
      <c r="G88" s="3" t="s">
        <v>210</v>
      </c>
      <c r="H88" s="3" t="s">
        <v>8</v>
      </c>
      <c r="I88" s="3" t="s">
        <v>7</v>
      </c>
      <c r="J88" s="3" t="s">
        <v>57</v>
      </c>
      <c r="K88" s="3" t="s">
        <v>73</v>
      </c>
      <c r="L88" s="3" t="s">
        <v>26</v>
      </c>
      <c r="M88">
        <v>1</v>
      </c>
    </row>
    <row r="89" spans="1:13" x14ac:dyDescent="0.25">
      <c r="A89" s="2">
        <v>46190</v>
      </c>
      <c r="B89" s="1" t="str">
        <f ca="1">IF(Información1[[#This Row],[Fecha]]='Ajuste de fechas'!$A$2,"Día actual","Día anterior")</f>
        <v>Día actual</v>
      </c>
      <c r="C89" s="3" t="s">
        <v>70</v>
      </c>
      <c r="D89" t="s">
        <v>71</v>
      </c>
      <c r="E89" s="3" t="s">
        <v>200</v>
      </c>
      <c r="F89" s="3" t="s">
        <v>10</v>
      </c>
      <c r="G89" s="3" t="s">
        <v>201</v>
      </c>
      <c r="H89" s="3" t="s">
        <v>8</v>
      </c>
      <c r="I89" s="3" t="s">
        <v>7</v>
      </c>
      <c r="J89" s="3" t="s">
        <v>59</v>
      </c>
      <c r="K89" s="3" t="s">
        <v>73</v>
      </c>
      <c r="L89" s="3" t="s">
        <v>24</v>
      </c>
      <c r="M89">
        <v>1</v>
      </c>
    </row>
    <row r="90" spans="1:13" x14ac:dyDescent="0.25">
      <c r="A90" s="2">
        <v>46190</v>
      </c>
      <c r="B90" s="1" t="str">
        <f ca="1">IF(Información1[[#This Row],[Fecha]]='Ajuste de fechas'!$A$2,"Día actual","Día anterior")</f>
        <v>Día actual</v>
      </c>
      <c r="C90" s="3" t="s">
        <v>70</v>
      </c>
      <c r="D90" t="s">
        <v>71</v>
      </c>
      <c r="E90" s="3" t="s">
        <v>211</v>
      </c>
      <c r="F90" s="3" t="s">
        <v>34</v>
      </c>
      <c r="G90" s="3" t="s">
        <v>151</v>
      </c>
      <c r="H90" s="3" t="s">
        <v>8</v>
      </c>
      <c r="I90" s="3" t="s">
        <v>7</v>
      </c>
      <c r="J90" s="3" t="s">
        <v>13</v>
      </c>
      <c r="K90" s="3" t="s">
        <v>73</v>
      </c>
      <c r="L90" s="3" t="s">
        <v>24</v>
      </c>
      <c r="M90">
        <v>1</v>
      </c>
    </row>
    <row r="91" spans="1:13" x14ac:dyDescent="0.25">
      <c r="A91" s="2">
        <v>46190</v>
      </c>
      <c r="B91" s="1" t="str">
        <f ca="1">IF(Información1[[#This Row],[Fecha]]='Ajuste de fechas'!$A$2,"Día actual","Día anterior")</f>
        <v>Día actual</v>
      </c>
      <c r="C91" s="3" t="s">
        <v>70</v>
      </c>
      <c r="D91" t="s">
        <v>71</v>
      </c>
      <c r="E91" s="3" t="s">
        <v>212</v>
      </c>
      <c r="F91" s="3" t="s">
        <v>213</v>
      </c>
      <c r="G91" s="3" t="s">
        <v>214</v>
      </c>
      <c r="H91" s="3" t="s">
        <v>8</v>
      </c>
      <c r="I91" s="3" t="s">
        <v>7</v>
      </c>
      <c r="J91" s="3" t="s">
        <v>13</v>
      </c>
      <c r="K91" s="3" t="s">
        <v>73</v>
      </c>
      <c r="L91" s="3" t="s">
        <v>24</v>
      </c>
      <c r="M91">
        <v>1</v>
      </c>
    </row>
    <row r="92" spans="1:13" x14ac:dyDescent="0.25">
      <c r="A92" s="2">
        <v>46190</v>
      </c>
      <c r="B92" s="1" t="str">
        <f ca="1">IF(Información1[[#This Row],[Fecha]]='Ajuste de fechas'!$A$2,"Día actual","Día anterior")</f>
        <v>Día actual</v>
      </c>
      <c r="C92" s="3" t="s">
        <v>70</v>
      </c>
      <c r="D92" t="s">
        <v>71</v>
      </c>
      <c r="E92" s="3" t="s">
        <v>215</v>
      </c>
      <c r="F92" s="3" t="s">
        <v>213</v>
      </c>
      <c r="G92" s="3" t="s">
        <v>216</v>
      </c>
      <c r="H92" s="3" t="s">
        <v>8</v>
      </c>
      <c r="I92" s="3" t="s">
        <v>7</v>
      </c>
      <c r="J92" s="3" t="s">
        <v>13</v>
      </c>
      <c r="K92" s="3" t="s">
        <v>73</v>
      </c>
      <c r="L92" s="3" t="s">
        <v>24</v>
      </c>
      <c r="M92">
        <v>1</v>
      </c>
    </row>
    <row r="93" spans="1:13" x14ac:dyDescent="0.25">
      <c r="A93" s="2">
        <v>46190</v>
      </c>
      <c r="B93" s="1" t="str">
        <f ca="1">IF(Información1[[#This Row],[Fecha]]='Ajuste de fechas'!$A$2,"Día actual","Día anterior")</f>
        <v>Día actual</v>
      </c>
      <c r="C93" s="3" t="s">
        <v>70</v>
      </c>
      <c r="D93" t="s">
        <v>71</v>
      </c>
      <c r="E93" s="3" t="s">
        <v>217</v>
      </c>
      <c r="F93" s="3" t="s">
        <v>13</v>
      </c>
      <c r="G93" s="3" t="s">
        <v>218</v>
      </c>
      <c r="H93" s="3" t="s">
        <v>8</v>
      </c>
      <c r="I93" s="3" t="s">
        <v>7</v>
      </c>
      <c r="J93" s="3" t="s">
        <v>13</v>
      </c>
      <c r="K93" s="3" t="s">
        <v>73</v>
      </c>
      <c r="L93" s="3" t="s">
        <v>24</v>
      </c>
      <c r="M93">
        <v>1</v>
      </c>
    </row>
    <row r="94" spans="1:13" x14ac:dyDescent="0.25">
      <c r="A94" s="2">
        <v>46190</v>
      </c>
      <c r="B94" s="1" t="str">
        <f ca="1">IF(Información1[[#This Row],[Fecha]]='Ajuste de fechas'!$A$2,"Día actual","Día anterior")</f>
        <v>Día actual</v>
      </c>
      <c r="C94" s="3" t="s">
        <v>70</v>
      </c>
      <c r="D94" t="s">
        <v>71</v>
      </c>
      <c r="E94" s="3" t="s">
        <v>219</v>
      </c>
      <c r="F94" s="3" t="s">
        <v>15</v>
      </c>
      <c r="G94" s="3" t="s">
        <v>133</v>
      </c>
      <c r="H94" s="3" t="s">
        <v>8</v>
      </c>
      <c r="I94" s="3" t="s">
        <v>7</v>
      </c>
      <c r="J94" s="3" t="s">
        <v>57</v>
      </c>
      <c r="K94" s="3" t="s">
        <v>73</v>
      </c>
      <c r="L94" s="3" t="s">
        <v>24</v>
      </c>
      <c r="M94">
        <v>1</v>
      </c>
    </row>
    <row r="95" spans="1:13" x14ac:dyDescent="0.25">
      <c r="A95" s="2">
        <v>46190</v>
      </c>
      <c r="B95" s="1" t="str">
        <f ca="1">IF(Información1[[#This Row],[Fecha]]='Ajuste de fechas'!$A$2,"Día actual","Día anterior")</f>
        <v>Día actual</v>
      </c>
      <c r="C95" s="3" t="s">
        <v>70</v>
      </c>
      <c r="D95" t="s">
        <v>71</v>
      </c>
      <c r="E95" s="3" t="s">
        <v>220</v>
      </c>
      <c r="F95" s="3" t="s">
        <v>11</v>
      </c>
      <c r="G95" s="3" t="s">
        <v>133</v>
      </c>
      <c r="H95" s="3" t="s">
        <v>8</v>
      </c>
      <c r="I95" s="3" t="s">
        <v>7</v>
      </c>
      <c r="J95" s="3" t="s">
        <v>58</v>
      </c>
      <c r="K95" s="3" t="s">
        <v>73</v>
      </c>
      <c r="L95" s="3" t="s">
        <v>24</v>
      </c>
      <c r="M95">
        <v>1</v>
      </c>
    </row>
    <row r="96" spans="1:13" x14ac:dyDescent="0.25">
      <c r="A96" s="2">
        <v>46190</v>
      </c>
      <c r="B96" s="1" t="str">
        <f ca="1">IF(Información1[[#This Row],[Fecha]]='Ajuste de fechas'!$A$2,"Día actual","Día anterior")</f>
        <v>Día actual</v>
      </c>
      <c r="C96" s="3" t="s">
        <v>70</v>
      </c>
      <c r="D96" t="s">
        <v>71</v>
      </c>
      <c r="E96" s="3" t="s">
        <v>221</v>
      </c>
      <c r="F96" s="3" t="s">
        <v>10</v>
      </c>
      <c r="G96" s="3" t="s">
        <v>191</v>
      </c>
      <c r="H96" s="3" t="s">
        <v>8</v>
      </c>
      <c r="I96" s="3" t="s">
        <v>7</v>
      </c>
      <c r="J96" s="3" t="s">
        <v>59</v>
      </c>
      <c r="K96" s="3" t="s">
        <v>73</v>
      </c>
      <c r="L96" s="3" t="s">
        <v>24</v>
      </c>
      <c r="M96">
        <v>1</v>
      </c>
    </row>
    <row r="97" spans="1:13" x14ac:dyDescent="0.25">
      <c r="A97" s="2">
        <v>46190</v>
      </c>
      <c r="B97" s="1" t="str">
        <f ca="1">IF(Información1[[#This Row],[Fecha]]='Ajuste de fechas'!$A$2,"Día actual","Día anterior")</f>
        <v>Día actual</v>
      </c>
      <c r="C97" s="3" t="s">
        <v>70</v>
      </c>
      <c r="D97" t="s">
        <v>71</v>
      </c>
      <c r="E97" s="3" t="s">
        <v>77</v>
      </c>
      <c r="F97" s="3" t="s">
        <v>10</v>
      </c>
      <c r="G97" s="3" t="s">
        <v>86</v>
      </c>
      <c r="H97" s="3" t="s">
        <v>8</v>
      </c>
      <c r="I97" s="3" t="s">
        <v>7</v>
      </c>
      <c r="J97" s="3" t="s">
        <v>59</v>
      </c>
      <c r="K97" s="3" t="s">
        <v>73</v>
      </c>
      <c r="L97" s="3" t="s">
        <v>24</v>
      </c>
      <c r="M97">
        <v>1</v>
      </c>
    </row>
    <row r="98" spans="1:13" x14ac:dyDescent="0.25">
      <c r="A98" s="2">
        <v>46190</v>
      </c>
      <c r="B98" s="1" t="str">
        <f ca="1">IF(Información1[[#This Row],[Fecha]]='Ajuste de fechas'!$A$2,"Día actual","Día anterior")</f>
        <v>Día actual</v>
      </c>
      <c r="C98" s="3" t="s">
        <v>70</v>
      </c>
      <c r="D98" t="s">
        <v>71</v>
      </c>
      <c r="E98" s="3" t="s">
        <v>222</v>
      </c>
      <c r="F98" s="3" t="s">
        <v>10</v>
      </c>
      <c r="G98" s="3" t="s">
        <v>223</v>
      </c>
      <c r="H98" s="3" t="s">
        <v>8</v>
      </c>
      <c r="I98" s="3" t="s">
        <v>7</v>
      </c>
      <c r="J98" s="3" t="s">
        <v>59</v>
      </c>
      <c r="K98" s="3" t="s">
        <v>73</v>
      </c>
      <c r="L98" s="3" t="s">
        <v>24</v>
      </c>
      <c r="M98">
        <v>1</v>
      </c>
    </row>
    <row r="99" spans="1:13" x14ac:dyDescent="0.25">
      <c r="A99" s="2">
        <v>46190</v>
      </c>
      <c r="B99" s="1" t="str">
        <f ca="1">IF(Información1[[#This Row],[Fecha]]='Ajuste de fechas'!$A$2,"Día actual","Día anterior")</f>
        <v>Día actual</v>
      </c>
      <c r="C99" s="3" t="s">
        <v>70</v>
      </c>
      <c r="D99" t="s">
        <v>71</v>
      </c>
      <c r="E99" s="3" t="s">
        <v>224</v>
      </c>
      <c r="F99" s="3" t="s">
        <v>11</v>
      </c>
      <c r="G99" s="3" t="s">
        <v>225</v>
      </c>
      <c r="H99" s="3" t="s">
        <v>8</v>
      </c>
      <c r="I99" s="3" t="s">
        <v>14</v>
      </c>
      <c r="J99" s="3" t="s">
        <v>58</v>
      </c>
      <c r="K99" s="3" t="s">
        <v>73</v>
      </c>
      <c r="L99" s="3" t="s">
        <v>24</v>
      </c>
      <c r="M99">
        <v>1</v>
      </c>
    </row>
    <row r="100" spans="1:13" x14ac:dyDescent="0.25">
      <c r="A100" s="2">
        <v>46190</v>
      </c>
      <c r="B100" s="1" t="str">
        <f ca="1">IF(Información1[[#This Row],[Fecha]]='Ajuste de fechas'!$A$2,"Día actual","Día anterior")</f>
        <v>Día actual</v>
      </c>
      <c r="C100" s="3" t="s">
        <v>70</v>
      </c>
      <c r="D100" t="s">
        <v>71</v>
      </c>
      <c r="E100" s="3" t="s">
        <v>226</v>
      </c>
      <c r="F100" s="3" t="s">
        <v>15</v>
      </c>
      <c r="G100" s="3" t="s">
        <v>149</v>
      </c>
      <c r="H100" s="3" t="s">
        <v>8</v>
      </c>
      <c r="I100" s="3" t="s">
        <v>7</v>
      </c>
      <c r="J100" s="3" t="s">
        <v>57</v>
      </c>
      <c r="K100" s="3" t="s">
        <v>73</v>
      </c>
      <c r="L100" s="3" t="s">
        <v>24</v>
      </c>
      <c r="M100">
        <v>1</v>
      </c>
    </row>
    <row r="101" spans="1:13" x14ac:dyDescent="0.25">
      <c r="A101" s="2">
        <v>46190</v>
      </c>
      <c r="B101" s="1" t="str">
        <f ca="1">IF(Información1[[#This Row],[Fecha]]='Ajuste de fechas'!$A$2,"Día actual","Día anterior")</f>
        <v>Día actual</v>
      </c>
      <c r="C101" s="3" t="s">
        <v>70</v>
      </c>
      <c r="D101" t="s">
        <v>71</v>
      </c>
      <c r="E101" s="3" t="s">
        <v>227</v>
      </c>
      <c r="F101" s="3" t="s">
        <v>13</v>
      </c>
      <c r="G101" s="3" t="s">
        <v>201</v>
      </c>
      <c r="H101" s="3" t="s">
        <v>8</v>
      </c>
      <c r="I101" s="3" t="s">
        <v>7</v>
      </c>
      <c r="J101" s="3" t="s">
        <v>13</v>
      </c>
      <c r="K101" s="3" t="s">
        <v>73</v>
      </c>
      <c r="L101" s="3" t="s">
        <v>24</v>
      </c>
      <c r="M101">
        <v>1</v>
      </c>
    </row>
    <row r="102" spans="1:13" x14ac:dyDescent="0.25">
      <c r="A102" s="2">
        <v>46190</v>
      </c>
      <c r="B102" s="1" t="str">
        <f ca="1">IF(Información1[[#This Row],[Fecha]]='Ajuste de fechas'!$A$2,"Día actual","Día anterior")</f>
        <v>Día actual</v>
      </c>
      <c r="C102" s="3" t="s">
        <v>70</v>
      </c>
      <c r="D102" t="s">
        <v>71</v>
      </c>
      <c r="E102" s="3" t="s">
        <v>228</v>
      </c>
      <c r="F102" s="3" t="s">
        <v>11</v>
      </c>
      <c r="G102" s="3" t="s">
        <v>201</v>
      </c>
      <c r="H102" s="3" t="s">
        <v>8</v>
      </c>
      <c r="I102" s="3" t="s">
        <v>7</v>
      </c>
      <c r="J102" s="3" t="s">
        <v>58</v>
      </c>
      <c r="K102" s="3" t="s">
        <v>73</v>
      </c>
      <c r="L102" s="3" t="s">
        <v>24</v>
      </c>
      <c r="M102">
        <v>1</v>
      </c>
    </row>
    <row r="103" spans="1:13" x14ac:dyDescent="0.25">
      <c r="A103" s="2">
        <v>46190</v>
      </c>
      <c r="B103" s="1" t="str">
        <f ca="1">IF(Información1[[#This Row],[Fecha]]='Ajuste de fechas'!$A$2,"Día actual","Día anterior")</f>
        <v>Día actual</v>
      </c>
      <c r="C103" s="3" t="s">
        <v>70</v>
      </c>
      <c r="D103" t="s">
        <v>71</v>
      </c>
      <c r="E103" s="3" t="s">
        <v>229</v>
      </c>
      <c r="F103" s="3" t="s">
        <v>12</v>
      </c>
      <c r="G103" s="3" t="s">
        <v>100</v>
      </c>
      <c r="H103" s="3" t="s">
        <v>8</v>
      </c>
      <c r="I103" s="3" t="s">
        <v>14</v>
      </c>
      <c r="J103" s="3" t="s">
        <v>57</v>
      </c>
      <c r="K103" s="3" t="s">
        <v>73</v>
      </c>
      <c r="L103" s="3" t="s">
        <v>25</v>
      </c>
      <c r="M103">
        <v>1</v>
      </c>
    </row>
    <row r="104" spans="1:13" x14ac:dyDescent="0.25">
      <c r="A104" s="2">
        <v>46190</v>
      </c>
      <c r="B104" s="1" t="str">
        <f ca="1">IF(Información1[[#This Row],[Fecha]]='Ajuste de fechas'!$A$2,"Día actual","Día anterior")</f>
        <v>Día actual</v>
      </c>
      <c r="C104" s="3" t="s">
        <v>70</v>
      </c>
      <c r="D104" t="s">
        <v>71</v>
      </c>
      <c r="E104" s="3" t="s">
        <v>230</v>
      </c>
      <c r="F104" s="3" t="s">
        <v>12</v>
      </c>
      <c r="G104" s="3" t="s">
        <v>100</v>
      </c>
      <c r="H104" s="3" t="s">
        <v>8</v>
      </c>
      <c r="I104" s="3" t="s">
        <v>14</v>
      </c>
      <c r="J104" s="3" t="s">
        <v>57</v>
      </c>
      <c r="K104" s="3" t="s">
        <v>231</v>
      </c>
      <c r="L104" s="3" t="s">
        <v>24</v>
      </c>
      <c r="M104">
        <v>1</v>
      </c>
    </row>
    <row r="105" spans="1:13" x14ac:dyDescent="0.25">
      <c r="A105" s="2">
        <v>46190</v>
      </c>
      <c r="B105" s="1" t="str">
        <f ca="1">IF(Información1[[#This Row],[Fecha]]='Ajuste de fechas'!$A$2,"Día actual","Día anterior")</f>
        <v>Día actual</v>
      </c>
      <c r="C105" s="3" t="s">
        <v>78</v>
      </c>
      <c r="D105" t="s">
        <v>79</v>
      </c>
      <c r="E105" s="3" t="s">
        <v>232</v>
      </c>
      <c r="F105" s="3" t="s">
        <v>15</v>
      </c>
      <c r="G105" s="3" t="s">
        <v>133</v>
      </c>
      <c r="H105" s="3" t="s">
        <v>69</v>
      </c>
      <c r="I105" s="3" t="s">
        <v>7</v>
      </c>
      <c r="J105" s="3" t="s">
        <v>57</v>
      </c>
      <c r="K105" s="3" t="s">
        <v>81</v>
      </c>
      <c r="L105" s="3" t="s">
        <v>24</v>
      </c>
      <c r="M105">
        <v>1</v>
      </c>
    </row>
    <row r="106" spans="1:13" x14ac:dyDescent="0.25">
      <c r="A106" s="2">
        <v>46190</v>
      </c>
      <c r="B106" s="1" t="str">
        <f ca="1">IF(Información1[[#This Row],[Fecha]]='Ajuste de fechas'!$A$2,"Día actual","Día anterior")</f>
        <v>Día actual</v>
      </c>
      <c r="C106" s="3" t="s">
        <v>78</v>
      </c>
      <c r="D106" t="s">
        <v>79</v>
      </c>
      <c r="E106" s="3" t="s">
        <v>233</v>
      </c>
      <c r="F106" s="3" t="s">
        <v>234</v>
      </c>
      <c r="G106" s="3" t="s">
        <v>235</v>
      </c>
      <c r="H106" s="3" t="s">
        <v>69</v>
      </c>
      <c r="I106" s="3" t="s">
        <v>7</v>
      </c>
      <c r="J106" s="3" t="s">
        <v>57</v>
      </c>
      <c r="K106" s="3" t="s">
        <v>81</v>
      </c>
      <c r="L106" s="3" t="s">
        <v>26</v>
      </c>
      <c r="M106">
        <v>1</v>
      </c>
    </row>
    <row r="107" spans="1:13" x14ac:dyDescent="0.25">
      <c r="A107" s="2">
        <v>46190</v>
      </c>
      <c r="B107" s="1" t="str">
        <f ca="1">IF(Información1[[#This Row],[Fecha]]='Ajuste de fechas'!$A$2,"Día actual","Día anterior")</f>
        <v>Día actual</v>
      </c>
      <c r="C107" s="3" t="s">
        <v>78</v>
      </c>
      <c r="D107" t="s">
        <v>79</v>
      </c>
      <c r="E107" s="3" t="s">
        <v>236</v>
      </c>
      <c r="F107" s="3" t="s">
        <v>15</v>
      </c>
      <c r="G107" s="3" t="s">
        <v>237</v>
      </c>
      <c r="H107" s="3" t="s">
        <v>69</v>
      </c>
      <c r="I107" s="3" t="s">
        <v>7</v>
      </c>
      <c r="J107" s="3" t="s">
        <v>57</v>
      </c>
      <c r="K107" s="3" t="s">
        <v>81</v>
      </c>
      <c r="L107" s="3" t="s">
        <v>24</v>
      </c>
      <c r="M107">
        <v>1</v>
      </c>
    </row>
    <row r="108" spans="1:13" x14ac:dyDescent="0.25">
      <c r="A108" s="2">
        <v>46190</v>
      </c>
      <c r="B108" s="1" t="str">
        <f ca="1">IF(Información1[[#This Row],[Fecha]]='Ajuste de fechas'!$A$2,"Día actual","Día anterior")</f>
        <v>Día actual</v>
      </c>
      <c r="C108" s="3" t="s">
        <v>78</v>
      </c>
      <c r="D108" t="s">
        <v>79</v>
      </c>
      <c r="E108" s="3" t="s">
        <v>238</v>
      </c>
      <c r="F108" s="3" t="s">
        <v>64</v>
      </c>
      <c r="G108" s="3" t="s">
        <v>65</v>
      </c>
      <c r="H108" s="3" t="s">
        <v>69</v>
      </c>
      <c r="I108" s="3" t="s">
        <v>7</v>
      </c>
      <c r="J108" s="3" t="s">
        <v>57</v>
      </c>
      <c r="K108" s="3" t="s">
        <v>81</v>
      </c>
      <c r="L108" s="3" t="s">
        <v>26</v>
      </c>
      <c r="M108">
        <v>1</v>
      </c>
    </row>
    <row r="109" spans="1:13" x14ac:dyDescent="0.25">
      <c r="A109" s="2">
        <v>46190</v>
      </c>
      <c r="B109" s="1" t="str">
        <f ca="1">IF(Información1[[#This Row],[Fecha]]='Ajuste de fechas'!$A$2,"Día actual","Día anterior")</f>
        <v>Día actual</v>
      </c>
      <c r="C109" s="3" t="s">
        <v>78</v>
      </c>
      <c r="D109" t="s">
        <v>79</v>
      </c>
      <c r="E109" s="3" t="s">
        <v>205</v>
      </c>
      <c r="F109" s="3" t="s">
        <v>66</v>
      </c>
      <c r="G109" s="3" t="s">
        <v>89</v>
      </c>
      <c r="H109" s="3" t="s">
        <v>69</v>
      </c>
      <c r="I109" s="3" t="s">
        <v>7</v>
      </c>
      <c r="J109" s="3" t="s">
        <v>57</v>
      </c>
      <c r="K109" s="3" t="s">
        <v>81</v>
      </c>
      <c r="L109" s="3" t="s">
        <v>26</v>
      </c>
      <c r="M109">
        <v>1</v>
      </c>
    </row>
    <row r="110" spans="1:13" x14ac:dyDescent="0.25">
      <c r="A110" s="2">
        <v>46190</v>
      </c>
      <c r="B110" s="1" t="str">
        <f ca="1">IF(Información1[[#This Row],[Fecha]]='Ajuste de fechas'!$A$2,"Día actual","Día anterior")</f>
        <v>Día actual</v>
      </c>
      <c r="C110" s="3" t="s">
        <v>78</v>
      </c>
      <c r="D110" t="s">
        <v>79</v>
      </c>
      <c r="E110" s="3" t="s">
        <v>239</v>
      </c>
      <c r="F110" s="3" t="s">
        <v>37</v>
      </c>
      <c r="G110" s="3" t="s">
        <v>240</v>
      </c>
      <c r="H110" s="3" t="s">
        <v>69</v>
      </c>
      <c r="I110" s="3" t="s">
        <v>7</v>
      </c>
      <c r="J110" s="3" t="s">
        <v>57</v>
      </c>
      <c r="K110" s="3" t="s">
        <v>81</v>
      </c>
      <c r="L110" s="3" t="s">
        <v>24</v>
      </c>
      <c r="M110">
        <v>1</v>
      </c>
    </row>
    <row r="111" spans="1:13" x14ac:dyDescent="0.25">
      <c r="A111" s="2">
        <v>46190</v>
      </c>
      <c r="B111" s="1" t="str">
        <f ca="1">IF(Información1[[#This Row],[Fecha]]='Ajuste de fechas'!$A$2,"Día actual","Día anterior")</f>
        <v>Día actual</v>
      </c>
      <c r="C111" s="3" t="s">
        <v>78</v>
      </c>
      <c r="D111" t="s">
        <v>79</v>
      </c>
      <c r="E111" s="3" t="s">
        <v>241</v>
      </c>
      <c r="F111" s="3" t="s">
        <v>10</v>
      </c>
      <c r="G111" s="3" t="s">
        <v>83</v>
      </c>
      <c r="H111" s="3" t="s">
        <v>69</v>
      </c>
      <c r="I111" s="3" t="s">
        <v>14</v>
      </c>
      <c r="J111" s="3" t="s">
        <v>59</v>
      </c>
      <c r="K111" s="3" t="s">
        <v>116</v>
      </c>
      <c r="L111" s="3" t="s">
        <v>24</v>
      </c>
      <c r="M111">
        <v>1</v>
      </c>
    </row>
    <row r="112" spans="1:13" x14ac:dyDescent="0.25">
      <c r="A112" s="2">
        <v>46190</v>
      </c>
      <c r="B112" s="1" t="str">
        <f ca="1">IF(Información1[[#This Row],[Fecha]]='Ajuste de fechas'!$A$2,"Día actual","Día anterior")</f>
        <v>Día actual</v>
      </c>
      <c r="C112" s="3" t="s">
        <v>78</v>
      </c>
      <c r="D112" t="s">
        <v>79</v>
      </c>
      <c r="E112" s="3" t="s">
        <v>242</v>
      </c>
      <c r="F112" s="3" t="s">
        <v>17</v>
      </c>
      <c r="G112" s="3" t="s">
        <v>208</v>
      </c>
      <c r="H112" s="3" t="s">
        <v>69</v>
      </c>
      <c r="I112" s="3" t="s">
        <v>7</v>
      </c>
      <c r="J112" s="3" t="s">
        <v>57</v>
      </c>
      <c r="K112" s="3" t="s">
        <v>81</v>
      </c>
      <c r="L112" s="3" t="s">
        <v>26</v>
      </c>
      <c r="M112">
        <v>1</v>
      </c>
    </row>
    <row r="113" spans="1:13" x14ac:dyDescent="0.25">
      <c r="A113" s="2">
        <v>46190</v>
      </c>
      <c r="B113" s="1" t="str">
        <f ca="1">IF(Información1[[#This Row],[Fecha]]='Ajuste de fechas'!$A$2,"Día actual","Día anterior")</f>
        <v>Día actual</v>
      </c>
      <c r="C113" s="3" t="s">
        <v>78</v>
      </c>
      <c r="D113" t="s">
        <v>79</v>
      </c>
      <c r="E113" s="3" t="s">
        <v>243</v>
      </c>
      <c r="F113" s="3" t="s">
        <v>80</v>
      </c>
      <c r="G113" s="3" t="s">
        <v>244</v>
      </c>
      <c r="H113" s="3" t="s">
        <v>69</v>
      </c>
      <c r="I113" s="3" t="s">
        <v>7</v>
      </c>
      <c r="J113" s="3" t="s">
        <v>75</v>
      </c>
      <c r="K113" s="3" t="s">
        <v>81</v>
      </c>
      <c r="L113" s="3" t="s">
        <v>24</v>
      </c>
      <c r="M113">
        <v>1</v>
      </c>
    </row>
    <row r="114" spans="1:13" x14ac:dyDescent="0.25">
      <c r="A114" s="2">
        <v>46190</v>
      </c>
      <c r="B114" s="1" t="str">
        <f ca="1">IF(Información1[[#This Row],[Fecha]]='Ajuste de fechas'!$A$2,"Día actual","Día anterior")</f>
        <v>Día actual</v>
      </c>
      <c r="C114" s="3" t="s">
        <v>78</v>
      </c>
      <c r="D114" t="s">
        <v>79</v>
      </c>
      <c r="E114" s="3" t="s">
        <v>245</v>
      </c>
      <c r="F114" s="3" t="s">
        <v>10</v>
      </c>
      <c r="G114" s="3" t="s">
        <v>110</v>
      </c>
      <c r="H114" s="3" t="s">
        <v>69</v>
      </c>
      <c r="I114" s="3" t="s">
        <v>7</v>
      </c>
      <c r="J114" s="3" t="s">
        <v>59</v>
      </c>
      <c r="K114" s="3" t="s">
        <v>125</v>
      </c>
      <c r="L114" s="3" t="s">
        <v>24</v>
      </c>
      <c r="M114">
        <v>1</v>
      </c>
    </row>
    <row r="115" spans="1:13" x14ac:dyDescent="0.25">
      <c r="A115" s="2">
        <v>46190</v>
      </c>
      <c r="B115" s="1" t="str">
        <f ca="1">IF(Información1[[#This Row],[Fecha]]='Ajuste de fechas'!$A$2,"Día actual","Día anterior")</f>
        <v>Día actual</v>
      </c>
      <c r="C115" s="3" t="s">
        <v>78</v>
      </c>
      <c r="D115" t="s">
        <v>79</v>
      </c>
      <c r="E115" s="3" t="s">
        <v>246</v>
      </c>
      <c r="F115" s="3" t="s">
        <v>10</v>
      </c>
      <c r="G115" s="3" t="s">
        <v>48</v>
      </c>
      <c r="H115" s="3" t="s">
        <v>69</v>
      </c>
      <c r="I115" s="3" t="s">
        <v>7</v>
      </c>
      <c r="J115" s="3" t="s">
        <v>59</v>
      </c>
      <c r="K115" s="3" t="s">
        <v>125</v>
      </c>
      <c r="L115" s="3" t="s">
        <v>24</v>
      </c>
      <c r="M115">
        <v>1</v>
      </c>
    </row>
    <row r="116" spans="1:13" x14ac:dyDescent="0.25">
      <c r="A116" s="2">
        <v>46190</v>
      </c>
      <c r="B116" s="1" t="str">
        <f ca="1">IF(Información1[[#This Row],[Fecha]]='Ajuste de fechas'!$A$2,"Día actual","Día anterior")</f>
        <v>Día actual</v>
      </c>
      <c r="C116" s="3" t="s">
        <v>78</v>
      </c>
      <c r="D116" t="s">
        <v>79</v>
      </c>
      <c r="E116" s="3" t="s">
        <v>247</v>
      </c>
      <c r="F116" s="3" t="s">
        <v>10</v>
      </c>
      <c r="G116" s="3" t="s">
        <v>142</v>
      </c>
      <c r="H116" s="3" t="s">
        <v>69</v>
      </c>
      <c r="I116" s="3" t="s">
        <v>7</v>
      </c>
      <c r="J116" s="3" t="s">
        <v>59</v>
      </c>
      <c r="K116" s="3" t="s">
        <v>81</v>
      </c>
      <c r="L116" s="3" t="s">
        <v>24</v>
      </c>
      <c r="M116">
        <v>1</v>
      </c>
    </row>
    <row r="117" spans="1:13" x14ac:dyDescent="0.25">
      <c r="A117" s="2">
        <v>46190</v>
      </c>
      <c r="B117" s="1" t="str">
        <f ca="1">IF(Información1[[#This Row],[Fecha]]='Ajuste de fechas'!$A$2,"Día actual","Día anterior")</f>
        <v>Día actual</v>
      </c>
      <c r="C117" s="3" t="s">
        <v>78</v>
      </c>
      <c r="D117" t="s">
        <v>79</v>
      </c>
      <c r="E117" s="3" t="s">
        <v>248</v>
      </c>
      <c r="F117" s="3" t="s">
        <v>6</v>
      </c>
      <c r="G117" s="3" t="s">
        <v>48</v>
      </c>
      <c r="H117" s="3" t="s">
        <v>69</v>
      </c>
      <c r="I117" s="3" t="s">
        <v>7</v>
      </c>
      <c r="J117" s="3" t="s">
        <v>57</v>
      </c>
      <c r="K117" s="3" t="s">
        <v>81</v>
      </c>
      <c r="L117" s="3" t="s">
        <v>24</v>
      </c>
      <c r="M117">
        <v>1</v>
      </c>
    </row>
    <row r="118" spans="1:13" x14ac:dyDescent="0.25">
      <c r="A118" s="2">
        <v>46190</v>
      </c>
      <c r="B118" s="1" t="str">
        <f ca="1">IF(Información1[[#This Row],[Fecha]]='Ajuste de fechas'!$A$2,"Día actual","Día anterior")</f>
        <v>Día actual</v>
      </c>
      <c r="C118" s="3" t="s">
        <v>78</v>
      </c>
      <c r="D118" t="s">
        <v>79</v>
      </c>
      <c r="E118" s="3" t="s">
        <v>249</v>
      </c>
      <c r="F118" s="3" t="s">
        <v>9</v>
      </c>
      <c r="G118" s="3" t="s">
        <v>85</v>
      </c>
      <c r="H118" s="3" t="s">
        <v>69</v>
      </c>
      <c r="I118" s="3" t="s">
        <v>14</v>
      </c>
      <c r="J118" s="3" t="s">
        <v>57</v>
      </c>
      <c r="K118" s="3" t="s">
        <v>81</v>
      </c>
      <c r="L118" s="3" t="s">
        <v>25</v>
      </c>
      <c r="M118">
        <v>1</v>
      </c>
    </row>
    <row r="119" spans="1:13" x14ac:dyDescent="0.25">
      <c r="A119" s="2">
        <v>46190</v>
      </c>
      <c r="B119" s="1" t="str">
        <f ca="1">IF(Información1[[#This Row],[Fecha]]='Ajuste de fechas'!$A$2,"Día actual","Día anterior")</f>
        <v>Día actual</v>
      </c>
      <c r="C119" s="3" t="s">
        <v>78</v>
      </c>
      <c r="D119" t="s">
        <v>79</v>
      </c>
      <c r="E119" s="3" t="s">
        <v>250</v>
      </c>
      <c r="F119" s="3" t="s">
        <v>9</v>
      </c>
      <c r="G119" s="3" t="s">
        <v>43</v>
      </c>
      <c r="H119" s="3" t="s">
        <v>69</v>
      </c>
      <c r="I119" s="3" t="s">
        <v>7</v>
      </c>
      <c r="J119" s="3" t="s">
        <v>57</v>
      </c>
      <c r="K119" s="3" t="s">
        <v>81</v>
      </c>
      <c r="L119" s="3" t="s">
        <v>26</v>
      </c>
      <c r="M119">
        <v>1</v>
      </c>
    </row>
    <row r="120" spans="1:13" x14ac:dyDescent="0.25">
      <c r="A120" s="2">
        <v>46190</v>
      </c>
      <c r="B120" s="1" t="str">
        <f ca="1">IF(Información1[[#This Row],[Fecha]]='Ajuste de fechas'!$A$2,"Día actual","Día anterior")</f>
        <v>Día actual</v>
      </c>
      <c r="C120" s="3" t="s">
        <v>45</v>
      </c>
      <c r="D120" t="s">
        <v>46</v>
      </c>
      <c r="E120" s="3" t="s">
        <v>205</v>
      </c>
      <c r="F120" s="3" t="s">
        <v>66</v>
      </c>
      <c r="G120" s="3" t="s">
        <v>89</v>
      </c>
      <c r="H120" s="3" t="s">
        <v>8</v>
      </c>
      <c r="I120" s="3" t="s">
        <v>7</v>
      </c>
      <c r="J120" s="3" t="s">
        <v>57</v>
      </c>
      <c r="K120" s="3" t="s">
        <v>47</v>
      </c>
      <c r="L120" s="3" t="s">
        <v>26</v>
      </c>
      <c r="M120">
        <v>1</v>
      </c>
    </row>
    <row r="121" spans="1:13" x14ac:dyDescent="0.25">
      <c r="A121" s="2">
        <v>46190</v>
      </c>
      <c r="B121" s="1" t="str">
        <f ca="1">IF(Información1[[#This Row],[Fecha]]='Ajuste de fechas'!$A$2,"Día actual","Día anterior")</f>
        <v>Día actual</v>
      </c>
      <c r="C121" s="3" t="s">
        <v>45</v>
      </c>
      <c r="D121" t="s">
        <v>46</v>
      </c>
      <c r="E121" s="3" t="s">
        <v>101</v>
      </c>
      <c r="F121" s="3" t="s">
        <v>15</v>
      </c>
      <c r="G121" s="3" t="s">
        <v>82</v>
      </c>
      <c r="H121" s="3" t="s">
        <v>8</v>
      </c>
      <c r="I121" s="3" t="s">
        <v>7</v>
      </c>
      <c r="J121" s="3" t="s">
        <v>57</v>
      </c>
      <c r="K121" s="3" t="s">
        <v>47</v>
      </c>
      <c r="L121" s="3" t="s">
        <v>26</v>
      </c>
      <c r="M121">
        <v>1</v>
      </c>
    </row>
    <row r="122" spans="1:13" x14ac:dyDescent="0.25">
      <c r="A122" s="2">
        <v>46190</v>
      </c>
      <c r="B122" s="1" t="str">
        <f ca="1">IF(Información1[[#This Row],[Fecha]]='Ajuste de fechas'!$A$2,"Día actual","Día anterior")</f>
        <v>Día actual</v>
      </c>
      <c r="C122" s="3" t="s">
        <v>45</v>
      </c>
      <c r="D122" t="s">
        <v>46</v>
      </c>
      <c r="E122" s="3" t="s">
        <v>63</v>
      </c>
      <c r="F122" s="3" t="s">
        <v>41</v>
      </c>
      <c r="G122" s="3" t="s">
        <v>56</v>
      </c>
      <c r="H122" s="3" t="s">
        <v>8</v>
      </c>
      <c r="I122" s="3" t="s">
        <v>7</v>
      </c>
      <c r="J122" s="3" t="s">
        <v>57</v>
      </c>
      <c r="K122" s="3" t="s">
        <v>47</v>
      </c>
      <c r="L122" s="3" t="s">
        <v>26</v>
      </c>
      <c r="M122">
        <v>1</v>
      </c>
    </row>
    <row r="123" spans="1:13" x14ac:dyDescent="0.25">
      <c r="A123" s="2">
        <v>46190</v>
      </c>
      <c r="B123" s="1" t="str">
        <f ca="1">IF(Información1[[#This Row],[Fecha]]='Ajuste de fechas'!$A$2,"Día actual","Día anterior")</f>
        <v>Día actual</v>
      </c>
      <c r="C123" s="3" t="s">
        <v>31</v>
      </c>
      <c r="D123" t="s">
        <v>36</v>
      </c>
      <c r="E123" s="3" t="s">
        <v>251</v>
      </c>
      <c r="F123" s="3" t="s">
        <v>11</v>
      </c>
      <c r="G123" s="3" t="s">
        <v>54</v>
      </c>
      <c r="H123" s="3" t="s">
        <v>8</v>
      </c>
      <c r="I123" s="3" t="s">
        <v>7</v>
      </c>
      <c r="J123" s="3" t="s">
        <v>58</v>
      </c>
      <c r="K123" s="3" t="s">
        <v>32</v>
      </c>
      <c r="L123" s="3" t="s">
        <v>24</v>
      </c>
      <c r="M123">
        <v>1</v>
      </c>
    </row>
    <row r="124" spans="1:13" x14ac:dyDescent="0.25">
      <c r="A124" s="2">
        <v>46190</v>
      </c>
      <c r="B124" s="1" t="str">
        <f ca="1">IF(Información1[[#This Row],[Fecha]]='Ajuste de fechas'!$A$2,"Día actual","Día anterior")</f>
        <v>Día actual</v>
      </c>
      <c r="C124" s="3" t="s">
        <v>31</v>
      </c>
      <c r="D124" t="s">
        <v>36</v>
      </c>
      <c r="E124" s="3" t="s">
        <v>252</v>
      </c>
      <c r="F124" s="3" t="s">
        <v>10</v>
      </c>
      <c r="G124" s="3" t="s">
        <v>253</v>
      </c>
      <c r="H124" s="3" t="s">
        <v>8</v>
      </c>
      <c r="I124" s="3" t="s">
        <v>14</v>
      </c>
      <c r="J124" s="3" t="s">
        <v>59</v>
      </c>
      <c r="K124" s="3" t="s">
        <v>32</v>
      </c>
      <c r="L124" s="3" t="s">
        <v>24</v>
      </c>
      <c r="M124">
        <v>1</v>
      </c>
    </row>
    <row r="125" spans="1:13" x14ac:dyDescent="0.25">
      <c r="A125" s="2">
        <v>46190</v>
      </c>
      <c r="B125" s="1" t="str">
        <f ca="1">IF(Información1[[#This Row],[Fecha]]='Ajuste de fechas'!$A$2,"Día actual","Día anterior")</f>
        <v>Día actual</v>
      </c>
      <c r="C125" s="3" t="s">
        <v>31</v>
      </c>
      <c r="D125" t="s">
        <v>36</v>
      </c>
      <c r="E125" s="3" t="s">
        <v>250</v>
      </c>
      <c r="F125" s="3" t="s">
        <v>9</v>
      </c>
      <c r="G125" s="3" t="s">
        <v>43</v>
      </c>
      <c r="H125" s="3" t="s">
        <v>8</v>
      </c>
      <c r="I125" s="3" t="s">
        <v>7</v>
      </c>
      <c r="J125" s="3" t="s">
        <v>57</v>
      </c>
      <c r="K125" s="3" t="s">
        <v>32</v>
      </c>
      <c r="L125" s="3" t="s">
        <v>26</v>
      </c>
      <c r="M125">
        <v>1</v>
      </c>
    </row>
    <row r="126" spans="1:13" x14ac:dyDescent="0.25">
      <c r="A126" s="2">
        <v>46190</v>
      </c>
      <c r="B126" s="1" t="str">
        <f ca="1">IF(Información1[[#This Row],[Fecha]]='Ajuste de fechas'!$A$2,"Día actual","Día anterior")</f>
        <v>Día actual</v>
      </c>
      <c r="C126" s="3" t="s">
        <v>49</v>
      </c>
      <c r="D126" t="s">
        <v>51</v>
      </c>
      <c r="E126" s="3" t="s">
        <v>254</v>
      </c>
      <c r="F126" s="3" t="s">
        <v>41</v>
      </c>
      <c r="G126" s="3" t="s">
        <v>48</v>
      </c>
      <c r="H126" s="3" t="s">
        <v>8</v>
      </c>
      <c r="I126" s="3" t="s">
        <v>7</v>
      </c>
      <c r="J126" s="3" t="s">
        <v>57</v>
      </c>
      <c r="K126" s="3" t="s">
        <v>50</v>
      </c>
      <c r="L126" s="3" t="s">
        <v>26</v>
      </c>
      <c r="M126">
        <v>1</v>
      </c>
    </row>
    <row r="127" spans="1:13" x14ac:dyDescent="0.25">
      <c r="A127" s="2">
        <v>46190</v>
      </c>
      <c r="B127" s="1" t="str">
        <f ca="1">IF(Información1[[#This Row],[Fecha]]='Ajuste de fechas'!$A$2,"Día actual","Día anterior")</f>
        <v>Día actual</v>
      </c>
      <c r="C127" s="3" t="s">
        <v>38</v>
      </c>
      <c r="D127" t="s">
        <v>39</v>
      </c>
      <c r="E127" s="3" t="s">
        <v>255</v>
      </c>
      <c r="F127" s="3" t="s">
        <v>34</v>
      </c>
      <c r="G127" s="3" t="s">
        <v>256</v>
      </c>
      <c r="H127" s="3" t="s">
        <v>8</v>
      </c>
      <c r="I127" s="3" t="s">
        <v>7</v>
      </c>
      <c r="J127" s="3" t="s">
        <v>13</v>
      </c>
      <c r="K127" s="3" t="s">
        <v>40</v>
      </c>
      <c r="L127" s="3" t="s">
        <v>24</v>
      </c>
      <c r="M127">
        <v>1</v>
      </c>
    </row>
    <row r="128" spans="1:13" x14ac:dyDescent="0.25">
      <c r="A128" s="2">
        <v>46190</v>
      </c>
      <c r="B128" s="1" t="str">
        <f ca="1">IF(Información1[[#This Row],[Fecha]]='Ajuste de fechas'!$A$2,"Día actual","Día anterior")</f>
        <v>Día actual</v>
      </c>
      <c r="C128" s="3" t="s">
        <v>38</v>
      </c>
      <c r="D128" t="s">
        <v>39</v>
      </c>
      <c r="E128" s="3" t="s">
        <v>257</v>
      </c>
      <c r="F128" s="3" t="s">
        <v>11</v>
      </c>
      <c r="G128" s="3" t="s">
        <v>133</v>
      </c>
      <c r="H128" s="3" t="s">
        <v>8</v>
      </c>
      <c r="I128" s="3" t="s">
        <v>7</v>
      </c>
      <c r="J128" s="3" t="s">
        <v>58</v>
      </c>
      <c r="K128" s="3" t="s">
        <v>40</v>
      </c>
      <c r="L128" s="3" t="s">
        <v>24</v>
      </c>
      <c r="M128">
        <v>1</v>
      </c>
    </row>
    <row r="129" spans="1:13" x14ac:dyDescent="0.25">
      <c r="A129" s="2">
        <v>46190</v>
      </c>
      <c r="B129" s="1" t="str">
        <f ca="1">IF(Información1[[#This Row],[Fecha]]='Ajuste de fechas'!$A$2,"Día actual","Día anterior")</f>
        <v>Día actual</v>
      </c>
      <c r="C129" s="3" t="s">
        <v>38</v>
      </c>
      <c r="D129" t="s">
        <v>39</v>
      </c>
      <c r="E129" s="3" t="s">
        <v>190</v>
      </c>
      <c r="F129" s="3" t="s">
        <v>64</v>
      </c>
      <c r="G129" s="3" t="s">
        <v>65</v>
      </c>
      <c r="H129" s="3" t="s">
        <v>8</v>
      </c>
      <c r="I129" s="3" t="s">
        <v>7</v>
      </c>
      <c r="J129" s="3" t="s">
        <v>57</v>
      </c>
      <c r="K129" s="3" t="s">
        <v>40</v>
      </c>
      <c r="L129" s="3" t="s">
        <v>26</v>
      </c>
      <c r="M129">
        <v>1</v>
      </c>
    </row>
    <row r="130" spans="1:13" x14ac:dyDescent="0.25">
      <c r="A130" s="2">
        <v>46190</v>
      </c>
      <c r="B130" s="1" t="str">
        <f ca="1">IF(Información1[[#This Row],[Fecha]]='Ajuste de fechas'!$A$2,"Día actual","Día anterior")</f>
        <v>Día actual</v>
      </c>
      <c r="C130" s="3" t="s">
        <v>38</v>
      </c>
      <c r="D130" t="s">
        <v>39</v>
      </c>
      <c r="E130" s="3" t="s">
        <v>239</v>
      </c>
      <c r="F130" s="3" t="s">
        <v>37</v>
      </c>
      <c r="G130" s="3" t="s">
        <v>240</v>
      </c>
      <c r="H130" s="3" t="s">
        <v>8</v>
      </c>
      <c r="I130" s="3" t="s">
        <v>7</v>
      </c>
      <c r="J130" s="3" t="s">
        <v>57</v>
      </c>
      <c r="K130" s="3" t="s">
        <v>40</v>
      </c>
      <c r="L130" s="3" t="s">
        <v>26</v>
      </c>
      <c r="M130">
        <v>1</v>
      </c>
    </row>
    <row r="131" spans="1:13" x14ac:dyDescent="0.25">
      <c r="A131" s="2">
        <v>46190</v>
      </c>
      <c r="B131" s="1" t="str">
        <f ca="1">IF(Información1[[#This Row],[Fecha]]='Ajuste de fechas'!$A$2,"Día actual","Día anterior")</f>
        <v>Día actual</v>
      </c>
      <c r="C131" s="3" t="s">
        <v>38</v>
      </c>
      <c r="D131" t="s">
        <v>39</v>
      </c>
      <c r="E131" s="3" t="s">
        <v>250</v>
      </c>
      <c r="F131" s="3" t="s">
        <v>9</v>
      </c>
      <c r="G131" s="3" t="s">
        <v>43</v>
      </c>
      <c r="H131" s="3" t="s">
        <v>8</v>
      </c>
      <c r="I131" s="3" t="s">
        <v>7</v>
      </c>
      <c r="J131" s="3" t="s">
        <v>57</v>
      </c>
      <c r="K131" s="3" t="s">
        <v>40</v>
      </c>
      <c r="L131" s="3" t="s">
        <v>26</v>
      </c>
      <c r="M131">
        <v>1</v>
      </c>
    </row>
    <row r="132" spans="1:13" x14ac:dyDescent="0.25">
      <c r="A132" s="2">
        <v>46190</v>
      </c>
      <c r="B132" s="1" t="str">
        <f ca="1">IF(Información1[[#This Row],[Fecha]]='Ajuste de fechas'!$A$2,"Día actual","Día anterior")</f>
        <v>Día actual</v>
      </c>
      <c r="C132" s="3" t="s">
        <v>38</v>
      </c>
      <c r="D132" t="s">
        <v>39</v>
      </c>
      <c r="E132" s="3" t="s">
        <v>233</v>
      </c>
      <c r="F132" s="3" t="s">
        <v>234</v>
      </c>
      <c r="G132" s="3" t="s">
        <v>235</v>
      </c>
      <c r="H132" s="3" t="s">
        <v>8</v>
      </c>
      <c r="I132" s="3" t="s">
        <v>7</v>
      </c>
      <c r="J132" s="3" t="s">
        <v>57</v>
      </c>
      <c r="K132" s="3" t="s">
        <v>40</v>
      </c>
      <c r="L132" s="3" t="s">
        <v>26</v>
      </c>
      <c r="M132">
        <v>1</v>
      </c>
    </row>
    <row r="133" spans="1:13" x14ac:dyDescent="0.25">
      <c r="A133" s="2">
        <v>46190</v>
      </c>
      <c r="B133" s="1" t="str">
        <f ca="1">IF(Información1[[#This Row],[Fecha]]='Ajuste de fechas'!$A$2,"Día actual","Día anterior")</f>
        <v>Día actual</v>
      </c>
      <c r="C133" s="3" t="s">
        <v>38</v>
      </c>
      <c r="D133" t="s">
        <v>39</v>
      </c>
      <c r="E133" s="3" t="s">
        <v>209</v>
      </c>
      <c r="F133" s="3" t="s">
        <v>12</v>
      </c>
      <c r="G133" s="3" t="s">
        <v>210</v>
      </c>
      <c r="H133" s="3" t="s">
        <v>8</v>
      </c>
      <c r="I133" s="3" t="s">
        <v>7</v>
      </c>
      <c r="J133" s="3" t="s">
        <v>57</v>
      </c>
      <c r="K133" s="3" t="s">
        <v>40</v>
      </c>
      <c r="L133" s="3" t="s">
        <v>26</v>
      </c>
      <c r="M133">
        <v>1</v>
      </c>
    </row>
    <row r="134" spans="1:13" x14ac:dyDescent="0.25">
      <c r="A134" s="2">
        <v>46190</v>
      </c>
      <c r="B134" s="1" t="str">
        <f ca="1">IF(Información1[[#This Row],[Fecha]]='Ajuste de fechas'!$A$2,"Día actual","Día anterior")</f>
        <v>Día actual</v>
      </c>
      <c r="C134" s="3" t="s">
        <v>38</v>
      </c>
      <c r="D134" t="s">
        <v>39</v>
      </c>
      <c r="E134" s="3" t="s">
        <v>258</v>
      </c>
      <c r="F134" s="3" t="s">
        <v>12</v>
      </c>
      <c r="G134" s="3" t="s">
        <v>218</v>
      </c>
      <c r="H134" s="3" t="s">
        <v>8</v>
      </c>
      <c r="I134" s="3" t="s">
        <v>7</v>
      </c>
      <c r="J134" s="3" t="s">
        <v>57</v>
      </c>
      <c r="K134" s="3" t="s">
        <v>40</v>
      </c>
      <c r="L134" s="3" t="s">
        <v>26</v>
      </c>
      <c r="M134">
        <v>1</v>
      </c>
    </row>
    <row r="135" spans="1:13" x14ac:dyDescent="0.25">
      <c r="A135" s="2">
        <v>46190</v>
      </c>
      <c r="B135" s="1" t="str">
        <f ca="1">IF(Información1[[#This Row],[Fecha]]='Ajuste de fechas'!$A$2,"Día actual","Día anterior")</f>
        <v>Día actual</v>
      </c>
      <c r="C135" s="3" t="s">
        <v>38</v>
      </c>
      <c r="D135" t="s">
        <v>39</v>
      </c>
      <c r="E135" s="3" t="s">
        <v>259</v>
      </c>
      <c r="F135" s="3" t="s">
        <v>15</v>
      </c>
      <c r="G135" s="3" t="s">
        <v>260</v>
      </c>
      <c r="H135" s="3" t="s">
        <v>8</v>
      </c>
      <c r="I135" s="3" t="s">
        <v>7</v>
      </c>
      <c r="J135" s="3" t="s">
        <v>57</v>
      </c>
      <c r="K135" s="3" t="s">
        <v>40</v>
      </c>
      <c r="L135" s="3" t="s">
        <v>24</v>
      </c>
      <c r="M135">
        <v>1</v>
      </c>
    </row>
    <row r="136" spans="1:13" x14ac:dyDescent="0.25">
      <c r="A136" s="2">
        <v>46190</v>
      </c>
      <c r="B136" s="1" t="str">
        <f ca="1">IF(Información1[[#This Row],[Fecha]]='Ajuste de fechas'!$A$2,"Día actual","Día anterior")</f>
        <v>Día actual</v>
      </c>
      <c r="C136" s="3" t="s">
        <v>16</v>
      </c>
      <c r="D136" t="s">
        <v>53</v>
      </c>
      <c r="E136" s="3" t="s">
        <v>261</v>
      </c>
      <c r="F136" s="3" t="s">
        <v>10</v>
      </c>
      <c r="G136" s="3" t="s">
        <v>262</v>
      </c>
      <c r="H136" s="3" t="s">
        <v>8</v>
      </c>
      <c r="I136" s="3" t="s">
        <v>7</v>
      </c>
      <c r="J136" s="3" t="s">
        <v>59</v>
      </c>
      <c r="K136" s="3" t="s">
        <v>52</v>
      </c>
      <c r="L136" s="3" t="s">
        <v>24</v>
      </c>
      <c r="M136">
        <v>1</v>
      </c>
    </row>
    <row r="137" spans="1:13" x14ac:dyDescent="0.25">
      <c r="A137" s="2">
        <v>46190</v>
      </c>
      <c r="B137" s="1" t="str">
        <f ca="1">IF(Información1[[#This Row],[Fecha]]='Ajuste de fechas'!$A$2,"Día actual","Día anterior")</f>
        <v>Día actual</v>
      </c>
      <c r="C137" s="3" t="s">
        <v>16</v>
      </c>
      <c r="D137" t="s">
        <v>53</v>
      </c>
      <c r="E137" s="3" t="s">
        <v>263</v>
      </c>
      <c r="F137" s="3" t="s">
        <v>66</v>
      </c>
      <c r="G137" s="3" t="s">
        <v>89</v>
      </c>
      <c r="H137" s="3" t="s">
        <v>8</v>
      </c>
      <c r="I137" s="3" t="s">
        <v>7</v>
      </c>
      <c r="J137" s="3" t="s">
        <v>57</v>
      </c>
      <c r="K137" s="3" t="s">
        <v>52</v>
      </c>
      <c r="L137" s="3" t="s">
        <v>24</v>
      </c>
      <c r="M137">
        <v>1</v>
      </c>
    </row>
    <row r="138" spans="1:13" x14ac:dyDescent="0.25">
      <c r="A138" s="2">
        <v>46190</v>
      </c>
      <c r="B138" s="1" t="str">
        <f ca="1">IF(Información1[[#This Row],[Fecha]]='Ajuste de fechas'!$A$2,"Día actual","Día anterior")</f>
        <v>Día actual</v>
      </c>
      <c r="C138" s="3" t="s">
        <v>16</v>
      </c>
      <c r="D138" t="s">
        <v>53</v>
      </c>
      <c r="E138" s="3" t="s">
        <v>264</v>
      </c>
      <c r="F138" s="3" t="s">
        <v>11</v>
      </c>
      <c r="G138" s="3" t="s">
        <v>133</v>
      </c>
      <c r="H138" s="3" t="s">
        <v>8</v>
      </c>
      <c r="I138" s="3" t="s">
        <v>7</v>
      </c>
      <c r="J138" s="3" t="s">
        <v>58</v>
      </c>
      <c r="K138" s="3" t="s">
        <v>52</v>
      </c>
      <c r="L138" s="3" t="s">
        <v>24</v>
      </c>
      <c r="M138">
        <v>1</v>
      </c>
    </row>
    <row r="139" spans="1:13" x14ac:dyDescent="0.25">
      <c r="A139" s="2">
        <v>46190</v>
      </c>
      <c r="B139" s="1" t="str">
        <f ca="1">IF(Información1[[#This Row],[Fecha]]='Ajuste de fechas'!$A$2,"Día actual","Día anterior")</f>
        <v>Día actual</v>
      </c>
      <c r="C139" s="3" t="s">
        <v>16</v>
      </c>
      <c r="D139" t="s">
        <v>53</v>
      </c>
      <c r="E139" s="3" t="s">
        <v>265</v>
      </c>
      <c r="F139" s="3" t="s">
        <v>10</v>
      </c>
      <c r="G139" s="3" t="s">
        <v>266</v>
      </c>
      <c r="H139" s="3" t="s">
        <v>8</v>
      </c>
      <c r="I139" s="3" t="s">
        <v>14</v>
      </c>
      <c r="J139" s="3" t="s">
        <v>59</v>
      </c>
      <c r="K139" s="3" t="s">
        <v>52</v>
      </c>
      <c r="L139" s="3" t="s">
        <v>24</v>
      </c>
      <c r="M139">
        <v>1</v>
      </c>
    </row>
    <row r="140" spans="1:13" x14ac:dyDescent="0.25">
      <c r="A140" s="2">
        <v>46190</v>
      </c>
      <c r="B140" s="1" t="str">
        <f ca="1">IF(Información1[[#This Row],[Fecha]]='Ajuste de fechas'!$A$2,"Día actual","Día anterior")</f>
        <v>Día actual</v>
      </c>
      <c r="C140" s="3" t="s">
        <v>16</v>
      </c>
      <c r="D140" t="s">
        <v>53</v>
      </c>
      <c r="E140" s="3" t="s">
        <v>267</v>
      </c>
      <c r="F140" s="3" t="s">
        <v>9</v>
      </c>
      <c r="G140" s="3" t="s">
        <v>43</v>
      </c>
      <c r="H140" s="3" t="s">
        <v>8</v>
      </c>
      <c r="I140" s="3" t="s">
        <v>7</v>
      </c>
      <c r="J140" s="3" t="s">
        <v>57</v>
      </c>
      <c r="K140" s="3" t="s">
        <v>52</v>
      </c>
      <c r="L140" s="3" t="s">
        <v>24</v>
      </c>
      <c r="M140">
        <v>1</v>
      </c>
    </row>
    <row r="141" spans="1:13" x14ac:dyDescent="0.25">
      <c r="A141" s="2">
        <v>46190</v>
      </c>
      <c r="B141" s="1" t="str">
        <f ca="1">IF(Información1[[#This Row],[Fecha]]='Ajuste de fechas'!$A$2,"Día actual","Día anterior")</f>
        <v>Día actual</v>
      </c>
      <c r="C141" s="3" t="s">
        <v>16</v>
      </c>
      <c r="D141" t="s">
        <v>53</v>
      </c>
      <c r="E141" s="3" t="s">
        <v>268</v>
      </c>
      <c r="F141" s="3" t="s">
        <v>234</v>
      </c>
      <c r="G141" s="3" t="s">
        <v>235</v>
      </c>
      <c r="H141" s="3" t="s">
        <v>8</v>
      </c>
      <c r="I141" s="3" t="s">
        <v>7</v>
      </c>
      <c r="J141" s="3" t="s">
        <v>57</v>
      </c>
      <c r="K141" s="3" t="s">
        <v>52</v>
      </c>
      <c r="L141" s="3" t="s">
        <v>24</v>
      </c>
      <c r="M141">
        <v>1</v>
      </c>
    </row>
    <row r="142" spans="1:13" x14ac:dyDescent="0.25">
      <c r="A142" s="2">
        <v>46190</v>
      </c>
      <c r="B142" s="1" t="str">
        <f ca="1">IF(Información1[[#This Row],[Fecha]]='Ajuste de fechas'!$A$2,"Día actual","Día anterior")</f>
        <v>Día actual</v>
      </c>
      <c r="C142" s="3" t="s">
        <v>16</v>
      </c>
      <c r="D142" t="s">
        <v>53</v>
      </c>
      <c r="E142" s="3" t="s">
        <v>269</v>
      </c>
      <c r="F142" s="3" t="s">
        <v>11</v>
      </c>
      <c r="G142" s="3" t="s">
        <v>270</v>
      </c>
      <c r="H142" s="3" t="s">
        <v>8</v>
      </c>
      <c r="I142" s="3" t="s">
        <v>7</v>
      </c>
      <c r="J142" s="3" t="s">
        <v>58</v>
      </c>
      <c r="K142" s="3" t="s">
        <v>52</v>
      </c>
      <c r="L142" s="3" t="s">
        <v>25</v>
      </c>
      <c r="M142">
        <v>1</v>
      </c>
    </row>
    <row r="143" spans="1:13" x14ac:dyDescent="0.25">
      <c r="A143" s="2">
        <v>46190</v>
      </c>
      <c r="B143" s="1" t="str">
        <f ca="1">IF(Información1[[#This Row],[Fecha]]='Ajuste de fechas'!$A$2,"Día actual","Día anterior")</f>
        <v>Día actual</v>
      </c>
      <c r="C143" s="3" t="s">
        <v>16</v>
      </c>
      <c r="D143" t="s">
        <v>53</v>
      </c>
      <c r="E143" s="3" t="s">
        <v>271</v>
      </c>
      <c r="F143" s="3" t="s">
        <v>15</v>
      </c>
      <c r="G143" s="3" t="s">
        <v>262</v>
      </c>
      <c r="H143" s="3" t="s">
        <v>8</v>
      </c>
      <c r="I143" s="3" t="s">
        <v>7</v>
      </c>
      <c r="J143" s="3" t="s">
        <v>57</v>
      </c>
      <c r="K143" s="3" t="s">
        <v>52</v>
      </c>
      <c r="L143" s="3" t="s">
        <v>24</v>
      </c>
      <c r="M143">
        <v>1</v>
      </c>
    </row>
    <row r="144" spans="1:13" x14ac:dyDescent="0.25">
      <c r="A144" s="2">
        <v>46190</v>
      </c>
      <c r="B144" s="1" t="str">
        <f ca="1">IF(Información1[[#This Row],[Fecha]]='Ajuste de fechas'!$A$2,"Día actual","Día anterior")</f>
        <v>Día actual</v>
      </c>
      <c r="C144" s="3" t="s">
        <v>16</v>
      </c>
      <c r="D144" t="s">
        <v>53</v>
      </c>
      <c r="E144" s="3" t="s">
        <v>272</v>
      </c>
      <c r="F144" s="3" t="s">
        <v>15</v>
      </c>
      <c r="G144" s="3" t="s">
        <v>87</v>
      </c>
      <c r="H144" s="3" t="s">
        <v>8</v>
      </c>
      <c r="I144" s="3" t="s">
        <v>7</v>
      </c>
      <c r="J144" s="3" t="s">
        <v>57</v>
      </c>
      <c r="K144" s="3" t="s">
        <v>52</v>
      </c>
      <c r="L144" s="3" t="s">
        <v>24</v>
      </c>
      <c r="M144">
        <v>1</v>
      </c>
    </row>
    <row r="145" spans="1:13" x14ac:dyDescent="0.25">
      <c r="A145" s="2">
        <v>46190</v>
      </c>
      <c r="B145" s="1" t="str">
        <f ca="1">IF(Información1[[#This Row],[Fecha]]='Ajuste de fechas'!$A$2,"Día actual","Día anterior")</f>
        <v>Día actual</v>
      </c>
      <c r="C145" s="3" t="s">
        <v>16</v>
      </c>
      <c r="D145" t="s">
        <v>53</v>
      </c>
      <c r="E145" s="3" t="s">
        <v>273</v>
      </c>
      <c r="F145" s="3" t="s">
        <v>128</v>
      </c>
      <c r="G145" s="3" t="s">
        <v>274</v>
      </c>
      <c r="H145" s="3" t="s">
        <v>8</v>
      </c>
      <c r="I145" s="3" t="s">
        <v>14</v>
      </c>
      <c r="J145" s="3" t="s">
        <v>57</v>
      </c>
      <c r="K145" s="3" t="s">
        <v>52</v>
      </c>
      <c r="L145" s="3" t="s">
        <v>25</v>
      </c>
      <c r="M145">
        <v>1</v>
      </c>
    </row>
    <row r="146" spans="1:13" x14ac:dyDescent="0.25">
      <c r="A146" s="2">
        <v>46190</v>
      </c>
      <c r="B146" s="1" t="str">
        <f ca="1">IF(Información1[[#This Row],[Fecha]]='Ajuste de fechas'!$A$2,"Día actual","Día anterior")</f>
        <v>Día actual</v>
      </c>
      <c r="C146" s="3" t="s">
        <v>16</v>
      </c>
      <c r="D146" t="s">
        <v>53</v>
      </c>
      <c r="E146" s="3" t="s">
        <v>273</v>
      </c>
      <c r="F146" s="3" t="s">
        <v>6</v>
      </c>
      <c r="G146" s="3" t="s">
        <v>274</v>
      </c>
      <c r="H146" s="3" t="s">
        <v>8</v>
      </c>
      <c r="I146" s="3" t="s">
        <v>14</v>
      </c>
      <c r="J146" s="3" t="s">
        <v>57</v>
      </c>
      <c r="K146" s="3" t="s">
        <v>52</v>
      </c>
      <c r="L146" s="3" t="s">
        <v>25</v>
      </c>
      <c r="M146">
        <v>1</v>
      </c>
    </row>
    <row r="147" spans="1:13" x14ac:dyDescent="0.25">
      <c r="A147" s="2">
        <v>46190</v>
      </c>
      <c r="B147" s="1" t="str">
        <f ca="1">IF(Información1[[#This Row],[Fecha]]='Ajuste de fechas'!$A$2,"Día actual","Día anterior")</f>
        <v>Día actual</v>
      </c>
      <c r="C147" s="3" t="s">
        <v>31</v>
      </c>
      <c r="D147" t="s">
        <v>33</v>
      </c>
      <c r="E147" s="3" t="s">
        <v>254</v>
      </c>
      <c r="F147" s="3" t="s">
        <v>41</v>
      </c>
      <c r="G147" s="3" t="s">
        <v>48</v>
      </c>
      <c r="H147" s="3" t="s">
        <v>8</v>
      </c>
      <c r="I147" s="3" t="s">
        <v>7</v>
      </c>
      <c r="J147" s="3" t="s">
        <v>57</v>
      </c>
      <c r="K147" s="3" t="s">
        <v>30</v>
      </c>
      <c r="L147" s="3" t="s">
        <v>26</v>
      </c>
      <c r="M147">
        <v>1</v>
      </c>
    </row>
    <row r="148" spans="1:13" x14ac:dyDescent="0.25">
      <c r="A148" s="2">
        <v>46190</v>
      </c>
      <c r="B148" s="1" t="str">
        <f ca="1">IF(Información1[[#This Row],[Fecha]]='Ajuste de fechas'!$A$2,"Día actual","Día anterior")</f>
        <v>Día actual</v>
      </c>
      <c r="C148" s="3" t="s">
        <v>31</v>
      </c>
      <c r="D148" t="s">
        <v>33</v>
      </c>
      <c r="E148" s="3" t="s">
        <v>209</v>
      </c>
      <c r="F148" s="3" t="s">
        <v>12</v>
      </c>
      <c r="G148" s="3" t="s">
        <v>210</v>
      </c>
      <c r="H148" s="3" t="s">
        <v>8</v>
      </c>
      <c r="I148" s="3" t="s">
        <v>7</v>
      </c>
      <c r="J148" s="3" t="s">
        <v>57</v>
      </c>
      <c r="K148" s="3" t="s">
        <v>30</v>
      </c>
      <c r="L148" s="3" t="s">
        <v>26</v>
      </c>
      <c r="M148">
        <v>1</v>
      </c>
    </row>
    <row r="149" spans="1:13" x14ac:dyDescent="0.25">
      <c r="A149" s="2">
        <v>46190</v>
      </c>
      <c r="B149" s="1" t="str">
        <f ca="1">IF(Información1[[#This Row],[Fecha]]='Ajuste de fechas'!$A$2,"Día actual","Día anterior")</f>
        <v>Día actual</v>
      </c>
      <c r="C149" s="3" t="s">
        <v>31</v>
      </c>
      <c r="D149" t="s">
        <v>33</v>
      </c>
      <c r="E149" s="3" t="s">
        <v>258</v>
      </c>
      <c r="F149" s="3" t="s">
        <v>12</v>
      </c>
      <c r="G149" s="3" t="s">
        <v>218</v>
      </c>
      <c r="H149" s="3" t="s">
        <v>8</v>
      </c>
      <c r="I149" s="3" t="s">
        <v>7</v>
      </c>
      <c r="J149" s="3" t="s">
        <v>57</v>
      </c>
      <c r="K149" s="3" t="s">
        <v>30</v>
      </c>
      <c r="L149" s="3" t="s">
        <v>26</v>
      </c>
      <c r="M149">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3" sqref="A3"/>
    </sheetView>
  </sheetViews>
  <sheetFormatPr baseColWidth="10" defaultRowHeight="15" x14ac:dyDescent="0.25"/>
  <sheetData>
    <row r="1" spans="1:2" x14ac:dyDescent="0.25">
      <c r="A1" t="s">
        <v>28</v>
      </c>
      <c r="B1" t="s">
        <v>29</v>
      </c>
    </row>
    <row r="2" spans="1:2" x14ac:dyDescent="0.25">
      <c r="A2" s="2">
        <f ca="1">TODAY()</f>
        <v>46190</v>
      </c>
      <c r="B2" s="2">
        <f ca="1">A2-1</f>
        <v>46189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2026-06-17T22:56:28Z</dcterms:modified>
</cp:coreProperties>
</file>