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0CBAFB57-EFF0-463E-A33A-193750825FCC}"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86" i="2"/>
  <c r="B89" i="2"/>
  <c r="B92" i="2"/>
  <c r="B95" i="2"/>
  <c r="B98" i="2"/>
  <c r="B101" i="2"/>
  <c r="B104" i="2"/>
  <c r="B28" i="2"/>
  <c r="B29" i="2"/>
  <c r="B30" i="2"/>
  <c r="B31" i="2"/>
  <c r="B32" i="2"/>
  <c r="B33" i="2"/>
  <c r="B34" i="2"/>
  <c r="B35" i="2"/>
  <c r="B36" i="2"/>
  <c r="B37" i="2"/>
  <c r="B38" i="2"/>
  <c r="B39" i="2"/>
  <c r="B40" i="2"/>
  <c r="B41" i="2"/>
  <c r="B42" i="2"/>
  <c r="B43" i="2"/>
  <c r="B44" i="2"/>
  <c r="B45" i="2"/>
  <c r="B46" i="2"/>
  <c r="B47" i="2"/>
  <c r="B48" i="2"/>
  <c r="B49" i="2"/>
  <c r="B50" i="2"/>
  <c r="B51" i="2"/>
  <c r="B52" i="2"/>
  <c r="B53" i="2"/>
  <c r="B54" i="2"/>
  <c r="B78" i="2"/>
  <c r="B79" i="2"/>
  <c r="B81" i="2"/>
  <c r="B83" i="2"/>
  <c r="B85" i="2"/>
  <c r="B88" i="2"/>
  <c r="B91" i="2"/>
  <c r="B94" i="2"/>
  <c r="B97" i="2"/>
  <c r="B100" i="2"/>
  <c r="B103" i="2"/>
  <c r="B106" i="2"/>
  <c r="B55" i="2"/>
  <c r="B56" i="2"/>
  <c r="B57" i="2"/>
  <c r="B58" i="2"/>
  <c r="B59" i="2"/>
  <c r="B60" i="2"/>
  <c r="B61" i="2"/>
  <c r="B62" i="2"/>
  <c r="B63" i="2"/>
  <c r="B64" i="2"/>
  <c r="B65" i="2"/>
  <c r="B66" i="2"/>
  <c r="B67" i="2"/>
  <c r="B68" i="2"/>
  <c r="B69" i="2"/>
  <c r="B70" i="2"/>
  <c r="B71" i="2"/>
  <c r="B72" i="2"/>
  <c r="B73" i="2"/>
  <c r="B74" i="2"/>
  <c r="B75" i="2"/>
  <c r="B76" i="2"/>
  <c r="B77" i="2"/>
  <c r="B80" i="2"/>
  <c r="B82" i="2"/>
  <c r="B84" i="2"/>
  <c r="B87" i="2"/>
  <c r="B90" i="2"/>
  <c r="B93" i="2"/>
  <c r="B96" i="2"/>
  <c r="B99" i="2"/>
  <c r="B102" i="2"/>
  <c r="B105" i="2"/>
  <c r="B107"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<sst xmlns="http://schemas.openxmlformats.org/spreadsheetml/2006/main" count="1075" uniqueCount="221">
  <si>
    <t>Fecha</t>
  </si>
  <si>
    <t>Titular</t>
  </si>
  <si>
    <t>Dependencia</t>
  </si>
  <si>
    <t>Canal</t>
  </si>
  <si>
    <t>Tema</t>
  </si>
  <si>
    <t>Estatus</t>
  </si>
  <si>
    <t>Sipdus</t>
  </si>
  <si>
    <t>Informativa</t>
  </si>
  <si>
    <t>Acir 92.5 FM</t>
  </si>
  <si>
    <t>Panorama Informativo Pachuca</t>
  </si>
  <si>
    <t>Positiva</t>
  </si>
  <si>
    <t>Eulalio Larrieta</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</si>
  <si>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</si>
  <si>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</si>
  <si>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</si>
  <si>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</si>
  <si>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</si>
  <si>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</si>
  <si>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</si>
  <si>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</si>
  <si>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</si>
  <si>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</si>
  <si>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</si>
  <si>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</si>
  <si>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</si>
  <si>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</si>
  <si>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</si>
  <si>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</si>
  <si>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</si>
  <si>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</si>
  <si>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</si>
  <si>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</si>
  <si>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</si>
  <si>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</si>
  <si>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</si>
  <si>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</si>
  <si>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</si>
  <si>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</si>
  <si>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</si>
  <si>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Congreso</t>
  </si>
  <si>
    <t>Entrevista</t>
  </si>
  <si>
    <t>Eulalio Larrieta agradece a Carlos Gamiño por estar al pendiente de temas.</t>
  </si>
  <si>
    <t>Segobh</t>
  </si>
  <si>
    <t>Eulalio Larrieta agradece a Jair Martínez de la SEGOBH, porque esta al pendiente de lo que se necesite y los reportes.</t>
  </si>
  <si>
    <t>Abasto de agua</t>
  </si>
  <si>
    <t>SSH</t>
  </si>
  <si>
    <t>RADIO LOCAL</t>
  </si>
  <si>
    <t>NQ 90.1 FM</t>
  </si>
  <si>
    <t>Enlace Hidalgo1</t>
  </si>
  <si>
    <t>Jesús Riveros</t>
  </si>
  <si>
    <t>Juan Carlos Santamaría</t>
  </si>
  <si>
    <t>Súper Stéreo 100.5 FM</t>
  </si>
  <si>
    <t>Enfoque Regional Matutino</t>
  </si>
  <si>
    <t>Rodolfo López</t>
  </si>
  <si>
    <t>PGJEH</t>
  </si>
  <si>
    <t>Enlace Hidalgo2</t>
  </si>
  <si>
    <t>Turismo</t>
  </si>
  <si>
    <t>Fuga De Agua</t>
  </si>
  <si>
    <t>Eulalio Larrieta agradece Paola García y Lic. Sarahi Pineda, por estar atentas a los mensajes de la ciudadanía y por atenderlos.</t>
  </si>
  <si>
    <t>Informe Alcalde</t>
  </si>
  <si>
    <t>Radioescucha</t>
  </si>
  <si>
    <t>Regulación de dispositivos digitales</t>
  </si>
  <si>
    <t>Bienestar</t>
  </si>
  <si>
    <t>Ataque Armado</t>
  </si>
  <si>
    <t>Apps de transporte</t>
  </si>
  <si>
    <t>Conmemoración Aniversario</t>
  </si>
  <si>
    <t>Festival Del Paste</t>
  </si>
  <si>
    <t>Planeación</t>
  </si>
  <si>
    <t>Tarifario de taxis</t>
  </si>
  <si>
    <t>Luminarias</t>
  </si>
  <si>
    <t>Inatención</t>
  </si>
  <si>
    <t>Feria Pachuca</t>
  </si>
  <si>
    <t>En el marco de la conmemoración del treinta y cinco aniversario de la creación de las universidades tecnológicas y veinticinco años de las universidades politécnicas. El gobernador Julio Menchaca Salazar destacó la contribución de estas 14 casas de estudio, establecidas en la entidad para la formación de talento y el desarrollo educativo, económico y social.</t>
  </si>
  <si>
    <t>En otro tema, el gobernador confirmó que Pachuca será sede de los Juegos de Boccia Centroamericanos y del Caribe Parapanamericanos. "Va a haber un evento muy importante... nos fue la primicia [risas]. Que se va a dar a conocer ya oficialmente la sede de Pachuca para los juegos de Boccia... los juegos paraolímpicos del Centro... del Caribe... Centroamericanos y del Caribe, ahí con el director... director del Instituto Nacional del Deporte, con Rommel Pacheco. Entonces ya va a ser oficial para noviembre, y es una proyección de nuestro estado, de la infraestructura y sobre todo de lo que significa la inclusión.”</t>
  </si>
  <si>
    <t>Campeonato Centroamericano</t>
  </si>
  <si>
    <t>“ Usted recordará y más la gente adulta mayor recordará que anteriormente el primero de diciembre era considerado el día del presidente, del presidente de la república, porque el presidente en turno iba a la Cámara de Diputados, presentaba su informe y emitía un mensaje.Creo que fue con Ernesto Zedillo, habrá que precisar si fue Ernesto Zedillo o ya en la época de Fox, que ya no iba al presidente porque le decían de cosas, la oposición le gritaba. Recuerdo incluso que la toma de protesta de Felipe Calderón fue una toma de protesta muy alebrestada. Dicen que a Felipe Calderón lo tuvieron que meter por la parte de atrás del Congreso porque la gente en aquel entonces del PRD, que estaba enojada porque decían que les habían robado la elección del 2006, no permitía que Felipe Calderón entrara por la parte de enfrente.¿Qué decidió el gobierno? Que el presidente ya no vaya al Congreso de la Unión, manda a la secretaria de gobierno o al secretario de gobernación y ellos emiten un mensaje ya sea en el Zócalo, ya sea en alguna plaza pública. Actualmente la presidenta de México recorre varias plazas públicas en todo el país y ya no van al Congreso para no exponer la figura del presidente de la república. Quiero pensar que para los próximos años esa propuesta la van a tomar en cuenta los presidentes municipales, porque de verdad que hubo encontronazos bastante bastante fuertes en este segundo informe de gobierno de algunos alcaldes del Estado de Hidalgo. “</t>
  </si>
  <si>
    <t>Informe Sheinbaum</t>
  </si>
  <si>
    <t>Esta un fenomeno político que ocurrió en los recientes informes de gobierno en los municipios de manera particular que tiene que ver con protestas por parte de regidores que están en contra del gobierno en turno. Pasó en varios municipios, pasó en Huichapan, pasó en la zona de Jacuba, pasó en Tulancingo, en varios municipios ocurrió la protesta de una o de otra forma, hubo en algunos que hasta se llegaron a jalonear, se llegaron a aventar porque el regidor que está en contra de la alcaldesa o del alcalde se levantaba, sacaba una manta, sacaba una lona y llegaban a hacer ahí una serie de intercambios de palabras. Sobre este tema, el gobernador de Hidalgo, Julio Menchaca Salazar, descartó que haya faltado trabajo político y de conciliación a los presidentes municipales de la entidad, luego de las manifestaciones que se registraron durante los informes de algunos alcaldes. El gobernador consideró que dichas expresiones forman parte de la libertad de expresión y pidió que este tipo de hechos se desarrollen en un ambiente de tranquilidad a fin de que la ciudadanía pueda conocer las acciones realizadas por los civiles durante su segundo año de gobierno.</t>
  </si>
  <si>
    <t>Vía telefónica a la doctora Concepción Carmona Ramos, jefa de Servicios de Atención a la Salud del IMSS-Bienestar aquí en Hidalgo con el tema : El sarampión y vacunación.</t>
  </si>
  <si>
    <t>Vacunación</t>
  </si>
  <si>
    <t>Entrevista pautada</t>
  </si>
  <si>
    <t>Ya el sistema DIF Hidalgo recibió tres camionetas adaptadas destinadas al transporte especializado de personas con discapacidad y movilidad reducida. La entrega fue recibida por Edda Vite Ramos, presidenta del Patronato del DIF Hidalgo, de manos del Sistema Nacional DIF como parte de una distribución nacional de 91 vehículos inclusivos.</t>
  </si>
  <si>
    <t>DIFH</t>
  </si>
  <si>
    <t>Movilidad incluyente</t>
  </si>
  <si>
    <t>Ya el sistema DIF Hidalgo entregó becas Pilares 2026 a 305 niñas, niños y adolescentes de 17 municipios de la región Pachuca. Durante el acto realizado en el Teatro San Francisco, la presidenta del patronato, Edda Vite Ramos, destacó que este proyecto busca aliviar la economía familiar y favorecer la igualdad de oportunidades.</t>
  </si>
  <si>
    <t>Pilares</t>
  </si>
  <si>
    <t>Y durante la tarde de este martes, se reportaron detonaciones de arma de fuego y una camioneta Jeep Compass volcada a un costado de la carretera Federal México-Tuxpan a la altura de la comunidad de Naupan. En las inmediaciones de la presa del Tejocotal, en el municipio de Acaxochitlán, los ocupantes de la unidad escaparon.</t>
  </si>
  <si>
    <t>En Mixquiahuala, un hombre de 65 años perdió la vida luego de caer de un segundo piso de un local que funciona como autolavado en el boulevard Octaviano Flores Mayorga.</t>
  </si>
  <si>
    <t>Localización de cuerpo</t>
  </si>
  <si>
    <t>Y con la llegada de la temporada de frío, la vacunación contra la influenza cobra importancia, sobre todo entre niñas y niños, adultos mayores, embarazadas, y personas con enfermedades crónicas. La Secretaría de Salud reportó más de 12,000 casos confirmados de influenza en la temporada invernal 2024-2025, por lo que la vacunación es una de las principales medidas de prevención.</t>
  </si>
  <si>
    <t>Influenza</t>
  </si>
  <si>
    <t>Cambiemos de tema, durante la mega jornada nacional de limpieza de ríos 2026 realizada este fin de semana en Tula de Allende, fueron recolectadas cerca de 4 toneladas de basura. La dirección local Hidalgo de la CONAGUA informó que participaron alrededor de 250 personas entre autoridades de los tres órdenes de gobierno, la iniciativa privada y sociedad civil. Las labores forman parte de un programa de saneamiento y restauración de cuerpos de agua en 27 entidades del país, incluidos los ríos Lerma, Santiago, Atoyac y Tula. La jornada fue encabezada por Jaime Vázquez Bracho, comisionado para la restauración del río Tula de la SEMARNAT.</t>
  </si>
  <si>
    <t>Semarnath</t>
  </si>
  <si>
    <t>Restauración Ecológica</t>
  </si>
  <si>
    <t>Ya entró el otoño a nuestro país, fue ayer martes a las 18 horas que entró el otoño y con esto también cambia el clima. Hidalgo tendrá chubascos y un clima frío y por las tardes será caluroso, así pinta el clima por influencia del huracán Polo. Se prevé que tengamos cielo despejado la mayor parte del día alcanzando una temperatura máxima de 22 grados centígrados. Algunos nublados por la tarde, muy muy escasa la probabilidad de que tengamos lluvia para el día de hoy, de hecho no se prevé caída de lluvia. Con una temperatura mínima de 11 grados centígrados.</t>
  </si>
  <si>
    <t>Alerta Meteorológica</t>
  </si>
  <si>
    <t>Hablemos de vivienda, Hidalgo será la segunda entidad donde el FOVISSSTE volverá a construir vivienda de tipo social. Sin informar la ubicación del lugar, se indicó que se cuenta con la reserva territorial y en breve se colocará la primera piedra, informó la vocal ejecutiva de FOVISSSTE, Jabnely Maldonado. Los derechohabientes son personas trabajadoras del gobierno estatal y federal, así como docentes.Como saben, gracias a la iniciativa que envía la presidenta de la ley de vivienda, el FOVISSSTE vuelve a construir después de 34 años. Estamos por aperturar nuestro registro nacional, ya estamos listos para poner la primera piedra también en Hidalgo y hasta la fecha contamos con reserva territorial para construir poco más de 6 mil viviendas.</t>
  </si>
  <si>
    <t>Plan nacional de vivienda</t>
  </si>
  <si>
    <t>Hablando de movilidad, también la titular de la Secretaría de Movilidad y Transporte, Lyzbeth Robles Gutiérrez, recordó que las personas usuarias del transporte público pueden denunciar cualquier maltrato por parte de los operadores.</t>
  </si>
  <si>
    <t>Y en el marco del Día Mundial sin Automóvil, autoridades de Hidalgo llamaron a la población a dejar el vehículo en casa y optar por alternativas de movilidad más sostenibles. La información con Claudia Alcántara.</t>
  </si>
  <si>
    <t>Día sin auto</t>
  </si>
  <si>
    <t>Continuemos con la información y es que con el objetivo de fortalecer la capacidad operativa de la Secretaría de Seguridad Pública Municipal, el Gobierno Municipal de Tula de Allende incorporó cuatro nuevas patrullas mediante una inversión superior a 6,300,000 pesos, recurso proveniente del Fondo de Aportaciones para el Fortalecimiento de los Municipios. El presidente municipal, Cristian Martínez, destacó que el fortalecimiento del equipamiento de seguridad forma parte de las acciones encaminadas a mejorar la capacidad de respuesta de los cuerpos policiales y brindar atención oportuna a las necesidades de las y los tulenses. Las nuevas unidades estarán a disposición de la Secretaría de Seguridad Pública de Tula de Allende para reforzar las labores de prevención, vigilancia y atención en las distintas zonas del municipio. Esta inversión representa un esfuerzo por fortalecer la infraestructura y el equipamiento destinado a la seguridad pública, así como por dotar al personal operativo de mejores herramientas para el desarrollo de sus funciones.</t>
  </si>
  <si>
    <t>Fortalecimiento Policiaco</t>
  </si>
  <si>
    <t>Y el gobierno municipal de Ixmiquilpan llamó a delegaciones y ciudadanía a proteger el patrimonio natural luego de detectar la extracción ilegal de biznagas de acitrón en la comunidad de Xaxni. Durante una inspección realizada por la PROFEPA el pasado 8 de septiembre, se confirmó la afectación de aproximadamente 150 ejemplares adultos cortados en una superficie cercana a cuatro hectáreas, distribuida en tres polígonos. Esto derivado de una denuncia ciudadana que circuló en redes sociales sobre la extracción ilegal de biznagas de acitrón, que es una especie en peligro de extinción y está protegida por la ley general.Representante de la Dirección de Medio Ambiente de Ixmiquilpan: Como Dirección de Medio Ambiente y Desarrollo Sostenible, atendimos directamente la inspección. Acompañamos a los inspectores en todo el recorrido de campo junto con los testigos para verificar los hechos. Lo que se confirmó en el sitio fue la afectación de aproximadamente 150 biznagas adultas que fueron cortadas. Esto en una superficie de casi cuatro hectáreas divididas en tres polígonos de la comunidad de Xaxni, quedando en la superficie de la planta en el mismo lugar. Pedirles que cualquier sospecha de alguna de estas situaciones se pueda acercar a nosotros para poder atender el tema de cuidado indirecto. No podemos permitir que estas especies se sigan devastando en municipios de este tipo. ¡Ayúdenos!Mensajes de voz a través de nuestro WhatsApp. Ya regresamos, siete de la mañana con veinte minutos. Recuerde usted que su opinión es importante. Los micrófonos de Enfoque Regional Primera Emisión están abiertos para usted. Es el 773-732-2119 y el 732-4255. Los números de cabina o también si lo prefiere a través del WhatsApp, el 773-731-8839.</t>
  </si>
  <si>
    <t>Conservación Biodiversidad</t>
  </si>
  <si>
    <t>Más de 6,000 escuelas de educación básica de Hidalgo participarán este 25 de septiembre en la primera sesión ordinaria del Consejo Técnico Escolar correspondiente al ciclo 2026-2027. Sí, este viernes se realiza el primer Consejo Técnico Escolar. L</t>
  </si>
  <si>
    <t>Consejo Técnico</t>
  </si>
  <si>
    <t>Y el gobierno de Hidalgo informó que ya están disponibles los resultados de la convocatoria Titúlate 2026, dirigida a jóvenes que se encuentran en proceso de titulación universitaria. El director del INJUVE, Ricardo Olvera Molina, indicó que las personas participantes pueden consultar su resultado con su CURP en el portal juventud.hidalgo.gob.mx-convocatorias. El programa contempla apoyos económicos para reducir los gastos relacionados con la titulación y contribuir a que las juventudes concluyan su formación profesional. El funcionario invitó a consultar directamente la página oficial para evitar desinformación.</t>
  </si>
  <si>
    <t>Apoyo para titulación</t>
  </si>
  <si>
    <t>Y el COBAEH de Tamoyón I en Huautla permanece cerrado por la falta de energía eléctrica. El problema afecta a 131 estudiantes de Huautla y de localidades vecinas, por lo que padres de familia exigen una solución inmediata. Padre de Familia del COBAEH Tamoyón I: Es exigir que se nos restablezca la energía eléctrica. Ese fue un acuerdo en una asamblea que se tomó. Necesitamos que nos den la solución inmediata a la voz de ya. Ya que anteriormente hemos acudido a las distintas dependencias, al cual hasta la fecha se han acercado, pero nosotros exigimos que se restablezca inmediatamente. Ya vamos para cuatro meses. El</t>
  </si>
  <si>
    <t>Suministro de energía</t>
  </si>
  <si>
    <t>Hablando de salud mental, de este programa nacional ABC de las emociones y de la prevención, también es importante señalar que la Línea de la Vida promovida por la Secretaría de Educación Pública de Hidalgo es un servicio de apoyo emocional, orientación en salud mental y prevención de adicciones. Su número de contacto gratuito y confidencial es el 800-911-2000. Está disponible las 24 horas del día, los 365 días del año, destacó Natividad Castrejón, titular de la SEP.Se pone a disposición una línea de la vida que opera las 24 horas, los 7 días de la semana en el teléfono 800-911-2000.</t>
  </si>
  <si>
    <t>Salud Mental</t>
  </si>
  <si>
    <t>En otra información, cambiar la narrativa es la estrategia de la Secretaría de Salud de Hidalgo para abordar la salud mental desde las aulas. En el CBTis 222, cerca de 300 estudiantes participaron en una jornada basada en el programa nacional ABC de las emociones, mediante la cual recibieron herramientas para identificar conductas de riesgo y brindar apoyo oportuno a sus compañeros. La titular de la Secretaría de Salud de Hidalgo, Vanesa Escalante Arroyo, llamó a fortalecer la prevención de las adicciones y el suicidio, así como crear espacios donde hablar y pedir ayuda sea posible. Los estudiantes fueron nombrados promotores de la salud emocional y recibieron materiales para replicar esta información entre la comunidad educativa y sus familias.Cada uno de nosotros tiene diferentes preocupaciones. ¿Qué le preocupaba a Vanesa cuando iba en la preparatoria como ustedes? Mi preocupación más grande era tener dinero para el pasaje para venir a la escuela. Esa era la más grande de mis preocupaciones. El suicidio nos preocupa porque está muy acentuado en los jóvenes y porque viene acompañado de otras cosas como el consumo de tabaco, el consumo de alcohol y el consumo de algún tipo de drogas. Lo último que les queremos decir es que hoy quienes recibieron este trofeo van a ser los encargados de podernos ayudar a replicar distintas actividades con sus compañeros. Y lo más importante que tienen que saber es que ante cualquier situación no están solos y nosotros podemos apoyar.</t>
  </si>
  <si>
    <t>Tres ejidos todavía negocian la liberación del derecho de vía para el tren México-Querétaro que pasará por Hidalgo. La información con Joselyn Sánchez.Personal de la Secretaría de Gobernación y diversas dependencias trabajan en las negociaciones para liberar el derecho de vía por donde pasará el tren México-Querétaro. Actualmente están en negociaciones con tres ejidos dentro del tramo cuatro y cinco que son los que faltan por tener libre todo el tramo. Así lo informó Gazury Mota Licona, directora general del gobierno de Hidalgo en la región de Tula quien explicó que el gobierno federal y las diversas dependencias implicadas han sostenido reuniones con los ejidos por donde pasará el trazo del tren México-Querétaro.Fue una en asamblea, obviamente vino el gobierno federal, ya saben SEDATU, la Secretaría de Infraestructura y nosotros como gobierno del estado pues estuvimos ahí presentes y le dimos el seguimiento a la liberación.Mota Licona contó que recientemente se logró la liberación del tramo que pasa por el ejido de Conejos en Atotonilco de Tula luego de que se alcanzaron acuerdos con los ejidatarios. Sin embargo, de Atotonilco de Tula todavía se tienen detalles con el ejido de Progreso el cual tiene un asunto con el Registro Agrario Nacional, el RAN porque se tienen algunas incertidumbres en cuanto a delimitaciones ejidales y eso ha retrasado los trabajos de negociación, así lo señaló la funcionaria estatal.Mientras que en Michimaloya ya se inició el diálogo con ejidatarios y se espera que dentro de poco se tengan acuerdos favorables en cuanto al pago de las tierras para que ese tramo también quede liberado a la brevedad. El tercer ejido con el que se tiene detalles es con San Ildefonso en Tepeji del Río toda vez que los comuneros han pedido que se haga una consulta indígena sobre el paso del tren México-Querétaro y todavía no han acordado una fecha para poder desahogar el trámite. De alguna manera nada más es la cuestión de la negociación en cuestión del nombre, es San Ildefonso, Progreso y Michimaloya.Gazury Mota Licona explicó que si bien todavía tienen detalles con la liberación de tres tramos en igual número de ejidos en la zona de Tula de Allende y alrededores las autoridades implicadas esperan que en breve se logren acuerdos. Mientras tanto, las compañías trabajan en otros puntos para no retrasar el avance de la obra. Para Enfoque Regional informó Joselyn Sánchez..</t>
  </si>
  <si>
    <t>Tren México Querétaro</t>
  </si>
  <si>
    <t>El gobernador habló sobre las manifestaciones en los informes de los alcaldes municipales. Dentro de la democracia hay algunas expresiones.</t>
  </si>
  <si>
    <t>El gobernador informó que hoy se dará a conocer que Hidalgo será sede de un encuentro deportivo nacional. Va a haber un evento muy importante, que se va a dar a conocer ya oficialmente la sede de Pachuca para los juegos para olímpicos del Caribe, centroamericanos y del Caribe. A</t>
  </si>
  <si>
    <t>Menchaca Salazar también señaló que la entrada de plataformas como Uber y Didi a la entidad depende de los legisladores. Que los legisladores cambien la ley, porque es una cuestión legal.</t>
  </si>
  <si>
    <t>El gobernador Julio Menchaca Salazar informó que solicitó a los integrantes de su gabinete estatal prepararse para las próximas comparecencias ante el Congreso del Estado de Hidalgo.</t>
  </si>
  <si>
    <t>Comparecencias</t>
  </si>
  <si>
    <t>En Hidalgo, las universidades tecnológicas y politécnicas han sido fundamentales para formar talento y atraer inversiones, destacó el gobernador Julio Menchaca durante la conmemoración por los 35 años de las universidades tecnológicas y 25 de las politécnicas. “ Nos sentimos muy orgullosos en Hidalgo de las universidades tecnológicas, de las universidades politécnicas, porque han sido un elemento fundamental para que se tome en cuenta nuestra entidad en las inversiones”.</t>
  </si>
  <si>
    <t>Radioescucha Sra. Virginia la calle tiene muchos baches</t>
  </si>
  <si>
    <t>Vialidad En Mal Estado</t>
  </si>
  <si>
    <t>Radioescucha Emilio Osorio reporta dos mega baches por la Joya y por Home Depot</t>
  </si>
  <si>
    <t>Radioescucha reporta que no funcionan las luminarias en la Plutarco en avenida 8</t>
  </si>
  <si>
    <t>Radioescucha reporta que no funcionan las lamparas que estas atrás del Club de Golf</t>
  </si>
  <si>
    <t>Radioescucha Dice: "Muy buenos días, licenciado Larrieta. Nuevamente solicitando su valioso apoyo para que mediante su medio, que la CAASIM dote de agua a la zona de Villa Aquiles Serdán. No es suficiente el apoyo de pipas que nos dan en muy pocas veces". Perfecto. Okey, José Meneses, con mucho gusto lo estamos pasando de una vez».</t>
  </si>
  <si>
    <t>Radioescucha dice: "Disculpe, licenciado Larrieta, en la colonia ISSSTE, Río Yaqui, abrieron la calle, está deshecha. Le pregunto si colocarán mejores y más coladeras y un tubo más grande para que no se encharquen las calles y lo mismo y en otras de las colonias de Pachuca, ¿o salen tan caras las coladeras para el gobierno?". Híjole, eso sí no lo sé. No sé si salgan tan caras ni nada, pero híjole, pues yo espero que estén haciendo bien el drenaje pluvial, porque eso nos ayudaría mucho en todas las colonias y fraccionamientos de la capital hidalguense y su zona metropolitana».</t>
  </si>
  <si>
    <t>Dren Pluvial</t>
  </si>
  <si>
    <t>Radioescucha 2820, muchas gracias, muchas gracias. Ya estamos este pasando el reporte nuevamente de estas fugas que nos dicen que tienen en la colonia Punta Azul, ya los tiene Pao García, ya los tiene y los está enviando directamente a las oficinas centrales para que lo chequen. Muchas pero muchas gracias».</t>
  </si>
  <si>
    <t>Radioescucha pide una pipa de agua</t>
  </si>
  <si>
    <t>La Comisión Nacional del Agua (Conagua), a través de su Dirección Local Hidalgo, mantiene un monitoreo permanente de las presas que administra en la entidad, con el objetivo de dar seguimiento a las condiciones de los embalses y contribuir a la seguridad de la población.La dependencia informó que las presas de la región del Valle de México registran un almacenamiento global de 94.1 por ciento de su capacidad.</t>
  </si>
  <si>
    <t>Monitoreo De Presas</t>
  </si>
  <si>
    <t>El Congreso del estado de Hidalgo rindió un homenaje póstumo a la diputada Juana Olivia Alarcón Rivera, quien falleció el pasado 16 de septiembre mientras se desempeñaba como integrante de la LXVI Legislatura.</t>
  </si>
  <si>
    <t>Homenaje póstumo</t>
  </si>
  <si>
    <t>En el Día Mundial sin Automóvil, invita Semot a fomentar el respeto a la Jerarquía de la Movilidad</t>
  </si>
  <si>
    <t>Más de 6,000 escuelas de Hidalgo participarán en la primera sesión ordinaria del Consejo Técnico Escolar de este periodo escolar,</t>
  </si>
  <si>
    <t>El DIF Hidalgo entregó becas a niñas, niños y adolescentes usuarios de los centros Pilares.</t>
  </si>
  <si>
    <t>SSPH detiene a pareja que trasladaba 72 kilos de marihuana</t>
  </si>
  <si>
    <t>Combate Al Narcomenudeo</t>
  </si>
  <si>
    <t>El comité organizador del Palenque de la Feria de Pachuca 2026 emitió un comunicado oficial para alertar a la ciudadanía sobre fraudes en la venta de boletos para las presentaciones programadas del 24 de septiembre al 18 de octubre. Las autoridades del evento señalaron que los únicos puntos de venta autorizados son Ticket Center, las instalaciones del Recinto Ferial de Pachuca, el Auditorio Gota de Plata y el sitio web toptickets.com.mx. La organización advirtió que no se hará responsable por entradas adquiridas a través de revendedores, particulares o páginas no oficiales que triplican los precios o distribuyen información falsa.</t>
  </si>
  <si>
    <t>Palenque Feria Pachuca</t>
  </si>
  <si>
    <t>En el municipio de Singuilucan se llevó a cabo una jornada de mastografías en la comunidad del Susto con el objetivo de acercar servicios de salud y promover la detección oportuna del cáncer de mama. En esta actividad participaron la Secretaría de Salud de Hidalgo (liderada por la doctora Vanessa Escalante Arroyo), la Jurisdicción Sanitaria número 2 de Tulancingo (representada por la enfermera Isabel Guzmán Tavera) y el Ayuntamiento de Singuilucan a través de su Dirección de Salud Municipal a cargo de Fernando Islas. Estas acciones buscan fortalecer la prevención y garantizar el acceso a la salud para las mujeres de la región.</t>
  </si>
  <si>
    <t>Prevención cáncer de mama</t>
  </si>
  <si>
    <t>Encabeza Natividad Castrejón estrategia “El ABC de las emociones” en Hidalgo</t>
  </si>
  <si>
    <t>Estudiantes de la Escuela Normal Rural Luis Villarreal, conocida como "El Mexe", realizaron una protesta y permitieron el libre paso en la caseta de cobro de San Alejo, en la región de Tulancingo. Los manifestantes exigen atención de las autoridades federales mediante una mesa de diálogo para resolver sus demandas, las cuales incluyen recursos para mejores instalaciones, la delimitación oficial con escrituras de los terrenos de la escuela, el servicio de comedor al 100% incluyendo los fines de semana, y la apertura de la segunda y tercera fase del internado. Asimismo, los normalistas denunciaron hostigamiento policial y exigieron respeto a su organización estudiantil.</t>
  </si>
  <si>
    <t>El Mexe</t>
  </si>
  <si>
    <t>UECS acredita ante la autoridad judicial responsabilidad de dos hombres acusados de secuestro agravado y son sentenciados a 50 años de prisión</t>
  </si>
  <si>
    <t>Sentencia</t>
  </si>
  <si>
    <t>La mañana de este día, las autoridades localizaron el cuerpo sin vida de un hombre de aproximadamente 50 años en un predio baldío ubicado en la colonia Parque Urbano Napateco, en el municipio de Tulancingo. El cuerpo presentaba una herida de bala en la cabeza, y junto a él se encontró un arma de fuego, por lo que las primeras líneas de investigación apuntan a un posible suicidio, aunque las diligencias oficiales continúan. El lugar fue asegurado por elementos policiales en espera de los peritos de la Procuraduría General de Justicia del Estado de Hidalgo, encargados de procesar la escena y ordenar el levantamiento del cuerpo conforme a los protocolos del sistema penal.</t>
  </si>
  <si>
    <t>El Ayuntamiento de Cuautepec de Hinojosa, en coordinación con el Instituto Hidalguense de la Juventud, convocó a jóvenes de entre 14 y 17 años 11 meses a participar en el Primer Cabildo Juvenil 2026. La iniciativa busca fortalecer la participación de las juventudes en asuntos municipales, así como generar propuestas para atender problemáticas de su comunidad y conocer el funcionamiento del gobierno local y del Cabildo. La convocatoria contempla principios de inclusión y pluralidad, con participación de jóvenes de comunidades indígenas, personas con discapacidad y de la diversidad sexo genérica, además de considerar la paridad de género. Entre los requisitos se encuentra contar con al menos tres años de residencia en Cuautepec, presentar documentación personal, carta de exposición de motivos, un video de presentación y una propuesta de iniciativa o punto de acuerdo sobre alguna problemática municipal. Las inscripciones estarán abiertas hasta el 6 de octubre a las 23:59 horas, mediante el formulario oficial o de manera presencial en el Cabildo, de 9:00 a 16:00 horas. El comité evaluador seleccionará a 20 jóvenes propietarios y suplentes. Los resultados se publicarán el 9 de octubre, mientras que la sesión del Cabildo Juvenil se realizará el 23 de octubre de 2026, previa capacitación en técnica parlamentaria y normativa municipal.</t>
  </si>
  <si>
    <t>Cabildo Juvenil</t>
  </si>
  <si>
    <t>Ke Buena 106.7 FM</t>
  </si>
  <si>
    <t>Noticias 106.7</t>
  </si>
  <si>
    <t>La Secretaría de Cultura del estado ha lanzado la convocatoria "Tesoros Vivos, Premio Guardián del Patrimonio Hidalguense 2026", la cual busca reconocer y visibilizar públicamente a las y los portadores de la cultura para asegurar la continuidad intergeneracional de los saberes tradicionales. Según explicó en entrevista vía telefónica Nelly Dorantes Martínez, enlace del programa, la bolsa estatal es de 400,000 pesos divididos en cinco premios de 80,000 pesos cada uno. Las categorías participantes abarcan lengua y tradiciones orales, artes de la representación, prácticas sociales y rituales, conocimientos sobre la naturaleza (incluyendo medicina tradicional y parteras), así como artes y oficios tradicionales. La recepción de expedientes en físico cierra el 9 de octubre a las 5:00 p.m. en las instalaciones de la dependencia en Pachuca. Como parte de la estrategia de inclusión, las bases y cédulas de registro fueron traducidas a lenguas indígenas como ñähñu, náhuatl, nūhū y tepehua con apoyo de la CDI.</t>
  </si>
  <si>
    <t>Cultura</t>
  </si>
  <si>
    <t>Tesoros vivos</t>
  </si>
  <si>
    <t>David Cárdenas</t>
  </si>
  <si>
    <t>Autoridades llevaron a cabo la inhabilitación de una toma clandestina y dos túneles ocultos construidos para la extracción ilegal de combustible en el municipio de Atitalaquia. El hallazgo sobre el poliducto que conecta Tula con Salamanca fue detectado por personal especializado de Petróleos Mexicanos (Pemex) tras identificar una anomalía técnica de "espesor cero". La intervención no solo frena el robo de hidrocarburos y las pérdidas económicas, sino que elimina un factor de alto riesgo para los habitantes de la zona debido a la peligrosidad de las excavaciones no autorizadas y el manejo clandestino de combustible.</t>
  </si>
  <si>
    <t>Gabinete de Seguridad</t>
  </si>
  <si>
    <t>Huachitúnel</t>
  </si>
  <si>
    <t>Un hombre y una mujer señalados como presuntos responsables de diversos robos fueron retenidos por habitantes del municipio de Ixmiquilpan durante la noche de este miércoles, tras ser acusados de arrebatar un teléfono celular en el barrio El Nith. De acuerdo con el reporte, los implicados intentaron escapar a bordo de una motocicleta, pero metros adelante derraparon sobre el pavimento, lo que permitió a los pobladores alcanzarlos y trasladarlos a la delegación local. Elementos de Seguridad Pública Municipal acudieron al sitio para entablar diálogo con los residentes y lograr la entrega de los sospechosos, con el fin de ponerlos a disposición de las autoridades competentes. Tras la difusión de las imágenes de los detenidos en redes sociales, integrantes de la organización vecinos vigilantes del municipio de Actopan los señalaron como los supuestos autores de un asalto a mano armada cometido el pasado 18 de septiembre en una heladería con razón social Los Cocos.</t>
  </si>
  <si>
    <t>Detención</t>
  </si>
  <si>
    <t>Implementará SSPH operativo de seguridad en la Feria San Francisco Pachuca 2026</t>
  </si>
  <si>
    <t>Con nuevas inversiones y empleos, Hidalgo ha entrado en una nueva etapa</t>
  </si>
  <si>
    <t>Atracción De Inversiones</t>
  </si>
  <si>
    <t>Hidalgo, sede de Orgullo Nacional 2027 y Centroamericano de Boccia 2026.</t>
  </si>
  <si>
    <t>Continúa abierta convocatoria para trabajar en hospitales en Alemania</t>
  </si>
  <si>
    <t>STPSH</t>
  </si>
  <si>
    <t>Movilidad laboral</t>
  </si>
  <si>
    <t>DIF Hidalgo entrega 31 proyectos productivos para fortalecer la autonomía económica de personas con discapacidad</t>
  </si>
  <si>
    <t>Apoyo a personas con discapacidad</t>
  </si>
  <si>
    <t>En el Congreso del Estado de Hidalgo se presentó una iniciativa impulsada por legisladores de distintos partidos políticos para reformar la Ley de Educación local. El objetivo principal es fortalecer la corresponsabilidad de madres, padres y tutores en el proceso de aprendizaje de los estudiantes mediante la actualización de sus obligaciones. Con ello se busca promover una participación activa en el acompañamiento académico, el desarrollo socioemocional, la convivencia escolar, la prevención de la violencia y el uso responsable de las tecnologías de la información y comunicación dentro y fuera de los planteles educativos.</t>
  </si>
  <si>
    <t>Iniciativa</t>
  </si>
  <si>
    <t>En Pachuca, las autoridades escolares anunciaron que este viernes 25 de septiembre se llevará a cabo la sesión del Consejo Técnico Escolar en los planteles educativos. Durante este encuentro, los colectivos docentes trabajarán en la consolidación del programa de mejora continua, definiendo las prioridades y enfoques que cada institución educativa seguirá a lo largo del ciclo escolar.</t>
  </si>
  <si>
    <t>En el municipio de Tulancingo se lleva a cabo la onceava jornada de la campaña integral de enfermedades oculares impulsada por la administración local. La cirujana dentista Erika Gamalieli López, directora de salud municipal, y Noé Iván Bernal Lozano, coordinador de la campaña, informaron que se han atendido cerca de 1,000 pacientes y realizado 137 cirugías de cataratas con el apoyo de especialistas provenientes de la Ciudad de México. La nueva jornada se programó en la Presidencia Municipal ofreciendo 100 fichas de atención gratuita para revisiones especializadas en cataratas, carnosidades, glaucoma y padecimientos en general. Los especialistas brindan seguimiento continuo sin costo de traslado ni consulta, y los requisitos indispensables para los asistentes mayores de 8 años son presentar copias de la INE y del CURP, sin necesidad de acudir en ayunas.</t>
  </si>
  <si>
    <t>Salud Visual</t>
  </si>
  <si>
    <t>En Hidalgo se inmunizará a más de 202 mil perros y gatos</t>
  </si>
  <si>
    <t>Vacunación Antirrábica</t>
  </si>
  <si>
    <t>Hidalgo, sede de Orgullo Nacional 2027 y Centroamericano de Boccia 2026</t>
  </si>
  <si>
    <t>Continuamos en Pachuca con la información y ya le adelantaba mi compañero Gustavo Rosales acerca de esta competencia denominada ahora Orgullo Nacional, que es pues básicamente la Olimpiada Nacional, dándole una nueva denominación que conlleva, por supuesto, también lo que representa el deporte en el país. Es un orgullo, por supuesto, tener a nuestras niñas, a nuestros niños, a los jóvenes practicando alguna disciplina deportiva y, por supuesto, llevándola, en algunos casos quienes participan en estas en estos juegos, en estas competencias, llevándolo a niveles de excelencia, a niveles del alto rendimiento, lo que implica en su momento pues un cambio radical en la vida de de las personas. Son niños, jóvenes que pues no llevan el mismo ritmo que otros de sus compañeros en las escuelas, que mientras están en algunas pues actividades lúdicas, en algunas actividades recreativas, pues quienes se dedican al deporte, a este alto rendimiento, generalmente están o entrenando o en alguna competencia.</t>
  </si>
  <si>
    <t>Durante la segunda emisión de Enlace Hidalgo se informó sobre el homenaje realizado en Tulancingo, con motivo del 109 aniversario del natalicio de Rodolfo Guzmán Huerta, mejor conocido como "El Santo, el Enmascarado de Plata". El evento contó con la presencia del Hijo del Santo, quien participó en la colocación de una ofrenda floral en la estatua del legendario luchador ubicada en la antigua estación del ferrocarril —sitio desde el cual el homenajeado partió hacia la Ciudad de México en su juventud—. Durante su visita, el Hijo del Santo donó documentos personales, pósters e historietas para el museo dedicado a su padre (inaugurado en 2019), firmó fotografías a gran escala y convivió con autoridades, público, gladiadores y luchadores locales.</t>
  </si>
  <si>
    <t>En su colaboración semanal, Gustavo Rosales dio a conocer el cambio de nombre de la Olimpiada Nacional a "Orgullo Nacional", anunciado por Rommel Pacheco. Se confirmó que el estado de Hidalgo será sede de este evento para el próximo año, albergando 13 disciplinas deportivas en diversos municipios y estrenando las nuevas instalaciones de la ciudad deportiva de alto rendimiento al sur de la capital hidalguense.</t>
  </si>
  <si>
    <t>Nacionales Conade</t>
  </si>
  <si>
    <t>En su colaboración semanal, Gustavo Rosales confirmó que el ciclista hidalguense Edgar "El Chucky" Cadena participará en el cierre del Mundial de Ciclismo en Montreal, Canadá, tras resolver favorablemente los problemas de visado con el apoyo de la Conade y la Secretaría de Relaciones Exteriores. El equipo nacional en dicha competencia es comandado por Isaac del Toro.</t>
  </si>
  <si>
    <t>Apoyo a deportistas</t>
  </si>
  <si>
    <t>Ya está en marcha la Semana Nacional de Reforzamiento de Vacunación Antirrábica que se realiza desde el pasado 20 de septiembre hasta el próximo 26. Se busca vacunar a más de 200 mil perros y gatos. La Secretaría de Salud Estatal informó que fueron instalados más de 200 puestos de vacunación, además de brigadas que recorren distintas localidades. La aplicación es totalmente gratuita para perros y gatos mayores de un mes. Autoridades también alertaron mucho ojo sobre la presencia de vacunadores ambulantes no autorizados, por lo que pidieron verificar que el personal está identificado y entregue comprobante y placa oficial.</t>
  </si>
  <si>
    <t>EL gobierno de Hidalgo, a través de la Secretaría de Cultura, abrió la convocatoria a Tesoros Vivos, premio Guardián del Patrimonio Hidalguense 2026, que entregará cinco estímulos de 80 mil pesos, con una bolsa total de 400 mil. El programa reconoce a mujeres y hombres mayores de 18 años, con al menos 15 años de trayectoria en la preservación y transmisión de saberes tradicionales, como lenguas originarias, música, rituales, medicina tradicional, alfarería y tejido.</t>
  </si>
  <si>
    <t>Radioescucha 8070 Kevin dice: "Muy buenas... muy buenos días. Esa tarifa de taxis está mal, ahí dígale al titular de Movilidad que mínimo debe de estar a 10 pesos el kilómetro". ¿Ah, sí? Kevin, gracias, Kevin</t>
  </si>
  <si>
    <t>Radioescucha pregunta 9313, dice: "Lincenciado, ¿sabe si ya están dando las tarifas en el transporte o dónde podemos ir a recogerlas?". Pues sí, en Movilidad y Transporte ya deben de tenerlas ahí. Se supone cuando las lanzaron ya, inclusive antier por la no... sí, ayer por la noche, antier por la noche, estaba la Secretaría de Movilidad y Transporte pues poniendo estas tarifas en diferentes unidades por la noche, estaban pegándolas, ¿sí? Entonces yo espero que que ya las puedan entregar sin ningún problema.</t>
  </si>
  <si>
    <t>Radioescucha pregunta¿Sabrán cuánto es el costo de tomar un taxi y cuántos kilómetros?. Comenta conductor que son 4 km... el primer banderazo, que son los primeros 4 kilómetros, ¿estamos de acuerdo?, son 48... 45 pesos, ¿verdad? ¿45 o 48 pesos? 45... 45. Sí, es lo que nos dicen. Es el banderazo. Y ya después de cada kilómetro cuesta 4 pesos, ¿sí? Después son los primeros 4 kilómetros son 45 pesos y después cada kilómetro son 4 pesotes, ¿de acuerdo? Nada más váyanle haciendo su su cuenta o prenda ahí su su mapa, sin problema ahí le va dando el recorrido y de ahí partimos.</t>
  </si>
  <si>
    <t>Radioescucha Sr. Fidel dice : "Buenos días, con la alegría de haber conocido a Jacky, me dio mucho gusto. Pues mi reporte: quiero reportar que la lateral del puente del atirantado, de lado del velatorio del IMSS, está horrible". No le entendí realmente. Bueno, lo trato de traducir. Nos está diciendo que le dio gusto conocer allá a Jacky; dos, que la lateral del puente atirantado, frente al velatorio, está horrible. Ojalá nos puedan hacer caso las autoridades, que lo arreglen dice "que vayan y que le metan chicle con o con arena". Si usted lo puede hacer así, don Fidel, con chicle y arena, pues ya la haríamos, ¿no? Hasta aquí Pao se rió. Pues sí, si usted cree que es la solución el chicle y la arena, pues a ver, enséñemelo para que yo lo pueda hacer y vamos a ver, porque sí tengo un bachecito ahí frente a casa y a ver si le puedo poner chicle y arena, a ver si pega.</t>
  </si>
  <si>
    <t>Socavón</t>
  </si>
  <si>
    <t>La Secretaría de Educación Pública de Hidalgo puso en marcha la estrategia el ABC de las emociones, enfocada en fortalecer la salud mental y el bienestar socioemocional de adolescentes y jóvenes. El titular de la SEP Natividad Castrejón informó que se realizarán veintiséis jornadas en doce regiones del Estado, con la participación de estudiantes de veintidós secundarias y comunidades educativas de más de cuatrocientos planteles de nivel medio superior, además de la Universidad Autónoma del Estado de Hidalgo.</t>
  </si>
  <si>
    <t>Vía telefonica diputado Alejandro Pérez Ramírez con el tema : Uso de celulares en escuelas básicas. Comentó agradezco la posibilidad de comunicarme contigo y con con todos los que siguen tus diversas redes. Mira, es un tema que creo que ya se venía comentando, al menos, yo como presidente de la Comisión de Educación, recibía varios comentarios, varios mensajes de cómo se podía regular este tema.Es un tema y me queda claro que hoy los teléfonos celulares, y no nada más los teléfonos, este también las tabletas, etcétera, etcétera, todos los dispositivos, en muchos, en muchos centros de trabajo, obviamente se ocupan y se utilizan, pues, en beneficio del proceso educativo, pero sí, que sí existía la necesidad de tener una regulación. Yo aplaudo, de verdad, este, esta decisión que se tomó con fundamento en una consulta nacional, Manlo, una consulta nacional que se da el veinticuatro del veinticuatro al veintiocho de agosto, y que, bueno, este nos da números importantes y la nos llevan a que a que se regularice este tema en las instituciones. Sabemos que un celular es necesario porque obviamente el padre de familia quiere, y yo también soy padre de familia, necesitamos estar en comunicación, pero también es necesario respetar los espacios, pues, los espacios este educativos, los entornos escolares, para que nuestros niños, niñas, y adolescentes, pues, se desempeñen como como verdaderamente es.</t>
  </si>
  <si>
    <t>El Servicio Nacional de Empleo Hidalgo mantiene abierta la convocatoria para enfermeras y enfermeros interesados en trabajar en hospitales de Alemania. Entre los requisitos se encuentra contar con cédula profesional y al menos seis meses de experiencia laboral comprobable. Hidalgo será sede nacional del proceso de reclutamiento presencial que se realizará del 28 de septiembre al 2 de octubre en el Instituto de Ciencias de la Salud de la Universidad Autónoma del Estado de Hidalgo con previo registro.</t>
  </si>
  <si>
    <t>Continúa abierta convocatoria para trabajar en hospitales en Alemania. El Servicio Nacional del Empleo Hidalgo mantiene abierta la convocatoria para trabajar en hospitales en Alemania. Escuchemos».El Servicio Nacional del Empleo Hidalgo mantiene abiertas las vacantes para enfermeras y enfermeros con experiencia para laborar en Alemania.</t>
  </si>
  <si>
    <t>Integrantes de la LXVI Legislatura del Congreso de Hidalgo aprobaron con 21 votos a favor, cero en contra y cero abstenciones el dictamen mediante el cual se propone al Pleno otorgar la Medalla al Mérito de Protección Civil (PC) 2026 a Leonardo González Neri.El dictamen fue emitido por la Primera Comisión Permanente de Protección Civil y Gestión Integral de Riesgos, tras concluir el proceso de deliberación y votación entre las candidaturas recibidas.</t>
  </si>
  <si>
    <t>Medalla al mérito</t>
  </si>
  <si>
    <t>Padres de familia de la Escuela Primaria Leona Vicario ubicada en la Colonia 2 de Agosto en Tulancingo cerraron el plantel ante un conflicto relacionado con el comité escolar. Señalan que el comité anterior no quiere dejar el cargo, situación que ha generado inconformidad entre los padres. Solicitan atención de las autoridades para buscar una solución al conflicto. También señalan abuso por parte del director de la primaria.</t>
  </si>
  <si>
    <t>Malos manejos</t>
  </si>
  <si>
    <t>Quienes críen, reproduzcan o comercialicen animales domésticos de manera clandestina en Hidalgo podrían enfrentar multas de entre 5 mil 865 y 11 mil 731 pesos, de aprobarse una iniciativa presentada en el Congreso local.La propuesta, impulsada por el diputado emanado del Partido del Trabajo (PT), Francisco Javier Téllez Sánchez, plantea adicionar el artículo 28 Bis a la Ley de Protección y Trato Digno para los Animales en el Estado de Hidalgo, con sanciones equivalentes a 50 y hasta 100 Unidades de Medida y Actualización (UMA).</t>
  </si>
  <si>
    <t>Radioescucha Sr. Castillo dice "Buenos días, licenciado Larrieta. Para el equipo de Panorama Informativo, si pudiera brindar apoyo para difundir la siguiente situación, para canalizarla con el gobierno del estado al área correspondiente, me puedan atender. Desde hace más de 6 meses he ido en varias ocasiones a las oficinas de gobierno... al gobierno del estado para solicitar una audiencia con el gobernador y también he he metido solicitudes por medio de varios oficios, pero hasta el día de hoy nadie me atiende, no he recibido respuesta alguna. Le agradezco mucho la atención". Nos manda su número telefónico el señor Castillo. "No sé si realmente exista desinterés por parte del del gobierno del estado o qué esté pasando". Con mucho gusto lo pasamos también, aquí nos están escuchando. El señor Castillo tiene este ya un un reporte y quiere tener una audiencia con el señor gobernador. Lo checamos con mucho gusto, gracias, ya lo pasa...»</t>
  </si>
  <si>
    <t>Apareció otro túnel huachicolero. Autoridades destruyeron un túnel de 143 metros de longitud relacionado con el robo de hidrocarburo en Teocalco, municipio de Tlaxcoapan.El túnel dio inicio, da inicio en la esquina de la bodega que tenemos aquí en nuestras espaldas. Corre de sureste a noroeste un total de 143 metros. Estamos ubicando específicamente el punto de salida del túnel. Allí es donde se conectaría con el ducto.</t>
  </si>
  <si>
    <t>En la localidad de Teocalco, Destruyen túnel relacionado con el robo de hidrocarburo. El Gabinete de Seguridad destruyó un túnel de 143 metros de longitud relacionado con el robo de hidrocarburo. La estructura había sido inhabilitada previamente y la Fiscalía General de la República (FGR) determinó proceder con su destrucción.Bajo la conducción del gobernador Julio Menchaca Salazar, el Gabinete de Seguridad mantiene el trabajo con autoridades federales, estatales y municipales para combatir el robo de hidrocarburo y proteger a la población de comunidades cercanas a los puntos intervenidos</t>
  </si>
  <si>
    <t>Radioescucha Sr. Samperio dice : Muy buenos días reportando en innumerables ocasiones una fuga de agua en la calle Chavarría Pitahayas, a la altura de los números 120. Cada que cae agua se desperdicia mucho. CAASIM». Sí, sí señor Samperio, señora Samperio, no sé, pero sí, con mucho gusto y lo estamos eh compartiendo en este momento a CAASIM</t>
  </si>
  <si>
    <t>El pueblo mágico de Real del Monte, aquí en Hidalgo, albergará la 18ª edición del Festival Internacional del Paste del 9 al 11 de octubre. La agenda del evento contempla actividades gastronómicas, culturales, artísticas y artesanales, así como recorridos dedicados a la herencia minera de la región.</t>
  </si>
  <si>
    <t>Que a partir de este jueves habrá modificaciones en el transporte público por la Feria San Francisco Pachuca, Hidalgo 2026. Adelante, vamos a escuchar la información con Jacqueline Servín».Con motivo de la Feria San Francisco Pachuca, Hidalgo 2026, la Secretaría de Movilidad y Transporte, a través de sus dos organismos sectorizados, el Sistema Integrado de Transporte Masivo de Hidalgo y el Sistema de Transporte Convencional, realizará operativos especiales del jueves 24 de septiembre al domingo 18 de octubre, con el objetivo de garantizar la movilidad y un servicio de transporte accesible.</t>
  </si>
  <si>
    <t>El secretario de Seguridad Pública, Salvador Cruz Neri, informó sobre los operativos efectuados en la región de Tula. Y hallan otro túnel en Atitalaquia.El operativo que tenemos aquí es una coordinación que traemos con el gobierno federal. Está ahí Pemex, está la Guardia Nacional, SEDENA y nosotros en cómo poder detectar más tomas clandestinas o túneles como estos.</t>
  </si>
  <si>
    <t>Combate Al Huachicol</t>
  </si>
  <si>
    <t>En otros temas, el niño que resultó lesionado por una llama durante una presentación con una flauta ancestral en la ceremonia de abanderamiento de la Delegación Estatal de Paratletas, realizada en la Ciudad Deportiva de Alto Rendimiento de Pachuca, fue intervenido mediante cirugía plástica y se recupera satisfactoriamente, informó la presidenta del Patronato del Sistema DIF Hidalgo, Edda Vite Ramos.</t>
  </si>
  <si>
    <t>Código guinda</t>
  </si>
  <si>
    <t>¿Qué cifras tan interesantes ha revelado el Inegi? Y es que presentó los resultados de la encuesta interestatal, intercensal, perdón, 2025, revelando que el estado de Hidalgo alcanzó una población de poco más de tres millones doscientos cuarenta y cinco mil quinientos noventa y cinco habitantes. Tomemos como punto de referencia el Censo de Población y Vivienda 2020. En ese año, en Hidalgo vivíamos tres millones ochenta y dos mil ochocientos cuarenta y una personas. Cinco años después, la encuesta intercensal nos permite actualizar esta fotografía demográfica y vemos que para 2025 la población total estimada en nuestro estado es de tres millones doscientos cuarenta y cinco mil quinientas noventa y cinco personas. A nivel nacional ya somos ciento treinta millones novecientos once mil trescientos catorce habitantes, de acuerdo también a esta encuesta intercensal dos mil veinticinco. La encuesta además revela los cambios en las características sociales de la población hidalguense. Destacó Laura González , coordinadora estatal Inegi Hidalgo.</t>
  </si>
  <si>
    <t>Censo Inegi</t>
  </si>
  <si>
    <t>Por primera vez de la competencia multideportiva infantil y juvenil, más importante del país, Orgullo Nacional dos mil veintisiete, antes conocida como Olimpiada Nacional. Estas dos noticias nos hacen tener un gran agradecimiento a todas las instituciones deportivas, a la presidenta de la república, a la doctora Claudia Sheinbaum, y reiterarles la invitación tanto para este evento en noviembre de este año, como para el Orgullo Nacional en el veinte veintisiete.</t>
  </si>
  <si>
    <t>El gobernador de Hidalgo, Julio Menchaca Salazar, no descartó cambios en su gabinete por quienes aspiran a participar en el proceso electoral de dos mil veintisiete que ya inició. Sin embargo, aclaró que por el momento sus funcionarios están trabajando para el cierre de la administración. Aún faltan las comparecencias en el Congreso del Estado.</t>
  </si>
  <si>
    <t>Cambios En El Gabinete</t>
  </si>
  <si>
    <t>El DIF Hidalgo entregó 31 proyectos productivos a personas con discapacidad de 18 municipios con una inversión de un millón novecientos mil pesos. Los apoyos buscan que las y los beneficiarios generen sus propios ingresos y fortalezcan la economía de sus familias. Edda Vite, presidenta del Patronato del DIF Estatal, destacó que inclusión también significa abrir oportunidades para alcanzar mayor independencia económica.</t>
  </si>
  <si>
    <t>Radioescucha dice : Muy buenos días, Licenciado Larrieta. Espero se encuentre bien para reportar que en el fraccionamiento Prismas 1 y 2 no hay agua desde hace 4 días, no nos dan respuesta en CAASIM ni mandan pipas». Con mucho gusto le estamos pasando en este momento a... aquí está Pao.</t>
  </si>
  <si>
    <t>Radioescucha reporta que CAASIM, con sus trabajos que está haciendo en el bulevar C. Doria, rompieron un tubo y pasó a afectar a miles de usuarios. Urge que lo reparen, que reparen este desperfecto, gracias, o que por lo menos envíen pipas, es lo que nos están diciendo en esta mañana de Panorama Informativo.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</si>
</sst>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07" tableType="queryTable" totalsRowShown="0">
  <autoFilter ref="A1:M107"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07"/>
  <sheetViews>
    <sheetView tabSelected="1" topLeftCell="A54" workbookViewId="0">
      <selection activeCell="A89" sqref="A89"/>
    </sheetView>
  </sheetViews>
  <sheetFormatPr baseColWidth="10" defaultRowHeight="15" x14ac:dyDescent="0.25"/>
  <cols>
    <col min="1" max="1" width="8.5703125" bestFit="1" customWidth="1"/>
    <col min="2" max="2" width="11.42578125" bestFit="1" customWidth="1"/>
    <col min="3" max="3" width="20" bestFit="1" customWidth="1"/>
    <col min="4" max="4" width="29.42578125" bestFit="1" customWidth="1"/>
    <col min="5" max="5" width="81.140625" bestFit="1" customWidth="1"/>
    <col min="6" max="6" width="20.85546875" bestFit="1" customWidth="1"/>
    <col min="7" max="7" width="33.5703125" bestFit="1" customWidth="1"/>
    <col min="8" max="8" width="12.42578125"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24</v>
      </c>
      <c r="C1" t="s">
        <v>25</v>
      </c>
      <c r="D1" t="s">
        <v>26</v>
      </c>
      <c r="E1" t="s">
        <v>1</v>
      </c>
      <c r="F1" t="s">
        <v>2</v>
      </c>
      <c r="G1" t="s">
        <v>4</v>
      </c>
      <c r="H1" t="s">
        <v>3</v>
      </c>
      <c r="I1" t="s">
        <v>5</v>
      </c>
      <c r="J1" t="s">
        <v>27</v>
      </c>
      <c r="K1" t="s">
        <v>28</v>
      </c>
      <c r="L1" t="s">
        <v>29</v>
      </c>
      <c r="M1" t="s">
        <v>36</v>
      </c>
    </row>
    <row r="2" spans="1:13" x14ac:dyDescent="0.25">
      <c r="A2" s="2">
        <v>46288</v>
      </c>
      <c r="B2" s="1" t="str">
        <f ca="1">IF(Información1[[#This Row],[Fecha]]='Ajuste de fechas'!$A$2,"Día actual","Día anterior")</f>
        <v>Día anterior</v>
      </c>
      <c r="C2" s="3" t="s">
        <v>51</v>
      </c>
      <c r="D2" t="s">
        <v>52</v>
      </c>
      <c r="E2" s="3" t="s">
        <v>72</v>
      </c>
      <c r="F2" s="3" t="s">
        <v>22</v>
      </c>
      <c r="G2" s="3" t="s">
        <v>65</v>
      </c>
      <c r="H2" s="3" t="s">
        <v>46</v>
      </c>
      <c r="I2" s="3" t="s">
        <v>7</v>
      </c>
      <c r="J2" s="3" t="s">
        <v>30</v>
      </c>
      <c r="K2" s="3" t="s">
        <v>53</v>
      </c>
      <c r="L2" s="3" t="s">
        <v>31</v>
      </c>
      <c r="M2">
        <v>1</v>
      </c>
    </row>
    <row r="3" spans="1:13" x14ac:dyDescent="0.25">
      <c r="A3" s="2">
        <v>46288</v>
      </c>
      <c r="B3" s="1" t="str">
        <f ca="1">IF(Información1[[#This Row],[Fecha]]='Ajuste de fechas'!$A$2,"Día actual","Día anterior")</f>
        <v>Día anterior</v>
      </c>
      <c r="C3" s="3" t="s">
        <v>51</v>
      </c>
      <c r="D3" t="s">
        <v>52</v>
      </c>
      <c r="E3" s="3" t="s">
        <v>73</v>
      </c>
      <c r="F3" s="3" t="s">
        <v>22</v>
      </c>
      <c r="G3" s="3" t="s">
        <v>74</v>
      </c>
      <c r="H3" s="3" t="s">
        <v>46</v>
      </c>
      <c r="I3" s="3" t="s">
        <v>7</v>
      </c>
      <c r="J3" s="3" t="s">
        <v>30</v>
      </c>
      <c r="K3" s="3" t="s">
        <v>53</v>
      </c>
      <c r="L3" s="3" t="s">
        <v>31</v>
      </c>
      <c r="M3">
        <v>1</v>
      </c>
    </row>
    <row r="4" spans="1:13" x14ac:dyDescent="0.25">
      <c r="A4" s="2">
        <v>46288</v>
      </c>
      <c r="B4" s="1" t="str">
        <f ca="1">IF(Información1[[#This Row],[Fecha]]='Ajuste de fechas'!$A$2,"Día actual","Día anterior")</f>
        <v>Día anterior</v>
      </c>
      <c r="C4" s="3" t="s">
        <v>51</v>
      </c>
      <c r="D4" t="s">
        <v>52</v>
      </c>
      <c r="E4" s="3" t="s">
        <v>75</v>
      </c>
      <c r="F4" s="3" t="s">
        <v>18</v>
      </c>
      <c r="G4" s="3" t="s">
        <v>76</v>
      </c>
      <c r="H4" s="3" t="s">
        <v>46</v>
      </c>
      <c r="I4" s="3" t="s">
        <v>7</v>
      </c>
      <c r="J4" s="3" t="s">
        <v>35</v>
      </c>
      <c r="K4" s="3" t="s">
        <v>53</v>
      </c>
      <c r="L4" s="3" t="s">
        <v>32</v>
      </c>
      <c r="M4">
        <v>1</v>
      </c>
    </row>
    <row r="5" spans="1:13" x14ac:dyDescent="0.25">
      <c r="A5" s="2">
        <v>46288</v>
      </c>
      <c r="B5" s="1" t="str">
        <f ca="1">IF(Información1[[#This Row],[Fecha]]='Ajuste de fechas'!$A$2,"Día actual","Día anterior")</f>
        <v>Día anterior</v>
      </c>
      <c r="C5" s="3" t="s">
        <v>51</v>
      </c>
      <c r="D5" t="s">
        <v>52</v>
      </c>
      <c r="E5" s="3" t="s">
        <v>77</v>
      </c>
      <c r="F5" s="3" t="s">
        <v>22</v>
      </c>
      <c r="G5" s="3" t="s">
        <v>59</v>
      </c>
      <c r="H5" s="3" t="s">
        <v>46</v>
      </c>
      <c r="I5" s="3" t="s">
        <v>7</v>
      </c>
      <c r="J5" s="3" t="s">
        <v>30</v>
      </c>
      <c r="K5" s="3" t="s">
        <v>53</v>
      </c>
      <c r="L5" s="3" t="s">
        <v>31</v>
      </c>
      <c r="M5">
        <v>1</v>
      </c>
    </row>
    <row r="6" spans="1:13" x14ac:dyDescent="0.25">
      <c r="A6" s="2">
        <v>46288</v>
      </c>
      <c r="B6" s="1" t="str">
        <f ca="1">IF(Información1[[#This Row],[Fecha]]='Ajuste de fechas'!$A$2,"Día actual","Día anterior")</f>
        <v>Día anterior</v>
      </c>
      <c r="C6" s="3" t="s">
        <v>51</v>
      </c>
      <c r="D6" t="s">
        <v>52</v>
      </c>
      <c r="E6" s="3" t="s">
        <v>78</v>
      </c>
      <c r="F6" s="3" t="s">
        <v>18</v>
      </c>
      <c r="G6" s="3" t="s">
        <v>79</v>
      </c>
      <c r="H6" s="3" t="s">
        <v>46</v>
      </c>
      <c r="I6" s="3" t="s">
        <v>10</v>
      </c>
      <c r="J6" s="3" t="s">
        <v>35</v>
      </c>
      <c r="K6" s="3" t="s">
        <v>53</v>
      </c>
      <c r="L6" s="3" t="s">
        <v>80</v>
      </c>
      <c r="M6">
        <v>1</v>
      </c>
    </row>
    <row r="7" spans="1:13" x14ac:dyDescent="0.25">
      <c r="A7" s="2">
        <v>46288</v>
      </c>
      <c r="B7" s="1" t="str">
        <f ca="1">IF(Información1[[#This Row],[Fecha]]='Ajuste de fechas'!$A$2,"Día actual","Día anterior")</f>
        <v>Día anterior</v>
      </c>
      <c r="C7" s="3" t="s">
        <v>51</v>
      </c>
      <c r="D7" t="s">
        <v>52</v>
      </c>
      <c r="E7" s="3" t="s">
        <v>81</v>
      </c>
      <c r="F7" s="3" t="s">
        <v>82</v>
      </c>
      <c r="G7" s="3" t="s">
        <v>83</v>
      </c>
      <c r="H7" s="3" t="s">
        <v>46</v>
      </c>
      <c r="I7" s="3" t="s">
        <v>7</v>
      </c>
      <c r="J7" s="3" t="s">
        <v>30</v>
      </c>
      <c r="K7" s="3" t="s">
        <v>53</v>
      </c>
      <c r="L7" s="3" t="s">
        <v>31</v>
      </c>
      <c r="M7">
        <v>1</v>
      </c>
    </row>
    <row r="8" spans="1:13" x14ac:dyDescent="0.25">
      <c r="A8" s="2">
        <v>46288</v>
      </c>
      <c r="B8" s="1" t="str">
        <f ca="1">IF(Información1[[#This Row],[Fecha]]='Ajuste de fechas'!$A$2,"Día actual","Día anterior")</f>
        <v>Día anterior</v>
      </c>
      <c r="C8" s="3" t="s">
        <v>51</v>
      </c>
      <c r="D8" t="s">
        <v>52</v>
      </c>
      <c r="E8" s="3" t="s">
        <v>84</v>
      </c>
      <c r="F8" s="3" t="s">
        <v>82</v>
      </c>
      <c r="G8" s="3" t="s">
        <v>85</v>
      </c>
      <c r="H8" s="3" t="s">
        <v>46</v>
      </c>
      <c r="I8" s="3" t="s">
        <v>7</v>
      </c>
      <c r="J8" s="3" t="s">
        <v>30</v>
      </c>
      <c r="K8" s="3" t="s">
        <v>53</v>
      </c>
      <c r="L8" s="3" t="s">
        <v>31</v>
      </c>
      <c r="M8">
        <v>1</v>
      </c>
    </row>
    <row r="9" spans="1:13" x14ac:dyDescent="0.25">
      <c r="A9" s="2">
        <v>46288</v>
      </c>
      <c r="B9" s="1" t="str">
        <f ca="1">IF(Información1[[#This Row],[Fecha]]='Ajuste de fechas'!$A$2,"Día actual","Día anterior")</f>
        <v>Día anterior</v>
      </c>
      <c r="C9" s="3" t="s">
        <v>51</v>
      </c>
      <c r="D9" t="s">
        <v>52</v>
      </c>
      <c r="E9" s="3" t="s">
        <v>86</v>
      </c>
      <c r="F9" s="3" t="s">
        <v>15</v>
      </c>
      <c r="G9" s="3" t="s">
        <v>63</v>
      </c>
      <c r="H9" s="3" t="s">
        <v>46</v>
      </c>
      <c r="I9" s="3" t="s">
        <v>21</v>
      </c>
      <c r="J9" s="3" t="s">
        <v>34</v>
      </c>
      <c r="K9" s="3" t="s">
        <v>53</v>
      </c>
      <c r="L9" s="3" t="s">
        <v>31</v>
      </c>
      <c r="M9">
        <v>1</v>
      </c>
    </row>
    <row r="10" spans="1:13" x14ac:dyDescent="0.25">
      <c r="A10" s="2">
        <v>46288</v>
      </c>
      <c r="B10" s="1" t="str">
        <f ca="1">IF(Información1[[#This Row],[Fecha]]='Ajuste de fechas'!$A$2,"Día actual","Día anterior")</f>
        <v>Día anterior</v>
      </c>
      <c r="C10" s="3" t="s">
        <v>51</v>
      </c>
      <c r="D10" t="s">
        <v>52</v>
      </c>
      <c r="E10" s="3" t="s">
        <v>87</v>
      </c>
      <c r="F10" s="3" t="s">
        <v>15</v>
      </c>
      <c r="G10" s="3" t="s">
        <v>88</v>
      </c>
      <c r="H10" s="3" t="s">
        <v>46</v>
      </c>
      <c r="I10" s="3" t="s">
        <v>7</v>
      </c>
      <c r="J10" s="3" t="s">
        <v>34</v>
      </c>
      <c r="K10" s="3" t="s">
        <v>53</v>
      </c>
      <c r="L10" s="3" t="s">
        <v>31</v>
      </c>
      <c r="M10">
        <v>1</v>
      </c>
    </row>
    <row r="11" spans="1:13" x14ac:dyDescent="0.25">
      <c r="A11" s="2">
        <v>46288</v>
      </c>
      <c r="B11" s="1" t="str">
        <f ca="1">IF(Información1[[#This Row],[Fecha]]='Ajuste de fechas'!$A$2,"Día actual","Día anterior")</f>
        <v>Día anterior</v>
      </c>
      <c r="C11" s="3" t="s">
        <v>51</v>
      </c>
      <c r="D11" t="s">
        <v>52</v>
      </c>
      <c r="E11" s="3" t="s">
        <v>89</v>
      </c>
      <c r="F11" s="3" t="s">
        <v>45</v>
      </c>
      <c r="G11" s="3" t="s">
        <v>90</v>
      </c>
      <c r="H11" s="3" t="s">
        <v>46</v>
      </c>
      <c r="I11" s="3" t="s">
        <v>7</v>
      </c>
      <c r="J11" s="3" t="s">
        <v>30</v>
      </c>
      <c r="K11" s="3" t="s">
        <v>53</v>
      </c>
      <c r="L11" s="3" t="s">
        <v>31</v>
      </c>
      <c r="M11">
        <v>1</v>
      </c>
    </row>
    <row r="12" spans="1:13" x14ac:dyDescent="0.25">
      <c r="A12" s="2">
        <v>46288</v>
      </c>
      <c r="B12" s="1" t="str">
        <f ca="1">IF(Información1[[#This Row],[Fecha]]='Ajuste de fechas'!$A$2,"Día actual","Día anterior")</f>
        <v>Día anterior</v>
      </c>
      <c r="C12" s="3" t="s">
        <v>51</v>
      </c>
      <c r="D12" t="s">
        <v>52</v>
      </c>
      <c r="E12" s="3" t="s">
        <v>91</v>
      </c>
      <c r="F12" s="3" t="s">
        <v>92</v>
      </c>
      <c r="G12" s="3" t="s">
        <v>93</v>
      </c>
      <c r="H12" s="3" t="s">
        <v>46</v>
      </c>
      <c r="I12" s="3" t="s">
        <v>7</v>
      </c>
      <c r="J12" s="3" t="s">
        <v>30</v>
      </c>
      <c r="K12" s="3" t="s">
        <v>53</v>
      </c>
      <c r="L12" s="3" t="s">
        <v>31</v>
      </c>
      <c r="M12">
        <v>1</v>
      </c>
    </row>
    <row r="13" spans="1:13" x14ac:dyDescent="0.25">
      <c r="A13" s="2">
        <v>46288</v>
      </c>
      <c r="B13" s="1" t="str">
        <f ca="1">IF(Información1[[#This Row],[Fecha]]='Ajuste de fechas'!$A$2,"Día actual","Día anterior")</f>
        <v>Día anterior</v>
      </c>
      <c r="C13" s="3" t="s">
        <v>51</v>
      </c>
      <c r="D13" t="s">
        <v>52</v>
      </c>
      <c r="E13" s="3" t="s">
        <v>94</v>
      </c>
      <c r="F13" s="3" t="s">
        <v>20</v>
      </c>
      <c r="G13" s="3" t="s">
        <v>95</v>
      </c>
      <c r="H13" s="3" t="s">
        <v>46</v>
      </c>
      <c r="I13" s="3" t="s">
        <v>7</v>
      </c>
      <c r="J13" s="3" t="s">
        <v>20</v>
      </c>
      <c r="K13" s="3" t="s">
        <v>53</v>
      </c>
      <c r="L13" s="3" t="s">
        <v>31</v>
      </c>
      <c r="M13">
        <v>1</v>
      </c>
    </row>
    <row r="14" spans="1:13" x14ac:dyDescent="0.25">
      <c r="A14" s="2">
        <v>46288</v>
      </c>
      <c r="B14" s="1" t="str">
        <f ca="1">IF(Información1[[#This Row],[Fecha]]='Ajuste de fechas'!$A$2,"Día actual","Día anterior")</f>
        <v>Día anterior</v>
      </c>
      <c r="C14" s="3" t="s">
        <v>51</v>
      </c>
      <c r="D14" t="s">
        <v>52</v>
      </c>
      <c r="E14" s="3" t="s">
        <v>96</v>
      </c>
      <c r="F14" s="3" t="s">
        <v>18</v>
      </c>
      <c r="G14" s="3" t="s">
        <v>97</v>
      </c>
      <c r="H14" s="3" t="s">
        <v>46</v>
      </c>
      <c r="I14" s="3" t="s">
        <v>7</v>
      </c>
      <c r="J14" s="3" t="s">
        <v>35</v>
      </c>
      <c r="K14" s="3" t="s">
        <v>53</v>
      </c>
      <c r="L14" s="3" t="s">
        <v>31</v>
      </c>
      <c r="M14">
        <v>1</v>
      </c>
    </row>
    <row r="15" spans="1:13" x14ac:dyDescent="0.25">
      <c r="A15" s="2">
        <v>46288</v>
      </c>
      <c r="B15" s="1" t="str">
        <f ca="1">IF(Información1[[#This Row],[Fecha]]='Ajuste de fechas'!$A$2,"Día actual","Día anterior")</f>
        <v>Día anterior</v>
      </c>
      <c r="C15" s="3" t="s">
        <v>51</v>
      </c>
      <c r="D15" t="s">
        <v>52</v>
      </c>
      <c r="E15" s="3" t="s">
        <v>98</v>
      </c>
      <c r="F15" s="3" t="s">
        <v>13</v>
      </c>
      <c r="G15" s="3" t="s">
        <v>68</v>
      </c>
      <c r="H15" s="3" t="s">
        <v>46</v>
      </c>
      <c r="I15" s="3" t="s">
        <v>7</v>
      </c>
      <c r="J15" s="3" t="s">
        <v>30</v>
      </c>
      <c r="K15" s="3" t="s">
        <v>53</v>
      </c>
      <c r="L15" s="3" t="s">
        <v>31</v>
      </c>
      <c r="M15">
        <v>1</v>
      </c>
    </row>
    <row r="16" spans="1:13" x14ac:dyDescent="0.25">
      <c r="A16" s="2">
        <v>46288</v>
      </c>
      <c r="B16" s="1" t="str">
        <f ca="1">IF(Información1[[#This Row],[Fecha]]='Ajuste de fechas'!$A$2,"Día actual","Día anterior")</f>
        <v>Día anterior</v>
      </c>
      <c r="C16" s="3" t="s">
        <v>51</v>
      </c>
      <c r="D16" t="s">
        <v>52</v>
      </c>
      <c r="E16" s="3" t="s">
        <v>99</v>
      </c>
      <c r="F16" s="3" t="s">
        <v>13</v>
      </c>
      <c r="G16" s="3" t="s">
        <v>100</v>
      </c>
      <c r="H16" s="3" t="s">
        <v>46</v>
      </c>
      <c r="I16" s="3" t="s">
        <v>7</v>
      </c>
      <c r="J16" s="3" t="s">
        <v>30</v>
      </c>
      <c r="K16" s="3" t="s">
        <v>53</v>
      </c>
      <c r="L16" s="3" t="s">
        <v>31</v>
      </c>
      <c r="M16">
        <v>1</v>
      </c>
    </row>
    <row r="17" spans="1:13" x14ac:dyDescent="0.25">
      <c r="A17" s="2">
        <v>46288</v>
      </c>
      <c r="B17" s="1" t="str">
        <f ca="1">IF(Información1[[#This Row],[Fecha]]='Ajuste de fechas'!$A$2,"Día actual","Día anterior")</f>
        <v>Día anterior</v>
      </c>
      <c r="C17" s="3" t="s">
        <v>51</v>
      </c>
      <c r="D17" t="s">
        <v>52</v>
      </c>
      <c r="E17" s="3" t="s">
        <v>101</v>
      </c>
      <c r="F17" s="3" t="s">
        <v>15</v>
      </c>
      <c r="G17" s="3" t="s">
        <v>102</v>
      </c>
      <c r="H17" s="3" t="s">
        <v>46</v>
      </c>
      <c r="I17" s="3" t="s">
        <v>7</v>
      </c>
      <c r="J17" s="3" t="s">
        <v>34</v>
      </c>
      <c r="K17" s="3" t="s">
        <v>53</v>
      </c>
      <c r="L17" s="3" t="s">
        <v>31</v>
      </c>
      <c r="M17">
        <v>1</v>
      </c>
    </row>
    <row r="18" spans="1:13" x14ac:dyDescent="0.25">
      <c r="A18" s="2">
        <v>46288</v>
      </c>
      <c r="B18" s="1" t="str">
        <f ca="1">IF(Información1[[#This Row],[Fecha]]='Ajuste de fechas'!$A$2,"Día actual","Día anterior")</f>
        <v>Día anterior</v>
      </c>
      <c r="C18" s="3" t="s">
        <v>51</v>
      </c>
      <c r="D18" t="s">
        <v>52</v>
      </c>
      <c r="E18" s="3" t="s">
        <v>103</v>
      </c>
      <c r="F18" s="3" t="s">
        <v>15</v>
      </c>
      <c r="G18" s="3" t="s">
        <v>104</v>
      </c>
      <c r="H18" s="3" t="s">
        <v>46</v>
      </c>
      <c r="I18" s="3" t="s">
        <v>7</v>
      </c>
      <c r="J18" s="3" t="s">
        <v>34</v>
      </c>
      <c r="K18" s="3" t="s">
        <v>53</v>
      </c>
      <c r="L18" s="3" t="s">
        <v>31</v>
      </c>
      <c r="M18">
        <v>1</v>
      </c>
    </row>
    <row r="19" spans="1:13" x14ac:dyDescent="0.25">
      <c r="A19" s="2">
        <v>46288</v>
      </c>
      <c r="B19" s="1" t="str">
        <f ca="1">IF(Información1[[#This Row],[Fecha]]='Ajuste de fechas'!$A$2,"Día actual","Día anterior")</f>
        <v>Día anterior</v>
      </c>
      <c r="C19" s="3" t="s">
        <v>51</v>
      </c>
      <c r="D19" t="s">
        <v>52</v>
      </c>
      <c r="E19" s="3" t="s">
        <v>105</v>
      </c>
      <c r="F19" s="3" t="s">
        <v>17</v>
      </c>
      <c r="G19" s="3" t="s">
        <v>106</v>
      </c>
      <c r="H19" s="3" t="s">
        <v>46</v>
      </c>
      <c r="I19" s="3" t="s">
        <v>7</v>
      </c>
      <c r="J19" s="3" t="s">
        <v>30</v>
      </c>
      <c r="K19" s="3" t="s">
        <v>53</v>
      </c>
      <c r="L19" s="3" t="s">
        <v>31</v>
      </c>
      <c r="M19">
        <v>1</v>
      </c>
    </row>
    <row r="20" spans="1:13" x14ac:dyDescent="0.25">
      <c r="A20" s="2">
        <v>46288</v>
      </c>
      <c r="B20" s="1" t="str">
        <f ca="1">IF(Información1[[#This Row],[Fecha]]='Ajuste de fechas'!$A$2,"Día actual","Día anterior")</f>
        <v>Día anterior</v>
      </c>
      <c r="C20" s="3" t="s">
        <v>51</v>
      </c>
      <c r="D20" t="s">
        <v>52</v>
      </c>
      <c r="E20" s="3" t="s">
        <v>107</v>
      </c>
      <c r="F20" s="3" t="s">
        <v>62</v>
      </c>
      <c r="G20" s="3" t="s">
        <v>108</v>
      </c>
      <c r="H20" s="3" t="s">
        <v>46</v>
      </c>
      <c r="I20" s="3" t="s">
        <v>21</v>
      </c>
      <c r="J20" s="3" t="s">
        <v>30</v>
      </c>
      <c r="K20" s="3" t="s">
        <v>53</v>
      </c>
      <c r="L20" s="3" t="s">
        <v>31</v>
      </c>
      <c r="M20">
        <v>1</v>
      </c>
    </row>
    <row r="21" spans="1:13" x14ac:dyDescent="0.25">
      <c r="A21" s="2">
        <v>46288</v>
      </c>
      <c r="B21" s="1" t="str">
        <f ca="1">IF(Información1[[#This Row],[Fecha]]='Ajuste de fechas'!$A$2,"Día actual","Día anterior")</f>
        <v>Día anterior</v>
      </c>
      <c r="C21" s="3" t="s">
        <v>51</v>
      </c>
      <c r="D21" t="s">
        <v>52</v>
      </c>
      <c r="E21" s="3" t="s">
        <v>109</v>
      </c>
      <c r="F21" s="3" t="s">
        <v>17</v>
      </c>
      <c r="G21" s="3" t="s">
        <v>110</v>
      </c>
      <c r="H21" s="3" t="s">
        <v>46</v>
      </c>
      <c r="I21" s="3" t="s">
        <v>7</v>
      </c>
      <c r="J21" s="3" t="s">
        <v>30</v>
      </c>
      <c r="K21" s="3" t="s">
        <v>53</v>
      </c>
      <c r="L21" s="3" t="s">
        <v>31</v>
      </c>
      <c r="M21">
        <v>1</v>
      </c>
    </row>
    <row r="22" spans="1:13" x14ac:dyDescent="0.25">
      <c r="A22" s="2">
        <v>46288</v>
      </c>
      <c r="B22" s="1" t="str">
        <f ca="1">IF(Información1[[#This Row],[Fecha]]='Ajuste de fechas'!$A$2,"Día actual","Día anterior")</f>
        <v>Día anterior</v>
      </c>
      <c r="C22" s="3" t="s">
        <v>51</v>
      </c>
      <c r="D22" t="s">
        <v>52</v>
      </c>
      <c r="E22" s="3" t="s">
        <v>111</v>
      </c>
      <c r="F22" s="3" t="s">
        <v>17</v>
      </c>
      <c r="G22" s="3" t="s">
        <v>112</v>
      </c>
      <c r="H22" s="3" t="s">
        <v>46</v>
      </c>
      <c r="I22" s="3" t="s">
        <v>7</v>
      </c>
      <c r="J22" s="3" t="s">
        <v>30</v>
      </c>
      <c r="K22" s="3" t="s">
        <v>53</v>
      </c>
      <c r="L22" s="3" t="s">
        <v>31</v>
      </c>
      <c r="M22">
        <v>1</v>
      </c>
    </row>
    <row r="23" spans="1:13" x14ac:dyDescent="0.25">
      <c r="A23" s="2">
        <v>46288</v>
      </c>
      <c r="B23" s="1" t="str">
        <f ca="1">IF(Información1[[#This Row],[Fecha]]='Ajuste de fechas'!$A$2,"Día actual","Día anterior")</f>
        <v>Día anterior</v>
      </c>
      <c r="C23" s="3" t="s">
        <v>51</v>
      </c>
      <c r="D23" t="s">
        <v>52</v>
      </c>
      <c r="E23" s="3" t="s">
        <v>113</v>
      </c>
      <c r="F23" s="3" t="s">
        <v>45</v>
      </c>
      <c r="G23" s="3" t="s">
        <v>112</v>
      </c>
      <c r="H23" s="3" t="s">
        <v>46</v>
      </c>
      <c r="I23" s="3" t="s">
        <v>7</v>
      </c>
      <c r="J23" s="3" t="s">
        <v>30</v>
      </c>
      <c r="K23" s="3" t="s">
        <v>53</v>
      </c>
      <c r="L23" s="3" t="s">
        <v>31</v>
      </c>
      <c r="M23">
        <v>1</v>
      </c>
    </row>
    <row r="24" spans="1:13" x14ac:dyDescent="0.25">
      <c r="A24" s="2">
        <v>46288</v>
      </c>
      <c r="B24" s="1" t="str">
        <f ca="1">IF(Información1[[#This Row],[Fecha]]='Ajuste de fechas'!$A$2,"Día actual","Día anterior")</f>
        <v>Día anterior</v>
      </c>
      <c r="C24" s="3" t="s">
        <v>51</v>
      </c>
      <c r="D24" t="s">
        <v>52</v>
      </c>
      <c r="E24" s="3" t="s">
        <v>114</v>
      </c>
      <c r="F24" s="3" t="s">
        <v>18</v>
      </c>
      <c r="G24" s="3" t="s">
        <v>115</v>
      </c>
      <c r="H24" s="3" t="s">
        <v>46</v>
      </c>
      <c r="I24" s="3" t="s">
        <v>7</v>
      </c>
      <c r="J24" s="3" t="s">
        <v>35</v>
      </c>
      <c r="K24" s="3" t="s">
        <v>53</v>
      </c>
      <c r="L24" s="3" t="s">
        <v>31</v>
      </c>
      <c r="M24">
        <v>1</v>
      </c>
    </row>
    <row r="25" spans="1:13" x14ac:dyDescent="0.25">
      <c r="A25" s="2">
        <v>46288</v>
      </c>
      <c r="B25" s="1" t="str">
        <f ca="1">IF(Información1[[#This Row],[Fecha]]='Ajuste de fechas'!$A$2,"Día actual","Día anterior")</f>
        <v>Día anterior</v>
      </c>
      <c r="C25" s="3" t="s">
        <v>51</v>
      </c>
      <c r="D25" t="s">
        <v>52</v>
      </c>
      <c r="E25" s="3" t="s">
        <v>116</v>
      </c>
      <c r="F25" s="3" t="s">
        <v>22</v>
      </c>
      <c r="G25" s="3" t="s">
        <v>59</v>
      </c>
      <c r="H25" s="3" t="s">
        <v>46</v>
      </c>
      <c r="I25" s="3" t="s">
        <v>7</v>
      </c>
      <c r="J25" s="3" t="s">
        <v>30</v>
      </c>
      <c r="K25" s="3" t="s">
        <v>53</v>
      </c>
      <c r="L25" s="3" t="s">
        <v>31</v>
      </c>
      <c r="M25">
        <v>1</v>
      </c>
    </row>
    <row r="26" spans="1:13" x14ac:dyDescent="0.25">
      <c r="A26" s="2">
        <v>46288</v>
      </c>
      <c r="B26" s="1" t="str">
        <f ca="1">IF(Información1[[#This Row],[Fecha]]='Ajuste de fechas'!$A$2,"Día actual","Día anterior")</f>
        <v>Día anterior</v>
      </c>
      <c r="C26" s="3" t="s">
        <v>51</v>
      </c>
      <c r="D26" t="s">
        <v>52</v>
      </c>
      <c r="E26" s="3" t="s">
        <v>117</v>
      </c>
      <c r="F26" s="3" t="s">
        <v>22</v>
      </c>
      <c r="G26" s="3" t="s">
        <v>74</v>
      </c>
      <c r="H26" s="3" t="s">
        <v>46</v>
      </c>
      <c r="I26" s="3" t="s">
        <v>7</v>
      </c>
      <c r="J26" s="3" t="s">
        <v>30</v>
      </c>
      <c r="K26" s="3" t="s">
        <v>53</v>
      </c>
      <c r="L26" s="3" t="s">
        <v>31</v>
      </c>
      <c r="M26">
        <v>1</v>
      </c>
    </row>
    <row r="27" spans="1:13" x14ac:dyDescent="0.25">
      <c r="A27" s="2">
        <v>46288</v>
      </c>
      <c r="B27" s="1" t="str">
        <f ca="1">IF(Información1[[#This Row],[Fecha]]='Ajuste de fechas'!$A$2,"Día actual","Día anterior")</f>
        <v>Día anterior</v>
      </c>
      <c r="C27" s="3" t="s">
        <v>51</v>
      </c>
      <c r="D27" t="s">
        <v>52</v>
      </c>
      <c r="E27" s="3" t="s">
        <v>118</v>
      </c>
      <c r="F27" s="3" t="s">
        <v>22</v>
      </c>
      <c r="G27" s="3" t="s">
        <v>64</v>
      </c>
      <c r="H27" s="3" t="s">
        <v>46</v>
      </c>
      <c r="I27" s="3" t="s">
        <v>7</v>
      </c>
      <c r="J27" s="3" t="s">
        <v>30</v>
      </c>
      <c r="K27" s="3" t="s">
        <v>53</v>
      </c>
      <c r="L27" s="3" t="s">
        <v>31</v>
      </c>
      <c r="M27">
        <v>1</v>
      </c>
    </row>
    <row r="28" spans="1:13" x14ac:dyDescent="0.25">
      <c r="A28" s="2">
        <v>46288</v>
      </c>
      <c r="B28" s="1" t="str">
        <f ca="1">IF(Información1[[#This Row],[Fecha]]='Ajuste de fechas'!$A$2,"Día actual","Día anterior")</f>
        <v>Día anterior</v>
      </c>
      <c r="C28" s="3" t="s">
        <v>51</v>
      </c>
      <c r="D28" t="s">
        <v>52</v>
      </c>
      <c r="E28" s="3" t="s">
        <v>119</v>
      </c>
      <c r="F28" s="3" t="s">
        <v>22</v>
      </c>
      <c r="G28" s="3" t="s">
        <v>120</v>
      </c>
      <c r="H28" s="3" t="s">
        <v>46</v>
      </c>
      <c r="I28" s="3" t="s">
        <v>7</v>
      </c>
      <c r="J28" s="3" t="s">
        <v>30</v>
      </c>
      <c r="K28" s="3" t="s">
        <v>53</v>
      </c>
      <c r="L28" s="3" t="s">
        <v>31</v>
      </c>
      <c r="M28">
        <v>1</v>
      </c>
    </row>
    <row r="29" spans="1:13" x14ac:dyDescent="0.25">
      <c r="A29" s="2">
        <v>46288</v>
      </c>
      <c r="B29" s="1" t="str">
        <f ca="1">IF(Información1[[#This Row],[Fecha]]='Ajuste de fechas'!$A$2,"Día actual","Día anterior")</f>
        <v>Día anterior</v>
      </c>
      <c r="C29" s="3" t="s">
        <v>51</v>
      </c>
      <c r="D29" t="s">
        <v>52</v>
      </c>
      <c r="E29" s="3" t="s">
        <v>121</v>
      </c>
      <c r="F29" s="3" t="s">
        <v>22</v>
      </c>
      <c r="G29" s="3" t="s">
        <v>65</v>
      </c>
      <c r="H29" s="3" t="s">
        <v>46</v>
      </c>
      <c r="I29" s="3" t="s">
        <v>7</v>
      </c>
      <c r="J29" s="3" t="s">
        <v>30</v>
      </c>
      <c r="K29" s="3" t="s">
        <v>53</v>
      </c>
      <c r="L29" s="3" t="s">
        <v>31</v>
      </c>
      <c r="M29">
        <v>1</v>
      </c>
    </row>
    <row r="30" spans="1:13" x14ac:dyDescent="0.25">
      <c r="A30" s="2">
        <v>46288</v>
      </c>
      <c r="B30" s="1" t="str">
        <f ca="1">IF(Información1[[#This Row],[Fecha]]='Ajuste de fechas'!$A$2,"Día actual","Día anterior")</f>
        <v>Día anterior</v>
      </c>
      <c r="C30" s="3" t="s">
        <v>8</v>
      </c>
      <c r="D30" t="s">
        <v>9</v>
      </c>
      <c r="E30" s="3" t="s">
        <v>122</v>
      </c>
      <c r="F30" s="3" t="s">
        <v>15</v>
      </c>
      <c r="G30" s="3" t="s">
        <v>123</v>
      </c>
      <c r="H30" s="3" t="s">
        <v>46</v>
      </c>
      <c r="I30" s="3" t="s">
        <v>21</v>
      </c>
      <c r="J30" s="3" t="s">
        <v>34</v>
      </c>
      <c r="K30" s="3" t="s">
        <v>60</v>
      </c>
      <c r="L30" s="3" t="s">
        <v>31</v>
      </c>
      <c r="M30">
        <v>1</v>
      </c>
    </row>
    <row r="31" spans="1:13" x14ac:dyDescent="0.25">
      <c r="A31" s="2">
        <v>46288</v>
      </c>
      <c r="B31" s="1" t="str">
        <f ca="1">IF(Información1[[#This Row],[Fecha]]='Ajuste de fechas'!$A$2,"Día actual","Día anterior")</f>
        <v>Día anterior</v>
      </c>
      <c r="C31" s="3" t="s">
        <v>8</v>
      </c>
      <c r="D31" t="s">
        <v>9</v>
      </c>
      <c r="E31" s="3" t="s">
        <v>124</v>
      </c>
      <c r="F31" s="3" t="s">
        <v>15</v>
      </c>
      <c r="G31" s="3" t="s">
        <v>123</v>
      </c>
      <c r="H31" s="3" t="s">
        <v>46</v>
      </c>
      <c r="I31" s="3" t="s">
        <v>21</v>
      </c>
      <c r="J31" s="3" t="s">
        <v>34</v>
      </c>
      <c r="K31" s="3" t="s">
        <v>60</v>
      </c>
      <c r="L31" s="3" t="s">
        <v>31</v>
      </c>
      <c r="M31">
        <v>1</v>
      </c>
    </row>
    <row r="32" spans="1:13" x14ac:dyDescent="0.25">
      <c r="A32" s="2">
        <v>46288</v>
      </c>
      <c r="B32" s="1" t="str">
        <f ca="1">IF(Información1[[#This Row],[Fecha]]='Ajuste de fechas'!$A$2,"Día actual","Día anterior")</f>
        <v>Día anterior</v>
      </c>
      <c r="C32" s="3" t="s">
        <v>8</v>
      </c>
      <c r="D32" t="s">
        <v>9</v>
      </c>
      <c r="E32" s="3" t="s">
        <v>125</v>
      </c>
      <c r="F32" s="3" t="s">
        <v>15</v>
      </c>
      <c r="G32" s="3" t="s">
        <v>69</v>
      </c>
      <c r="H32" s="3" t="s">
        <v>46</v>
      </c>
      <c r="I32" s="3" t="s">
        <v>21</v>
      </c>
      <c r="J32" s="3" t="s">
        <v>34</v>
      </c>
      <c r="K32" s="3" t="s">
        <v>60</v>
      </c>
      <c r="L32" s="3" t="s">
        <v>31</v>
      </c>
      <c r="M32">
        <v>1</v>
      </c>
    </row>
    <row r="33" spans="1:13" x14ac:dyDescent="0.25">
      <c r="A33" s="2">
        <v>46288</v>
      </c>
      <c r="B33" s="1" t="str">
        <f ca="1">IF(Información1[[#This Row],[Fecha]]='Ajuste de fechas'!$A$2,"Día actual","Día anterior")</f>
        <v>Día anterior</v>
      </c>
      <c r="C33" s="3" t="s">
        <v>8</v>
      </c>
      <c r="D33" t="s">
        <v>9</v>
      </c>
      <c r="E33" s="3" t="s">
        <v>126</v>
      </c>
      <c r="F33" s="3" t="s">
        <v>15</v>
      </c>
      <c r="G33" s="3" t="s">
        <v>69</v>
      </c>
      <c r="H33" s="3" t="s">
        <v>46</v>
      </c>
      <c r="I33" s="3" t="s">
        <v>21</v>
      </c>
      <c r="J33" s="3" t="s">
        <v>34</v>
      </c>
      <c r="K33" s="3" t="s">
        <v>60</v>
      </c>
      <c r="L33" s="3" t="s">
        <v>31</v>
      </c>
      <c r="M33">
        <v>1</v>
      </c>
    </row>
    <row r="34" spans="1:13" x14ac:dyDescent="0.25">
      <c r="A34" s="2">
        <v>46288</v>
      </c>
      <c r="B34" s="1" t="str">
        <f ca="1">IF(Información1[[#This Row],[Fecha]]='Ajuste de fechas'!$A$2,"Día actual","Día anterior")</f>
        <v>Día anterior</v>
      </c>
      <c r="C34" s="3" t="s">
        <v>8</v>
      </c>
      <c r="D34" t="s">
        <v>9</v>
      </c>
      <c r="E34" s="3" t="s">
        <v>127</v>
      </c>
      <c r="F34" s="3" t="s">
        <v>6</v>
      </c>
      <c r="G34" s="3" t="s">
        <v>44</v>
      </c>
      <c r="H34" s="3" t="s">
        <v>46</v>
      </c>
      <c r="I34" s="3" t="s">
        <v>21</v>
      </c>
      <c r="J34" s="3" t="s">
        <v>30</v>
      </c>
      <c r="K34" s="3" t="s">
        <v>60</v>
      </c>
      <c r="L34" s="3" t="s">
        <v>31</v>
      </c>
      <c r="M34">
        <v>1</v>
      </c>
    </row>
    <row r="35" spans="1:13" x14ac:dyDescent="0.25">
      <c r="A35" s="2">
        <v>46288</v>
      </c>
      <c r="B35" s="1" t="str">
        <f ca="1">IF(Información1[[#This Row],[Fecha]]='Ajuste de fechas'!$A$2,"Día actual","Día anterior")</f>
        <v>Día anterior</v>
      </c>
      <c r="C35" s="3" t="s">
        <v>8</v>
      </c>
      <c r="D35" t="s">
        <v>9</v>
      </c>
      <c r="E35" s="3" t="s">
        <v>128</v>
      </c>
      <c r="F35" s="3" t="s">
        <v>6</v>
      </c>
      <c r="G35" s="3" t="s">
        <v>129</v>
      </c>
      <c r="H35" s="3" t="s">
        <v>46</v>
      </c>
      <c r="I35" s="3" t="s">
        <v>21</v>
      </c>
      <c r="J35" s="3" t="s">
        <v>30</v>
      </c>
      <c r="K35" s="3" t="s">
        <v>60</v>
      </c>
      <c r="L35" s="3" t="s">
        <v>31</v>
      </c>
      <c r="M35">
        <v>1</v>
      </c>
    </row>
    <row r="36" spans="1:13" x14ac:dyDescent="0.25">
      <c r="A36" s="2">
        <v>46288</v>
      </c>
      <c r="B36" s="1" t="str">
        <f ca="1">IF(Información1[[#This Row],[Fecha]]='Ajuste de fechas'!$A$2,"Día actual","Día anterior")</f>
        <v>Día anterior</v>
      </c>
      <c r="C36" s="3" t="s">
        <v>8</v>
      </c>
      <c r="D36" t="s">
        <v>9</v>
      </c>
      <c r="E36" s="3" t="s">
        <v>130</v>
      </c>
      <c r="F36" s="3" t="s">
        <v>6</v>
      </c>
      <c r="G36" s="3" t="s">
        <v>57</v>
      </c>
      <c r="H36" s="3" t="s">
        <v>46</v>
      </c>
      <c r="I36" s="3" t="s">
        <v>21</v>
      </c>
      <c r="J36" s="3" t="s">
        <v>30</v>
      </c>
      <c r="K36" s="3" t="s">
        <v>60</v>
      </c>
      <c r="L36" s="3" t="s">
        <v>31</v>
      </c>
      <c r="M36">
        <v>1</v>
      </c>
    </row>
    <row r="37" spans="1:13" x14ac:dyDescent="0.25">
      <c r="A37" s="2">
        <v>46288</v>
      </c>
      <c r="B37" s="1" t="str">
        <f ca="1">IF(Información1[[#This Row],[Fecha]]='Ajuste de fechas'!$A$2,"Día actual","Día anterior")</f>
        <v>Día anterior</v>
      </c>
      <c r="C37" s="3" t="s">
        <v>8</v>
      </c>
      <c r="D37" t="s">
        <v>9</v>
      </c>
      <c r="E37" s="3" t="s">
        <v>131</v>
      </c>
      <c r="F37" s="3" t="s">
        <v>6</v>
      </c>
      <c r="G37" s="3" t="s">
        <v>44</v>
      </c>
      <c r="H37" s="3" t="s">
        <v>46</v>
      </c>
      <c r="I37" s="3" t="s">
        <v>7</v>
      </c>
      <c r="J37" s="3" t="s">
        <v>30</v>
      </c>
      <c r="K37" s="3" t="s">
        <v>60</v>
      </c>
      <c r="L37" s="3" t="s">
        <v>31</v>
      </c>
      <c r="M37">
        <v>1</v>
      </c>
    </row>
    <row r="38" spans="1:13" x14ac:dyDescent="0.25">
      <c r="A38" s="2">
        <v>46288</v>
      </c>
      <c r="B38" s="1" t="str">
        <f ca="1">IF(Información1[[#This Row],[Fecha]]='Ajuste de fechas'!$A$2,"Día actual","Día anterior")</f>
        <v>Día anterior</v>
      </c>
      <c r="C38" s="3" t="s">
        <v>8</v>
      </c>
      <c r="D38" t="s">
        <v>9</v>
      </c>
      <c r="E38" s="3" t="s">
        <v>132</v>
      </c>
      <c r="F38" s="3" t="s">
        <v>18</v>
      </c>
      <c r="G38" s="3" t="s">
        <v>133</v>
      </c>
      <c r="H38" s="3" t="s">
        <v>46</v>
      </c>
      <c r="I38" s="3" t="s">
        <v>7</v>
      </c>
      <c r="J38" s="3" t="s">
        <v>35</v>
      </c>
      <c r="K38" s="3" t="s">
        <v>11</v>
      </c>
      <c r="L38" s="3" t="s">
        <v>31</v>
      </c>
      <c r="M38">
        <v>1</v>
      </c>
    </row>
    <row r="39" spans="1:13" x14ac:dyDescent="0.25">
      <c r="A39" s="2">
        <v>46288</v>
      </c>
      <c r="B39" s="1" t="str">
        <f ca="1">IF(Información1[[#This Row],[Fecha]]='Ajuste de fechas'!$A$2,"Día actual","Día anterior")</f>
        <v>Día anterior</v>
      </c>
      <c r="C39" s="3" t="s">
        <v>8</v>
      </c>
      <c r="D39" t="s">
        <v>9</v>
      </c>
      <c r="E39" s="3" t="s">
        <v>134</v>
      </c>
      <c r="F39" s="3" t="s">
        <v>39</v>
      </c>
      <c r="G39" s="3" t="s">
        <v>135</v>
      </c>
      <c r="H39" s="3" t="s">
        <v>46</v>
      </c>
      <c r="I39" s="3" t="s">
        <v>7</v>
      </c>
      <c r="J39" s="3" t="s">
        <v>20</v>
      </c>
      <c r="K39" s="3" t="s">
        <v>11</v>
      </c>
      <c r="L39" s="3" t="s">
        <v>31</v>
      </c>
      <c r="M39">
        <v>1</v>
      </c>
    </row>
    <row r="40" spans="1:13" x14ac:dyDescent="0.25">
      <c r="A40" s="2">
        <v>46288</v>
      </c>
      <c r="B40" s="1" t="str">
        <f ca="1">IF(Información1[[#This Row],[Fecha]]='Ajuste de fechas'!$A$2,"Día actual","Día anterior")</f>
        <v>Día anterior</v>
      </c>
      <c r="C40" s="3" t="s">
        <v>8</v>
      </c>
      <c r="D40" t="s">
        <v>9</v>
      </c>
      <c r="E40" s="3" t="s">
        <v>136</v>
      </c>
      <c r="F40" s="3" t="s">
        <v>13</v>
      </c>
      <c r="G40" s="3" t="s">
        <v>100</v>
      </c>
      <c r="H40" s="3" t="s">
        <v>46</v>
      </c>
      <c r="I40" s="3" t="s">
        <v>7</v>
      </c>
      <c r="J40" s="3" t="s">
        <v>30</v>
      </c>
      <c r="K40" s="3" t="s">
        <v>11</v>
      </c>
      <c r="L40" s="3" t="s">
        <v>31</v>
      </c>
      <c r="M40">
        <v>1</v>
      </c>
    </row>
    <row r="41" spans="1:13" x14ac:dyDescent="0.25">
      <c r="A41" s="2">
        <v>46288</v>
      </c>
      <c r="B41" s="1" t="str">
        <f ca="1">IF(Información1[[#This Row],[Fecha]]='Ajuste de fechas'!$A$2,"Día actual","Día anterior")</f>
        <v>Día anterior</v>
      </c>
      <c r="C41" s="3" t="s">
        <v>8</v>
      </c>
      <c r="D41" t="s">
        <v>9</v>
      </c>
      <c r="E41" s="3" t="s">
        <v>137</v>
      </c>
      <c r="F41" s="3" t="s">
        <v>17</v>
      </c>
      <c r="G41" s="3" t="s">
        <v>106</v>
      </c>
      <c r="H41" s="3" t="s">
        <v>46</v>
      </c>
      <c r="I41" s="3" t="s">
        <v>7</v>
      </c>
      <c r="J41" s="3" t="s">
        <v>30</v>
      </c>
      <c r="K41" s="3" t="s">
        <v>11</v>
      </c>
      <c r="L41" s="3" t="s">
        <v>31</v>
      </c>
      <c r="M41">
        <v>1</v>
      </c>
    </row>
    <row r="42" spans="1:13" x14ac:dyDescent="0.25">
      <c r="A42" s="2">
        <v>46288</v>
      </c>
      <c r="B42" s="1" t="str">
        <f ca="1">IF(Información1[[#This Row],[Fecha]]='Ajuste de fechas'!$A$2,"Día actual","Día anterior")</f>
        <v>Día anterior</v>
      </c>
      <c r="C42" s="3" t="s">
        <v>8</v>
      </c>
      <c r="D42" t="s">
        <v>9</v>
      </c>
      <c r="E42" s="3" t="s">
        <v>138</v>
      </c>
      <c r="F42" s="3" t="s">
        <v>82</v>
      </c>
      <c r="G42" s="3" t="s">
        <v>85</v>
      </c>
      <c r="H42" s="3" t="s">
        <v>46</v>
      </c>
      <c r="I42" s="3" t="s">
        <v>7</v>
      </c>
      <c r="J42" s="3" t="s">
        <v>30</v>
      </c>
      <c r="K42" s="3" t="s">
        <v>11</v>
      </c>
      <c r="L42" s="3" t="s">
        <v>31</v>
      </c>
      <c r="M42">
        <v>1</v>
      </c>
    </row>
    <row r="43" spans="1:13" x14ac:dyDescent="0.25">
      <c r="A43" s="2">
        <v>46288</v>
      </c>
      <c r="B43" s="1" t="str">
        <f ca="1">IF(Información1[[#This Row],[Fecha]]='Ajuste de fechas'!$A$2,"Día actual","Día anterior")</f>
        <v>Día anterior</v>
      </c>
      <c r="C43" s="3" t="s">
        <v>8</v>
      </c>
      <c r="D43" t="s">
        <v>9</v>
      </c>
      <c r="E43" s="3" t="s">
        <v>139</v>
      </c>
      <c r="F43" s="3" t="s">
        <v>19</v>
      </c>
      <c r="G43" s="3" t="s">
        <v>140</v>
      </c>
      <c r="H43" s="3" t="s">
        <v>46</v>
      </c>
      <c r="I43" s="3" t="s">
        <v>7</v>
      </c>
      <c r="J43" s="3" t="s">
        <v>30</v>
      </c>
      <c r="K43" s="3" t="s">
        <v>11</v>
      </c>
      <c r="L43" s="3" t="s">
        <v>33</v>
      </c>
      <c r="M43">
        <v>1</v>
      </c>
    </row>
    <row r="44" spans="1:13" x14ac:dyDescent="0.25">
      <c r="A44" s="2">
        <v>46288</v>
      </c>
      <c r="B44" s="1" t="str">
        <f ca="1">IF(Información1[[#This Row],[Fecha]]='Ajuste de fechas'!$A$2,"Día actual","Día anterior")</f>
        <v>Día anterior</v>
      </c>
      <c r="C44" s="3" t="s">
        <v>8</v>
      </c>
      <c r="D44" t="s">
        <v>9</v>
      </c>
      <c r="E44" s="3" t="s">
        <v>16</v>
      </c>
      <c r="F44" s="3" t="s">
        <v>15</v>
      </c>
      <c r="G44" s="3" t="s">
        <v>23</v>
      </c>
      <c r="H44" s="3" t="s">
        <v>46</v>
      </c>
      <c r="I44" s="3" t="s">
        <v>10</v>
      </c>
      <c r="J44" s="3" t="s">
        <v>34</v>
      </c>
      <c r="K44" s="3" t="s">
        <v>11</v>
      </c>
      <c r="L44" s="3" t="s">
        <v>32</v>
      </c>
      <c r="M44">
        <v>1</v>
      </c>
    </row>
    <row r="45" spans="1:13" x14ac:dyDescent="0.25">
      <c r="A45" s="2">
        <v>46288</v>
      </c>
      <c r="B45" s="1" t="str">
        <f ca="1">IF(Información1[[#This Row],[Fecha]]='Ajuste de fechas'!$A$2,"Día actual","Día anterior")</f>
        <v>Día anterior</v>
      </c>
      <c r="C45" s="3" t="s">
        <v>8</v>
      </c>
      <c r="D45" t="s">
        <v>9</v>
      </c>
      <c r="E45" s="3" t="s">
        <v>14</v>
      </c>
      <c r="F45" s="3" t="s">
        <v>15</v>
      </c>
      <c r="G45" s="3" t="s">
        <v>23</v>
      </c>
      <c r="H45" s="3" t="s">
        <v>46</v>
      </c>
      <c r="I45" s="3" t="s">
        <v>10</v>
      </c>
      <c r="J45" s="3" t="s">
        <v>34</v>
      </c>
      <c r="K45" s="3" t="s">
        <v>11</v>
      </c>
      <c r="L45" s="3" t="s">
        <v>32</v>
      </c>
      <c r="M45">
        <v>1</v>
      </c>
    </row>
    <row r="46" spans="1:13" x14ac:dyDescent="0.25">
      <c r="A46" s="2">
        <v>46288</v>
      </c>
      <c r="B46" s="1" t="str">
        <f ca="1">IF(Información1[[#This Row],[Fecha]]='Ajuste de fechas'!$A$2,"Día actual","Día anterior")</f>
        <v>Día anterior</v>
      </c>
      <c r="C46" s="3" t="s">
        <v>8</v>
      </c>
      <c r="D46" t="s">
        <v>9</v>
      </c>
      <c r="E46" s="3" t="s">
        <v>41</v>
      </c>
      <c r="F46" s="3" t="s">
        <v>39</v>
      </c>
      <c r="G46" s="3" t="s">
        <v>23</v>
      </c>
      <c r="H46" s="3" t="s">
        <v>46</v>
      </c>
      <c r="I46" s="3" t="s">
        <v>10</v>
      </c>
      <c r="J46" s="3" t="s">
        <v>20</v>
      </c>
      <c r="K46" s="3" t="s">
        <v>11</v>
      </c>
      <c r="L46" s="3" t="s">
        <v>32</v>
      </c>
      <c r="M46">
        <v>1</v>
      </c>
    </row>
    <row r="47" spans="1:13" x14ac:dyDescent="0.25">
      <c r="A47" s="2">
        <v>46288</v>
      </c>
      <c r="B47" s="1" t="str">
        <f ca="1">IF(Información1[[#This Row],[Fecha]]='Ajuste de fechas'!$A$2,"Día actual","Día anterior")</f>
        <v>Día anterior</v>
      </c>
      <c r="C47" s="3" t="s">
        <v>8</v>
      </c>
      <c r="D47" t="s">
        <v>9</v>
      </c>
      <c r="E47" s="3" t="s">
        <v>43</v>
      </c>
      <c r="F47" s="3" t="s">
        <v>42</v>
      </c>
      <c r="G47" s="3" t="s">
        <v>23</v>
      </c>
      <c r="H47" s="3" t="s">
        <v>46</v>
      </c>
      <c r="I47" s="3" t="s">
        <v>10</v>
      </c>
      <c r="J47" s="3" t="s">
        <v>30</v>
      </c>
      <c r="K47" s="3" t="s">
        <v>11</v>
      </c>
      <c r="L47" s="3" t="s">
        <v>32</v>
      </c>
      <c r="M47">
        <v>1</v>
      </c>
    </row>
    <row r="48" spans="1:13" x14ac:dyDescent="0.25">
      <c r="A48" s="2">
        <v>46288</v>
      </c>
      <c r="B48" s="1" t="str">
        <f ca="1">IF(Información1[[#This Row],[Fecha]]='Ajuste de fechas'!$A$2,"Día actual","Día anterior")</f>
        <v>Día anterior</v>
      </c>
      <c r="C48" s="3" t="s">
        <v>8</v>
      </c>
      <c r="D48" t="s">
        <v>9</v>
      </c>
      <c r="E48" s="3" t="s">
        <v>12</v>
      </c>
      <c r="F48" s="3" t="s">
        <v>13</v>
      </c>
      <c r="G48" s="3" t="s">
        <v>23</v>
      </c>
      <c r="H48" s="3" t="s">
        <v>46</v>
      </c>
      <c r="I48" s="3" t="s">
        <v>10</v>
      </c>
      <c r="J48" s="3" t="s">
        <v>30</v>
      </c>
      <c r="K48" s="3" t="s">
        <v>11</v>
      </c>
      <c r="L48" s="3" t="s">
        <v>32</v>
      </c>
      <c r="M48">
        <v>1</v>
      </c>
    </row>
    <row r="49" spans="1:13" x14ac:dyDescent="0.25">
      <c r="A49" s="2">
        <v>46288</v>
      </c>
      <c r="B49" s="1" t="str">
        <f ca="1">IF(Información1[[#This Row],[Fecha]]='Ajuste de fechas'!$A$2,"Día actual","Día anterior")</f>
        <v>Día anterior</v>
      </c>
      <c r="C49" s="3" t="s">
        <v>8</v>
      </c>
      <c r="D49" t="s">
        <v>9</v>
      </c>
      <c r="E49" s="3" t="s">
        <v>58</v>
      </c>
      <c r="F49" s="3" t="s">
        <v>6</v>
      </c>
      <c r="G49" s="3" t="s">
        <v>23</v>
      </c>
      <c r="H49" s="3" t="s">
        <v>46</v>
      </c>
      <c r="I49" s="3" t="s">
        <v>10</v>
      </c>
      <c r="J49" s="3" t="s">
        <v>30</v>
      </c>
      <c r="K49" s="3" t="s">
        <v>11</v>
      </c>
      <c r="L49" s="3" t="s">
        <v>32</v>
      </c>
      <c r="M49">
        <v>1</v>
      </c>
    </row>
    <row r="50" spans="1:13" x14ac:dyDescent="0.25">
      <c r="A50" s="2">
        <v>46289</v>
      </c>
      <c r="B50" s="1" t="str">
        <f ca="1">IF(Información1[[#This Row],[Fecha]]='Ajuste de fechas'!$A$2,"Día actual","Día anterior")</f>
        <v>Día actual</v>
      </c>
      <c r="C50" s="3" t="s">
        <v>47</v>
      </c>
      <c r="D50" t="s">
        <v>55</v>
      </c>
      <c r="E50" s="3" t="s">
        <v>141</v>
      </c>
      <c r="F50" s="3" t="s">
        <v>56</v>
      </c>
      <c r="G50" s="3" t="s">
        <v>142</v>
      </c>
      <c r="H50" s="3" t="s">
        <v>46</v>
      </c>
      <c r="I50" s="3" t="s">
        <v>7</v>
      </c>
      <c r="J50" s="3" t="s">
        <v>30</v>
      </c>
      <c r="K50" s="3" t="s">
        <v>49</v>
      </c>
      <c r="L50" s="3" t="s">
        <v>31</v>
      </c>
      <c r="M50">
        <v>1</v>
      </c>
    </row>
    <row r="51" spans="1:13" x14ac:dyDescent="0.25">
      <c r="A51" s="2">
        <v>46289</v>
      </c>
      <c r="B51" s="1" t="str">
        <f ca="1">IF(Información1[[#This Row],[Fecha]]='Ajuste de fechas'!$A$2,"Día actual","Día anterior")</f>
        <v>Día actual</v>
      </c>
      <c r="C51" s="3" t="s">
        <v>47</v>
      </c>
      <c r="D51" t="s">
        <v>55</v>
      </c>
      <c r="E51" s="3" t="s">
        <v>143</v>
      </c>
      <c r="F51" s="3" t="s">
        <v>15</v>
      </c>
      <c r="G51" s="3" t="s">
        <v>144</v>
      </c>
      <c r="H51" s="3" t="s">
        <v>46</v>
      </c>
      <c r="I51" s="3" t="s">
        <v>7</v>
      </c>
      <c r="J51" s="3" t="s">
        <v>34</v>
      </c>
      <c r="K51" s="3" t="s">
        <v>49</v>
      </c>
      <c r="L51" s="3" t="s">
        <v>31</v>
      </c>
      <c r="M51">
        <v>1</v>
      </c>
    </row>
    <row r="52" spans="1:13" x14ac:dyDescent="0.25">
      <c r="A52" s="2">
        <v>46289</v>
      </c>
      <c r="B52" s="1" t="str">
        <f ca="1">IF(Información1[[#This Row],[Fecha]]='Ajuste de fechas'!$A$2,"Día actual","Día anterior")</f>
        <v>Día actual</v>
      </c>
      <c r="C52" s="3" t="s">
        <v>47</v>
      </c>
      <c r="D52" t="s">
        <v>55</v>
      </c>
      <c r="E52" s="3" t="s">
        <v>145</v>
      </c>
      <c r="F52" s="3" t="s">
        <v>17</v>
      </c>
      <c r="G52" s="3" t="s">
        <v>112</v>
      </c>
      <c r="H52" s="3" t="s">
        <v>46</v>
      </c>
      <c r="I52" s="3" t="s">
        <v>7</v>
      </c>
      <c r="J52" s="3" t="s">
        <v>30</v>
      </c>
      <c r="K52" s="3" t="s">
        <v>49</v>
      </c>
      <c r="L52" s="3" t="s">
        <v>33</v>
      </c>
      <c r="M52">
        <v>1</v>
      </c>
    </row>
    <row r="53" spans="1:13" x14ac:dyDescent="0.25">
      <c r="A53" s="2">
        <v>46289</v>
      </c>
      <c r="B53" s="1" t="str">
        <f ca="1">IF(Información1[[#This Row],[Fecha]]='Ajuste de fechas'!$A$2,"Día actual","Día anterior")</f>
        <v>Día actual</v>
      </c>
      <c r="C53" s="3" t="s">
        <v>47</v>
      </c>
      <c r="D53" t="s">
        <v>55</v>
      </c>
      <c r="E53" s="3" t="s">
        <v>146</v>
      </c>
      <c r="F53" s="3" t="s">
        <v>18</v>
      </c>
      <c r="G53" s="3" t="s">
        <v>147</v>
      </c>
      <c r="H53" s="3" t="s">
        <v>46</v>
      </c>
      <c r="I53" s="3" t="s">
        <v>21</v>
      </c>
      <c r="J53" s="3" t="s">
        <v>35</v>
      </c>
      <c r="K53" s="3" t="s">
        <v>49</v>
      </c>
      <c r="L53" s="3" t="s">
        <v>31</v>
      </c>
      <c r="M53">
        <v>1</v>
      </c>
    </row>
    <row r="54" spans="1:13" x14ac:dyDescent="0.25">
      <c r="A54" s="2">
        <v>46289</v>
      </c>
      <c r="B54" s="1" t="str">
        <f ca="1">IF(Información1[[#This Row],[Fecha]]='Ajuste de fechas'!$A$2,"Día actual","Día anterior")</f>
        <v>Día actual</v>
      </c>
      <c r="C54" s="3" t="s">
        <v>47</v>
      </c>
      <c r="D54" t="s">
        <v>55</v>
      </c>
      <c r="E54" s="3" t="s">
        <v>148</v>
      </c>
      <c r="F54" s="3" t="s">
        <v>54</v>
      </c>
      <c r="G54" s="3" t="s">
        <v>149</v>
      </c>
      <c r="H54" s="3" t="s">
        <v>46</v>
      </c>
      <c r="I54" s="3" t="s">
        <v>7</v>
      </c>
      <c r="J54" s="3" t="s">
        <v>30</v>
      </c>
      <c r="K54" s="3" t="s">
        <v>49</v>
      </c>
      <c r="L54" s="3" t="s">
        <v>33</v>
      </c>
      <c r="M54">
        <v>1</v>
      </c>
    </row>
    <row r="55" spans="1:13" x14ac:dyDescent="0.25">
      <c r="A55" s="2">
        <v>46289</v>
      </c>
      <c r="B55" s="1" t="str">
        <f ca="1">IF(Información1[[#This Row],[Fecha]]='Ajuste de fechas'!$A$2,"Día actual","Día anterior")</f>
        <v>Día actual</v>
      </c>
      <c r="C55" s="3" t="s">
        <v>47</v>
      </c>
      <c r="D55" t="s">
        <v>55</v>
      </c>
      <c r="E55" s="3" t="s">
        <v>150</v>
      </c>
      <c r="F55" s="3" t="s">
        <v>15</v>
      </c>
      <c r="G55" s="3" t="s">
        <v>88</v>
      </c>
      <c r="H55" s="3" t="s">
        <v>46</v>
      </c>
      <c r="I55" s="3" t="s">
        <v>7</v>
      </c>
      <c r="J55" s="3" t="s">
        <v>34</v>
      </c>
      <c r="K55" s="3" t="s">
        <v>49</v>
      </c>
      <c r="L55" s="3" t="s">
        <v>31</v>
      </c>
      <c r="M55">
        <v>1</v>
      </c>
    </row>
    <row r="56" spans="1:13" x14ac:dyDescent="0.25">
      <c r="A56" s="2">
        <v>46289</v>
      </c>
      <c r="B56" s="1" t="str">
        <f ca="1">IF(Información1[[#This Row],[Fecha]]='Ajuste de fechas'!$A$2,"Día actual","Día anterior")</f>
        <v>Día actual</v>
      </c>
      <c r="C56" s="3" t="s">
        <v>47</v>
      </c>
      <c r="D56" t="s">
        <v>55</v>
      </c>
      <c r="E56" s="3" t="s">
        <v>151</v>
      </c>
      <c r="F56" s="3" t="s">
        <v>15</v>
      </c>
      <c r="G56" s="3" t="s">
        <v>152</v>
      </c>
      <c r="H56" s="3" t="s">
        <v>46</v>
      </c>
      <c r="I56" s="3" t="s">
        <v>7</v>
      </c>
      <c r="J56" s="3" t="s">
        <v>34</v>
      </c>
      <c r="K56" s="3" t="s">
        <v>49</v>
      </c>
      <c r="L56" s="3" t="s">
        <v>31</v>
      </c>
      <c r="M56">
        <v>1</v>
      </c>
    </row>
    <row r="57" spans="1:13" x14ac:dyDescent="0.25">
      <c r="A57" s="2">
        <v>46289</v>
      </c>
      <c r="B57" s="1" t="str">
        <f ca="1">IF(Información1[[#This Row],[Fecha]]='Ajuste de fechas'!$A$2,"Día actual","Día anterior")</f>
        <v>Día actual</v>
      </c>
      <c r="C57" s="3" t="s">
        <v>153</v>
      </c>
      <c r="D57" t="s">
        <v>154</v>
      </c>
      <c r="E57" s="3" t="s">
        <v>155</v>
      </c>
      <c r="F57" s="3" t="s">
        <v>156</v>
      </c>
      <c r="G57" s="3" t="s">
        <v>157</v>
      </c>
      <c r="H57" s="3" t="s">
        <v>46</v>
      </c>
      <c r="I57" s="3" t="s">
        <v>10</v>
      </c>
      <c r="J57" s="3" t="s">
        <v>30</v>
      </c>
      <c r="K57" s="3" t="s">
        <v>158</v>
      </c>
      <c r="L57" s="3" t="s">
        <v>80</v>
      </c>
      <c r="M57">
        <v>1</v>
      </c>
    </row>
    <row r="58" spans="1:13" x14ac:dyDescent="0.25">
      <c r="A58" s="2">
        <v>46289</v>
      </c>
      <c r="B58" s="1" t="str">
        <f ca="1">IF(Información1[[#This Row],[Fecha]]='Ajuste de fechas'!$A$2,"Día actual","Día anterior")</f>
        <v>Día actual</v>
      </c>
      <c r="C58" s="3" t="s">
        <v>153</v>
      </c>
      <c r="D58" t="s">
        <v>154</v>
      </c>
      <c r="E58" s="3" t="s">
        <v>159</v>
      </c>
      <c r="F58" s="3" t="s">
        <v>160</v>
      </c>
      <c r="G58" s="3" t="s">
        <v>161</v>
      </c>
      <c r="H58" s="3" t="s">
        <v>46</v>
      </c>
      <c r="I58" s="3" t="s">
        <v>7</v>
      </c>
      <c r="J58" s="3" t="s">
        <v>30</v>
      </c>
      <c r="K58" s="3" t="s">
        <v>158</v>
      </c>
      <c r="L58" s="3" t="s">
        <v>31</v>
      </c>
      <c r="M58">
        <v>1</v>
      </c>
    </row>
    <row r="59" spans="1:13" x14ac:dyDescent="0.25">
      <c r="A59" s="2">
        <v>46289</v>
      </c>
      <c r="B59" s="1" t="str">
        <f ca="1">IF(Información1[[#This Row],[Fecha]]='Ajuste de fechas'!$A$2,"Día actual","Día anterior")</f>
        <v>Día actual</v>
      </c>
      <c r="C59" s="3" t="s">
        <v>153</v>
      </c>
      <c r="D59" t="s">
        <v>154</v>
      </c>
      <c r="E59" s="3" t="s">
        <v>162</v>
      </c>
      <c r="F59" s="3" t="s">
        <v>15</v>
      </c>
      <c r="G59" s="3" t="s">
        <v>163</v>
      </c>
      <c r="H59" s="3" t="s">
        <v>46</v>
      </c>
      <c r="I59" s="3" t="s">
        <v>7</v>
      </c>
      <c r="J59" s="3" t="s">
        <v>34</v>
      </c>
      <c r="K59" s="3" t="s">
        <v>158</v>
      </c>
      <c r="L59" s="3" t="s">
        <v>31</v>
      </c>
      <c r="M59">
        <v>1</v>
      </c>
    </row>
    <row r="60" spans="1:13" x14ac:dyDescent="0.25">
      <c r="A60" s="2">
        <v>46289</v>
      </c>
      <c r="B60" s="1" t="str">
        <f ca="1">IF(Información1[[#This Row],[Fecha]]='Ajuste de fechas'!$A$2,"Día actual","Día anterior")</f>
        <v>Día actual</v>
      </c>
      <c r="C60" s="3" t="s">
        <v>153</v>
      </c>
      <c r="D60" t="s">
        <v>154</v>
      </c>
      <c r="E60" s="3" t="s">
        <v>164</v>
      </c>
      <c r="F60" s="3" t="s">
        <v>19</v>
      </c>
      <c r="G60" s="3" t="s">
        <v>71</v>
      </c>
      <c r="H60" s="3" t="s">
        <v>46</v>
      </c>
      <c r="I60" s="3" t="s">
        <v>10</v>
      </c>
      <c r="J60" s="3" t="s">
        <v>30</v>
      </c>
      <c r="K60" s="3" t="s">
        <v>158</v>
      </c>
      <c r="L60" s="3" t="s">
        <v>33</v>
      </c>
      <c r="M60">
        <v>1</v>
      </c>
    </row>
    <row r="61" spans="1:13" x14ac:dyDescent="0.25">
      <c r="A61" s="2">
        <v>46289</v>
      </c>
      <c r="B61" s="1" t="str">
        <f ca="1">IF(Información1[[#This Row],[Fecha]]='Ajuste de fechas'!$A$2,"Día actual","Día anterior")</f>
        <v>Día actual</v>
      </c>
      <c r="C61" s="3" t="s">
        <v>153</v>
      </c>
      <c r="D61" t="s">
        <v>154</v>
      </c>
      <c r="E61" s="3" t="s">
        <v>165</v>
      </c>
      <c r="F61" s="3" t="s">
        <v>67</v>
      </c>
      <c r="G61" s="3" t="s">
        <v>166</v>
      </c>
      <c r="H61" s="3" t="s">
        <v>46</v>
      </c>
      <c r="I61" s="3" t="s">
        <v>7</v>
      </c>
      <c r="J61" s="3" t="s">
        <v>30</v>
      </c>
      <c r="K61" s="3" t="s">
        <v>158</v>
      </c>
      <c r="L61" s="3" t="s">
        <v>33</v>
      </c>
      <c r="M61">
        <v>1</v>
      </c>
    </row>
    <row r="62" spans="1:13" x14ac:dyDescent="0.25">
      <c r="A62" s="2">
        <v>46289</v>
      </c>
      <c r="B62" s="1" t="str">
        <f ca="1">IF(Información1[[#This Row],[Fecha]]='Ajuste de fechas'!$A$2,"Día actual","Día anterior")</f>
        <v>Día actual</v>
      </c>
      <c r="C62" s="3" t="s">
        <v>153</v>
      </c>
      <c r="D62" t="s">
        <v>154</v>
      </c>
      <c r="E62" s="3" t="s">
        <v>167</v>
      </c>
      <c r="F62" s="3" t="s">
        <v>22</v>
      </c>
      <c r="G62" s="3" t="s">
        <v>74</v>
      </c>
      <c r="H62" s="3" t="s">
        <v>46</v>
      </c>
      <c r="I62" s="3" t="s">
        <v>7</v>
      </c>
      <c r="J62" s="3" t="s">
        <v>30</v>
      </c>
      <c r="K62" s="3" t="s">
        <v>158</v>
      </c>
      <c r="L62" s="3" t="s">
        <v>33</v>
      </c>
      <c r="M62">
        <v>1</v>
      </c>
    </row>
    <row r="63" spans="1:13" x14ac:dyDescent="0.25">
      <c r="A63" s="2">
        <v>46289</v>
      </c>
      <c r="B63" s="1" t="str">
        <f ca="1">IF(Información1[[#This Row],[Fecha]]='Ajuste de fechas'!$A$2,"Día actual","Día anterior")</f>
        <v>Día actual</v>
      </c>
      <c r="C63" s="3" t="s">
        <v>47</v>
      </c>
      <c r="D63" t="s">
        <v>48</v>
      </c>
      <c r="E63" s="3" t="s">
        <v>168</v>
      </c>
      <c r="F63" s="3" t="s">
        <v>169</v>
      </c>
      <c r="G63" s="3" t="s">
        <v>170</v>
      </c>
      <c r="H63" s="3" t="s">
        <v>46</v>
      </c>
      <c r="I63" s="3" t="s">
        <v>7</v>
      </c>
      <c r="J63" s="3" t="s">
        <v>30</v>
      </c>
      <c r="K63" s="3" t="s">
        <v>50</v>
      </c>
      <c r="L63" s="3" t="s">
        <v>33</v>
      </c>
      <c r="M63">
        <v>1</v>
      </c>
    </row>
    <row r="64" spans="1:13" x14ac:dyDescent="0.25">
      <c r="A64" s="2">
        <v>46289</v>
      </c>
      <c r="B64" s="1" t="str">
        <f ca="1">IF(Información1[[#This Row],[Fecha]]='Ajuste de fechas'!$A$2,"Día actual","Día anterior")</f>
        <v>Día actual</v>
      </c>
      <c r="C64" s="3" t="s">
        <v>47</v>
      </c>
      <c r="D64" t="s">
        <v>48</v>
      </c>
      <c r="E64" s="3" t="s">
        <v>171</v>
      </c>
      <c r="F64" s="3" t="s">
        <v>82</v>
      </c>
      <c r="G64" s="3" t="s">
        <v>172</v>
      </c>
      <c r="H64" s="3" t="s">
        <v>46</v>
      </c>
      <c r="I64" s="3" t="s">
        <v>7</v>
      </c>
      <c r="J64" s="3" t="s">
        <v>30</v>
      </c>
      <c r="K64" s="3" t="s">
        <v>50</v>
      </c>
      <c r="L64" s="3" t="s">
        <v>33</v>
      </c>
      <c r="M64">
        <v>1</v>
      </c>
    </row>
    <row r="65" spans="1:13" x14ac:dyDescent="0.25">
      <c r="A65" s="2">
        <v>46289</v>
      </c>
      <c r="B65" s="1" t="str">
        <f ca="1">IF(Información1[[#This Row],[Fecha]]='Ajuste de fechas'!$A$2,"Día actual","Día anterior")</f>
        <v>Día actual</v>
      </c>
      <c r="C65" s="3" t="s">
        <v>47</v>
      </c>
      <c r="D65" t="s">
        <v>48</v>
      </c>
      <c r="E65" s="3" t="s">
        <v>173</v>
      </c>
      <c r="F65" s="3" t="s">
        <v>39</v>
      </c>
      <c r="G65" s="3" t="s">
        <v>174</v>
      </c>
      <c r="H65" s="3" t="s">
        <v>46</v>
      </c>
      <c r="I65" s="3" t="s">
        <v>7</v>
      </c>
      <c r="J65" s="3" t="s">
        <v>20</v>
      </c>
      <c r="K65" s="3" t="s">
        <v>50</v>
      </c>
      <c r="L65" s="3" t="s">
        <v>31</v>
      </c>
      <c r="M65">
        <v>1</v>
      </c>
    </row>
    <row r="66" spans="1:13" x14ac:dyDescent="0.25">
      <c r="A66" s="2">
        <v>46289</v>
      </c>
      <c r="B66" s="1" t="str">
        <f ca="1">IF(Información1[[#This Row],[Fecha]]='Ajuste de fechas'!$A$2,"Día actual","Día anterior")</f>
        <v>Día actual</v>
      </c>
      <c r="C66" s="3" t="s">
        <v>47</v>
      </c>
      <c r="D66" t="s">
        <v>48</v>
      </c>
      <c r="E66" s="3" t="s">
        <v>175</v>
      </c>
      <c r="F66" s="3" t="s">
        <v>17</v>
      </c>
      <c r="G66" s="3" t="s">
        <v>106</v>
      </c>
      <c r="H66" s="3" t="s">
        <v>46</v>
      </c>
      <c r="I66" s="3" t="s">
        <v>7</v>
      </c>
      <c r="J66" s="3" t="s">
        <v>30</v>
      </c>
      <c r="K66" s="3" t="s">
        <v>50</v>
      </c>
      <c r="L66" s="3" t="s">
        <v>31</v>
      </c>
      <c r="M66">
        <v>1</v>
      </c>
    </row>
    <row r="67" spans="1:13" x14ac:dyDescent="0.25">
      <c r="A67" s="2">
        <v>46289</v>
      </c>
      <c r="B67" s="1" t="str">
        <f ca="1">IF(Información1[[#This Row],[Fecha]]='Ajuste de fechas'!$A$2,"Día actual","Día anterior")</f>
        <v>Día actual</v>
      </c>
      <c r="C67" s="3" t="s">
        <v>47</v>
      </c>
      <c r="D67" t="s">
        <v>48</v>
      </c>
      <c r="E67" s="3" t="s">
        <v>176</v>
      </c>
      <c r="F67" s="3" t="s">
        <v>15</v>
      </c>
      <c r="G67" s="3" t="s">
        <v>177</v>
      </c>
      <c r="H67" s="3" t="s">
        <v>46</v>
      </c>
      <c r="I67" s="3" t="s">
        <v>7</v>
      </c>
      <c r="J67" s="3" t="s">
        <v>34</v>
      </c>
      <c r="K67" s="3" t="s">
        <v>49</v>
      </c>
      <c r="L67" s="3" t="s">
        <v>40</v>
      </c>
      <c r="M67">
        <v>1</v>
      </c>
    </row>
    <row r="68" spans="1:13" x14ac:dyDescent="0.25">
      <c r="A68" s="2">
        <v>46289</v>
      </c>
      <c r="B68" s="1" t="str">
        <f ca="1">IF(Información1[[#This Row],[Fecha]]='Ajuste de fechas'!$A$2,"Día actual","Día anterior")</f>
        <v>Día actual</v>
      </c>
      <c r="C68" s="3" t="s">
        <v>47</v>
      </c>
      <c r="D68" t="s">
        <v>48</v>
      </c>
      <c r="E68" s="3" t="s">
        <v>178</v>
      </c>
      <c r="F68" s="3" t="s">
        <v>45</v>
      </c>
      <c r="G68" s="3" t="s">
        <v>179</v>
      </c>
      <c r="H68" s="3" t="s">
        <v>46</v>
      </c>
      <c r="I68" s="3" t="s">
        <v>7</v>
      </c>
      <c r="J68" s="3" t="s">
        <v>30</v>
      </c>
      <c r="K68" s="3" t="s">
        <v>49</v>
      </c>
      <c r="L68" s="3" t="s">
        <v>33</v>
      </c>
      <c r="M68">
        <v>1</v>
      </c>
    </row>
    <row r="69" spans="1:13" x14ac:dyDescent="0.25">
      <c r="A69" s="2">
        <v>46289</v>
      </c>
      <c r="B69" s="1" t="str">
        <f ca="1">IF(Información1[[#This Row],[Fecha]]='Ajuste de fechas'!$A$2,"Día actual","Día anterior")</f>
        <v>Día actual</v>
      </c>
      <c r="C69" s="3" t="s">
        <v>47</v>
      </c>
      <c r="D69" t="s">
        <v>48</v>
      </c>
      <c r="E69" s="3" t="s">
        <v>180</v>
      </c>
      <c r="F69" s="3" t="s">
        <v>22</v>
      </c>
      <c r="G69" s="3" t="s">
        <v>74</v>
      </c>
      <c r="H69" s="3" t="s">
        <v>46</v>
      </c>
      <c r="I69" s="3" t="s">
        <v>7</v>
      </c>
      <c r="J69" s="3" t="s">
        <v>30</v>
      </c>
      <c r="K69" s="3" t="s">
        <v>50</v>
      </c>
      <c r="L69" s="3" t="s">
        <v>33</v>
      </c>
      <c r="M69">
        <v>1</v>
      </c>
    </row>
    <row r="70" spans="1:13" x14ac:dyDescent="0.25">
      <c r="A70" s="2">
        <v>46289</v>
      </c>
      <c r="B70" s="1" t="str">
        <f ca="1">IF(Información1[[#This Row],[Fecha]]='Ajuste de fechas'!$A$2,"Día actual","Día anterior")</f>
        <v>Día actual</v>
      </c>
      <c r="C70" s="3" t="s">
        <v>47</v>
      </c>
      <c r="D70" t="s">
        <v>48</v>
      </c>
      <c r="E70" s="3" t="s">
        <v>181</v>
      </c>
      <c r="F70" s="3" t="s">
        <v>22</v>
      </c>
      <c r="G70" s="3" t="s">
        <v>74</v>
      </c>
      <c r="H70" s="3" t="s">
        <v>46</v>
      </c>
      <c r="I70" s="3" t="s">
        <v>10</v>
      </c>
      <c r="J70" s="3" t="s">
        <v>30</v>
      </c>
      <c r="K70" s="3" t="s">
        <v>50</v>
      </c>
      <c r="L70" s="3" t="s">
        <v>32</v>
      </c>
      <c r="M70">
        <v>1</v>
      </c>
    </row>
    <row r="71" spans="1:13" x14ac:dyDescent="0.25">
      <c r="A71" s="2">
        <v>46289</v>
      </c>
      <c r="B71" s="1" t="str">
        <f ca="1">IF(Información1[[#This Row],[Fecha]]='Ajuste de fechas'!$A$2,"Día actual","Día anterior")</f>
        <v>Día actual</v>
      </c>
      <c r="C71" s="3" t="s">
        <v>47</v>
      </c>
      <c r="D71" t="s">
        <v>48</v>
      </c>
      <c r="E71" s="3" t="s">
        <v>182</v>
      </c>
      <c r="F71" s="3" t="s">
        <v>15</v>
      </c>
      <c r="G71" s="3" t="s">
        <v>65</v>
      </c>
      <c r="H71" s="3" t="s">
        <v>46</v>
      </c>
      <c r="I71" s="3" t="s">
        <v>7</v>
      </c>
      <c r="J71" s="3" t="s">
        <v>34</v>
      </c>
      <c r="K71" s="3" t="s">
        <v>49</v>
      </c>
      <c r="L71" s="3" t="s">
        <v>31</v>
      </c>
      <c r="M71">
        <v>1</v>
      </c>
    </row>
    <row r="72" spans="1:13" x14ac:dyDescent="0.25">
      <c r="A72" s="2">
        <v>46289</v>
      </c>
      <c r="B72" s="1" t="str">
        <f ca="1">IF(Información1[[#This Row],[Fecha]]='Ajuste de fechas'!$A$2,"Día actual","Día anterior")</f>
        <v>Día actual</v>
      </c>
      <c r="C72" s="3" t="s">
        <v>47</v>
      </c>
      <c r="D72" t="s">
        <v>48</v>
      </c>
      <c r="E72" s="3" t="s">
        <v>183</v>
      </c>
      <c r="F72" s="3" t="s">
        <v>18</v>
      </c>
      <c r="G72" s="3" t="s">
        <v>184</v>
      </c>
      <c r="H72" s="3" t="s">
        <v>46</v>
      </c>
      <c r="I72" s="3" t="s">
        <v>7</v>
      </c>
      <c r="J72" s="3" t="s">
        <v>35</v>
      </c>
      <c r="K72" s="3" t="s">
        <v>49</v>
      </c>
      <c r="L72" s="3" t="s">
        <v>31</v>
      </c>
      <c r="M72">
        <v>1</v>
      </c>
    </row>
    <row r="73" spans="1:13" x14ac:dyDescent="0.25">
      <c r="A73" s="2">
        <v>46289</v>
      </c>
      <c r="B73" s="1" t="str">
        <f ca="1">IF(Información1[[#This Row],[Fecha]]='Ajuste de fechas'!$A$2,"Día actual","Día anterior")</f>
        <v>Día actual</v>
      </c>
      <c r="C73" s="3" t="s">
        <v>47</v>
      </c>
      <c r="D73" t="s">
        <v>48</v>
      </c>
      <c r="E73" s="3" t="s">
        <v>185</v>
      </c>
      <c r="F73" s="3" t="s">
        <v>18</v>
      </c>
      <c r="G73" s="3" t="s">
        <v>186</v>
      </c>
      <c r="H73" s="3" t="s">
        <v>46</v>
      </c>
      <c r="I73" s="3" t="s">
        <v>10</v>
      </c>
      <c r="J73" s="3" t="s">
        <v>35</v>
      </c>
      <c r="K73" s="3" t="s">
        <v>49</v>
      </c>
      <c r="L73" s="3" t="s">
        <v>31</v>
      </c>
      <c r="M73">
        <v>1</v>
      </c>
    </row>
    <row r="74" spans="1:13" x14ac:dyDescent="0.25">
      <c r="A74" s="2">
        <v>46289</v>
      </c>
      <c r="B74" s="1" t="str">
        <f ca="1">IF(Información1[[#This Row],[Fecha]]='Ajuste de fechas'!$A$2,"Día actual","Día anterior")</f>
        <v>Día actual</v>
      </c>
      <c r="C74" s="3" t="s">
        <v>51</v>
      </c>
      <c r="D74" t="s">
        <v>52</v>
      </c>
      <c r="E74" s="3" t="s">
        <v>187</v>
      </c>
      <c r="F74" s="3" t="s">
        <v>45</v>
      </c>
      <c r="G74" s="3" t="s">
        <v>179</v>
      </c>
      <c r="H74" s="3" t="s">
        <v>46</v>
      </c>
      <c r="I74" s="3" t="s">
        <v>7</v>
      </c>
      <c r="J74" s="3" t="s">
        <v>30</v>
      </c>
      <c r="K74" s="3" t="s">
        <v>53</v>
      </c>
      <c r="L74" s="3" t="s">
        <v>31</v>
      </c>
      <c r="M74">
        <v>1</v>
      </c>
    </row>
    <row r="75" spans="1:13" x14ac:dyDescent="0.25">
      <c r="A75" s="2">
        <v>46289</v>
      </c>
      <c r="B75" s="1" t="str">
        <f ca="1">IF(Información1[[#This Row],[Fecha]]='Ajuste de fechas'!$A$2,"Día actual","Día anterior")</f>
        <v>Día actual</v>
      </c>
      <c r="C75" s="3" t="s">
        <v>51</v>
      </c>
      <c r="D75" t="s">
        <v>52</v>
      </c>
      <c r="E75" s="3" t="s">
        <v>188</v>
      </c>
      <c r="F75" s="3" t="s">
        <v>156</v>
      </c>
      <c r="G75" s="3" t="s">
        <v>157</v>
      </c>
      <c r="H75" s="3" t="s">
        <v>46</v>
      </c>
      <c r="I75" s="3" t="s">
        <v>7</v>
      </c>
      <c r="J75" s="3" t="s">
        <v>30</v>
      </c>
      <c r="K75" s="3" t="s">
        <v>53</v>
      </c>
      <c r="L75" s="3" t="s">
        <v>31</v>
      </c>
      <c r="M75">
        <v>1</v>
      </c>
    </row>
    <row r="76" spans="1:13" x14ac:dyDescent="0.25">
      <c r="A76" s="2">
        <v>46289</v>
      </c>
      <c r="B76" s="1" t="str">
        <f ca="1">IF(Información1[[#This Row],[Fecha]]='Ajuste de fechas'!$A$2,"Día actual","Día anterior")</f>
        <v>Día actual</v>
      </c>
      <c r="C76" s="3" t="s">
        <v>8</v>
      </c>
      <c r="D76" t="s">
        <v>9</v>
      </c>
      <c r="E76" s="3" t="s">
        <v>189</v>
      </c>
      <c r="F76" s="3" t="s">
        <v>13</v>
      </c>
      <c r="G76" s="3" t="s">
        <v>68</v>
      </c>
      <c r="H76" s="3" t="s">
        <v>46</v>
      </c>
      <c r="I76" s="3" t="s">
        <v>21</v>
      </c>
      <c r="J76" s="3" t="s">
        <v>30</v>
      </c>
      <c r="K76" s="3" t="s">
        <v>60</v>
      </c>
      <c r="L76" s="3" t="s">
        <v>32</v>
      </c>
      <c r="M76">
        <v>1</v>
      </c>
    </row>
    <row r="77" spans="1:13" x14ac:dyDescent="0.25">
      <c r="A77" s="2">
        <v>46289</v>
      </c>
      <c r="B77" s="1" t="str">
        <f ca="1">IF(Información1[[#This Row],[Fecha]]='Ajuste de fechas'!$A$2,"Día actual","Día anterior")</f>
        <v>Día actual</v>
      </c>
      <c r="C77" s="3" t="s">
        <v>8</v>
      </c>
      <c r="D77" t="s">
        <v>9</v>
      </c>
      <c r="E77" s="3" t="s">
        <v>190</v>
      </c>
      <c r="F77" s="3" t="s">
        <v>13</v>
      </c>
      <c r="G77" s="3" t="s">
        <v>68</v>
      </c>
      <c r="H77" s="3" t="s">
        <v>46</v>
      </c>
      <c r="I77" s="3" t="s">
        <v>7</v>
      </c>
      <c r="J77" s="3" t="s">
        <v>30</v>
      </c>
      <c r="K77" s="3" t="s">
        <v>60</v>
      </c>
      <c r="L77" s="3" t="s">
        <v>32</v>
      </c>
      <c r="M77">
        <v>1</v>
      </c>
    </row>
    <row r="78" spans="1:13" x14ac:dyDescent="0.25">
      <c r="A78" s="2">
        <v>46289</v>
      </c>
      <c r="B78" s="1" t="str">
        <f ca="1">IF(Información1[[#This Row],[Fecha]]='Ajuste de fechas'!$A$2,"Día actual","Día anterior")</f>
        <v>Día actual</v>
      </c>
      <c r="C78" s="3" t="s">
        <v>8</v>
      </c>
      <c r="D78" t="s">
        <v>9</v>
      </c>
      <c r="E78" s="3" t="s">
        <v>191</v>
      </c>
      <c r="F78" s="3" t="s">
        <v>13</v>
      </c>
      <c r="G78" s="3" t="s">
        <v>68</v>
      </c>
      <c r="H78" s="3" t="s">
        <v>46</v>
      </c>
      <c r="I78" s="3" t="s">
        <v>7</v>
      </c>
      <c r="J78" s="3" t="s">
        <v>30</v>
      </c>
      <c r="K78" s="3" t="s">
        <v>60</v>
      </c>
      <c r="L78" s="3" t="s">
        <v>32</v>
      </c>
      <c r="M78">
        <v>1</v>
      </c>
    </row>
    <row r="79" spans="1:13" x14ac:dyDescent="0.25">
      <c r="A79" s="2">
        <v>46289</v>
      </c>
      <c r="B79" s="1" t="str">
        <f ca="1">IF(Información1[[#This Row],[Fecha]]='Ajuste de fechas'!$A$2,"Día actual","Día anterior")</f>
        <v>Día actual</v>
      </c>
      <c r="C79" s="3" t="s">
        <v>8</v>
      </c>
      <c r="D79" t="s">
        <v>9</v>
      </c>
      <c r="E79" s="3" t="s">
        <v>192</v>
      </c>
      <c r="F79" s="3" t="s">
        <v>6</v>
      </c>
      <c r="G79" s="3" t="s">
        <v>193</v>
      </c>
      <c r="H79" s="3" t="s">
        <v>46</v>
      </c>
      <c r="I79" s="3" t="s">
        <v>21</v>
      </c>
      <c r="J79" s="3" t="s">
        <v>30</v>
      </c>
      <c r="K79" s="3" t="s">
        <v>60</v>
      </c>
      <c r="L79" s="3" t="s">
        <v>32</v>
      </c>
      <c r="M79">
        <v>1</v>
      </c>
    </row>
    <row r="80" spans="1:13" x14ac:dyDescent="0.25">
      <c r="A80" s="2">
        <v>46289</v>
      </c>
      <c r="B80" s="1" t="str">
        <f ca="1">IF(Información1[[#This Row],[Fecha]]='Ajuste de fechas'!$A$2,"Día actual","Día anterior")</f>
        <v>Día actual</v>
      </c>
      <c r="C80" s="3" t="s">
        <v>51</v>
      </c>
      <c r="D80" t="s">
        <v>52</v>
      </c>
      <c r="E80" s="3" t="s">
        <v>194</v>
      </c>
      <c r="F80" s="3" t="s">
        <v>17</v>
      </c>
      <c r="G80" s="3" t="s">
        <v>112</v>
      </c>
      <c r="H80" s="3" t="s">
        <v>46</v>
      </c>
      <c r="I80" s="3" t="s">
        <v>7</v>
      </c>
      <c r="J80" s="3" t="s">
        <v>30</v>
      </c>
      <c r="K80" s="3" t="s">
        <v>53</v>
      </c>
      <c r="L80" s="3" t="s">
        <v>31</v>
      </c>
      <c r="M80">
        <v>1</v>
      </c>
    </row>
    <row r="81" spans="1:13" x14ac:dyDescent="0.25">
      <c r="A81" s="2">
        <v>46289</v>
      </c>
      <c r="B81" s="1" t="str">
        <f ca="1">IF(Información1[[#This Row],[Fecha]]='Ajuste de fechas'!$A$2,"Día actual","Día anterior")</f>
        <v>Día actual</v>
      </c>
      <c r="C81" s="3" t="s">
        <v>8</v>
      </c>
      <c r="D81" t="s">
        <v>9</v>
      </c>
      <c r="E81" s="3" t="s">
        <v>195</v>
      </c>
      <c r="F81" s="3" t="s">
        <v>39</v>
      </c>
      <c r="G81" s="3" t="s">
        <v>61</v>
      </c>
      <c r="H81" s="3" t="s">
        <v>46</v>
      </c>
      <c r="I81" s="3" t="s">
        <v>7</v>
      </c>
      <c r="J81" s="3" t="s">
        <v>20</v>
      </c>
      <c r="K81" s="3" t="s">
        <v>11</v>
      </c>
      <c r="L81" s="3" t="s">
        <v>40</v>
      </c>
      <c r="M81">
        <v>1</v>
      </c>
    </row>
    <row r="82" spans="1:13" x14ac:dyDescent="0.25">
      <c r="A82" s="2">
        <v>46289</v>
      </c>
      <c r="B82" s="1" t="str">
        <f ca="1">IF(Información1[[#This Row],[Fecha]]='Ajuste de fechas'!$A$2,"Día actual","Día anterior")</f>
        <v>Día actual</v>
      </c>
      <c r="C82" s="3" t="s">
        <v>51</v>
      </c>
      <c r="D82" t="s">
        <v>52</v>
      </c>
      <c r="E82" s="3" t="s">
        <v>196</v>
      </c>
      <c r="F82" s="3" t="s">
        <v>169</v>
      </c>
      <c r="G82" s="3" t="s">
        <v>170</v>
      </c>
      <c r="H82" s="3" t="s">
        <v>46</v>
      </c>
      <c r="I82" s="3" t="s">
        <v>7</v>
      </c>
      <c r="J82" s="3" t="s">
        <v>30</v>
      </c>
      <c r="K82" s="3" t="s">
        <v>53</v>
      </c>
      <c r="L82" s="3" t="s">
        <v>31</v>
      </c>
      <c r="M82">
        <v>1</v>
      </c>
    </row>
    <row r="83" spans="1:13" x14ac:dyDescent="0.25">
      <c r="A83" s="2">
        <v>46289</v>
      </c>
      <c r="B83" s="1" t="str">
        <f ca="1">IF(Información1[[#This Row],[Fecha]]='Ajuste de fechas'!$A$2,"Día actual","Día anterior")</f>
        <v>Día actual</v>
      </c>
      <c r="C83" s="3" t="s">
        <v>8</v>
      </c>
      <c r="D83" t="s">
        <v>9</v>
      </c>
      <c r="E83" s="3" t="s">
        <v>197</v>
      </c>
      <c r="F83" s="3" t="s">
        <v>169</v>
      </c>
      <c r="G83" s="3" t="s">
        <v>170</v>
      </c>
      <c r="H83" s="3" t="s">
        <v>46</v>
      </c>
      <c r="I83" s="3" t="s">
        <v>7</v>
      </c>
      <c r="J83" s="3" t="s">
        <v>30</v>
      </c>
      <c r="K83" s="3" t="s">
        <v>11</v>
      </c>
      <c r="L83" s="3" t="s">
        <v>33</v>
      </c>
      <c r="M83">
        <v>1</v>
      </c>
    </row>
    <row r="84" spans="1:13" x14ac:dyDescent="0.25">
      <c r="A84" s="2">
        <v>46289</v>
      </c>
      <c r="B84" s="1" t="str">
        <f ca="1">IF(Información1[[#This Row],[Fecha]]='Ajuste de fechas'!$A$2,"Día actual","Día anterior")</f>
        <v>Día actual</v>
      </c>
      <c r="C84" s="3" t="s">
        <v>8</v>
      </c>
      <c r="D84" t="s">
        <v>9</v>
      </c>
      <c r="E84" s="3" t="s">
        <v>198</v>
      </c>
      <c r="F84" s="3" t="s">
        <v>39</v>
      </c>
      <c r="G84" s="3" t="s">
        <v>199</v>
      </c>
      <c r="H84" s="3" t="s">
        <v>46</v>
      </c>
      <c r="I84" s="3" t="s">
        <v>7</v>
      </c>
      <c r="J84" s="3" t="s">
        <v>20</v>
      </c>
      <c r="K84" s="3" t="s">
        <v>11</v>
      </c>
      <c r="L84" s="3" t="s">
        <v>31</v>
      </c>
      <c r="M84">
        <v>1</v>
      </c>
    </row>
    <row r="85" spans="1:13" x14ac:dyDescent="0.25">
      <c r="A85" s="2">
        <v>46289</v>
      </c>
      <c r="B85" s="1" t="str">
        <f ca="1">IF(Información1[[#This Row],[Fecha]]='Ajuste de fechas'!$A$2,"Día actual","Día anterior")</f>
        <v>Día actual</v>
      </c>
      <c r="C85" s="3" t="s">
        <v>51</v>
      </c>
      <c r="D85" t="s">
        <v>52</v>
      </c>
      <c r="E85" s="3" t="s">
        <v>200</v>
      </c>
      <c r="F85" s="3" t="s">
        <v>17</v>
      </c>
      <c r="G85" s="3" t="s">
        <v>201</v>
      </c>
      <c r="H85" s="3" t="s">
        <v>46</v>
      </c>
      <c r="I85" s="3" t="s">
        <v>21</v>
      </c>
      <c r="J85" s="3" t="s">
        <v>30</v>
      </c>
      <c r="K85" s="3" t="s">
        <v>53</v>
      </c>
      <c r="L85" s="3" t="s">
        <v>31</v>
      </c>
      <c r="M85">
        <v>1</v>
      </c>
    </row>
    <row r="86" spans="1:13" x14ac:dyDescent="0.25">
      <c r="A86" s="2">
        <v>46289</v>
      </c>
      <c r="B86" s="1" t="str">
        <f ca="1">IF(Información1[[#This Row],[Fecha]]='Ajuste de fechas'!$A$2,"Día actual","Día anterior")</f>
        <v>Día actual</v>
      </c>
      <c r="C86" s="3" t="s">
        <v>8</v>
      </c>
      <c r="D86" t="s">
        <v>9</v>
      </c>
      <c r="E86" s="3" t="s">
        <v>202</v>
      </c>
      <c r="F86" s="3" t="s">
        <v>39</v>
      </c>
      <c r="G86" s="3" t="s">
        <v>174</v>
      </c>
      <c r="H86" s="3" t="s">
        <v>46</v>
      </c>
      <c r="I86" s="3" t="s">
        <v>7</v>
      </c>
      <c r="J86" s="3" t="s">
        <v>20</v>
      </c>
      <c r="K86" s="3" t="s">
        <v>11</v>
      </c>
      <c r="L86" s="3" t="s">
        <v>31</v>
      </c>
      <c r="M86">
        <v>1</v>
      </c>
    </row>
    <row r="87" spans="1:13" x14ac:dyDescent="0.25">
      <c r="A87" s="2">
        <v>46289</v>
      </c>
      <c r="B87" s="1" t="str">
        <f ca="1">IF(Información1[[#This Row],[Fecha]]='Ajuste de fechas'!$A$2,"Día actual","Día anterior")</f>
        <v>Día actual</v>
      </c>
      <c r="C87" s="3" t="s">
        <v>8</v>
      </c>
      <c r="D87" t="s">
        <v>9</v>
      </c>
      <c r="E87" s="3" t="s">
        <v>203</v>
      </c>
      <c r="F87" s="3" t="s">
        <v>42</v>
      </c>
      <c r="G87" s="3" t="s">
        <v>70</v>
      </c>
      <c r="H87" s="3" t="s">
        <v>46</v>
      </c>
      <c r="I87" s="3" t="s">
        <v>21</v>
      </c>
      <c r="J87" s="3" t="s">
        <v>30</v>
      </c>
      <c r="K87" s="3" t="s">
        <v>60</v>
      </c>
      <c r="L87" s="3" t="s">
        <v>32</v>
      </c>
      <c r="M87">
        <v>1</v>
      </c>
    </row>
    <row r="88" spans="1:13" x14ac:dyDescent="0.25">
      <c r="A88" s="2">
        <v>46289</v>
      </c>
      <c r="B88" s="1" t="str">
        <f ca="1">IF(Información1[[#This Row],[Fecha]]='Ajuste de fechas'!$A$2,"Día actual","Día anterior")</f>
        <v>Día actual</v>
      </c>
      <c r="C88" s="3" t="s">
        <v>51</v>
      </c>
      <c r="D88" t="s">
        <v>52</v>
      </c>
      <c r="E88" s="3" t="s">
        <v>204</v>
      </c>
      <c r="F88" s="3" t="s">
        <v>42</v>
      </c>
      <c r="G88" s="3" t="s">
        <v>161</v>
      </c>
      <c r="H88" s="3" t="s">
        <v>46</v>
      </c>
      <c r="I88" s="3" t="s">
        <v>7</v>
      </c>
      <c r="J88" s="3" t="s">
        <v>30</v>
      </c>
      <c r="K88" s="3" t="s">
        <v>53</v>
      </c>
      <c r="L88" s="3" t="s">
        <v>31</v>
      </c>
      <c r="M88">
        <v>1</v>
      </c>
    </row>
    <row r="89" spans="1:13" x14ac:dyDescent="0.25">
      <c r="A89" s="2">
        <v>46289</v>
      </c>
      <c r="B89" s="1" t="str">
        <f ca="1">IF(Información1[[#This Row],[Fecha]]='Ajuste de fechas'!$A$2,"Día actual","Día anterior")</f>
        <v>Día actual</v>
      </c>
      <c r="C89" s="3" t="s">
        <v>8</v>
      </c>
      <c r="D89" t="s">
        <v>9</v>
      </c>
      <c r="E89" s="3" t="s">
        <v>205</v>
      </c>
      <c r="F89" s="3" t="s">
        <v>42</v>
      </c>
      <c r="G89" s="3" t="s">
        <v>161</v>
      </c>
      <c r="H89" s="3" t="s">
        <v>46</v>
      </c>
      <c r="I89" s="3" t="s">
        <v>7</v>
      </c>
      <c r="J89" s="3" t="s">
        <v>30</v>
      </c>
      <c r="K89" s="3" t="s">
        <v>11</v>
      </c>
      <c r="L89" s="3" t="s">
        <v>33</v>
      </c>
      <c r="M89">
        <v>1</v>
      </c>
    </row>
    <row r="90" spans="1:13" x14ac:dyDescent="0.25">
      <c r="A90" s="2">
        <v>46289</v>
      </c>
      <c r="B90" s="1" t="str">
        <f ca="1">IF(Información1[[#This Row],[Fecha]]='Ajuste de fechas'!$A$2,"Día actual","Día anterior")</f>
        <v>Día actual</v>
      </c>
      <c r="C90" s="3" t="s">
        <v>8</v>
      </c>
      <c r="D90" t="s">
        <v>9</v>
      </c>
      <c r="E90" s="3" t="s">
        <v>206</v>
      </c>
      <c r="F90" s="3" t="s">
        <v>6</v>
      </c>
      <c r="G90" s="3" t="s">
        <v>57</v>
      </c>
      <c r="H90" s="3" t="s">
        <v>46</v>
      </c>
      <c r="I90" s="3" t="s">
        <v>21</v>
      </c>
      <c r="J90" s="3" t="s">
        <v>30</v>
      </c>
      <c r="K90" s="3" t="s">
        <v>60</v>
      </c>
      <c r="L90" s="3" t="s">
        <v>32</v>
      </c>
      <c r="M90">
        <v>1</v>
      </c>
    </row>
    <row r="91" spans="1:13" x14ac:dyDescent="0.25">
      <c r="A91" s="2">
        <v>46289</v>
      </c>
      <c r="B91" s="1" t="str">
        <f ca="1">IF(Información1[[#This Row],[Fecha]]='Ajuste de fechas'!$A$2,"Día actual","Día anterior")</f>
        <v>Día actual</v>
      </c>
      <c r="C91" s="3" t="s">
        <v>51</v>
      </c>
      <c r="D91" t="s">
        <v>52</v>
      </c>
      <c r="E91" s="3" t="s">
        <v>207</v>
      </c>
      <c r="F91" s="3" t="s">
        <v>56</v>
      </c>
      <c r="G91" s="3" t="s">
        <v>66</v>
      </c>
      <c r="H91" s="3" t="s">
        <v>46</v>
      </c>
      <c r="I91" s="3" t="s">
        <v>7</v>
      </c>
      <c r="J91" s="3" t="s">
        <v>30</v>
      </c>
      <c r="K91" s="3" t="s">
        <v>53</v>
      </c>
      <c r="L91" s="3" t="s">
        <v>31</v>
      </c>
      <c r="M91">
        <v>1</v>
      </c>
    </row>
    <row r="92" spans="1:13" x14ac:dyDescent="0.25">
      <c r="A92" s="2">
        <v>46289</v>
      </c>
      <c r="B92" s="1" t="str">
        <f ca="1">IF(Información1[[#This Row],[Fecha]]='Ajuste de fechas'!$A$2,"Día actual","Día anterior")</f>
        <v>Día actual</v>
      </c>
      <c r="C92" s="3" t="s">
        <v>8</v>
      </c>
      <c r="D92" t="s">
        <v>9</v>
      </c>
      <c r="E92" s="3" t="s">
        <v>208</v>
      </c>
      <c r="F92" s="3" t="s">
        <v>13</v>
      </c>
      <c r="G92" s="3" t="s">
        <v>71</v>
      </c>
      <c r="H92" s="3" t="s">
        <v>46</v>
      </c>
      <c r="I92" s="3" t="s">
        <v>7</v>
      </c>
      <c r="J92" s="3" t="s">
        <v>30</v>
      </c>
      <c r="K92" s="3" t="s">
        <v>11</v>
      </c>
      <c r="L92" s="3" t="s">
        <v>33</v>
      </c>
      <c r="M92">
        <v>1</v>
      </c>
    </row>
    <row r="93" spans="1:13" x14ac:dyDescent="0.25">
      <c r="A93" s="2">
        <v>46289</v>
      </c>
      <c r="B93" s="1" t="str">
        <f ca="1">IF(Información1[[#This Row],[Fecha]]='Ajuste de fechas'!$A$2,"Día actual","Día anterior")</f>
        <v>Día actual</v>
      </c>
      <c r="C93" s="3" t="s">
        <v>51</v>
      </c>
      <c r="D93" t="s">
        <v>52</v>
      </c>
      <c r="E93" s="3" t="s">
        <v>209</v>
      </c>
      <c r="F93" s="3" t="s">
        <v>19</v>
      </c>
      <c r="G93" s="3" t="s">
        <v>210</v>
      </c>
      <c r="H93" s="3" t="s">
        <v>46</v>
      </c>
      <c r="I93" s="3" t="s">
        <v>7</v>
      </c>
      <c r="J93" s="3" t="s">
        <v>30</v>
      </c>
      <c r="K93" s="3" t="s">
        <v>53</v>
      </c>
      <c r="L93" s="3" t="s">
        <v>31</v>
      </c>
      <c r="M93">
        <v>1</v>
      </c>
    </row>
    <row r="94" spans="1:13" x14ac:dyDescent="0.25">
      <c r="A94" s="2">
        <v>46289</v>
      </c>
      <c r="B94" s="1" t="str">
        <f ca="1">IF(Información1[[#This Row],[Fecha]]='Ajuste de fechas'!$A$2,"Día actual","Día anterior")</f>
        <v>Día actual</v>
      </c>
      <c r="C94" s="3" t="s">
        <v>51</v>
      </c>
      <c r="D94" t="s">
        <v>52</v>
      </c>
      <c r="E94" s="3" t="s">
        <v>211</v>
      </c>
      <c r="F94" s="3" t="s">
        <v>82</v>
      </c>
      <c r="G94" s="3" t="s">
        <v>212</v>
      </c>
      <c r="H94" s="3" t="s">
        <v>46</v>
      </c>
      <c r="I94" s="3" t="s">
        <v>7</v>
      </c>
      <c r="J94" s="3" t="s">
        <v>30</v>
      </c>
      <c r="K94" s="3" t="s">
        <v>53</v>
      </c>
      <c r="L94" s="3" t="s">
        <v>31</v>
      </c>
      <c r="M94">
        <v>1</v>
      </c>
    </row>
    <row r="95" spans="1:13" x14ac:dyDescent="0.25">
      <c r="A95" s="2">
        <v>46289</v>
      </c>
      <c r="B95" s="1" t="str">
        <f ca="1">IF(Información1[[#This Row],[Fecha]]='Ajuste de fechas'!$A$2,"Día actual","Día anterior")</f>
        <v>Día actual</v>
      </c>
      <c r="C95" s="3" t="s">
        <v>51</v>
      </c>
      <c r="D95" t="s">
        <v>52</v>
      </c>
      <c r="E95" s="3" t="s">
        <v>213</v>
      </c>
      <c r="F95" s="3" t="s">
        <v>18</v>
      </c>
      <c r="G95" s="3" t="s">
        <v>214</v>
      </c>
      <c r="H95" s="3" t="s">
        <v>46</v>
      </c>
      <c r="I95" s="3" t="s">
        <v>7</v>
      </c>
      <c r="J95" s="3" t="s">
        <v>35</v>
      </c>
      <c r="K95" s="3" t="s">
        <v>53</v>
      </c>
      <c r="L95" s="3" t="s">
        <v>31</v>
      </c>
      <c r="M95">
        <v>1</v>
      </c>
    </row>
    <row r="96" spans="1:13" x14ac:dyDescent="0.25">
      <c r="A96" s="2">
        <v>46289</v>
      </c>
      <c r="B96" s="1" t="str">
        <f ca="1">IF(Información1[[#This Row],[Fecha]]='Ajuste de fechas'!$A$2,"Día actual","Día anterior")</f>
        <v>Día actual</v>
      </c>
      <c r="C96" s="3" t="s">
        <v>51</v>
      </c>
      <c r="D96" t="s">
        <v>52</v>
      </c>
      <c r="E96" s="3" t="s">
        <v>215</v>
      </c>
      <c r="F96" s="3" t="s">
        <v>22</v>
      </c>
      <c r="G96" s="3" t="s">
        <v>74</v>
      </c>
      <c r="H96" s="3" t="s">
        <v>46</v>
      </c>
      <c r="I96" s="3" t="s">
        <v>7</v>
      </c>
      <c r="J96" s="3" t="s">
        <v>30</v>
      </c>
      <c r="K96" s="3" t="s">
        <v>53</v>
      </c>
      <c r="L96" s="3" t="s">
        <v>31</v>
      </c>
      <c r="M96">
        <v>1</v>
      </c>
    </row>
    <row r="97" spans="1:13" x14ac:dyDescent="0.25">
      <c r="A97" s="2">
        <v>46289</v>
      </c>
      <c r="B97" s="1" t="str">
        <f ca="1">IF(Información1[[#This Row],[Fecha]]='Ajuste de fechas'!$A$2,"Día actual","Día anterior")</f>
        <v>Día actual</v>
      </c>
      <c r="C97" s="3" t="s">
        <v>51</v>
      </c>
      <c r="D97" t="s">
        <v>52</v>
      </c>
      <c r="E97" s="3" t="s">
        <v>216</v>
      </c>
      <c r="F97" s="3" t="s">
        <v>22</v>
      </c>
      <c r="G97" s="3" t="s">
        <v>217</v>
      </c>
      <c r="H97" s="3" t="s">
        <v>46</v>
      </c>
      <c r="I97" s="3" t="s">
        <v>7</v>
      </c>
      <c r="J97" s="3" t="s">
        <v>30</v>
      </c>
      <c r="K97" s="3" t="s">
        <v>53</v>
      </c>
      <c r="L97" s="3" t="s">
        <v>31</v>
      </c>
      <c r="M97">
        <v>1</v>
      </c>
    </row>
    <row r="98" spans="1:13" x14ac:dyDescent="0.25">
      <c r="A98" s="2">
        <v>46289</v>
      </c>
      <c r="B98" s="1" t="str">
        <f ca="1">IF(Información1[[#This Row],[Fecha]]='Ajuste de fechas'!$A$2,"Día actual","Día anterior")</f>
        <v>Día actual</v>
      </c>
      <c r="C98" s="3" t="s">
        <v>8</v>
      </c>
      <c r="D98" t="s">
        <v>9</v>
      </c>
      <c r="E98" s="3" t="s">
        <v>165</v>
      </c>
      <c r="F98" s="3" t="s">
        <v>67</v>
      </c>
      <c r="G98" s="3" t="s">
        <v>166</v>
      </c>
      <c r="H98" s="3" t="s">
        <v>46</v>
      </c>
      <c r="I98" s="3" t="s">
        <v>7</v>
      </c>
      <c r="J98" s="3" t="s">
        <v>30</v>
      </c>
      <c r="K98" s="3" t="s">
        <v>11</v>
      </c>
      <c r="L98" s="3" t="s">
        <v>33</v>
      </c>
      <c r="M98">
        <v>1</v>
      </c>
    </row>
    <row r="99" spans="1:13" x14ac:dyDescent="0.25">
      <c r="A99" s="2">
        <v>46289</v>
      </c>
      <c r="B99" s="1" t="str">
        <f ca="1">IF(Información1[[#This Row],[Fecha]]='Ajuste de fechas'!$A$2,"Día actual","Día anterior")</f>
        <v>Día actual</v>
      </c>
      <c r="C99" s="3" t="s">
        <v>8</v>
      </c>
      <c r="D99" t="s">
        <v>9</v>
      </c>
      <c r="E99" s="3" t="s">
        <v>16</v>
      </c>
      <c r="F99" s="3" t="s">
        <v>15</v>
      </c>
      <c r="G99" s="3" t="s">
        <v>23</v>
      </c>
      <c r="H99" s="3" t="s">
        <v>46</v>
      </c>
      <c r="I99" s="3" t="s">
        <v>10</v>
      </c>
      <c r="J99" s="3" t="s">
        <v>34</v>
      </c>
      <c r="K99" s="3" t="s">
        <v>11</v>
      </c>
      <c r="L99" s="3" t="s">
        <v>32</v>
      </c>
      <c r="M99">
        <v>1</v>
      </c>
    </row>
    <row r="100" spans="1:13" x14ac:dyDescent="0.25">
      <c r="A100" s="2">
        <v>46289</v>
      </c>
      <c r="B100" s="1" t="str">
        <f ca="1">IF(Información1[[#This Row],[Fecha]]='Ajuste de fechas'!$A$2,"Día actual","Día anterior")</f>
        <v>Día actual</v>
      </c>
      <c r="C100" s="3" t="s">
        <v>8</v>
      </c>
      <c r="D100" t="s">
        <v>9</v>
      </c>
      <c r="E100" s="3" t="s">
        <v>14</v>
      </c>
      <c r="F100" s="3" t="s">
        <v>15</v>
      </c>
      <c r="G100" s="3" t="s">
        <v>23</v>
      </c>
      <c r="H100" s="3" t="s">
        <v>46</v>
      </c>
      <c r="I100" s="3" t="s">
        <v>10</v>
      </c>
      <c r="J100" s="3" t="s">
        <v>34</v>
      </c>
      <c r="K100" s="3" t="s">
        <v>11</v>
      </c>
      <c r="L100" s="3" t="s">
        <v>32</v>
      </c>
      <c r="M100">
        <v>1</v>
      </c>
    </row>
    <row r="101" spans="1:13" x14ac:dyDescent="0.25">
      <c r="A101" s="2">
        <v>46289</v>
      </c>
      <c r="B101" s="1" t="str">
        <f ca="1">IF(Información1[[#This Row],[Fecha]]='Ajuste de fechas'!$A$2,"Día actual","Día anterior")</f>
        <v>Día actual</v>
      </c>
      <c r="C101" s="3" t="s">
        <v>8</v>
      </c>
      <c r="D101" t="s">
        <v>9</v>
      </c>
      <c r="E101" s="3" t="s">
        <v>41</v>
      </c>
      <c r="F101" s="3" t="s">
        <v>39</v>
      </c>
      <c r="G101" s="3" t="s">
        <v>23</v>
      </c>
      <c r="H101" s="3" t="s">
        <v>46</v>
      </c>
      <c r="I101" s="3" t="s">
        <v>10</v>
      </c>
      <c r="J101" s="3" t="s">
        <v>20</v>
      </c>
      <c r="K101" s="3" t="s">
        <v>11</v>
      </c>
      <c r="L101" s="3" t="s">
        <v>32</v>
      </c>
      <c r="M101">
        <v>1</v>
      </c>
    </row>
    <row r="102" spans="1:13" x14ac:dyDescent="0.25">
      <c r="A102" s="2">
        <v>46289</v>
      </c>
      <c r="B102" s="1" t="str">
        <f ca="1">IF(Información1[[#This Row],[Fecha]]='Ajuste de fechas'!$A$2,"Día actual","Día anterior")</f>
        <v>Día actual</v>
      </c>
      <c r="C102" s="3" t="s">
        <v>8</v>
      </c>
      <c r="D102" t="s">
        <v>9</v>
      </c>
      <c r="E102" s="3" t="s">
        <v>43</v>
      </c>
      <c r="F102" s="3" t="s">
        <v>42</v>
      </c>
      <c r="G102" s="3" t="s">
        <v>23</v>
      </c>
      <c r="H102" s="3" t="s">
        <v>46</v>
      </c>
      <c r="I102" s="3" t="s">
        <v>10</v>
      </c>
      <c r="J102" s="3" t="s">
        <v>30</v>
      </c>
      <c r="K102" s="3" t="s">
        <v>11</v>
      </c>
      <c r="L102" s="3" t="s">
        <v>32</v>
      </c>
      <c r="M102">
        <v>1</v>
      </c>
    </row>
    <row r="103" spans="1:13" x14ac:dyDescent="0.25">
      <c r="A103" s="2">
        <v>46289</v>
      </c>
      <c r="B103" s="1" t="str">
        <f ca="1">IF(Información1[[#This Row],[Fecha]]='Ajuste de fechas'!$A$2,"Día actual","Día anterior")</f>
        <v>Día actual</v>
      </c>
      <c r="C103" s="3" t="s">
        <v>8</v>
      </c>
      <c r="D103" t="s">
        <v>9</v>
      </c>
      <c r="E103" s="3" t="s">
        <v>12</v>
      </c>
      <c r="F103" s="3" t="s">
        <v>13</v>
      </c>
      <c r="G103" s="3" t="s">
        <v>23</v>
      </c>
      <c r="H103" s="3" t="s">
        <v>46</v>
      </c>
      <c r="I103" s="3" t="s">
        <v>10</v>
      </c>
      <c r="J103" s="3" t="s">
        <v>30</v>
      </c>
      <c r="K103" s="3" t="s">
        <v>11</v>
      </c>
      <c r="L103" s="3" t="s">
        <v>32</v>
      </c>
      <c r="M103">
        <v>1</v>
      </c>
    </row>
    <row r="104" spans="1:13" x14ac:dyDescent="0.25">
      <c r="A104" s="2">
        <v>46289</v>
      </c>
      <c r="B104" s="1" t="str">
        <f ca="1">IF(Información1[[#This Row],[Fecha]]='Ajuste de fechas'!$A$2,"Día actual","Día anterior")</f>
        <v>Día actual</v>
      </c>
      <c r="C104" s="3" t="s">
        <v>8</v>
      </c>
      <c r="D104" t="s">
        <v>9</v>
      </c>
      <c r="E104" s="3" t="s">
        <v>58</v>
      </c>
      <c r="F104" s="3" t="s">
        <v>6</v>
      </c>
      <c r="G104" s="3" t="s">
        <v>23</v>
      </c>
      <c r="H104" s="3" t="s">
        <v>46</v>
      </c>
      <c r="I104" s="3" t="s">
        <v>10</v>
      </c>
      <c r="J104" s="3" t="s">
        <v>30</v>
      </c>
      <c r="K104" s="3" t="s">
        <v>11</v>
      </c>
      <c r="L104" s="3" t="s">
        <v>32</v>
      </c>
      <c r="M104">
        <v>1</v>
      </c>
    </row>
    <row r="105" spans="1:13" x14ac:dyDescent="0.25">
      <c r="A105" s="2">
        <v>46289</v>
      </c>
      <c r="B105" s="1" t="str">
        <f ca="1">IF(Información1[[#This Row],[Fecha]]='Ajuste de fechas'!$A$2,"Día actual","Día anterior")</f>
        <v>Día actual</v>
      </c>
      <c r="C105" s="3" t="s">
        <v>51</v>
      </c>
      <c r="D105" t="s">
        <v>52</v>
      </c>
      <c r="E105" s="3" t="s">
        <v>218</v>
      </c>
      <c r="F105" s="3" t="s">
        <v>82</v>
      </c>
      <c r="G105" s="3" t="s">
        <v>172</v>
      </c>
      <c r="H105" s="3" t="s">
        <v>46</v>
      </c>
      <c r="I105" s="3" t="s">
        <v>7</v>
      </c>
      <c r="J105" s="3" t="s">
        <v>30</v>
      </c>
      <c r="K105" s="3" t="s">
        <v>53</v>
      </c>
      <c r="L105" s="3" t="s">
        <v>31</v>
      </c>
      <c r="M105">
        <v>1</v>
      </c>
    </row>
    <row r="106" spans="1:13" x14ac:dyDescent="0.25">
      <c r="A106" s="2">
        <v>46289</v>
      </c>
      <c r="B106" s="1" t="str">
        <f ca="1">IF(Información1[[#This Row],[Fecha]]='Ajuste de fechas'!$A$2,"Día actual","Día anterior")</f>
        <v>Día actual</v>
      </c>
      <c r="C106" s="3" t="s">
        <v>8</v>
      </c>
      <c r="D106" t="s">
        <v>9</v>
      </c>
      <c r="E106" s="3" t="s">
        <v>219</v>
      </c>
      <c r="F106" s="3" t="s">
        <v>6</v>
      </c>
      <c r="G106" s="3" t="s">
        <v>44</v>
      </c>
      <c r="H106" s="3" t="s">
        <v>46</v>
      </c>
      <c r="I106" s="3" t="s">
        <v>21</v>
      </c>
      <c r="J106" s="3" t="s">
        <v>30</v>
      </c>
      <c r="K106" s="3" t="s">
        <v>60</v>
      </c>
      <c r="L106" s="3" t="s">
        <v>32</v>
      </c>
      <c r="M106">
        <v>1</v>
      </c>
    </row>
    <row r="107" spans="1:13" x14ac:dyDescent="0.25">
      <c r="A107" s="2">
        <v>46289</v>
      </c>
      <c r="B107" s="1" t="str">
        <f ca="1">IF(Información1[[#This Row],[Fecha]]='Ajuste de fechas'!$A$2,"Día actual","Día anterior")</f>
        <v>Día actual</v>
      </c>
      <c r="C107" s="3" t="s">
        <v>8</v>
      </c>
      <c r="D107" t="s">
        <v>9</v>
      </c>
      <c r="E107" s="3" t="s">
        <v>220</v>
      </c>
      <c r="F107" s="3" t="s">
        <v>6</v>
      </c>
      <c r="G107" s="3" t="s">
        <v>44</v>
      </c>
      <c r="H107" s="3" t="s">
        <v>46</v>
      </c>
      <c r="I107" s="3" t="s">
        <v>21</v>
      </c>
      <c r="J107" s="3" t="s">
        <v>30</v>
      </c>
      <c r="K107" s="3" t="s">
        <v>60</v>
      </c>
      <c r="L107" s="3" t="s">
        <v>32</v>
      </c>
      <c r="M107">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37</v>
      </c>
      <c r="B1" t="s">
        <v>38</v>
      </c>
    </row>
    <row r="2" spans="1:2" x14ac:dyDescent="0.25">
      <c r="A2" s="2">
        <f ca="1">TODAY()</f>
        <v>46289</v>
      </c>
      <c r="B2" s="2">
        <f ca="1">A2-1</f>
        <v>46288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2026-09-24T22:06:34Z</dcterms:modified>
</cp:coreProperties>
</file>