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06D87840-4C2A-4DAE-8E8E-2A71E3B16AB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90" i="2" l="1"/>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24" i="2"/>
  <c r="B26" i="2"/>
  <c r="B27" i="2"/>
  <c r="B30" i="2"/>
  <c r="B166" i="2"/>
  <c r="B168" i="2"/>
  <c r="B170" i="2"/>
  <c r="B172" i="2"/>
  <c r="B173" i="2"/>
  <c r="B175" i="2"/>
  <c r="B177" i="2"/>
  <c r="B178" i="2"/>
  <c r="B180" i="2"/>
  <c r="B182" i="2"/>
  <c r="B184" i="2"/>
  <c r="B186" i="2"/>
  <c r="B188" i="2"/>
  <c r="B190" i="2"/>
  <c r="B191" i="2"/>
  <c r="B193" i="2"/>
  <c r="B194" i="2"/>
  <c r="B197" i="2"/>
  <c r="B198" i="2"/>
  <c r="B200" i="2"/>
  <c r="B202" i="2"/>
  <c r="B204" i="2"/>
  <c r="B206" i="2"/>
  <c r="B207" i="2"/>
  <c r="B209" i="2"/>
  <c r="B31" i="2"/>
  <c r="B33" i="2"/>
  <c r="B35" i="2"/>
  <c r="B37" i="2"/>
  <c r="B39" i="2"/>
  <c r="B53" i="2"/>
  <c r="B54" i="2"/>
  <c r="B55" i="2"/>
  <c r="B56" i="2"/>
  <c r="B57" i="2"/>
  <c r="B58" i="2"/>
  <c r="B59" i="2"/>
  <c r="B61" i="2"/>
  <c r="B63" i="2"/>
  <c r="B65" i="2"/>
  <c r="B67" i="2"/>
  <c r="B69" i="2"/>
  <c r="B71" i="2"/>
  <c r="B73" i="2"/>
  <c r="B75" i="2"/>
  <c r="B76" i="2"/>
  <c r="B78" i="2"/>
  <c r="B80" i="2"/>
  <c r="B211" i="2"/>
  <c r="B83" i="2"/>
  <c r="B85" i="2"/>
  <c r="B87" i="2"/>
  <c r="B142" i="2"/>
  <c r="B143" i="2"/>
  <c r="B144" i="2"/>
  <c r="B145" i="2"/>
  <c r="B146" i="2"/>
  <c r="B147" i="2"/>
  <c r="B148" i="2"/>
  <c r="B149" i="2"/>
  <c r="B150" i="2"/>
  <c r="B151" i="2"/>
  <c r="B152" i="2"/>
  <c r="B153" i="2"/>
  <c r="B154" i="2"/>
  <c r="B155" i="2"/>
  <c r="B156" i="2"/>
  <c r="B157" i="2"/>
  <c r="B158" i="2"/>
  <c r="B159" i="2"/>
  <c r="B160" i="2"/>
  <c r="B161" i="2"/>
  <c r="B162" i="2"/>
  <c r="B163" i="2"/>
  <c r="B164" i="2"/>
  <c r="B2" i="2"/>
  <c r="B3" i="2"/>
  <c r="B4" i="2"/>
  <c r="B5" i="2"/>
  <c r="B6" i="2"/>
  <c r="B7" i="2"/>
  <c r="B8" i="2"/>
  <c r="B9" i="2"/>
  <c r="B10" i="2"/>
  <c r="B11" i="2"/>
  <c r="B12" i="2"/>
  <c r="B13" i="2"/>
  <c r="B14" i="2"/>
  <c r="B15" i="2"/>
  <c r="B16" i="2"/>
  <c r="B17" i="2"/>
  <c r="B18" i="2"/>
  <c r="B19" i="2"/>
  <c r="B20" i="2"/>
  <c r="B21" i="2"/>
  <c r="B22" i="2"/>
  <c r="B23" i="2"/>
  <c r="B25" i="2"/>
  <c r="B28" i="2"/>
  <c r="B29" i="2"/>
  <c r="B165" i="2"/>
  <c r="B167" i="2"/>
  <c r="B169" i="2"/>
  <c r="B171" i="2"/>
  <c r="B174" i="2"/>
  <c r="B176" i="2"/>
  <c r="B179" i="2"/>
  <c r="B181" i="2"/>
  <c r="B183" i="2"/>
  <c r="B185" i="2"/>
  <c r="B187" i="2"/>
  <c r="B189" i="2"/>
  <c r="B192" i="2"/>
  <c r="B195" i="2"/>
  <c r="B196" i="2"/>
  <c r="B199" i="2"/>
  <c r="B201" i="2"/>
  <c r="B203" i="2"/>
  <c r="B205" i="2"/>
  <c r="B208" i="2"/>
  <c r="B210" i="2"/>
  <c r="B32" i="2"/>
  <c r="B34" i="2"/>
  <c r="B36" i="2"/>
  <c r="B38" i="2"/>
  <c r="B40" i="2"/>
  <c r="B41" i="2"/>
  <c r="B42" i="2"/>
  <c r="B43" i="2"/>
  <c r="B44" i="2"/>
  <c r="B45" i="2"/>
  <c r="B46" i="2"/>
  <c r="B47" i="2"/>
  <c r="B48" i="2"/>
  <c r="B49" i="2"/>
  <c r="B50" i="2"/>
  <c r="B51" i="2"/>
  <c r="B52" i="2"/>
  <c r="B60" i="2"/>
  <c r="B62" i="2"/>
  <c r="B64" i="2"/>
  <c r="B66" i="2"/>
  <c r="B68" i="2"/>
  <c r="B70" i="2"/>
  <c r="B72" i="2"/>
  <c r="B74" i="2"/>
  <c r="B77" i="2"/>
  <c r="B79" i="2"/>
  <c r="B81" i="2"/>
  <c r="B82" i="2"/>
  <c r="B84" i="2"/>
  <c r="B86" i="2"/>
  <c r="B88" i="2"/>
  <c r="B8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<sst xmlns="http://schemas.openxmlformats.org/spreadsheetml/2006/main" count="2115" uniqueCount="384">
  <si>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</si>
  <si>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</si>
  <si>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</si>
  <si>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</si>
  <si>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</si>
  <si>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</si>
  <si>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</si>
  <si>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</si>
  <si>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</si>
  <si>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</si>
  <si>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</si>
  <si>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</si>
  <si>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</si>
  <si>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</si>
  <si>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</si>
  <si>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</si>
  <si>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</si>
  <si>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</si>
  <si>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</si>
  <si>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</si>
  <si>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</si>
  <si>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</si>
  <si>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</si>
  <si>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</si>
  <si>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</si>
  <si>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</si>
  <si>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</si>
  <si>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</si>
  <si>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</si>
  <si>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</si>
  <si>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</si>
  <si>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</si>
  <si>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</si>
  <si>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</si>
  <si>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</si>
  <si>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</si>
  <si>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</si>
  <si>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</si>
  <si>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</si>
  <si>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</si>
  <si>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</si>
  <si>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</si>
  <si>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</si>
  <si>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</si>
  <si>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</si>
  <si>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</si>
  <si>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NQ 90.1 FM</t>
  </si>
  <si>
    <t>Jesús Riveros</t>
  </si>
  <si>
    <t>Enlace Hidalgo1</t>
  </si>
  <si>
    <t>Enlace Hidalgo2</t>
  </si>
  <si>
    <t>Planeación</t>
  </si>
  <si>
    <t>Ultra 102.9 FM</t>
  </si>
  <si>
    <t>Ultra Noticias1</t>
  </si>
  <si>
    <t>Daniel Martínez</t>
  </si>
  <si>
    <t>Eulalio Larrieta agradece a Carlos Gamiño por estar al pendiente de temas</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</si>
  <si>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</si>
  <si>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</si>
  <si>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</si>
  <si>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</si>
  <si>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</si>
  <si>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</si>
  <si>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</si>
  <si>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</si>
  <si>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</si>
  <si>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</si>
  <si>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</si>
  <si>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</si>
  <si>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</si>
  <si>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</si>
  <si>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</si>
  <si>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</si>
  <si>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</si>
  <si>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</si>
  <si>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</si>
  <si>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</si>
  <si>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</si>
  <si>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Gusano barrenador</t>
  </si>
  <si>
    <t>Detención</t>
  </si>
  <si>
    <t>Día del Niño</t>
  </si>
  <si>
    <t>Fuga De Agua</t>
  </si>
  <si>
    <t>DIFH</t>
  </si>
  <si>
    <t>Semaforización</t>
  </si>
  <si>
    <t>Saderh</t>
  </si>
  <si>
    <t>Eulalio Larrieta agradece a Edith Balderas de la Secretaria de Educación Pública.</t>
  </si>
  <si>
    <t>Tauromaquia</t>
  </si>
  <si>
    <t>Rehabilitación carretera</t>
  </si>
  <si>
    <t>Bienestar</t>
  </si>
  <si>
    <t>Amenazas en escuela</t>
  </si>
  <si>
    <t>Prevención del delito</t>
  </si>
  <si>
    <t>Entrega De Apoyos</t>
  </si>
  <si>
    <t>Oficialía Mayor</t>
  </si>
  <si>
    <t>Radiodifusoras</t>
  </si>
  <si>
    <t>Abasto De Medicamentos</t>
  </si>
  <si>
    <t>Sedeco</t>
  </si>
  <si>
    <t>Mañanera de Hidalgo</t>
  </si>
  <si>
    <t>Localización de cuerpo</t>
  </si>
  <si>
    <t>Retención</t>
  </si>
  <si>
    <t>CGCG</t>
  </si>
  <si>
    <t>Alerta Meteorológica</t>
  </si>
  <si>
    <t>Imagen Urbana</t>
  </si>
  <si>
    <t>Ruta de la salud</t>
  </si>
  <si>
    <t>Boletín 1061: Gabinete de Seguridad desmantela bodegas con más de 60 mil autopartes robadas</t>
  </si>
  <si>
    <t>Reunión Gabinete De Seguridad</t>
  </si>
  <si>
    <t>Boletín 030: Obtiene PGJEH sentencia condenatoria de 43 años de prisión para responsable de feminicidio</t>
  </si>
  <si>
    <t>Sentencia Feminicida</t>
  </si>
  <si>
    <t>Abuso Policiaco</t>
  </si>
  <si>
    <t>Accidente Vial</t>
  </si>
  <si>
    <t>La Poderosa Tuxpan 93.1 FM</t>
  </si>
  <si>
    <t>TSJEH</t>
  </si>
  <si>
    <t>Delitos servidores públicos</t>
  </si>
  <si>
    <t>Entrega de infraestructura escolar</t>
  </si>
  <si>
    <t>Zanjas Caasim</t>
  </si>
  <si>
    <t>IMSS Bienestar</t>
  </si>
  <si>
    <t>Vacunación</t>
  </si>
  <si>
    <t>Entrevista Jorge Hernández Araus, presidente municipal de Cuautepec - Habló sobre la apertura de la carretera Cuautepec-Tulancingo, explicó que dicha apertura no es una inauguración, es solamente la apertura al paso para las y los Cuautepequenses, si bien el tramo la ya está terminado, aún faltan detalles como balizamiento, colocación de señalamientos, peor que, por el momento mejorará la vialidad. Sin embargo, dijo, no se descarta una tercera etapa para concluir en su totalidad esta carretera.</t>
  </si>
  <si>
    <t>El cuerpo sin vida de una mujer fue localizado en el canal Alto Requena, en el municipio de Francisco I. Madero, hecho que activó la intervención de distintas corporaciones de seguridad y derivó en el inicio de una investigación bajo el protocolo de feminicidio. De acuerdo con los primeros reportes, el hallazgo ocurrió la tarde del martes 28 de abril, cuando se recibió una alerta sobre la presencia de una persona flotando en dicho canal, a la altura del Ejido Francisco Villa. Tras el reporte, elementos de seguridad y cuerpos de emergencia se trasladaron al lugar para verificar la situación. Al arribar, confirmaron que se trataba del cuerpo de una mujer, el cual se encontraba en estado de descomposición. Además, presentaba visibles signos de violencia, entre ellos huellas de tortura, así como las manos atadas hacia la espalda. En cuanto a sus características, se informó que vestía una sudadera y pantalón deportivo en color gris. Personal de Protección Civil realizó las maniobras necesarias para recuperar el cuerpo del canal, mientras que la zona fue acordonada por elementos de seguridad con el fin de resguardar la escena y permitir el desarrollo de las diligencias correspondientes. Estas acciones forman parte de los protocolos establecidos para preservar indicios que puedan contribuir al esclarecimiento del caso. Posteriormente, se dio aviso a la Procuraduría General de Justicia del Estado de Hidalgo (PGJEH), instancia que tomó conocimiento de los hechos y quedó a cargo de las investigaciones. De manera preliminar, la carpeta fue iniciada bajo el protocolo de feminicidio, lo que implica la aplicación de procedimientos especializados para determinar si la muerte estuvo relacionada con violencia de género. Hasta el momento, la víctima no ha sido identificada oficialmente y permanece en calidad de desconocida. No obstante, de forma extraoficial ha trascendido que existe una ficha de búsqueda activa de una mujer originaria del mismo municipio, por lo que no se descarta que pudiera tratarse de la misma persona. Esta información deberá ser confirmada mediante estudios periciales y procesos de identificación que realicen las autoridades competentes. El caso se mantiene bajo investigación, mientras las autoridades continúan con la recopilación de pruebas y el análisis de los indicios recabados en el lugar. Será a través de estas diligencias que se podrá esclarecer lo ocurrido y avanzar en la identificación de la víctima, así como en la posible localización de quienes resulten responsables.</t>
  </si>
  <si>
    <t>Feminicidio</t>
  </si>
  <si>
    <t>El mapa nacional muestra que el robo de autopartes es un delito altamente focalizado. Ciudad de México, Estado de México y Puebla concentran el 76 por ciento de denuncias en el sexenio. Hidalgo se mantiene en un nivel bajo, pero en el mismo corredor. Hidalgo colinda con las tres entidades que encabezan el delito. Esa posición lo convierte en zona de tránsito, posible punto de almacenamiento o mercado secundario. El patrón coincide con la lógica de otros delitos patrimoniales: concentración en áreas metropolitanas y expansión hacia regiones conectadas por carretera. El análisis por volumen coloca a Hidalgo en la parte media-baja del ranking. Se ubica lejos de los estados con mayor incidencia, pero encima de entidades donde el delito es prácticamente inexistente. La evolución nacional ayuda a dimensionar el fenómeno. En 2015 se registraron poco más de 10 mil robos de autopartes. Para 2023 la cifra alcanzó su máximo con 23 mil 738 denuncias. En 2024 y 2025 se observa una reducción, con 21 mil 150 y 18 mil 907 casos.</t>
  </si>
  <si>
    <t>Combate a la delincuencia</t>
  </si>
  <si>
    <t>Derivado del robo de autopartes en Hidalgo se han presentado 108 denuncias en los últimos 2 años en contraste en solo dos operativos realizados en Actopan y Cuautepec de Hinojosa las autoridades recuperaron más de 60 piezas en diversas bodegas, de acuerdo con reportes del gabinete de seguridad, lo que habla, por un lado, de la gravedad del problema y la alta cifra negra que existe en torno a este ilícito. Un análisis realizado con datos de un reporte emitido por la consultora TResearch International, la cifra de denuncias representa menos del uno por ciento a nivel nacional. Si se incorpora la cifra negra, estimada en 92 por ciento, de acuerdo con información de la Encuesta Nacional de Victimización y Percepción de la Seguridad realizada por el Inegi, el escenario cambia pues las 108 denuncias equivalen apenas al 8 por ciento de los casos reales. Bajo ese ajuste, el volumen estimado asciende a mil 350 robos de autopartes en el mismo periodo. El diferencial entre lo denunciado y lo ocurrido revela un fenómeno más amplio que el de registros oficiales. Basados solo en las denuncias en apariencia el comportamiento del delito en Hidalgo no es explosivo, pero sí constante, ya que no aparece entre las entidades con mayor incidencia ni por volumen ni por tasa poblacional, aunque en el ranking nacional se ubica a media tabla en la posición 14. En cuanto a acciones realizadas por las autoridades locales el escenario cambia, pues en solo una semana dos bodegas utilizadas para desarmar vehículos robados fueron desmanteladas en Actopan como resultado de operativos del gabinete de seguridad, con saldo de siete detenidos, más de 60 mil autopartes recuperadas y siete vehículos asegurados. En paralelo, en la colonia Francisco Villa de Cuautepec de Hinojosa, un operativo encabezado por la Secretaría de Seguridad Pública derivó en la detención de dos hombres, así como en el aseguramiento de 120 piezas de autopartes, 758 dosis de presunta droga y siete vehículos, varios con irregularidades y reporte de robo. Las acciones se sustentaron en trabajos de inteligencia y recorridos operativos que permitieron ubicar cuatro inmuebles presuntamente vinculados con actividades delictivas, donde participaron elementos estatales en coordinación con la Procuraduría estatal y fuerzas federales. Durante las diligencias, dos de los predios fueron identificados como posibles puntos de distribución de narcóticos, mientras que en los otros se localizaron indicios relacionados con el desmantelamiento de unidades y autopartes. Asimismo, en uno de los inmuebles se aseguraron dos camionetas con alrededor de 120 piezas y componentes automotrices de origen presuntamente ilícito, mientras que en otro predio fue localizada una camioneta con reporte de robo que contenía tambos de 200 litros, considerados relevantes para la investigación. También se incautaron 725 dosis de sustancias con características de marihuana y presunto cristal, que se encontraban listas para su distribución, reforzando la hipótesis de actividades de narcomenudeo en la zona. Los detenidos, junto con los vehículos, la droga y los objetos asegurados, fueron puestos a disposición del Ministerio Público, que definirá su situación jurídica mientras continúan las indagatorias sobre la estructura y operación de la red detectada.</t>
  </si>
  <si>
    <t>Tras varias horas de labores, esta tarde bomberos de Protección Civil de Progreso de Obregón, controlaron un incendio que consumió 14 hectáreas de terreno, el cual se presume pudo haber sido provocado intencionalmente. De acuerdo con el reporte oficial, el siniestro requirió un trabajo constante para controlar y extinguir el fuego, así como la localización de puntos que aún presentaban calor activo. Posteriormente, se realizaron maniobras de enfriamiento en las zonas afectadas con el objetivo de garantizar que el incendio quedara completamente controlado y evitar su reactivación. Las autoridades señalaron que, de manera preliminar, se presume que el incendio pudo haber sido iniciado de forma intencional, por lo que reiteraron el llamado a la ciudadanía a actuar con responsabilidad y evitar prácticas que puedan provocar este tipo de emergencias.</t>
  </si>
  <si>
    <t>Control de incendios</t>
  </si>
  <si>
    <t>Habitantes de diversos municipios de la región Tula-Tepeji, reportaron durante los últimos días y horas un intenso olor a combustible, situación que generó inquietud entre la población y movilizó a corporaciones de emergencia. Los reportes ciudadanos se concentraron principalmente en Tlahuelilpan, Ajacuba, Tetepango y Mixquiahuala, donde autoridades estatales y municipales iniciaron recorridos de supervisión para ubicar el origen del aroma. Por su cuenta, la Subsecretaría de Protección Civil y Gestión de Riesgos de Hidalgo informó que, tras las primeras inspecciones, no se localizaron indicios de fuga de hidrocarburos ni condiciones que representen peligro inmediato para los habitantes, pese a ello se mantienen monitoreos. En las labores también participa personal especializado de Pemex, que revisa posibles puntos vinculados con ductos e infraestructura energética de la región. Pese a no encontrar una fuente confirmada, las acciones de vigilancia continúan de manera coordinada para descartar cualquier riesgo y esclarecer lo ocurrido.</t>
  </si>
  <si>
    <t>Boletín: La Subsecretaría de Protección Civil y Gestión de Riesgos informa a la población que continúa la onda de calor, por lo que se prevén, de lunes a jueves, temperaturas de 40 a 45 °C, principalmente en la región norte y noreste del estado. Para el viernes, se estiman temperaturas superiores a los 45 °C.</t>
  </si>
  <si>
    <t>Boletín 35: Pobladores del Valle del Mezquital exponen proyectos de desarrollo para la región</t>
  </si>
  <si>
    <t>Planeación participativa</t>
  </si>
  <si>
    <t>En sesión de la Comisión Inspectora de la Auditoría Superior, el Congreso del Estado Libre y Soberano de Hidalgo recibió la Cuenta Pública del Municipio de Pachuca de Soto 2025, con fundamento en la Ley de Fiscalización Superior y Rendición de Cuentas de la entidad. El diputado Andrés Velázquez Vázquez, presidente de la Junta de Gobierno y de la comisión, reconoció la labor del edil de Pachuca al liberar del ambulantaje a una de las plazas más antiguas del país y por embellecer la ciudad, “la entrega de la cuenta pública trata precisamente de esto, de qué se ha hecho con las inversiones”.</t>
  </si>
  <si>
    <t>Cuenta Pública</t>
  </si>
  <si>
    <t>El Congreso de Hidalgo aprobó una prórroga de 10 días hábiles a la Comisión de Legislación y Puntos Constitucionales para analizar la iniciativa que busca prohibir las corridas de toros, tras una excitativa que venció el 28 de abril de 2026.</t>
  </si>
  <si>
    <t>Boletín 1644: Fortalece SEPH escuelas de Tecozautla con inversión superior a 4 mdp</t>
  </si>
  <si>
    <t>Como parte de las acciones para fomentar la participación de la gente y evitar posibles actos de corrupción, se instalaron 88 buzones fijos en distintos puntos de todos los municipios del estado. Así lo informó el contralor Álvaro Bardales, quien explicó que estos buzones servirán para que la ciudadanía pueda dejar quejas, sugerencias o denuncias relacionadas con obras, servicios o acciones de gobierno. Detalló que los buzones están ubicados en las presidencias municipales de los 84 municipios, lo que permite que más personas tengan acceso a este mecanismo de manera sencilla. El funcionario señaló que con esta medida se busca que la población pueda expresar sus inquietudes directamente y contribuir a vigilar cómo se utilizan los recursos públicos. Con ello, se pretende fortalecer la transparencia y asegurar que los programas y apoyos realmente beneficien a la ciudadanía.</t>
  </si>
  <si>
    <t>Contraloría</t>
  </si>
  <si>
    <t>Contraloría Social</t>
  </si>
  <si>
    <t>Boletín 723: Policía Estatal asegura a implicados en robos a casa habitación en zona metropolitana</t>
  </si>
  <si>
    <t>Boletín 722: “Ciudad Policía” acerca la cultura de la prevención a juventudes de Actopan</t>
  </si>
  <si>
    <t>Columna a media semana - Cuentan que quien se llevó un gran susto durante la visita de la presidente Claudia Sheinbaum al municipio de Singuilucan, es la senadora Sandra Simey Olvera; Y es que según testimonios y un video que circula ampliamente en Internet, por cuestiones logísticas o un error, estuvo a punto de quedarse afuera del primer círculo y quedó grabado el cómo buscaba brincarse las vallas y hacía señas a lo lejos para llamar la atención… y la llamó, así que la dejaron pasar. Pero no tiene de qué preocuparse, así también andaba quedando fuera su homólogo Cuauhtémoc Ochoa, nada más que él sí tuvo un lugar estratégico, como en el evento que el ministro Hugo Aguilar y la SCJN tuvieron en Pachuca.</t>
  </si>
  <si>
    <t>Aspirantes</t>
  </si>
  <si>
    <t>Impericia</t>
  </si>
  <si>
    <t>Sucesión gubernamental</t>
  </si>
  <si>
    <t>Joel Sánchez</t>
  </si>
  <si>
    <t>Columna a media semana - Egresados de la Universidad Interamericana para el Desarrollo, han expresado su preocupación por que en el campus Pachuca, se agrava un problema ya común en la UNID en diversas regiones del país, que es el atraso o incumplimiento en los trámites de titulación; hay ex-alumnos que culminaron sus estudios desde el 2024, que han pagado su título y no ven para cuando recibir su documento y cédula, lo que frena su vida profesional y la continuidad de su formación. Afirman que el rector en Pachuca, Sergio Arturo Hernández Echagaray, ni les da solución, ni fija una postura al respecto, por lo que han empezado a acudir a los medios de comunicación.</t>
  </si>
  <si>
    <t>Titulación</t>
  </si>
  <si>
    <t>El alcalde Jorge Alberto Reyes realizó la entrega formal de la Cuenta Pública Municipal 2025 ante el Congreso del Estado de Hidalgo, en cumplimiento con los principios de legalidad, transparencia y rendición de cuentas que rigen el ejercicio público. Durante este acto, el presidente municipal destacó que la administración que encabeza se ha conducido con responsabilidad en el manejo de los recursos públicos, privilegiando la claridad en su aplicación y el beneficio directo para la población. "En esta administración nos hemos caracterizado por trabajar con total transparencia en la aplicación de los recursos públicos. La ciudadanía tiene derecho a saber en qué se invierte cada peso y cómo se destinan sus impuestos en beneficio de Pachuca”, expresó.</t>
  </si>
  <si>
    <t>Columna a media semana - Mientras en algunas dependencias pregonan el humanismo como parte de su discurso cotidiano, en el corazón de la huasteca hidalguense, el gobierno de Huejutla de Reyes y el sistema DIF municipal, dieron una muestra de lo que es una verdadera política humanista, luego de que se realizara la entrega de 32 prótesis de última generación y dos órtesis a 29 personas con discapacidad, a quienes de esta manera se les garantiza una mejor calidad de vida, mayor inclusión y se les da una nueva oportunidad de desarrollo; niños y adultos fueron beneficiados gracias a la gestión de recursos a través del voluntariado, la sociedad civil y el acompañamiento institucional. Adicionalmente se han entregado cientos de sillas de ruedas, andaderas, aparatos auditivos y ayudas funcionales; es humanismo de hechos, no de palabras.</t>
  </si>
  <si>
    <t>Un automovilista fue detenido en Tulancingo tras una persecución que comenzó en Cuautepec; durante la intervención, un video captó lo que sería una presunta agresión por parte de policías, ya que el hombre arrestado fue golpeado cuando se encontraba dentro de la patrulla. Los hechos iniciaron en la colonia El Banco, donde elementos de Cuautepec marcaron el alto al conductor; al no detenerse, los policías continuaron el seguimiento hasta la calle Antonio Castro, en la colonia El Paraíso, ya en territorio de Tulancingo, donde finalmente realizaron la detención. El material difundido capta un momento clave; ya dentro de la patrulla, uno de los policías golpea al detenido, lo que ha sido señalado como una posible agresión. En la misma escena, se observa a un mando intentando apartar a una persona que buscaba intervenir de una forma agresiva y encarando al defensor; la situación generó tensión entre quienes presenciaban los hechos.</t>
  </si>
  <si>
    <t>La tarde de este martes se registró un aparatoso accidente sobre el libramiento de la autopista México–Tuxpan, en el tramo Pitula–San Alejo, a la altura del kilómetro 86+500, en la zona de Huajomulco, municipio de Tulancingo. De acuerdo con los primeros reportes, una camioneta Ford Lobo F-150 negra se impactó contra la caja seca de un semirremolque de un tráiler. De manera preliminar, se informó que una persona perdió la vida en el lugar, se trata de Rolando Pontaza, quien se desempeñaba como director de Protección Civil y Bomberos del municipio de Singuilucan. Más tarde, el ayuntamiento emitió sus condolencias a familiares, así mismo, reconoció su destacada labor.</t>
  </si>
  <si>
    <t>Deceso de funcionario</t>
  </si>
  <si>
    <t>Columna a media semana - A punto de culminarse las obras -por fin- en las inmediaciones de la plaza Pedro María Anaya, donde se encuentra la presidencia municipal de Pachuca, se empieza a generar una polémica, por la irreflexiva decisión de la Secretaría de Infraestructura Pública y Desarrollo Urbano Sostenible, de colocar una serie de postes y alumbrado público en torno a la Casa Rule, sin cuidar el contexto y la imagen del histórico edificio; se le atribuye el yerro al subsecretario de Infraestructura estatal Raúl Lozano Cano; el mismo que en algunos puntos de la ciudad autorizó sustituir áreas verdes por adoquines, privilegiando el negocio y olvidándose de lo importante.</t>
  </si>
  <si>
    <t>El Parque Cultural Hidalguense celebra su primer aniversario (inaugurado en mayo 2025) con un mes de actividades deportivas gratuitas, incluyendo torneos de fútbol, básquetbol, voleibol y ajedrez. Las inscripciones están abiertas del 29 de abril al 1 de mayo de 2026, ofreciendo a la comunidad familiar una amplia gama de opciones para fomentar la salud y el deporte en la zona plateada de Pachuca</t>
  </si>
  <si>
    <t>Parque Cultural Hidalguense</t>
  </si>
  <si>
    <t>Boletín 724: La Secretaría de Seguridad Pública de Hidalgo (SSPH) informa lo siguiente: Derivado de labores preventivas y de combate al delito en el municipio de Apan, elementos del Mando Coordinado intervinieron una camioneta que transportaba contenedores con gasolina. Al notar la presencia policial, adoptó una actitud evasiva, por lo que se solicitó el apoyo inmediato de elementos estatales, quienes desplegaron un operativo que derivó en una persecución en el camino viejo a la localidad de San Juan Ixtilmaco. Durante la huida, la unidad involucrada sufrió un percance que provocó su incendio, hecho en el que una persona perdió la vida. Cuerpos de seguridad lograron sofocar el fuego y mantienen presencia operativa en la zona para salvaguardar la integridad de la población, así como para brindar apoyo a las diligencias correspondientes.</t>
  </si>
  <si>
    <t>Combate Al Huachicol</t>
  </si>
  <si>
    <t>El secretario de Gobierno, Guillermo Olivares encabezará un mes de trabajo interestatal con la concesionaria “Arco Norte”, dicha reunión se tiene prevista a las 10:45 horas en las oficinas centrales de la autopista Arco Norte.</t>
  </si>
  <si>
    <t>Coordinación interestatal</t>
  </si>
  <si>
    <t>Boletín 34: Amplió Gobierno de Hidalgo inversión para desarrollar investigaciones</t>
  </si>
  <si>
    <t>Becas De Posgrado</t>
  </si>
  <si>
    <t>Boletín 53: Hidalgo fortalece su proyección turística en la 50 edición del Tianguis Turístico México 2026</t>
  </si>
  <si>
    <t>Turismo</t>
  </si>
  <si>
    <t>Tianguis turístico</t>
  </si>
  <si>
    <t>Boletín 110: Acercan servicios médicos a San José Boxay, con Jornadas de la Salud</t>
  </si>
  <si>
    <t>Jornada de salud</t>
  </si>
  <si>
    <t>Boletín: Concluyen con éxito trabajos de modernización de la infraestructura hidráulica</t>
  </si>
  <si>
    <t>Infraestructura Hidráulica</t>
  </si>
  <si>
    <t>Boletín 46: En Pachuca, avanza la actualización del Programa Sectorial de la Segobh</t>
  </si>
  <si>
    <t>Actualización de programa sectorial</t>
  </si>
  <si>
    <t>El Bulevar Felipe Ángeles se encuentra cerrado a la altura de la unidad deportiva, debido a que están colocando bolardos.</t>
  </si>
  <si>
    <t>Carril confinado</t>
  </si>
  <si>
    <t>Andrés Torres informa que se quemó el transformador y no tienen electricidad, por lo que la señal del 1010 AM de El Vocero Huasteco está fuera del aire, pero sí se escuchan en 92.7 FM. Se está trabajando para resolver la situación.</t>
  </si>
  <si>
    <t>Rolando Pontasa, titular de Seguridad Pública de Singuilucan, muere en un accidente vial.</t>
  </si>
  <si>
    <t>Una persecución policial en el municipio de Apan concluyó con el incendio de una camioneta que transportaba contenedores con gasolina, dejando como saldo una persona sin vida. De acuerdo con la Secretaría de Seguridad Pública de Hidalgo (SSPH), el hecho se originó cuando elementos del Mando Coordinado detectaron una unidad sospechosa que adoptó una actitud evasiva, lo que derivó en un operativo y persecución sobre el camino viejo hacia la localidad de San Juan Ixtilmaco. Durante la huida, la camioneta sufrió un percance que provocó su incendio. Tras el siniestro, cuerpos de seguridad acudieron al sitio, lograron sofocar el fuego y confirmaron el fallecimiento de una persona.</t>
  </si>
  <si>
    <t>Combate al huachicol</t>
  </si>
  <si>
    <t>Ayer se presentó un bloqueo en la carretera México- Laredo en Ixmiquilpan a la altura de La Reforma por un grupo de personas que se manifestaron al frente de las oficinas de la PGJEH, el MP, esto debido a que hace unos días se presentó un robo a un comercio y se les negó la grabación de las cámaras de seguridad por parte del ayuntamiento. Los vecinos del lugar están hartos de los robos a vehículos, comercios y casas. Hoy podrían volver a bloquear la carretera.</t>
  </si>
  <si>
    <t>Inseguridad</t>
  </si>
  <si>
    <t>El alcalde Jorge Reyes realizó la entrega formal de la Cuenta Pública Municipal 2025 ante el Congreso del Estado de Hidalgo, en cumplimiento con los principios de legalidad, transparencia y rendición de cuentas que rigen el ejercicio público. Durante este acto, el presidente municipal destacó que la administración que encabeza se ha conducido con responsabilidad en el manejo de los recursos públicos, privilegiando la claridad en su aplicación y el beneficio directo para la población. “En esta administración nos hemos caracterizado por trabajar con total transparencia en la aplicación de los recursos públicos. La ciudadanía tiene derecho a saber en qué se invierte cada peso y cómo se destinan sus impuestos en beneficio de Pachuca”, expresó.</t>
  </si>
  <si>
    <t>Boletín 34: Amplió Gobierno de Hidalgo inversión para desarrollar investigaciones.</t>
  </si>
  <si>
    <t>Andrés Torres comenta que él puede hablar del alcalde Ixmiquilpan porque hay una orden.</t>
  </si>
  <si>
    <t>Golpeteo político</t>
  </si>
  <si>
    <t>Andrés Torres en respuesta a un radioescucha reitera que ayer vecinos de La Reforma, Ixmiquilpan hartos de la ola de robos, hartos de los robos. " Vayan a Ixmiquilpan, pregunten; no le pregunten al delegado de la Segobh, porque va a decir que no. No le pregunten a la gente de la presidencia municipal porque lo van a negar. Los que conocemos Ixmiquilpan y vamos para allá sabemos que hay un ola de inseguridad. Es sabido que el alcalde Emmanuel Hernández no trabaja, solo anda paseando y de trabajo no se sabe nada. En sus conferencias mañaneras dicen que trabaja, pero lo cierto es que nada más anda promocionándose a ver si no lo multan por actos anticipados de campaña, anda muy adelantado dando entrevistas facilitas. la culpa la tiene el pueblo de Ixmiquilpan por votar por él".</t>
  </si>
  <si>
    <t>Mal Desempeño</t>
  </si>
  <si>
    <t>Boletín 1645: Invierte SEPH más de 5.2 mdp en infraestructura educativa.</t>
  </si>
  <si>
    <t>Boletín 110: Acercan servicios médicos a San José Boxay, con Jornadas de la Salud.</t>
  </si>
  <si>
    <t>En Huichapan localizan una persona sin vida en una estación de servicio ubicada sobre el libramiento municipal, lo que generó la movilización de cuerpos de seguridad y emergencia. Según los reportes iniciales, el hallazgo ocurrió en el área de acceso al establecimiento, lo que provocó que la zona fuera acordonada mientras se llevaban a cabo las diligencias por parte de las autoridades. En el lugar también fue ubicado un vehículo, dentro del cual se encontraban dos menores de edad, quienes fueron puestas bajo resguardo por elementos policiales para salvaguardar su integridad.</t>
  </si>
  <si>
    <t>La tarde de este martes se registró el incendio de un vehículo Mercedes Benz blanco a un costado de la carretera México-Pachuca, en el tramo del municipio de Zapotlán de Juárez. Bomberos controlaron el incendio.</t>
  </si>
  <si>
    <t>En Ixmiquilpan fueron detenidos dos sujetos responsable de un ataque con arma blanca en contra de un oficial de policía. Los detenidos estarían vinculados con diversos actos delictivos cometidos previamente en la región. Las autoridades mantiene las investigaciones.</t>
  </si>
  <si>
    <t>Andrés Torres: Me mandan fotografías de Miguel Tello abrazando al alcalde de Zempoala, Sinuhé Ramírez bacheando. "No veo un trasfondo político en esa foto, estaban chambeando".</t>
  </si>
  <si>
    <t>Bacheo</t>
  </si>
  <si>
    <t>Vía telefónica Milton Cortés informa que vecinos de Pachuca, Zempoala y Mineral de la Reforma están molestos y preocupados por la contaminación de los drenes pluviales con tierra, basura y la falta de mantenimiento preventivo ante las próximas lluvias como en otros años. Señalan que ningún municipio ha hecho labores de recorrido y vigilancia lo que deriva en inundaciones por lo que vecinos hacen recorridos para evitar que los drenes sean bloqueados. No han recibido apoyo de autoridades</t>
  </si>
  <si>
    <t>Desazolve</t>
  </si>
  <si>
    <t>Milton Cortés</t>
  </si>
  <si>
    <t>Ultra Noticias</t>
  </si>
  <si>
    <t>A partir del 30 de abril el Sistema de Protección de Niñas, Niños y Adolescentes en Tulancingo van a poner en marcha un estrategia para poder conocer y atender el trabajo infantil en el municipio iniciando con encuestas a menores que se encuentran trabajando, así como también a comerciantes y población en general. Los datos fueron proporcionados por la Secretaria Ejecutiva de SIPINNA Tulancingo (SIPINNA), Emma San Agustín Lemus, quien explicó que estos datos van a permitir tener un diagnóstico más preciso sobre la situación local con base en los resultados.</t>
  </si>
  <si>
    <t>Trabajo infantil</t>
  </si>
  <si>
    <t>El sistema IMSS Bienestar prevé la entrega en el Estado de Hidalgo de 1.5 millones de piezas de medicamentos a partir de esta semana, de 37 millones de piezas consideradas para entrega en todo el país. Lo anterior fue informado por la dependencia federal, luego de que el pasado fin de semana, durante gira de trabajo de la Presidenta de México, Claudia Sheinbaum Pardo, recibiera reclamo de habitantes de la Sierra Otomí Tepehua sobre la falta de medicamentos. Precisamente en el Hospital Regional Otomí-Tepehua, ubicado en el municipio de San Bartolo Tutotepec, se realizó la entrega de dos mil 976 piezas de medicamentos, para entrega en los casos necesarios para 473 comunidades de dicha región. Alejandro Svarch Pérez, director general del IMSS Bienestar, realizó enlace desde dicha región del Estado de Hidalgo durante la conferencia de prensa presidencial matutina de este martes 28 de abril, para informar sobre los avances en la distribución de medicamentos y la supervisión territorial en regiones de difícil acceso. El funcionario señaló durante el enlace que el objetivo principal es asegurar que los insumos lleguen de manera oportuna y que ningún tratamiento se interrumpa. Sobre el caso específico del Regional Otomí-Tepehua, opera con 476 claves de medicamentos para la atención de la población, contando con 30 camas y seis consultorios.</t>
  </si>
  <si>
    <t>Ayer circuló en redes sociales un video que se viralizó en el que se ve a policías de Cuautepec sometiendo a una persona y siendo golpeada dentro de patrulla. Las autoridades em materia de seguridad pública emitieron un comunicado en el que señalan que la situación derivó en que elementos de Cuautepec marcaron el alto al conductor; al no detenerse, los policías continuaron el seguimiento hasta Tulancingo, donde los elementos policiacos de Cuautepec actuaron bajo los principios de coordinación interinstitucional y solicitaron el apoyo de la policía estatal y de la policía municipal de Tulancingo a fin de fortalecer la intervención y salvaguardar la seguridad de la ciudadanía y finalmente realizaron la detención.</t>
  </si>
  <si>
    <t>Daniel Martínez critica el actuar de los policías de Cuautepec, Tulancingo y el Mando Coordinado al perseguir y detener a un sujeto al que golpearon dentro de la patrulla. Señala que entiende que el sujeto los insultó y opuso resistencia, pero dónde quedaron los protocolos a lo que dice, se debe hacer una revisión. Abría que revisar los mandos coordinados.</t>
  </si>
  <si>
    <t>Mando Coordinado</t>
  </si>
  <si>
    <t>Vía telefónica el reporte de Bombero y Protección Civil con Abner Yáñez informa que se atendieron incendios de pasto seco y basura, entre otras emergencias reportadas por la ciudadanía. Asimismo comenta que atendieron el reporte del accidente donde perdió la vida el director de Protección Civil de Singuilucan.</t>
  </si>
  <si>
    <t>Existe un déficit en el Estado de Hidalgo de personal para el programa “Salud casa por casa”, pues de poco más de 600 profesionales, aún están por cubrirse entre 40 a 45 plazas de personal médico y enfermería. Así lo reconoció Abraham Mendoza Zenteno, delegado en la entidad de Programas del Bienestar del Gobierno Federal, a cuya responsabilidad está la estrategia de visitas médicas a domicilio. Puntualizó que las zonas más alejadas de núcleos urbanos es donde no se han podido cubrir las plazas, pues lo ideal es que el personal contratado viva en la misma zona donde presta sus servicios, para facilitar la cercanía al realizar las visitas médicas. De acuerdo al funcionario, el déficit de personal correspondería a aproximadamente seis por ciento de la cantidad de colaboradores que se requieren para realizar las visitas domiciliarias de atención a beneficiarios. Poco después de un mes de iniciadas las actividades del programa federal, algunos colaboradores señalaron que no les habían pagado, o recibían sus sueldos incompletos.</t>
  </si>
  <si>
    <t>Delegación</t>
  </si>
  <si>
    <t>Déficit De Personal</t>
  </si>
  <si>
    <t>Daniel Martínez derivado de la queja de un radioescucha comenta que en junio va atener un año que vino la presidenta de México al Hospital IMSS Bienestar de Tulancingo e hizo el compromiso de que el tomógrafo ya estaría en funcionamiento en breve. han pasado 10 meses, no funciona el tomógrafo. En este sentido refiere que la falta de este tomógrafo que sí existe, pero no funciona ha afectado a un paciente y su familia que dicen que han gastado mucho dinero en medicamentos y tienen que seguir pagando más porque el director no quiere ocupar el tomógrafo. Daniel Martínez pregunta si se necesita hacer mediático el tema para que mágicamente en 2 días funcione el tomógrafo.</t>
  </si>
  <si>
    <t>Integrantes de Tauromaquia Mexicana en Hidalgo acudieron al Congreso del estado para entregar documentación con la que buscan que se respeten las tradiciones y libertades relacionadas con esta práctica. Durante la actividad participaron voceros del movimiento, junto con Luis Eugenio Gallardo Hernández y Alejandro Espínola, quienes expusieron tres puntos que consideran relevantes para el análisis legislativo. Como parte central de su planteamiento, entregaron más de dos mil firmas ciudadanas recabadas en distintos municipios, las cuales, señalaron, reflejan el respaldo de un sector de la población hacia la tauromaquia y su arraigo en la entidad. También presentaron una solicitud de consulta indígena firmada por Agripino Montiel López, representante de la comunidad de Caxuxi, con base en lo establecido en la Constitución federal y la del estado. Además, hicieron llegar a las y los diputados un ejemplar del libro México es Taurino, con la intención de aportar elementos históricos, sociales y culturales al debate. Esto ocurre en el contexto de una iniciativa que busca prohibir esta actividad, promovida por el legislador del Partido Verde, Avelino Tovar Iglesias, la cual se encuentra en revisión dentro de la Comisión de Legislación y Puntos Constitucionales.</t>
  </si>
  <si>
    <t>La Primera Comisión Permanente de Legislación y Puntos Constitucionales del Congreso de Hidalgo solicitó una prórroga de 20 días hábiles para continuar con el análisis de la iniciativa que plantea prohibir las corridas de toros en la entidad. La solicitud fue presentada por la diputada Lizbeth Iraís Ordaz, presidenta de dicha comisión, con fundamento en el artículo 86 de la Ley Orgánica del Poder Legislativo. “El objetivo de la prórroga es realizar un estudio integral que contemple opiniones técnicas, solicitudes ciudadanas y la organización de foros de consulta para evaluar los impactos directos e indirectos de la propuesta”, expresó la legisladora.</t>
  </si>
  <si>
    <t>Integrantes del grupo Fandango Musical informaron tras haber sido retenidos por habitantes de la localidad de Aquetzpalco, en el municipio de Huautla, luego de no llegar a tiempo a una presentación en la comunidad; interpusieron una denuncia que fue retirada luego de la intervención del Subsecretaría de Gobierno en la Huasteca. Asimismo se les regresó el anticipo, vehículo e instrumentos y se les pidió retractarse de la propaganda negativa generada en plataforma digitales en contra del municipio.</t>
  </si>
  <si>
    <t>Daniel Martínez crica el hecho de que los integrantes del grupo Fandango Musical tengan que pedir disculpas públicas por la presunta mala publicidad que hicieron al denunciar que retenidos por habitantes de la localidad de Aquetzpalco, en el municipio de Huautla, luego de no llegar a tiempo a una presentación en la comunidad.</t>
  </si>
  <si>
    <t>Radioescucha: Alumno de un platel educativo de Tulancingo ha llevado un cuchillo y amedrentado a sus compañeros. La situación se ha comentado a la profesora a cargo y ella a su vez al director, pero no ven avance. Ya se acercaron a la Subdirección General de Educación donde los atendió el profesos Tiburcio, pero hasta ahí está la situación. Daniel Martínez dice omitir el nombre del plantel por protección al menor)</t>
  </si>
  <si>
    <t>Alumno Armado</t>
  </si>
  <si>
    <t>En cabina Enrique Romero Alcantar, secretario de Seguridad Ciudadanía de Tulancingo informa que en el mes de mayo de llevará a cabo la campaña "Retira tu vehículo abandonado sin costo", esto gracias al apoyo del Mando Coordinado que está prestando una grúa para remolcar los vehículos, esto con el objetivo de liberar vialidades de unidades abandonadas. proporciona el teléfono donde su puede solicitar el servicio. Habla de as demás acciones que realizan como la revisión de motociclistas a fin de prevenir delitos y e retiro de objetos en las banquetas.</t>
  </si>
  <si>
    <t>Operativo Rastrillo</t>
  </si>
  <si>
    <t>En la Olimpiada Nacional CONADE 2026, la arquera hidalguense Ivanna Palacios Reyes tuvo una sobresaliente actuación en la categoría sub-24 de tiro con arco, al conquistar tres medallas: bronce en el primer clasificatorio, bronce en el segundo clasificatorio y plata en el sumatorio general. Continuando en el tenor de la Olimpiada Nacional, hoy se dio a conocer una actualización del medallero, con corte al lunes 27 de abril, donde el estado de Jalisco continúa colocado en el primer lugar, con un total de 275 medallas. En segundo lugar, lo ocupa Nuevo León con 136 medallas en total, en tercero se mantiene Baja California Sur con 51 y Aguascalientes en cuarto con 42, mientras que el estado de Hidalgo se posiciona en el 13 con 10 medallas, 4 de oro, 5 de plata y una de bronce.</t>
  </si>
  <si>
    <t>Nacionales Conade</t>
  </si>
  <si>
    <t>Boletín 34: Amplió Gobierno de Hidalgo inversión para desarrollar investigaciones:</t>
  </si>
  <si>
    <t>Boletín 35: Con más de 2 millones de pesos fortalecen al campo hidalguense con múltiples entregas</t>
  </si>
  <si>
    <t>Apoyo Al Agro</t>
  </si>
  <si>
    <t>Boletín 62: Visitan a trabajadores hidalguenses en empresa de Sonora</t>
  </si>
  <si>
    <t>STPSH</t>
  </si>
  <si>
    <t>Inspección laboral</t>
  </si>
  <si>
    <t>Boletín 1645: Invierte SEPH más de 5.2 mdp en infraestructura educativa</t>
  </si>
  <si>
    <t>El alcalde Jorge Reyes realizó la entrega formal de la cuenta pública municipal dos mil veinticinco ante el congreso del estado, en cumplimiento con los principios de legalidad, transparencia y rendición de cuentas que rigen el ejercicio público. Durante este acto, el presidente municipal de Pachuca destacó que la administración que encabeza se ha conducido con responsabilidad en el manejo de los recursos públicos, privilegiando la claridad en su aplicación y el beneficio directo para la población.</t>
  </si>
  <si>
    <t>Cuenta pública</t>
  </si>
  <si>
    <t>Acompañado de la mascota oficial del evento "La Gran Feria del Taco", Alan Daniel Gálvez, presidente de Transformación Juvenil Hidalguense extendió la invitación a las actividades programadas, la participación de expositores y el objetivo de impulsar la gastronomía y la convivencia familiar a través de este evento.</t>
  </si>
  <si>
    <t>Festival Gastronómico</t>
  </si>
  <si>
    <t>Este miércoles 29 de abril se llevó a cabo una conferencia de prensa para anunciar la Gran Feria del Taco, un evento que busca reunir a expositores gastronómicos y promover la cultura culinaria en el estado, además de plantear un posible intento por romper dos récords mundiales. Por su parte, Alan Daniel Gálvez dio a conocer las dinámicas, eventos y artistas que formarán parte de la gran feria del taco, al presentar de manera general la programación prevista y las actividades que se desarrollarán durante este encuentro gastronómico.</t>
  </si>
  <si>
    <t>Durante una sesión ordinaria, legisladores de Morena presentaron una iniciativa con la que buscan reconocer a las abejas como una especie polinizadora de atención prioritaria, debido a su importancia en la conservación de la biodiversidad. La propuesta fue impulsada por las diputadas Alma Rosa Elías Paso, Paloma Barragán Santos, Yarabi González Martínez, así como por el diputado Julián Nochebuena Hernández. El planteamiento contempla modificar el nombre de la actual Ley de Protección, Salvaguarda y Explotación de la Abeja para el Estado de Hidalgo, para denominarla como Ley para la Protección, Fomento Sustentable y Servicios Ecosistémicos de las Abejas para el Estado de Hidalgo.</t>
  </si>
  <si>
    <t>Iniciativa</t>
  </si>
  <si>
    <t>Boletín 1646: Impulsan educación en Tula con 6.4 mdp en obras y equipamiento</t>
  </si>
  <si>
    <t>En cabina Juan Carlos Zambrano, director de panteones en Tulancingo informó que con motivo del Día de las Madres, autoridades de Tulancingo organizan un homenaje especial en el panteón municipal San Miguel para recordar a las madres que han fallecido, mediante una serie de actividades conmemorativas. Convoca a la ciudadanía a participar enviando fotografías de sus seres queridos, las cuales serán colocadas en murales instalados en la entrada del camposanto como parte del tributo. El programa se llevará a cabo el próximo 10 de mayo a las 11:00 horas e incluirá la lectura del texto “Cuando un colibrí se acerca”, la presentación de un coro infantil con canciones alusivas a la fecha y la colocación de una ofrenda floral en memoria de las madres.</t>
  </si>
  <si>
    <t>Día de la madre</t>
  </si>
  <si>
    <t>Cuenta Pública 2025 confirma transformación financiera en Hidalgo</t>
  </si>
  <si>
    <t>Hacienda</t>
  </si>
  <si>
    <t>Las nuevas unidades del Tuzobús que comenzarán a circular en mayo en Pachuca contarán con una imagen basada en objetos, figuras, espacios y lugares representativos de Hidalgo, además con temas como el Mundial de Futbol 2026. El oficial mayor, Edgar Orlando Ángeles Pérez, señaló que entre el 15 y el 20 de mayo se prevé el inicio de operaciones de estas unidades, con el objetivo de fortalecer la calidad del servicio en beneficio de las y los usuarios. Se trata de 80 camiones nuevos.</t>
  </si>
  <si>
    <t>Modernización Tuzobús</t>
  </si>
  <si>
    <t>El gobierno de Hidalgo dio de baja diversos programas sociales al detectar que no generaron el impacto esperado o que no pudieron ser medidos de forma adecuada, informó Miguel Tello Vargas, titular de la Unidad de Planeación y Prospectiva estatal. El funcionario explicó que estas decisiones derivan del seguimiento a indicadores de desempeño disponibles en el Tablero Estatal de Indicadores, una herramienta pública que permite evaluar avances y resultados de políticas públicas. A través de este mecanismo, dijo, se determina la continuidad, modificación o cancelación de programas. Como ejemplo, mencionó el programa “Mujer de Maíz”, el cual estaba enfocado en mejorar la economía de mujeres en situación de pobreza mediante la entrega de equipos para la producción de tortillas. Sin embargo, durante su evaluación se detectaron inconsistencias en la medición de resultados, lo que llevó a su cancelación temporal.</t>
  </si>
  <si>
    <t>Cancelación de Programas</t>
  </si>
  <si>
    <t>El mejoramiento de las reglas de operación del programa “La escuela es nuestra”, a cargo del Gobierno de México, así como una revisión de cuentas más constante, ha disminuido el registro de malos manejos de recursos a prácticamente cero. Lo anterior fue afirmado por Abraham Mendoza Zenteno, delegado en Hidalgo de Programas del Bienestar federal, durante visita de trabajo para informar sobre la entrega de tarjetas bancarias con recursos financieros para dicho programa. Hace un par de años se registraron entre 3 a 4 casos de presunto mal manejo de los recursos de dicho programa, que incluso se judicializaron. El funcionario señaló que las experiencias al respecto, así como revisiones a las reglas de operación, ha permitido que los recursos entregados a los respectivos comités se usen con mayor eficiencia y transparencia. La misma situación se presenta en el caso del también programa federal “La clínica es nuestra”, para mejoras físicas de instalaciones para atención médica en localidades tanto del Estado de Hidalgo como del resto del país.</t>
  </si>
  <si>
    <t>La Escuela es Nuestra</t>
  </si>
  <si>
    <t>El titular de la Secretaría de Seguridad Pública de Hidalgo, reprochó a los responsables de la concesionaria a cargo de la autopista Arco Norte, que no tienen acceso ni conectividad a algunas cámaras de videovigilancia. El señalamiento se realizó durante la reunión de información y evaluación de los sistemas de vigilancia en la vialidad, ocurrida este miércoles 28 de abril. Santiago Córdoba García, director de operaciones de la empresa concesionaria IDEAL, anunció la instalación de 10 nuevas cámaras lectoras de placas para fortalecer el monitoreo en la autopista, de las cuales cuatro ya fueron colocadas y el resto se instalarán en las próximas semanas. Sin embargo, Cruz Neri señaló que no existe acceso a dichas cámaras ni a imágenes completas que permitan identificar vehículos. “En el tema de las cámaras del Arco Norte que usted dice se pusieron cuatro, tampoco tenemos conocimiento de esas. No tenemos conectividad ni sabemos dónde están”, enfatizó el mando policiaco. Además, solicitó la instalación de siete cámaras en el tramo hidalguense para mejorar la seguridad, pero indicó que el equipo de trabajo de la concesionaria solo le quería autorizar tres.</t>
  </si>
  <si>
    <t>Actualmente se evalúan dos terrenos propuestos para la construcción de un nuevo Centro de Reinserción Social (Cereso), que se ubicaría en el municipio de Ixmiquilpan, donde se contempla una inversión por aproximadamente 90 millones de pesos. Así lo informó Salvador Cruz Neri, titular de la Secretaría de Seguridad Pública de Hidalgo, señalando que uno de los terrenos presenta un avance significativo en su evaluación y fue donado por la propia comunidad. “Esperemos que en próximos días ya se tenga la viabilidad para que ahí se construya, y se dará el aviso oportuno de exactamente en dónde va a ser”. La revisión facilita el proceso de validación y arranque del proyecto; el segundo terreno también se encuentra en análisis técnico para determinar su viabilidad. El mando policiaco estatal no ofreció información sobre las localidades donde se encuentran los terrenos bajo evaluación, con objetivo de evitar posibles polémicas. En las próximas semanas podrían definirse las condiciones finales para elegir la ubicación definitiva, tras lo cual se emitiría el anuncio oficial. A principios de este año se conoció del proyecto de construcción del nuevo Cereso para ubicarse en el municipio de Tasquillo.</t>
  </si>
  <si>
    <t>Construcción de Cereso</t>
  </si>
  <si>
    <t>La Unidad Deportiva Javier Rojo Gómez fue escenario del Primer Encuentro Regional de Estudiantes con Discapacidad, en el que 110 niños, niñas y jóvenes de preescolar, primaria, secundaria y educación especial participaron en una miniolimpiada adaptada, demostrando que los límites existen en la mente, pero no en el corazón. El evento, organizado por la Dirección General de Inclusión para Personas con Discapacidad y Personas Cuidadoras, en colaboración con la Zona 05 de Educación Especial, reunió a más de 300 personas entre espectadores, docentes y familiares, quienes con su apoyo motivaron a los estudiantes a dar lo mejor de sí en cada actividad. Este importante encuentro contó con la presencia del Alfonso Hayim Flores Barrera, director de Inclusión del Estado de Hidalgo; la supervisora de la Zona 05, Milagros Arce Coen y Diana Esmeralda Peña Cañales, directora de Inclusión para Personas con Discapacidad y Personas Cuidadoras.</t>
  </si>
  <si>
    <t>Inclusión</t>
  </si>
  <si>
    <t>Vía telefónica el reporte de Bombero y Protección Civil con Abner Yáñez informa que se atendió un incendio por llantas, entre otras emergencias reportadas por la ciudadanía.</t>
  </si>
  <si>
    <t>Estructuras para colocación de publicidad fija fueron clausuradas por la Dirección municipal de Licencias y Permisos del Gobierno de Tulancingo, como medida de aviso para el retiro de las mismas por parte de sus propietarios. Lo anterior fue informado por Luis Edmundo Aguilar Aranda, Secretario General del Ayuntamiento, señalando que la medida es en acatamiento de la Ley de Imagen Urbana para el Estado de Hidalgo. Dicha normativa legal señala que no está permitida la instalación de este tipo de estructuras con objetivo de mejorar el entorno visual, así como para evitar accidentes a causa de distracciones de automovilistas al observar los anuncios. Hace unas semanas, la alcaldesa Lorena García Cázares señaló que las estructuras publicitarias serían retiradas, donde además del cuidado al entorno urbano, se previenen accidentes por la eventual caída, sobre todo de las que están colocadas a distancia del suelo. Señaló que posteriormente se hará una revisión de las solicitudes para la colocación de estructuras para colocación de publicidad, permitiendo que se coloquen aquellas que cumplan con las normativas de seguridad, así como las legales.</t>
  </si>
  <si>
    <t>La Comisión de Derechos Humanos del Estado de Hidalgo (CDEHEH) abrió investigación sobre el registro de mensajes amenazantes sobre un presunto tiroteo en escuelas de al menos cuatro municipios de la entidad. Lo anterior fue informado por la titular del organismo autóomo, Ana Karen Parra Bonilla, aclarando que la CDHEH está realizando observación y coordinación de las acciones que correspondan a la Secretaría de Educación Pública del Estado de Hidalgo y a la Secretaría de Seguridad Pública estatal. Por lo que las instancias estatales citadas deben implementar los operativos necesarios para atender las situaciones que se han presentado en días recientes.</t>
  </si>
  <si>
    <t>CDHEH</t>
  </si>
  <si>
    <t>Ante una serie de alertas y reportes falsos en planteles educativos de Hidalgo, vinculados a un reto viral que circula en redes sociales, la diputada Claudia Lilia Luna Islas planteó exhortar a la Secretaría de Educación Pública de Hidalgo (SEPH) y a la Secretaría de Seguridad Pública estatal (SSPH) para fortalecer las acciones de prevención tanto al interior como en el entorno de las escuelas. De acuerdo con datos de la SEPH, en lo que va del año se han registrado 13 amenazas de este tipo en instituciones públicas. Por ello, diputados de la 66 Legislatura impulsaron un acuerdo económico para solicitar la intervención coordinada de ambas dependencias. Entre las medidas propuestas se encuentra la actualización y difusión de los protocolos de atención ante este tipo de situaciones, el reforzamiento de los filtros de ingreso a los planteles y una mayor coordinación entre autoridades para atender de forma oportuna cualquier incidente. También se plantea desarrollar campañas informativas dirigidas a estudiantes, docentes y padres de familia, con el propósito de frenar la propagación de rumores y evitar reacciones de pánico en la comunidad escolar.</t>
  </si>
  <si>
    <t>Hasta el pasado fin de semana, autoridades en materia de seguridad pública así como del sector educativo, contabilizan 79 reportes sobre supuestos ataques con arma de fuego dentro de escuelas o en sus alrededores. De dicho total de reportes, 13 se han registrado en distintas regiones del Estado de Hidalgo, uno de ellos dentro del municipio de Tulancingo, cuya supuesta alerta se registró por medio de redes sociales. Las supuestas amenazas de tiroteo son producto de un reto viral donde los participantes deben colocar un anuncio, una pancarta o pintando alguna pared, sobre todo en baños dentro de planteles educativos, advirtiendo sobre un supuesto ataque armado. Otros puntos donde se ha registrado la colocación de los mensajes con “amenazas”, son los municipios de Pachuca y Tizayuca, siendo este último municipio citado uno de los primeros donde se conoció sobre la práctica del reto viral. La colocación de los anuncios ha implicado movilización policiaca para investigar las situaciones planteadas, así como la suspensión de clases para salvaguardar la integridad de los integrantes de las comunidades educativas involucradas. La Secretaría de Educación Pública en Hidalgo informó que directivos de los planteles educativos de todos los niveles ya fueron informados sobre protocolos y su aplicación, en caso de que se registren este tipo de “amenazas”. El protocolo incluye informar de esta tendencia viral a la comunidad escolar, especialmente a madres y padres de familia, así como mantener un diálogo permanente con sus hijas e hijos.</t>
  </si>
  <si>
    <t>La madrugada de este jueves, una mujer falleció y un hombre resultó lesionado tras accidentarse en su motocicleta contra la estructura del puente del Río de las Avenidas, a la altura del bulevar Rojo Gómez en Pachuca. El impacto provocó que las dos personas salieran proyectadas. La mujer fue localizada en el cauce del Río de las Avenidas, mientras que el conductor quedó sobre la vialidad con heridas de gravedad.</t>
  </si>
  <si>
    <t>Empleo y Capacitación en Tlahuelilpan: 159 Vacantes Disponibles</t>
  </si>
  <si>
    <t>Feria De Empleo</t>
  </si>
  <si>
    <t xml:space="preserve">Boletín 06: Hidalgo impulsa el conocimiento tecnológico con torneo de robots mundialista
</t>
  </si>
  <si>
    <t>Mundial de Futbol</t>
  </si>
  <si>
    <t>Mara Olvera y su columna Ajedrez Político: La visita de la Presidenta Claudia Sheinbaum mostró una democracia estable y alta gobernabilidad en el país. La fuerza política de izquierda, liderada por el gobernador Julio Menchaca Salazar en Hidalgo, demostró un impacto político claro. Mientras la derecha en Hidalgo enfrenta una crisis y disminución de sus militancias, Morena destacó con avances en obras públicas y programas sociales, consolidando el mensaje de unidad política de la Presidenta. El recorrido de Sheinbaum por varias localidades de Hidalgo reforzó sus proyectos, incluyendo la desarrollo del tren de la Ciudad de México a Pachuca y la inauguración de un Centro Deportivo. Esta visita fortaleció la relación entre la Presidenta y Menchaca, marcando estabilidad social en la región. El gobierno de Menchaca se centra en mejorar el bienestar de los hidalguenses, mientras la oposición lucha con la falta de un proyecto político. La participación ciudadana ha aumentado, reflejando el apoyo hacia el gobierno actual. La visita de Sheinbaum sugiere una fuerte aprobación hacia la transformación de la 4T y augura un posible destierro político de la derecha.</t>
  </si>
  <si>
    <t>Visita Sheinbaum</t>
  </si>
  <si>
    <t>Mara Olvera</t>
  </si>
  <si>
    <t>Radioescucha, Óscar Samperio Ortiz: ya estamos esperando los nuevos autobuses del Tuzobús que nos prometieron para mayo.</t>
  </si>
  <si>
    <t>Este boletín de Hacienda está hecho con las patas. Dicen cifras, a veces vienen atadas, a veces vienen desatadas. Es decir, a veces dice 3000 con un número, y a veces dice 3 y luego 1000 con M y L. Se llama atar o desatar. Para la lectura tiene que venir desatado. (0:24) ¿Me explico? (0:25) Y luego dice 3 y pones el signo de por ciento. Y luego viene desatado P o R por ciento. Es un pinche desgarriate. De verdad, debe de dar vergüenza, yo no sé cómo Mundo Pineda dice y regaña que, en radio, cuando no saben escribir, dice que es coordinado de comunicación. No saben escribir un boletín, no lo revisan. Es el boletín oficial, habla del gobernador. Ni siquiera hay un estilo, no tiene; a veces dice gobernador, a veces dice Julio Menchaca, a veces dice Menchaca Salazar como si fuéramos cuácharas, ¿no? No, no, no, de veras, pero uno es el maldito, ¿no? Yo soy muy maldito, pero no soy burro, como otros. No, no puedes, es una vergüenza, es un documento oficial. Imagínate que me mandas al Excélsior, ¿así escriben algo? Así es que ese es el nivel que trae la prensa de Hidalgo. ¡Qué vergüenza!</t>
  </si>
  <si>
    <t>Comunicación gubernamental</t>
  </si>
  <si>
    <t>La Comisión de Humanidades, Ciencias, Tecnología e Innovación del Congreso del Estado de Hidalgo, encabezada por la diputada Paloma Barragán Santos, entregó reconocimientos a niñas, niños, jóvenes y asesores que obtuvieron buenos resultados en la Expociencias Nacional 2025, celebrada en diciembre en Tampico, Tamaulipas, quienes participarán en diversos campeonatos internacionales este año en países como Tailandia, Reino Unido, Sudáfrica, Colombia y Costa Rica. El diputado Andrés Velázquez Vázquez, presidente de la Junta de Gobierno, indicó que los galardonados “son la prueba viva de que en nuestras aulas, laboratorios y comunidades se están gestando soluciones creativas a los retos del presente y del futuro. Quiero reconocer el esfuerzo de las niñas y niños y jóvenes que forman parte de esta delegación. Detrás de cada proyecto hay horas de estudio, ensayos fallidos, ajustes, desvelos y, sobre todo, una enorme pasión por aprender y transformar la realidad. Pero también hay alegría, optimismo y entusiasmo, satisfacciones que solamente se logran para tener algo sumamente trascendente en la vida: la felicidad”.</t>
  </si>
  <si>
    <t>Entrega de reconocimientos</t>
  </si>
  <si>
    <t>Boletín: Cuenta Pública 2025 confirma transformación financiera en Hidalgo</t>
  </si>
  <si>
    <t>En día de hoy el Secretario de Gobierno encabezará en Tepeji del Río la Jornada por la paz a las 12:45.</t>
  </si>
  <si>
    <t>Jornada por la paz</t>
  </si>
  <si>
    <t>La Saderh ha iniciado un campaña de información y concientización contra el gusano barrenador en la región de Ixmiquilpan. Hay que estar pendiente del ganado y los animales domésticos y ante cualquier sospecha de contagio de este gusano reportar y acudir a pedir atención.</t>
  </si>
  <si>
    <t>Hoy desde las 6 de la mañana Iniciaron trabajos de la segunda etapa de rehabilitación del bulevar Colinas – Santa Catarina, por lo que a partir de este viernes se realizará cierre vehicular en la zona. Para mantener la circulación se habilitará la calle Impulsor Primario en doble sentido, en dirección México–Pachuca.</t>
  </si>
  <si>
    <t>Rehabilitación Vial</t>
  </si>
  <si>
    <t>Andrés Torres informa que se quemó el transformador y no tienen electricidad, por lo que la señal del 1010 AM de El Vocero Huasteco está fuera del aire, pero sí se escuchan en 92.7 FM. Ya llevan dos semanas fuera del aire, dice.</t>
  </si>
  <si>
    <t>Andrés Torres recuerda que la Secretaría de Salud de Hidalgo mantiene activa la vacunación contra sarampión y otras enfermedades. Hay que acudir a clínicas y hospitales a vacunarse y completar los esquemas de vacunación.</t>
  </si>
  <si>
    <t>El titular de la SEP Hidalgo, Natividad Castrejón Valdez, impartió una conferencia a la comunidad escolar en la Secundaria Genaro Guzmán Mayer de San Marcos, Tula de Allende, en donde subrayó la relevancia de promover una cultura de prevención desde el ámbito familiar y educativo, así como el cuidado integral de la salud física, mental y emocional. AUDIO APOYO</t>
  </si>
  <si>
    <t>Atención socioemocional</t>
  </si>
  <si>
    <t>En la conferencia mañanera encabezada por la presidenta Claudia Sheinbaum Pardo, el director de servicios de salud del IMSS-Bienestar, Alejandro Svarch, informó sobre la supervisión del abasto de medicamentos en Hidalgo y la operación del hospital regional Otomí Tepehua, ubicado en San Bartolo, Tutotepec. Durante su intervención detalló que esta unidad médica brinda atención a cuatrocientas setenta y tres comunidades de la región como parte de la estrategia federal para fortalecer los servicios de salud en zonas de difícil acceso, mediante las cuales se prevé la llegada de más de 1.5 millones de insumos médicos a Hidalgo. AUDIO DE APOYO</t>
  </si>
  <si>
    <t>Radioescucha reporta coladeras del Fraccionamiento San Alfonso, ya son 3 coladeras que colapsaron; ya que las autoridades nos apoyen en eso</t>
  </si>
  <si>
    <t>Alcantarillado</t>
  </si>
  <si>
    <t>Comenta conductor Eulalio Larrieta, que también tiene un reporte para Caasim, ya que no arreglan la coladera abierta y que está en la bajada del Boulevard del Minero para avenida 2, " ya que les digo".</t>
  </si>
  <si>
    <t>Boletín: La Subsecretaría de Protección Civil y Gestión de Riesgos informa a la población que continúa la onda de calor, por lo que se prevén, de lunes a jueves, temperaturas de 40 a 45 °C, principalmente en la región norte y noreste del estado. Para el viernes, se estiman temperaturas superiores a los 45 °C (...)</t>
  </si>
  <si>
    <t>La presidenta municipal de Ajacuba, Zitlaly Jazmín Zúñiga Peña, recibió una amonestación pública del Tribunal Electoral del Estado de Hidalgo (TEEH), por incumplir la entrega de información completa a regidores, tal como dictó en la sentencia del 26 de febrero.La ponencia a cargo del magistrado presidente, Leodegario Hernández Cortez, en sesión pública del martes 28 de febrero, informó que la alcaldesa pidió una prórroga para cumplir, sin embargo, no solventó al 100% la sentencia dictada. Por ello el TEEH ordenó a la acusada ceder toda la información requerida en dos días hábiles o, de lo contrario, aplicarán medidas de apremio más estrictas. AUDIO DE APOYO.</t>
  </si>
  <si>
    <t>Amonestación Publica</t>
  </si>
  <si>
    <t>Nota Joselyn Sanchez : Como parte de las acciones para fortalecer el campo hidalguense, la Secretaría de Agricultura y Desarrollo Rural de Hidalgo (Saderh) llevó a cabo la entrega de diversos apoyos en beneficio de las familias del estado.La primera se realizó en las instalaciones de la Saderh, donde se otorgaron cheques económicos para catástrofes agrícolas, beneficiando a personas de los municipios de Ajacuba, Epazoyucan, Pachuca y Zempoala.Posteriormente, en el municipio de Tolcayuca, se efectuó una segunda entrega de apoyos, también en cheques económicos dirigidos a productoras y productores de esta demarcación, con el objetivo de respaldar su actividad agrícola. Entrega constatada por Armando Zúñiga presidente del municipio, así como por Miguel Ángel Moreno, Diputado Local.Finalmente, en Tepeji del Río, se llevó a cabo la tercera, donde se distribuyeron aves de doble propósito y vientres ovinos, beneficiando a habitantes de los municipios de Tepeji del Río, Atitalaquia, Progreso de Obregón, Tlahuiltepa y Tula de Allende. Acompañado de la presidenta municipal Tania Valdez y personal de la Contraloría quienes dieron veracidad de dichas entregas.Estas acciones fueron encabezadas por el secretario, Napoleón González Pérez, quien, en su intervención, destacó que este programa se encuentra en su etapa final, consolidándose como una entrega histórica. AUDIO DE APOYO</t>
  </si>
  <si>
    <t>Radioescucha comentó: “Para solicitar al gobierno de Julio Menchaca su gestión ante la secretaría que dispersa el pago de las becas de la transformación a nivel superior, ya que no le pagan a los estudiantes; ya va a terminar el semestre, esto en el Tecnológico de Pachuca”</t>
  </si>
  <si>
    <t>Becas Para La Transformación</t>
  </si>
  <si>
    <t>Un hombre sin vida y cuantiosos daños materiales dejó la explosión de una camioneta que transportaba contenedores con gasolina, registrada la tarde de ayer en el camino, en el camino Apan - San Juan Ixtilmaco.De acuerdo con reportes, el conductor de la unidad, una van blanca, al notar la presencia policial, optó de, con una actitud evasiva, por lo que se solicitó el apoyo inmediato de elementos estatales, quienes desplegaron un operativo que derivó en una persecución en el camino viejo de la localidad. El conductor de la camioneta perdió el control, se impactó contra un bordo de tierra, y la unidad explotó. Ahí murió</t>
  </si>
  <si>
    <t>La Fiscalía General de la República (FGR) a través de la Fiscalía Especializada de Control Regional (FECOR) en el estado de Hidalgo, llevó a cabo un evento de incineración de un kilo 142 gramos de narcóticos y la destrucción de objetos relacionados con ilícitos de competencia federal.El evento de incineración se realizó en las instalaciones ubicadas en la colonia Cubitos, pertenecientes a la 18ª Zona Militar, en presencia del representante del Órgano Interno de Control, elementos de la Policía Federal Ministerial (PFM) y peritos de la institución.En la diligencia se incineró marihuana, tetrahidrocannabinol y metanfetamina; también se llevó a cabo la destrucción de 248 objetos como mangueras, contenedores de diversas capacidades, taladros artesanales, rejillas metálicas y un vehículo calcinado, entro otros.</t>
  </si>
  <si>
    <t>En Hidalgo, las intoxicaciones agudas por alcohol van en aumento así lo indica el boletín epidemiológico de la Secretaría de Salud Federal hasta la semana 14 de este año y asuman 168 casos en la entidad 49 más en el mismo periodo de 2025</t>
  </si>
  <si>
    <t>Consumo de alcohol</t>
  </si>
  <si>
    <t>Un juez de control del Poder Judicial de la Ciudad de México (PGJ) libró una nueva orden de aprehensión en contra de Patricia “N”, ahijada del exdirector de la Cooperativa Cruz Azul, Guillermo “Billy” Álvarez, al determinar que debe continuar su proceso penal en prisión.</t>
  </si>
  <si>
    <t>Cruz Azul</t>
  </si>
  <si>
    <t>La secretaria de Hacienda del gobierno de Hidalgo, María Esther Ramírez Vargas, acudió al Congreso del Estado a la entrega de la cuenta pública del estado de Hidalgo 2025, un ejercicio de transparencia y rendición de cuentas sobre el uso de los recursos públicos, AUDIO APOYO</t>
  </si>
  <si>
    <t>El alcalde de Pachuca, Jorge Reyes Hernández, realizó la entrega formal de la Cuenta Pública Municipal 2025 ante el Congreso de Hidalgo, en cumplimiento con los principios de legalidad, transparencia y rendición de cuentas que rigen el ejercicio público.Durante este acto, destacó que la administración que encabeza se ha conducido con responsabilidad en el manejo de los recursos públicos, privilegiando la claridad en su aplicación y el beneficio directo para la población.</t>
  </si>
  <si>
    <t>El Tribunal de Disciplina Judicial encabezado por Rufino León Tobar, anunció la suspensión de cuarenta y tres jueces, cuarenta y tres jueces vinculados a actos de corrupción, nepotismo, y acoso. Entre ellos, entre estos cuarenta y tres, destaca un juez del estado de Hidalgo, señalado por actuar de forma ilegal para proteger los intereses de una empresa al intentar descongelar cuentas bancarias aseguradas. AUDIO DE APOYO</t>
  </si>
  <si>
    <t>Radioescucha agradece al personal de Caasim por desazolve en la calle Venustiano Carranza camino a San Juan Pachuca</t>
  </si>
  <si>
    <t>Si usted no tiene plan para este fin de semana, van a celebrar allá en el municipio de Tepetitlán el día del niño y de la niña. Será el dos de mayo a las diez de la mañana en la explanada principal de Tepetitlán.</t>
  </si>
  <si>
    <t>El cuerpo sin vida de una mujer fue localizado en el canal Alto Requena, en el municipio de Francisco I. Madero , hecho que activó la intervención de distintas corporaciones de seguridad y derivó en el inicio de una investigación bajo el protocolo de feminicidio.De acuerdo con los primeros reportes, el hallazgo ocurrió la tarde del martes 28 de abril, cuando se recibió una alerta sobre la presencia de una persona flotando en dicho canal, a la altura del Ejido Francisco Villa. Tras el reporte, elementos de seguridad y cuerpos de emergencia se trasladaron al lugar para verificar la situación.Al arribar, confirmaron que se trataba del cuerpo de una mujer, el cual se encontraba en estado de descomposición. Además, presentaba visibles signos de violencia, entre ellos huellas de tortura, así como las manos atadas hacia la espalda.</t>
  </si>
  <si>
    <t>Radioescucha reporta que sigue la fuga de agua en colonia Valle del Palmar, calle El Dorado.</t>
  </si>
  <si>
    <t>La tarde de ayer se llevó a cabo una reunión informativa de habitantes de pueblos ribereños de la presa Endhó, ante la problemática del mosco- cúlex, además como protesta por la falta de atención, pues realizaron una valla humana a orillas de la presa. Se acordó que hoy, nuevamente, este miércoles, sostendrán una reunión delegados y comisariados para ver qué medidas tomarán. La alcaldesa Ana Elsa Castillo se aseguró que las comunidades cercanas a la Presa Endhó enfrentan condiciones cada vez más críticas por la plaga del mosco cúlex, fenómeno que calificó como un verdadero infierno para miles de familias. AUDIOS DE APOYO</t>
  </si>
  <si>
    <t>Fumigación mosco Culex</t>
  </si>
  <si>
    <t>Incendio forestal en el Cerro del Pilón en Chicavasco, en el municipio de Actopan, pues consumió setenta hectáreas, fue sofocado al cien por ciento tras más de ocho horas de trabajo coordinado. Se informa también por parte de las autoridades que no hubo riesgo para la población y se realiza una supervisión preventiva.</t>
  </si>
  <si>
    <t>Incendios forestales</t>
  </si>
  <si>
    <t>La dip. Tania Meza solicitó una iniciativa de ley que busca reformar el marco legal en Hidalgo para obligar al Gobierno a incluir la capacitación laboral como parte de la reparación integral del daño a mujeres víctimas de violencia.</t>
  </si>
  <si>
    <t>La tarde de ayer se llevó a cabo una reunión informativa de habitantes de pueblos ribereños de la presa Endhó en Tepetitán, ante la problemática del mosco- cúlex, además como protesta por la falta de atención, mencionaron que presionaran de otra forma cerrando carreteras y dejando libres casetas AUDIO APOYO</t>
  </si>
  <si>
    <t>Mosco Culex</t>
  </si>
  <si>
    <t>Participación semanal vía telefónica: Lamán Carranza con el tema la tecnología, los algoritmos en el Mundial de Futbol</t>
  </si>
  <si>
    <t>Mundial De Futbol</t>
  </si>
  <si>
    <t>Radio Lobo 96.7 FM</t>
  </si>
  <si>
    <t>Enlace Noticias</t>
  </si>
  <si>
    <t>Boletín 48: Estudiantes de la UAEH dan un paso en la construcción de nuevas masculinidades</t>
  </si>
  <si>
    <t>Perspectiva de género</t>
  </si>
  <si>
    <t>Gina Lorenzo</t>
  </si>
  <si>
    <t>Ante posibles fenómenos hidrometeorológicos, la dirección Local Hidalgo de la Comisión Nacional del Agua (CONAGUA) implementó acciones tácticas y de entrenamiento a fin de fortalecer la capacidad de respuesta de sus brigadas en atención a emergencias.Pues de acuerdo con el Servicio Meteorológico Nacional (SMN), la temporada de estiaje comprende de los meses de noviembre a mayo, mientras que para 2026, la temporada de lluvias iniciará el 15 de mayo en el Pacífico y el 01 de junio en el Atlántico.Teniendo como sede el Centro Estatal de Atención de Emergencias, ubicado en el municipio de Progreso de Obregón, se llevó a cabo el entrenamiento que consistió en pruebas de operación a los equipos de bombeo, plantas potabilizadoras y torre de iluminación.</t>
  </si>
  <si>
    <t>Radioescucha reportó a la SEPH que en Escuela Secundaria General Número 1 Profesor Pánfilo Mercado Samperio obligan a los alumnos a llevar mochilas transparentes para los útiles escolares, amenazan a los chicos con puntos si no las llevan. Comenta conductor que la SEPH dio respuesta al reporte de la mochila transparente para los alumnos y comentaron que es una medida de seguridad que pidieron los padres de familia para los alumnos.</t>
  </si>
  <si>
    <t>Queja padres de familia</t>
  </si>
  <si>
    <t>Pobladores de la comunidad de San Antonio del municipio de Ixmiquilpan se manifestaron afuera de una tienda de autoservicio, cerraron por completo los accesos y salidas del supermercado, cerraron también la carretera federal México-Laredo, en la colonia La Reforma justo a las afueras del Ministerio Público además cerraron el acceso a la presidencia municipal ¿Por qué lo hicieron? Pues el conflicto estalló tras el robo de una camioneta el día de ayer en el estacionamiento del centro comercial ubicado en San Antonio los afectados y vecinos exigen que la gerencia entregue de inmediato las grabaciones de las cámaras de seguridad para identificar a los responsables; también dentro de sus demandas no solamente ha sido el único caso de robo de un vehículo en el estacionamiento de estas plazas. AUDIO DE APOYO</t>
  </si>
  <si>
    <t>Robo de vehículo</t>
  </si>
  <si>
    <t>Radioescucha reporta que siguen sin arreglar los semáforos que están rumbo a Tulipanes por Chedraui</t>
  </si>
  <si>
    <t>En el municipio de Acaxochitlán, pues continúa la tala clandestina y ya empieza a cobrar factura en distintas comunidades, así lo informó Filiberta Nevado defensora ambiental. AUDIO DE APOYO.</t>
  </si>
  <si>
    <t>Tala clandestina</t>
  </si>
  <si>
    <t>La Primera Comisión Permanente de Legislación y Puntos Constitucionales del Congreso de Hidalgo solicitó una prórroga de 20 días hábiles para continuar con el análisis de la iniciativa que plantea prohibir las corridas de toros en la entidad.La solicitud fue presentada por la diputada Lizbeth Iraís Ordaz, presidenta de dicha comisión, con fundamento en el artículo 86 de la Ley Orgánica del Poder Legislativo.</t>
  </si>
  <si>
    <t>Boletín 53: Hidalgo fortalece su proyección turística en la 50 edición del Tianguis Turístico México 2026, AUDIO APOYO</t>
  </si>
  <si>
    <t>Tianguis Pueblos Mágicos</t>
  </si>
  <si>
    <t>Los pocos verificentros que hay en Hidalgo y yo creo que más dejar al último momento este trámite pues ahora no se dan abasto para atender a la gran cantidad de automovilistas que diariamente acuden a realizar el trámite, ayer varios centros de verificación vehicular se veían pues rebasados, largas filas de unidades esperando turno a pesar de que hay cita y los tiempos de espera pueden ser de varias horas. A ello sume que dejamos las cosas hasta el último momento.</t>
  </si>
  <si>
    <t>Semarnath</t>
  </si>
  <si>
    <t>Verificentros</t>
  </si>
  <si>
    <t>Radioescucha Sra. Mónica reporta que los de Caasim fueron a arreglar una fuga de agua hace como 2 meses y dejaron la zanja sin bachear</t>
  </si>
  <si>
    <t>Trabajadores encargados de la restauración en la Zona de Monumentos Arqueológicos de Huapalcalco aseguraron el presunto hallazgo de 11 cráneos humanos y el esqueleto de un jaguar en el sitio. De acuerdo con testimonios de los operarios que realizan la reposición de piedra en los montículos donde existen faltantes, los restos óseos fueron localizados en la sección inferior de la zona. Al intentar obtener una postura oficial sobre la relevancia arqueológica de los restos, el arqueólogo responsable de la obra se negó a brindar detalles a La Jornada Hidalgo, argumentando que la delegación estatal del Instituto Nacional de Antropología e Historia (INAH) ha impuesto una prohibición explícita a los especialistas para declarar ante la prensa. Esta falta de apertura coincide con los cuestionamientos sobre la ausencia de Manuel Villarruel Vázquez, titular del INAH en Hidalgo, en la zona de monumentos, cuya gestión ha sido criticada por la falta de supervisión directa en los trabajos de campo. Aunado al silencio institucional, las condiciones actuales del sitio contrastan drásticamente con su importancia histórica y la proyección que se pretende darle. Pese a que se ejecuta una inversión de 1.7 millones de pesos orientada a la proyección turística para el próximo Mundial de Fútbol, el lugar carece de señalética visible en las vías de acceso que oriente a los visitantes hacia la zona arqueológica. En la Zona Arqueológica de Huapalcalco se observa acumulación de basura y el uso de bolsas de plástico adaptadas como cestos improvisados, evidenciando un descuido en el mantenimiento básico que contradice el presupuesto asignado para la dignificación y rescate del área. Las labores actuales en Huapalcalco se centran en el retiro de grafitis y la consolidación de estructuras. No obstante, las pintas registradas el 22 de diciembre de 2023 en el Montículo VI y el monolito de la plazoleta —donde se leen consignas como “Fuera Osvaldo Sterpone”, en referencia al exdelegado del Instituto en la entidad— han quedado fuera de las tareas de limpieza. Esto obedece a que dichas afectaciones forman parte de un procedimiento penal vigente para determinar responsabilidades por daños al patrimonio, lo que obliga a mantener las evidencias intactas como parte de la investigación jurídica, postergando así la restauración total de los monumentos afectados.</t>
  </si>
  <si>
    <t>Vestigios Arqueológicos</t>
  </si>
  <si>
    <t>En Tulancingo, Hidalgo, está prohibido apartar espacios de estacionamiento en la vía pública con objetos como cubetas, sillas o cajas, según el Reglamento de Tránsito local. Aunque la práctica es común, el artículo 83 y 86 prohíben la obstaculización, permitiendo a los agentes retirar dichos objetos para garantizar el libre tránsito.</t>
  </si>
  <si>
    <t>Entrevista grabada Edda Vite Ramos, presidenta del Patronato del Ssistema DIF Hidalgo, informó sobre una iniciativa que se está trabajando en conjunto con el TSJEH para agilizar las adopciones, es decir, que jurídicamente, el DIFH pueda estar en posibilidades de otorgar a más niños en adopción.</t>
  </si>
  <si>
    <t>Adopciones</t>
  </si>
  <si>
    <t>Entrevista grabada Edda Vite Ramos, presidenta del Patronato del Ssistema DIF Hidalgo, habló sobre la importancia de festejar a las infancias hidalguenses no solo un día, sino, los 365 días del año, educarlos con amor y estar al pendiente de su desarrollo. En el marco de la conmemoración del 30 aniversario del Parque Recreativo El Caracol, la importancia de del resurgimiento de estos espacios, ya que, dijo, son espacios donde la niñez y la familia pueden convivir. Respecto a los temas prioritarios en el DIFH, habló sobre la importancia de ser un DIFH cercano, que vea las necesidades de los niños, como lo hacen las y los presidentes municipales.</t>
  </si>
  <si>
    <t>En los últimos 38 días subió el robo a transporte de carga más del 100 por ciento y el robo a transporte privado también más del 100 por ciento en la autopista Arco Norte, reveló el secretario de Seguridad Pública estatal, Salvador Cruz Neri. “Es un tema para nosotros preocupante y que nos tenemos que ocupar de ello”, sostuvo en la mesa de trabajo interinstitucional de este miércoles con la concesionaria Arco Norte, en donde puntualizó que la vía es un tramo del orden federal, “en el que nosotros coadyuvamos”. De las cuatro cámaras de seguridad instaladas en la autopista Arco Norte lectoras de placas, las cuales serán 10 en total, el secretario de Seguridad Pública estatal mencionó que la concesionaria de la autopista no ha compartido las imágenes con la Secretaría. Indicó que incluso la dependencia a su cargo no tiene conocimiento de dichas cámaras. Recordó que hizo un planteamiento para la instalación de 16 cámaras en la autopista Arco Norte, en el tramo de Hidalgo, sin embargo, en las reuniones con la concesionaria se redujo a 7 cámaras para tener una mayor seguridad en la parte de la carretera que cruza por el estado. “Ya lo tiene su equipo de trabajo (del director de operaciones del concesionario, Santiago Córdoba García), nos dijeron que no, únicamente tres, parece que estamos en el mercado vendiendo chiles y cebollas, aquí no se regatea el tema, se va a colaborar y se acabó el tema, no vamos regatear nada, si hay colaboración y voluntad adelante”, sostuvo. Por su parte, el director de operaciones del concesionario de la vía Arco Norte, Santiago Córdoba García, mencionó que dentro de las diez cámaras lectoras de placas que se instalarán en la vía carretera están contempladas las siete que solicitó la Secretaría de Seguridad Pública estatal. Según Córdoba García en los últimos 18 meses, la incidencia delictiva ha disminuido alrededor del 60 por ciento en el Arco Norte, lo que consideró un logro de la Guardia Nacional (GN), el Ejército mexicano y la Secretaría de Seguridad Pública de Hidalgo (SSPH). “Lo que hemos logrado reducir es el asalto, el asalto en todo el tramo, la realidad es que, si bien todavía no cantamos victoria, seguimos poniendo sobre el renglón las cosas que están sucediendo, creo que los esfuerzos que se han dado nos han ayudado a reducir los asaltos en la vía a lo largo de los 224 kilómetro del Arco Norte que pasa por los cuatro estados: Hidalgo, Puebla, Tlaxcala y Estado de México”. Según Córdoba García en los últimos 18 meses, la incidencia delictiva ha disminuido alrededor del 60 por ciento en el Arco Norte, lo que consideró un logro de la Guardia Nacional (GN), el Ejército mexicano y la Secretaría de Seguridad Pública de Hidalgo (SSPH). “Lo que hemos logrado reducir es el asalto, el asalto en todo el tramo, la realidad es que, si bien todavía no cantamos victoria, seguimos poniendo sobre el renglón las cosas que están sucediendo, creo que los esfuerzos que se han dado nos ha ayudado a reducir los asaltos en la vía a lo largo de los 224 kilómetro del Arco Norte que pasa por los cuatro estados: Hidalgo, Puebla, Tlaxcala y Estado de México”.</t>
  </si>
  <si>
    <t>Boletín 600: La Secretaría de Cultura del Gobierno de México y el Gobierno del Estado de Hidalgo, a través de su Secretaría de Cultura, organizan el festival “Hidalgo en Los Pinos”, que lleva al Complejo Cultural Los Pinos más de 900 artistas, personas artesanas, cocineras tradicionales, talleristas, juegos tradicionales, productores locales y elencos de la entidad los días 9 y 10 de mayo de 10 a 17 h.</t>
  </si>
  <si>
    <t>Hidalgo en Los Pinos</t>
  </si>
  <si>
    <t>La noche del miércoles se registró un fuerte incendio en las instalaciones del Parque Acuático Valle Paraíso, el hecho movilizó a cuerpos de emergencia en el municipio de Ixmiquilpan. De acuerdo a la información, el fuego se inició en el área de almacenamiento de basura, ocasionando grandes cortinas de humo que alertaron a los pobladores. Bomberos de Protección Civil Municipal laboraron durante varios minutos para poder sofocar las llamas y evitar que se extendieran a más áreas del balneario. Pese a la situación, no se reportaron personas lesionadas, únicamente daños materiales. Hasta el momento se desconocen los motivos por los que se inició el incendio.</t>
  </si>
  <si>
    <t>Boletín 06: Hidalgo impulsa el conocimiento tecnológico con torneo de robots mundialista</t>
  </si>
  <si>
    <t>Boletín 266: Hidalgo se corona como el estado con mayor crecimiento económico de México en 2025</t>
  </si>
  <si>
    <t>Crecimiento Económico</t>
  </si>
  <si>
    <t>Mediante enlace telefónico, Rene Aguilar informó que el día de hoy se tiene prevista la visita de la señora Edda Vite, presidenta del Sistema DIF Hidalgo al municipio de Tulancingo, con motivo de la conmemoración del aniversario del “Parque El Caracol”</t>
  </si>
  <si>
    <t>Conmemoración Aniversario</t>
  </si>
  <si>
    <t>En su colaboración semanal, Gustavo Rosales habló sobre sobre la participación de atletas hidalguenses en la Olimpiada Nacional Conade 2026, destacando la participación de deportista en la disciplina de “Tiro con arco”, así como la participación de las pedalistas hidalguenses en ciclismo en donde Valeria Quetzali Domínguez se proclamó campeona nacional, así como, la participación de Arumi Carreón Hernández al adjudicarse la medalla de plata. Al corte del 27 de abril, el medallero marcha de la siguiente manera: en la primera posición Jalisco con 275 preseas; le sigue Nuevo León con 136;Baja California con 51; mientras que Hidalgo se coloca en la décimo tercera posición sumando cuatro medallas de oro, cinco de plata y una de bronce para sumar un total de diez preseas.</t>
  </si>
  <si>
    <t>Boletín 577: Último día para registro al Pabellón Artesanal de la Feria de San Francisco 2026</t>
  </si>
  <si>
    <t>Feria Pachuca</t>
  </si>
  <si>
    <t>Boletín 639: EMEH abre convocatorias 2026 con programas únicos en formación artística</t>
  </si>
  <si>
    <t>Cultura</t>
  </si>
  <si>
    <t>EMEH</t>
  </si>
  <si>
    <t>Boletín 48: Estados coordinan acciones para fortalecer la seguridad y operación del Arco Norte</t>
  </si>
  <si>
    <t>Boletín 725: SSPH detecta traslado ilegal de hidrocarburo y asegura a dos presuntos responsables en San Agustín Tlaxiaca</t>
  </si>
  <si>
    <t>Un accidente ocurrido la madrugada de este jueves en el bulevar Río de las Avenidas, en Pachuca, dejó un saldo de una mujer que perdió la vida y su acompañante resultó gravemente lesionado.De acuerdo con la Policía Municipal, el percance ocurrió en el cruce de este bulevar con bulevar Colosio, cuando una pareja viajaba en una motocicleta. Por razones aún no esclarecidas, el vehículo impactó contra un objeto fijo, lo que provocó que la mujer cayera al canal cercano.A pesar de los esfuerzos por salvarla, la mujer perdió la vida en el lugar. En cuanto a su acompañante, fue trasladada de inmediato a un hospital de Pachuca para recibir atención médica, aunque se desconocen la gravedad de sus lesiones.</t>
  </si>
  <si>
    <t>Radioescucha reporta que un taxi le cobró de Everardo Márquez a la Aquiles Serdán, cobró $70.00 pesos.</t>
  </si>
  <si>
    <t>Alteración tarifa de transporte</t>
  </si>
  <si>
    <t>Radioescucha reporta que un taxi 0426 le cobró $60 pesos, de 2 Caminos a Plaza Revolución.</t>
  </si>
  <si>
    <t>Radioescucha Javier Vázquez pregunta: ¿Cuánto debe cobrar un taxi de C. Doria a la colonia Morelos? Comenta conductor Eulalio Larrieta que ya están haciendo un desastre los taxistas; su mínima ya la hacen de 60 pesos; es un relajo que no siguen su tarifa</t>
  </si>
  <si>
    <t>La Secretaría de Educación Pública de Hidalgo (SEPH) informó que, en lo que va del año, ha documentado 13 amenazas de tiroteo en escuelas públicas de la entidad.El titular de la dependencia, Natividad Castrejón Valdez, explicó que las autoridades localizaron mensajes anónimos en sanitarios y otros espacios de secundarias y preparatorias, en los que se advierte sobre supuestos ataques armados dentro de los planteles.De acuerdo con el funcionario, en cada caso la SEPH activó los protocolos correspondientes para informar a madres y padres de familia, personal docente y autoridades municipales, con el fin de aplicar medidas preventivas y atender cualquier riesgo.</t>
  </si>
  <si>
    <t>Boletín 724 : La SSPH informa lo siguiente: Derivado de labores preventivas y de combate al delito en el municipio de Apan, elementos del Mando Coordinado intervinieron una camioneta que transportaba contenedores con gasolina. Al notar la presencia policial, adoptó una actitud evasiva, por lo que se solicitó el apoyo inmediato de elementos estatales, quienes desplegaron un operativo que derivó en una persecución en el camino viejo a la localidad de San Juan Ixtilmaco.</t>
  </si>
  <si>
    <t>El equipo que integra esta dependencia se solidariza con la familia de nuestro titular Miguel Tello en este momento, lamentamos el sencible fallecimiento de la Sra. Liliana Mireles, suegra de nuestro titular, Miguel Tello. Acompañamos con respeto y enviamos un abrazo a sus seres queridos.</t>
  </si>
  <si>
    <t>Condolencias</t>
  </si>
  <si>
    <t>El titular de la Secretaría de Seguridad Pública del Estado, Salvador Cruz Neri, informó que el municipio de Ixmiquilpan podría ser la sede del nuevo Centro de Readaptación Social (Cereso) que planea construir el Gobierno del Estado y el cual fue rechazado en un inicio por habitantes de Tasquillo. Aunque no reveló más detalles, el secretario mencionó que en este municipio existen terrenos en diferentes comunidades con viabilidad para albergar el nuevo edificio, sin embargo, omitió los nombres., AUDIO APOYO</t>
  </si>
  <si>
    <t>El titular de la Secretaría de Seguridad Pública del Estado, Salvador Cruz Neri, informó que el municipio de Ixmiquilpan podría ser la sede del nuevo Centro de Readaptación Social (Cereso) que planea construir el Gobierno del Estado y el cual fue rechazado en un inicio por habitantes de Tasquillo. Aunque no reveló más detalles, el secretario mencionó que en este municipio existen terrenos en diferentes comunidades con viabilidad para albergar el nuevo edificio, sin embargo, omitió los nombres.</t>
  </si>
  <si>
    <t>Boletín 48 : Estados coordinan acciones para fortalecer la seguridad y operación del Arco Norte, AUDIO APOYO</t>
  </si>
  <si>
    <t>Estados coordinan acciones para fortalecer la seguridad y operación del Arco Norte. En las oficinas centrales del Arco Norte, se llevó a cabo la mesa de trabajo interestatal con la concesionaria de esta vía a fin de fortalecer la coordinación institucional y revisar temas relacionados con su operación, mantenimiento y condiciones de seguridad. El encuentro, encabezado por el secretario de Gobierno, Guillermo Olivares Reyna, permitió definir mecanismos de colaboración que mejoren la movilidad, la seguridad vial y la atención a las y los usuarios que transitan por esta infraestructura estratégica, como ha sido interés del gobernador Julio Menchaca Salazar, donde se privilegie un tránsito seguro para quienes circulan por ahí.</t>
  </si>
  <si>
    <t>NN Nuestras Noticias Zona Norte</t>
  </si>
  <si>
    <t>Boletín : Cuenta Pública 2025 confirma transformación financiera en Hidalgo, AUDIO DE APOYO</t>
  </si>
  <si>
    <t>Liz Argüelles</t>
  </si>
  <si>
    <t>En representación del gobernador del estado de Hidalgo, Julio Menchaca, la Secretaria de Hacienda de Hidalgo, Esther Ramírez Vargas, entregó ante diputadas y diputados de la LXVI Legislatura del Congreso local la Cuenta Pública del Estado, correspondiente al ejercicio 2025, en cumplimiento de la normatividad y como parte del compromiso de informar con transparencia el destino de los recursos públicos.</t>
  </si>
  <si>
    <t>Vía telefónica, Eduardo Medecigo presidente municipal de Mineral de la Reforma, habló sobre las actividades por motivo del Día del Niño y la Niña</t>
  </si>
  <si>
    <t>Vía telefónica, Jorge Reyes presidente municipal de Pachuca sobre el tema : festividades por motivo del Día del Niño y la Niña</t>
  </si>
  <si>
    <t>Boletín 1646 : Impulsan educación en Tula con 6.4 mdp en obras y equipamiento</t>
  </si>
  <si>
    <t>Como parte del compromiso del gobernador Julio Menchaca Salazar de garantizar espacios dignos y herramientas de calidad para la comunidad educativa, el secretario de Educación Pública de Hidalgo, Natividad Castrejón Valdez, realizó una gira de trabajo en el municipio de Tula de Allende, donde entregó infraestructura y equipamiento con una inversión total de 6.4 millones de pesos.En la escuela Secundaria General “Genaro Guzmán Mayer”, ubicada en la localidad de San Marcos, el titular de la SEPH realizó la entrega simbólica de infraestructura y equipamiento para 16 escuelas de la región, con una inversión de 2.7 millones de pesos.</t>
  </si>
  <si>
    <t>Boletín 63 : Realizan Jornada de Empleo en Tlahuelilpan</t>
  </si>
  <si>
    <t>Radioescucha reporta nuevamente una fuga de agua en el Palmar</t>
  </si>
  <si>
    <t>La presencia del gusano barrenador del ganado se extiende en más de 40 municipios de Hidalgo, de acuerdo con autoridades del sector agropecuario, quienes señalaron que la plaga se mantiene bajo atención y control en la mayoría de los casos. El titular de la Secretaría de Agricultura y Desarrollo Rural en la entidad, Napoleón González, informó que existe una estrategia coordinada para contener su propagación y atender a los animales afectados. Por su parte, datos del Servicio Nacional de Sanidad, Inocuidad y Calidad Alimentaria indican que son 45 municipios los que reportan incidencia de esta plaga. Al corte del 24 de abril se contabilizaron 87 casos activos, distribuidos en 31 demarcaciones, siendo el municipio de la Misión el que concentra el mayor número de registros.En materia de salud publica la secretaria de salud estatal Vanessa Escalante Arrollo, señalo que se desarrollan acciones preventivas , AUDIO APOYO VEA</t>
  </si>
  <si>
    <t>La Secretaría de Cultura del Gobierno de México y el Gobierno del Estado de Hidalgo, a través de su Secretaría de Cultura, organizan el festival “Hidalgo en Los Pinos”, que lleva al Complejo Cultural Los Pinos más de 900 artistas, personas artesanas, cocineras tradicionales, talleristas, juegos tradicionales, productores locales y elencos de la entidad los días 9 y 10 de mayo de 10 a 17 h. Para la secretaria de Cultura del Gobierno de México, Claudia Curiel de Icaza, la colaboración amplifica la voz de las comunidades, promueve el patrimonio vivo y consolida espacios en los que la cultura se convierte en un motor de identidad, inclusión y transformación.</t>
  </si>
  <si>
    <t>La diputada Claudia Luna del Partido Acción Nacional (PAN) presentó ante el Congreso de Hidalgo una iniciativa que modifica los artículos 25 y 331 del Código Penal estatal para impedir que familiares o personas cercanas oculten a responsables de delitos graves sin sanción.La propuesta, conocida como Ley Monse, plantea que el parentesco no funcione como excusa legal en casos de feminicidio, homicidio, violación o delitos sexuales contra menores, AUDIO APOYO</t>
  </si>
  <si>
    <t>Radioescucha Sr. Paredes reporta que no funciona la lámpara que está en la esquina del callejón de Quintana Roo y Plaza de Patoni</t>
  </si>
  <si>
    <t>Boletín 1059: Infraestructura, bienestar y desarrollo económico: ejes de la recuperación en Hidalgo tras la vaguada monzónica, AUDIO APOYO</t>
  </si>
  <si>
    <t>A partir de mayo de 2026, el sistema Tuzobús en Pachuca renovará su flota con la incorporación gradual de 80 a 140 nuevas unidades, diseñadas para mejorar la frecuencia y tiempos de espera. De acuerdo con el oficial mayor del Estado, Orlando Ángeles, el proyecto contempla el arrendamiento de las unidades por un monto superior a los 600 millones de pesos bajo un esquema de pagos mensuales durante 24 meses que incluyen mantenimiento seguro y servicios adicionales, AUDIO APOYO</t>
  </si>
  <si>
    <t>El Consejo de Ciencia, Tecnología e Innovación de Hidalgo (CITNOVA) llevó a cabo el Torneo Ingenio Mundialista 2026 de Robots</t>
  </si>
  <si>
    <t>Entrevista grabada presidente municipal de Tula de Allende, Cristhian Martínez, informó que se lleva a cabo un recorrido por distintas colonias y comunidades de Tula, “Encuentros por la Transformación” con el objetivo de regresar a constatar que en las 54 comunidades hay obra pública, donativo de los 20 mil pesos para todas las comunidades, esterilizaciones, maquinaria, muchísimas cosas. Platicó también sobre los festejos del Día del Niño, sobre eventos que va a haber este fin de semana, así como el avance para el proyecto del relleno sanitario de Tula, AUDIO APOYO</t>
  </si>
  <si>
    <t>Obras De Infraestructura</t>
  </si>
  <si>
    <t>Productores de Hidalgo, adscritos al Congreso Agrario Permanente (CAP), denunciaron que los retrasos en las obras del Plan Hídrico los han dejado sin ingresos tras la suspensión de siembras y advirtieron que podrían verse nuevamente afectados al no contar con infraestructura suficiente para el riego en el ciclo primavera-verano, el cual consideran el más productivo del año.El coordinador general del CAP, Francisco Ortega Sánchez, precisó que hubo un compromiso de la Comisión Nacional del Agua (Conagua) y otras instituciones para terminar las obras el 31 de marzo, sin embargo se firmó un plazo de un mes, pero tampoco fueron concluidas y se encuentran detenidas. Ortega Sánchez denunció la falta de transparencia en la asignación de contratos, incumplimiento en la promesa de empleo temporal y deficiencias en la calidad de la obra.AUDIOS DE APOYO</t>
  </si>
  <si>
    <t>Plan Hídrico</t>
  </si>
  <si>
    <t>Boletín 53: Hidalgo fortalece su proyección turística en la 50 edición del Tianguis Turístico México 2026, AUDIO DE APOYO</t>
  </si>
  <si>
    <t>Vía telefónica Diputada Paloma Barragán Santos con el tema: Agenda legislativa en el mes de abril: Comentó que este mes estuvo en la mesa directiva del Congreso del Estado de Hidalgo, que fue un mes lleno de muchos retos. Se impulsaron iniciativas enfocadas en el bienestar social, en el fortalecimiento de derechos, desarrollo de comunidades, acceso a mejores condiciones para la educación, impulso a sectores vulnerables, y enfocadas no solo en la región de la Huasteca, sino en todo el estado de Hidalgo.</t>
  </si>
  <si>
    <t>Trabajo legislativo</t>
  </si>
  <si>
    <t>Villa de Tezontepec está lista para celebrar, como cada año desde hace tres décadas, el Día del Tortero con la edición 2025 del Festival Internacional de la Torta, a realizarse el próximo jueves 1º de mayo. Este evento no solo rinde homenaje a más de 800 torteros locales, sino que también pone en alto el sabor y la identidad cultural del municipio.</t>
  </si>
  <si>
    <t>Turismo Gastronómico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</si>
</sst>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1" tableType="queryTable" totalsRowShown="0">
  <autoFilter ref="A1:M211" xr:uid="{717AF3FA-E95C-4D17-A1C9-B8D7CBE34EF0}"/>
  <sortState xmlns:xlrd2="http://schemas.microsoft.com/office/spreadsheetml/2017/richdata2" ref="A2:M211">
    <sortCondition ref="B1:B211"/>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1"/>
  <sheetViews>
    <sheetView tabSelected="1" workbookViewId="0"/>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58</v>
      </c>
      <c r="C1" t="s">
        <v>59</v>
      </c>
      <c r="D1" t="s">
        <v>60</v>
      </c>
      <c r="E1" t="s">
        <v>1</v>
      </c>
      <c r="F1" t="s">
        <v>2</v>
      </c>
      <c r="G1" t="s">
        <v>4</v>
      </c>
      <c r="H1" t="s">
        <v>3</v>
      </c>
      <c r="I1" t="s">
        <v>5</v>
      </c>
      <c r="J1" t="s">
        <v>61</v>
      </c>
      <c r="K1" t="s">
        <v>62</v>
      </c>
      <c r="L1" t="s">
        <v>63</v>
      </c>
      <c r="M1" t="s">
        <v>71</v>
      </c>
    </row>
    <row r="2" spans="1:13" x14ac:dyDescent="0.25">
      <c r="A2" s="1">
        <v>46142</v>
      </c>
      <c r="B2" s="1" t="str">
        <f ca="1">IF(Información1[[#This Row],[Fecha]]='Ajuste de fechas'!$A$2,"Día actual","Día anterior")</f>
        <v>Día actual</v>
      </c>
      <c r="C2" s="3" t="s">
        <v>51</v>
      </c>
      <c r="D2" t="s">
        <v>52</v>
      </c>
      <c r="E2" s="3" t="s">
        <v>223</v>
      </c>
      <c r="F2" s="3" t="s">
        <v>22</v>
      </c>
      <c r="G2" s="3" t="s">
        <v>224</v>
      </c>
      <c r="H2" s="3" t="s">
        <v>11</v>
      </c>
      <c r="I2" s="3" t="s">
        <v>7</v>
      </c>
      <c r="J2" s="3" t="s">
        <v>26</v>
      </c>
      <c r="K2" s="3" t="s">
        <v>53</v>
      </c>
      <c r="L2" s="3" t="s">
        <v>65</v>
      </c>
      <c r="M2">
        <v>1</v>
      </c>
    </row>
    <row r="3" spans="1:13" x14ac:dyDescent="0.25">
      <c r="A3" s="1">
        <v>46142</v>
      </c>
      <c r="B3" s="1" t="str">
        <f ca="1">IF(Información1[[#This Row],[Fecha]]='Ajuste de fechas'!$A$2,"Día actual","Día anterior")</f>
        <v>Día actual</v>
      </c>
      <c r="C3" s="3" t="s">
        <v>51</v>
      </c>
      <c r="D3" t="s">
        <v>52</v>
      </c>
      <c r="E3" s="3" t="s">
        <v>225</v>
      </c>
      <c r="F3" s="3" t="s">
        <v>21</v>
      </c>
      <c r="G3" s="3" t="s">
        <v>110</v>
      </c>
      <c r="H3" s="3" t="s">
        <v>11</v>
      </c>
      <c r="I3" s="3" t="s">
        <v>7</v>
      </c>
      <c r="J3" s="3" t="s">
        <v>64</v>
      </c>
      <c r="K3" s="3" t="s">
        <v>53</v>
      </c>
      <c r="L3" s="3" t="s">
        <v>67</v>
      </c>
      <c r="M3">
        <v>1</v>
      </c>
    </row>
    <row r="4" spans="1:13" x14ac:dyDescent="0.25">
      <c r="A4" s="1">
        <v>46142</v>
      </c>
      <c r="B4" s="1" t="str">
        <f ca="1">IF(Información1[[#This Row],[Fecha]]='Ajuste de fechas'!$A$2,"Día actual","Día anterior")</f>
        <v>Día actual</v>
      </c>
      <c r="C4" s="3" t="s">
        <v>51</v>
      </c>
      <c r="D4" t="s">
        <v>52</v>
      </c>
      <c r="E4" s="3" t="s">
        <v>226</v>
      </c>
      <c r="F4" s="3" t="s">
        <v>19</v>
      </c>
      <c r="G4" s="3" t="s">
        <v>227</v>
      </c>
      <c r="H4" s="3" t="s">
        <v>11</v>
      </c>
      <c r="I4" s="3" t="s">
        <v>7</v>
      </c>
      <c r="J4" s="3" t="s">
        <v>68</v>
      </c>
      <c r="K4" s="3" t="s">
        <v>53</v>
      </c>
      <c r="L4" s="3" t="s">
        <v>70</v>
      </c>
      <c r="M4">
        <v>1</v>
      </c>
    </row>
    <row r="5" spans="1:13" x14ac:dyDescent="0.25">
      <c r="A5" s="1">
        <v>46142</v>
      </c>
      <c r="B5" s="1" t="str">
        <f ca="1">IF(Información1[[#This Row],[Fecha]]='Ajuste de fechas'!$A$2,"Día actual","Día anterior")</f>
        <v>Día actual</v>
      </c>
      <c r="C5" s="3" t="s">
        <v>51</v>
      </c>
      <c r="D5" t="s">
        <v>52</v>
      </c>
      <c r="E5" s="3" t="s">
        <v>228</v>
      </c>
      <c r="F5" s="3" t="s">
        <v>229</v>
      </c>
      <c r="G5" s="3" t="s">
        <v>219</v>
      </c>
      <c r="H5" s="3" t="s">
        <v>11</v>
      </c>
      <c r="I5" s="3" t="s">
        <v>7</v>
      </c>
      <c r="J5" s="3" t="s">
        <v>64</v>
      </c>
      <c r="K5" s="3" t="s">
        <v>53</v>
      </c>
      <c r="L5" s="3" t="s">
        <v>67</v>
      </c>
      <c r="M5">
        <v>1</v>
      </c>
    </row>
    <row r="6" spans="1:13" x14ac:dyDescent="0.25">
      <c r="A6" s="1">
        <v>46142</v>
      </c>
      <c r="B6" s="1" t="str">
        <f ca="1">IF(Información1[[#This Row],[Fecha]]='Ajuste de fechas'!$A$2,"Día actual","Día anterior")</f>
        <v>Día actual</v>
      </c>
      <c r="C6" s="3" t="s">
        <v>51</v>
      </c>
      <c r="D6" t="s">
        <v>52</v>
      </c>
      <c r="E6" s="3" t="s">
        <v>230</v>
      </c>
      <c r="F6" s="3" t="s">
        <v>90</v>
      </c>
      <c r="G6" s="3" t="s">
        <v>231</v>
      </c>
      <c r="H6" s="3" t="s">
        <v>11</v>
      </c>
      <c r="I6" s="3" t="s">
        <v>7</v>
      </c>
      <c r="J6" s="3" t="s">
        <v>64</v>
      </c>
      <c r="K6" s="3" t="s">
        <v>53</v>
      </c>
      <c r="L6" s="3" t="s">
        <v>65</v>
      </c>
      <c r="M6">
        <v>1</v>
      </c>
    </row>
    <row r="7" spans="1:13" x14ac:dyDescent="0.25">
      <c r="A7" s="1">
        <v>46142</v>
      </c>
      <c r="B7" s="1" t="str">
        <f ca="1">IF(Información1[[#This Row],[Fecha]]='Ajuste de fechas'!$A$2,"Día actual","Día anterior")</f>
        <v>Día actual</v>
      </c>
      <c r="C7" s="3" t="s">
        <v>51</v>
      </c>
      <c r="D7" t="s">
        <v>52</v>
      </c>
      <c r="E7" s="3" t="s">
        <v>232</v>
      </c>
      <c r="F7" s="3" t="s">
        <v>50</v>
      </c>
      <c r="G7" s="3" t="s">
        <v>233</v>
      </c>
      <c r="H7" s="3" t="s">
        <v>11</v>
      </c>
      <c r="I7" s="3" t="s">
        <v>7</v>
      </c>
      <c r="J7" s="3" t="s">
        <v>64</v>
      </c>
      <c r="K7" s="3" t="s">
        <v>53</v>
      </c>
      <c r="L7" s="3" t="s">
        <v>65</v>
      </c>
      <c r="M7">
        <v>1</v>
      </c>
    </row>
    <row r="8" spans="1:13" x14ac:dyDescent="0.25">
      <c r="A8" s="1">
        <v>46142</v>
      </c>
      <c r="B8" s="1" t="str">
        <f ca="1">IF(Información1[[#This Row],[Fecha]]='Ajuste de fechas'!$A$2,"Día actual","Día anterior")</f>
        <v>Día actual</v>
      </c>
      <c r="C8" s="3" t="s">
        <v>51</v>
      </c>
      <c r="D8" t="s">
        <v>52</v>
      </c>
      <c r="E8" s="3" t="s">
        <v>234</v>
      </c>
      <c r="F8" s="3" t="s">
        <v>198</v>
      </c>
      <c r="G8" s="3" t="s">
        <v>235</v>
      </c>
      <c r="H8" s="3" t="s">
        <v>11</v>
      </c>
      <c r="I8" s="3" t="s">
        <v>7</v>
      </c>
      <c r="J8" s="3" t="s">
        <v>26</v>
      </c>
      <c r="K8" s="3" t="s">
        <v>53</v>
      </c>
      <c r="L8" s="3" t="s">
        <v>65</v>
      </c>
      <c r="M8">
        <v>1</v>
      </c>
    </row>
    <row r="9" spans="1:13" x14ac:dyDescent="0.25">
      <c r="A9" s="1">
        <v>46142</v>
      </c>
      <c r="B9" s="1" t="str">
        <f ca="1">IF(Información1[[#This Row],[Fecha]]='Ajuste de fechas'!$A$2,"Día actual","Día anterior")</f>
        <v>Día actual</v>
      </c>
      <c r="C9" s="3" t="s">
        <v>51</v>
      </c>
      <c r="D9" t="s">
        <v>52</v>
      </c>
      <c r="E9" s="3" t="s">
        <v>236</v>
      </c>
      <c r="F9" s="3" t="s">
        <v>24</v>
      </c>
      <c r="G9" s="3" t="s">
        <v>153</v>
      </c>
      <c r="H9" s="3" t="s">
        <v>11</v>
      </c>
      <c r="I9" s="3" t="s">
        <v>7</v>
      </c>
      <c r="J9" s="3" t="s">
        <v>64</v>
      </c>
      <c r="K9" s="3" t="s">
        <v>53</v>
      </c>
      <c r="L9" s="3" t="s">
        <v>65</v>
      </c>
      <c r="M9">
        <v>1</v>
      </c>
    </row>
    <row r="10" spans="1:13" x14ac:dyDescent="0.25">
      <c r="A10" s="1">
        <v>46142</v>
      </c>
      <c r="B10" s="1" t="str">
        <f ca="1">IF(Información1[[#This Row],[Fecha]]='Ajuste de fechas'!$A$2,"Día actual","Día anterior")</f>
        <v>Día actual</v>
      </c>
      <c r="C10" s="3" t="s">
        <v>51</v>
      </c>
      <c r="D10" t="s">
        <v>52</v>
      </c>
      <c r="E10" s="3" t="s">
        <v>237</v>
      </c>
      <c r="F10" s="3" t="s">
        <v>24</v>
      </c>
      <c r="G10" s="3" t="s">
        <v>238</v>
      </c>
      <c r="H10" s="3" t="s">
        <v>11</v>
      </c>
      <c r="I10" s="3" t="s">
        <v>7</v>
      </c>
      <c r="J10" s="3" t="s">
        <v>64</v>
      </c>
      <c r="K10" s="3" t="s">
        <v>53</v>
      </c>
      <c r="L10" s="3" t="s">
        <v>65</v>
      </c>
      <c r="M10">
        <v>1</v>
      </c>
    </row>
    <row r="11" spans="1:13" x14ac:dyDescent="0.25">
      <c r="A11" s="1">
        <v>46142</v>
      </c>
      <c r="B11" s="1" t="str">
        <f ca="1">IF(Información1[[#This Row],[Fecha]]='Ajuste de fechas'!$A$2,"Día actual","Día anterior")</f>
        <v>Día actual</v>
      </c>
      <c r="C11" s="3" t="s">
        <v>51</v>
      </c>
      <c r="D11" t="s">
        <v>52</v>
      </c>
      <c r="E11" s="3" t="s">
        <v>239</v>
      </c>
      <c r="F11" s="3" t="s">
        <v>86</v>
      </c>
      <c r="G11" s="3" t="s">
        <v>240</v>
      </c>
      <c r="H11" s="3" t="s">
        <v>11</v>
      </c>
      <c r="I11" s="3" t="s">
        <v>7</v>
      </c>
      <c r="J11" s="3" t="s">
        <v>64</v>
      </c>
      <c r="K11" s="3" t="s">
        <v>53</v>
      </c>
      <c r="L11" s="3" t="s">
        <v>65</v>
      </c>
      <c r="M11">
        <v>1</v>
      </c>
    </row>
    <row r="12" spans="1:13" x14ac:dyDescent="0.25">
      <c r="A12" s="1">
        <v>46142</v>
      </c>
      <c r="B12" s="1" t="str">
        <f ca="1">IF(Información1[[#This Row],[Fecha]]='Ajuste de fechas'!$A$2,"Día actual","Día anterior")</f>
        <v>Día actual</v>
      </c>
      <c r="C12" s="3" t="s">
        <v>51</v>
      </c>
      <c r="D12" t="s">
        <v>52</v>
      </c>
      <c r="E12" s="3" t="s">
        <v>241</v>
      </c>
      <c r="F12" s="3" t="s">
        <v>19</v>
      </c>
      <c r="G12" s="3" t="s">
        <v>42</v>
      </c>
      <c r="H12" s="3" t="s">
        <v>11</v>
      </c>
      <c r="I12" s="3" t="s">
        <v>7</v>
      </c>
      <c r="J12" s="3" t="s">
        <v>68</v>
      </c>
      <c r="K12" s="3" t="s">
        <v>53</v>
      </c>
      <c r="L12" s="3" t="s">
        <v>65</v>
      </c>
      <c r="M12">
        <v>1</v>
      </c>
    </row>
    <row r="13" spans="1:13" x14ac:dyDescent="0.25">
      <c r="A13" s="1">
        <v>46142</v>
      </c>
      <c r="B13" s="1" t="str">
        <f ca="1">IF(Información1[[#This Row],[Fecha]]='Ajuste de fechas'!$A$2,"Día actual","Día anterior")</f>
        <v>Día actual</v>
      </c>
      <c r="C13" s="3" t="s">
        <v>51</v>
      </c>
      <c r="D13" t="s">
        <v>52</v>
      </c>
      <c r="E13" s="3" t="s">
        <v>242</v>
      </c>
      <c r="F13" s="3" t="s">
        <v>19</v>
      </c>
      <c r="G13" s="3" t="s">
        <v>99</v>
      </c>
      <c r="H13" s="3" t="s">
        <v>11</v>
      </c>
      <c r="I13" s="3" t="s">
        <v>7</v>
      </c>
      <c r="J13" s="3" t="s">
        <v>68</v>
      </c>
      <c r="K13" s="3" t="s">
        <v>53</v>
      </c>
      <c r="L13" s="3" t="s">
        <v>65</v>
      </c>
      <c r="M13">
        <v>1</v>
      </c>
    </row>
    <row r="14" spans="1:13" x14ac:dyDescent="0.25">
      <c r="A14" s="1">
        <v>46142</v>
      </c>
      <c r="B14" s="1" t="str">
        <f ca="1">IF(Información1[[#This Row],[Fecha]]='Ajuste de fechas'!$A$2,"Día actual","Día anterior")</f>
        <v>Día actual</v>
      </c>
      <c r="C14" s="3" t="s">
        <v>51</v>
      </c>
      <c r="D14" t="s">
        <v>52</v>
      </c>
      <c r="E14" s="3" t="s">
        <v>243</v>
      </c>
      <c r="F14" s="3" t="s">
        <v>244</v>
      </c>
      <c r="G14" s="3" t="s">
        <v>87</v>
      </c>
      <c r="H14" s="3" t="s">
        <v>11</v>
      </c>
      <c r="I14" s="3" t="s">
        <v>7</v>
      </c>
      <c r="J14" s="3" t="s">
        <v>26</v>
      </c>
      <c r="K14" s="3" t="s">
        <v>53</v>
      </c>
      <c r="L14" s="3" t="s">
        <v>65</v>
      </c>
      <c r="M14">
        <v>1</v>
      </c>
    </row>
    <row r="15" spans="1:13" x14ac:dyDescent="0.25">
      <c r="A15" s="1">
        <v>46142</v>
      </c>
      <c r="B15" s="1" t="str">
        <f ca="1">IF(Información1[[#This Row],[Fecha]]='Ajuste de fechas'!$A$2,"Día actual","Día anterior")</f>
        <v>Día actual</v>
      </c>
      <c r="C15" s="3" t="s">
        <v>51</v>
      </c>
      <c r="D15" t="s">
        <v>52</v>
      </c>
      <c r="E15" s="3" t="s">
        <v>245</v>
      </c>
      <c r="F15" s="3" t="s">
        <v>22</v>
      </c>
      <c r="G15" s="3" t="s">
        <v>87</v>
      </c>
      <c r="H15" s="3" t="s">
        <v>11</v>
      </c>
      <c r="I15" s="3" t="s">
        <v>7</v>
      </c>
      <c r="J15" s="3" t="s">
        <v>26</v>
      </c>
      <c r="K15" s="3" t="s">
        <v>53</v>
      </c>
      <c r="L15" s="3" t="s">
        <v>65</v>
      </c>
      <c r="M15">
        <v>1</v>
      </c>
    </row>
    <row r="16" spans="1:13" x14ac:dyDescent="0.25">
      <c r="A16" s="1">
        <v>46142</v>
      </c>
      <c r="B16" s="1" t="str">
        <f ca="1">IF(Información1[[#This Row],[Fecha]]='Ajuste de fechas'!$A$2,"Día actual","Día anterior")</f>
        <v>Día actual</v>
      </c>
      <c r="C16" s="3" t="s">
        <v>51</v>
      </c>
      <c r="D16" t="s">
        <v>52</v>
      </c>
      <c r="E16" s="3" t="s">
        <v>246</v>
      </c>
      <c r="F16" s="3" t="s">
        <v>21</v>
      </c>
      <c r="G16" s="3" t="s">
        <v>87</v>
      </c>
      <c r="H16" s="3" t="s">
        <v>11</v>
      </c>
      <c r="I16" s="3" t="s">
        <v>7</v>
      </c>
      <c r="J16" s="3" t="s">
        <v>64</v>
      </c>
      <c r="K16" s="3" t="s">
        <v>53</v>
      </c>
      <c r="L16" s="3" t="s">
        <v>65</v>
      </c>
      <c r="M16">
        <v>1</v>
      </c>
    </row>
    <row r="17" spans="1:13" x14ac:dyDescent="0.25">
      <c r="A17" s="1">
        <v>46142</v>
      </c>
      <c r="B17" s="1" t="str">
        <f ca="1">IF(Información1[[#This Row],[Fecha]]='Ajuste de fechas'!$A$2,"Día actual","Día anterior")</f>
        <v>Día actual</v>
      </c>
      <c r="C17" s="3" t="s">
        <v>44</v>
      </c>
      <c r="D17" t="s">
        <v>45</v>
      </c>
      <c r="E17" s="3" t="s">
        <v>247</v>
      </c>
      <c r="F17" s="3" t="s">
        <v>19</v>
      </c>
      <c r="G17" s="3" t="s">
        <v>106</v>
      </c>
      <c r="H17" s="3" t="s">
        <v>41</v>
      </c>
      <c r="I17" s="3" t="s">
        <v>7</v>
      </c>
      <c r="J17" s="3" t="s">
        <v>68</v>
      </c>
      <c r="K17" s="3" t="s">
        <v>30</v>
      </c>
      <c r="L17" s="3" t="s">
        <v>65</v>
      </c>
      <c r="M17">
        <v>1</v>
      </c>
    </row>
    <row r="18" spans="1:13" x14ac:dyDescent="0.25">
      <c r="A18" s="1">
        <v>46142</v>
      </c>
      <c r="B18" s="1" t="str">
        <f ca="1">IF(Información1[[#This Row],[Fecha]]='Ajuste de fechas'!$A$2,"Día actual","Día anterior")</f>
        <v>Día actual</v>
      </c>
      <c r="C18" s="3" t="s">
        <v>44</v>
      </c>
      <c r="D18" t="s">
        <v>45</v>
      </c>
      <c r="E18" s="3" t="s">
        <v>248</v>
      </c>
      <c r="F18" s="3" t="s">
        <v>215</v>
      </c>
      <c r="G18" s="3" t="s">
        <v>249</v>
      </c>
      <c r="H18" s="3" t="s">
        <v>41</v>
      </c>
      <c r="I18" s="3" t="s">
        <v>7</v>
      </c>
      <c r="J18" s="3" t="s">
        <v>64</v>
      </c>
      <c r="K18" s="3" t="s">
        <v>30</v>
      </c>
      <c r="L18" s="3" t="s">
        <v>67</v>
      </c>
      <c r="M18">
        <v>1</v>
      </c>
    </row>
    <row r="19" spans="1:13" x14ac:dyDescent="0.25">
      <c r="A19" s="1">
        <v>46142</v>
      </c>
      <c r="B19" s="1" t="str">
        <f ca="1">IF(Información1[[#This Row],[Fecha]]='Ajuste de fechas'!$A$2,"Día actual","Día anterior")</f>
        <v>Día actual</v>
      </c>
      <c r="C19" s="3" t="s">
        <v>44</v>
      </c>
      <c r="D19" t="s">
        <v>45</v>
      </c>
      <c r="E19" s="3" t="s">
        <v>250</v>
      </c>
      <c r="F19" s="3" t="s">
        <v>50</v>
      </c>
      <c r="G19" s="3" t="s">
        <v>251</v>
      </c>
      <c r="H19" s="3" t="s">
        <v>41</v>
      </c>
      <c r="I19" s="3" t="s">
        <v>7</v>
      </c>
      <c r="J19" s="3" t="s">
        <v>64</v>
      </c>
      <c r="K19" s="3" t="s">
        <v>30</v>
      </c>
      <c r="L19" s="3" t="s">
        <v>67</v>
      </c>
      <c r="M19">
        <v>1</v>
      </c>
    </row>
    <row r="20" spans="1:13" x14ac:dyDescent="0.25">
      <c r="A20" s="1">
        <v>46142</v>
      </c>
      <c r="B20" s="1" t="str">
        <f ca="1">IF(Información1[[#This Row],[Fecha]]='Ajuste de fechas'!$A$2,"Día actual","Día anterior")</f>
        <v>Día actual</v>
      </c>
      <c r="C20" s="3" t="s">
        <v>44</v>
      </c>
      <c r="D20" t="s">
        <v>45</v>
      </c>
      <c r="E20" s="3" t="s">
        <v>252</v>
      </c>
      <c r="F20" s="3" t="s">
        <v>28</v>
      </c>
      <c r="G20" s="3" t="s">
        <v>253</v>
      </c>
      <c r="H20" s="3" t="s">
        <v>41</v>
      </c>
      <c r="I20" s="3" t="s">
        <v>12</v>
      </c>
      <c r="J20" s="3" t="s">
        <v>64</v>
      </c>
      <c r="K20" s="3" t="s">
        <v>254</v>
      </c>
      <c r="L20" s="3" t="s">
        <v>66</v>
      </c>
      <c r="M20">
        <v>1</v>
      </c>
    </row>
    <row r="21" spans="1:13" x14ac:dyDescent="0.25">
      <c r="A21" s="1">
        <v>46142</v>
      </c>
      <c r="B21" s="1" t="str">
        <f ca="1">IF(Información1[[#This Row],[Fecha]]='Ajuste de fechas'!$A$2,"Día actual","Día anterior")</f>
        <v>Día actual</v>
      </c>
      <c r="C21" s="3" t="s">
        <v>44</v>
      </c>
      <c r="D21" t="s">
        <v>45</v>
      </c>
      <c r="E21" s="3" t="s">
        <v>225</v>
      </c>
      <c r="F21" s="3" t="s">
        <v>21</v>
      </c>
      <c r="G21" s="3" t="s">
        <v>110</v>
      </c>
      <c r="H21" s="3" t="s">
        <v>41</v>
      </c>
      <c r="I21" s="3" t="s">
        <v>7</v>
      </c>
      <c r="J21" s="3" t="s">
        <v>64</v>
      </c>
      <c r="K21" s="3" t="s">
        <v>30</v>
      </c>
      <c r="L21" s="3" t="s">
        <v>67</v>
      </c>
      <c r="M21">
        <v>1</v>
      </c>
    </row>
    <row r="22" spans="1:13" x14ac:dyDescent="0.25">
      <c r="A22" s="1">
        <v>46142</v>
      </c>
      <c r="B22" s="1" t="str">
        <f ca="1">IF(Información1[[#This Row],[Fecha]]='Ajuste de fechas'!$A$2,"Día actual","Día anterior")</f>
        <v>Día actual</v>
      </c>
      <c r="C22" s="3" t="s">
        <v>44</v>
      </c>
      <c r="D22" t="s">
        <v>45</v>
      </c>
      <c r="E22" s="3" t="s">
        <v>255</v>
      </c>
      <c r="F22" s="3" t="s">
        <v>17</v>
      </c>
      <c r="G22" s="3" t="s">
        <v>231</v>
      </c>
      <c r="H22" s="3" t="s">
        <v>41</v>
      </c>
      <c r="I22" s="3" t="s">
        <v>7</v>
      </c>
      <c r="J22" s="3" t="s">
        <v>64</v>
      </c>
      <c r="K22" s="3" t="s">
        <v>9</v>
      </c>
      <c r="L22" s="3" t="s">
        <v>66</v>
      </c>
      <c r="M22">
        <v>1</v>
      </c>
    </row>
    <row r="23" spans="1:13" x14ac:dyDescent="0.25">
      <c r="A23" s="1">
        <v>46142</v>
      </c>
      <c r="B23" s="1" t="str">
        <f ca="1">IF(Información1[[#This Row],[Fecha]]='Ajuste de fechas'!$A$2,"Día actual","Día anterior")</f>
        <v>Día actual</v>
      </c>
      <c r="C23" s="3" t="s">
        <v>44</v>
      </c>
      <c r="D23" t="s">
        <v>45</v>
      </c>
      <c r="E23" s="3" t="s">
        <v>256</v>
      </c>
      <c r="F23" s="3" t="s">
        <v>229</v>
      </c>
      <c r="G23" s="3" t="s">
        <v>257</v>
      </c>
      <c r="H23" s="3" t="s">
        <v>41</v>
      </c>
      <c r="I23" s="3" t="s">
        <v>27</v>
      </c>
      <c r="J23" s="3" t="s">
        <v>64</v>
      </c>
      <c r="K23" s="3" t="s">
        <v>30</v>
      </c>
      <c r="L23" s="3" t="s">
        <v>66</v>
      </c>
      <c r="M23">
        <v>1</v>
      </c>
    </row>
    <row r="24" spans="1:13" x14ac:dyDescent="0.25">
      <c r="A24" s="1">
        <v>46142</v>
      </c>
      <c r="B24" s="1" t="str">
        <f ca="1">IF(Información1[[#This Row],[Fecha]]='Ajuste de fechas'!$A$2,"Día actual","Día anterior")</f>
        <v>Día actual</v>
      </c>
      <c r="C24" s="3" t="s">
        <v>44</v>
      </c>
      <c r="D24" t="s">
        <v>45</v>
      </c>
      <c r="E24" s="3" t="s">
        <v>258</v>
      </c>
      <c r="F24" s="3" t="s">
        <v>22</v>
      </c>
      <c r="G24" s="3" t="s">
        <v>259</v>
      </c>
      <c r="H24" s="3" t="s">
        <v>41</v>
      </c>
      <c r="I24" s="3" t="s">
        <v>7</v>
      </c>
      <c r="J24" s="3" t="s">
        <v>26</v>
      </c>
      <c r="K24" s="3" t="s">
        <v>30</v>
      </c>
      <c r="L24" s="3" t="s">
        <v>65</v>
      </c>
      <c r="M24">
        <v>1</v>
      </c>
    </row>
    <row r="25" spans="1:13" x14ac:dyDescent="0.25">
      <c r="A25" s="1">
        <v>46142</v>
      </c>
      <c r="B25" s="1" t="str">
        <f ca="1">IF(Información1[[#This Row],[Fecha]]='Ajuste de fechas'!$A$2,"Día actual","Día anterior")</f>
        <v>Día actual</v>
      </c>
      <c r="C25" s="3" t="s">
        <v>44</v>
      </c>
      <c r="D25" t="s">
        <v>45</v>
      </c>
      <c r="E25" s="3" t="s">
        <v>260</v>
      </c>
      <c r="F25" s="3" t="s">
        <v>229</v>
      </c>
      <c r="G25" s="3" t="s">
        <v>219</v>
      </c>
      <c r="H25" s="3" t="s">
        <v>41</v>
      </c>
      <c r="I25" s="3" t="s">
        <v>7</v>
      </c>
      <c r="J25" s="3" t="s">
        <v>64</v>
      </c>
      <c r="K25" s="3" t="s">
        <v>30</v>
      </c>
      <c r="L25" s="3" t="s">
        <v>67</v>
      </c>
      <c r="M25">
        <v>1</v>
      </c>
    </row>
    <row r="26" spans="1:13" x14ac:dyDescent="0.25">
      <c r="A26" s="1">
        <v>46142</v>
      </c>
      <c r="B26" s="1" t="str">
        <f ca="1">IF(Información1[[#This Row],[Fecha]]='Ajuste de fechas'!$A$2,"Día actual","Día anterior")</f>
        <v>Día actual</v>
      </c>
      <c r="C26" s="3" t="s">
        <v>44</v>
      </c>
      <c r="D26" t="s">
        <v>45</v>
      </c>
      <c r="E26" s="3" t="s">
        <v>261</v>
      </c>
      <c r="F26" s="3" t="s">
        <v>15</v>
      </c>
      <c r="G26" s="3" t="s">
        <v>262</v>
      </c>
      <c r="H26" s="3" t="s">
        <v>41</v>
      </c>
      <c r="I26" s="3" t="s">
        <v>7</v>
      </c>
      <c r="J26" s="3" t="s">
        <v>64</v>
      </c>
      <c r="K26" s="3" t="s">
        <v>30</v>
      </c>
      <c r="L26" s="3" t="s">
        <v>65</v>
      </c>
      <c r="M26">
        <v>1</v>
      </c>
    </row>
    <row r="27" spans="1:13" x14ac:dyDescent="0.25">
      <c r="A27" s="1">
        <v>46142</v>
      </c>
      <c r="B27" s="1" t="str">
        <f ca="1">IF(Información1[[#This Row],[Fecha]]='Ajuste de fechas'!$A$2,"Día actual","Día anterior")</f>
        <v>Día actual</v>
      </c>
      <c r="C27" s="3" t="s">
        <v>44</v>
      </c>
      <c r="D27" t="s">
        <v>45</v>
      </c>
      <c r="E27" s="3" t="s">
        <v>263</v>
      </c>
      <c r="F27" s="3" t="s">
        <v>82</v>
      </c>
      <c r="G27" s="3" t="s">
        <v>76</v>
      </c>
      <c r="H27" s="3" t="s">
        <v>41</v>
      </c>
      <c r="I27" s="3" t="s">
        <v>7</v>
      </c>
      <c r="J27" s="3" t="s">
        <v>64</v>
      </c>
      <c r="K27" s="3" t="s">
        <v>30</v>
      </c>
      <c r="L27" s="3" t="s">
        <v>65</v>
      </c>
      <c r="M27">
        <v>1</v>
      </c>
    </row>
    <row r="28" spans="1:13" x14ac:dyDescent="0.25">
      <c r="A28" s="1">
        <v>46142</v>
      </c>
      <c r="B28" s="1" t="str">
        <f ca="1">IF(Información1[[#This Row],[Fecha]]='Ajuste de fechas'!$A$2,"Día actual","Día anterior")</f>
        <v>Día actual</v>
      </c>
      <c r="C28" s="3" t="s">
        <v>44</v>
      </c>
      <c r="D28" t="s">
        <v>45</v>
      </c>
      <c r="E28" s="3" t="s">
        <v>264</v>
      </c>
      <c r="F28" s="3" t="s">
        <v>6</v>
      </c>
      <c r="G28" s="3" t="s">
        <v>265</v>
      </c>
      <c r="H28" s="3" t="s">
        <v>41</v>
      </c>
      <c r="I28" s="3" t="s">
        <v>7</v>
      </c>
      <c r="J28" s="3" t="s">
        <v>64</v>
      </c>
      <c r="K28" s="3" t="s">
        <v>30</v>
      </c>
      <c r="L28" s="3" t="s">
        <v>65</v>
      </c>
      <c r="M28">
        <v>1</v>
      </c>
    </row>
    <row r="29" spans="1:13" x14ac:dyDescent="0.25">
      <c r="A29" s="1">
        <v>46142</v>
      </c>
      <c r="B29" s="1" t="str">
        <f ca="1">IF(Información1[[#This Row],[Fecha]]='Ajuste de fechas'!$A$2,"Día actual","Día anterior")</f>
        <v>Día actual</v>
      </c>
      <c r="C29" s="3" t="s">
        <v>44</v>
      </c>
      <c r="D29" t="s">
        <v>45</v>
      </c>
      <c r="E29" s="3" t="s">
        <v>266</v>
      </c>
      <c r="F29" s="3" t="s">
        <v>15</v>
      </c>
      <c r="G29" s="3" t="s">
        <v>91</v>
      </c>
      <c r="H29" s="3" t="s">
        <v>41</v>
      </c>
      <c r="I29" s="3" t="s">
        <v>7</v>
      </c>
      <c r="J29" s="3" t="s">
        <v>64</v>
      </c>
      <c r="K29" s="3" t="s">
        <v>30</v>
      </c>
      <c r="L29" s="3" t="s">
        <v>65</v>
      </c>
      <c r="M29">
        <v>1</v>
      </c>
    </row>
    <row r="30" spans="1:13" x14ac:dyDescent="0.25">
      <c r="A30" s="1">
        <v>46142</v>
      </c>
      <c r="B30" s="1" t="str">
        <f ca="1">IF(Información1[[#This Row],[Fecha]]='Ajuste de fechas'!$A$2,"Día actual","Día anterior")</f>
        <v>Día actual</v>
      </c>
      <c r="C30" s="3" t="s">
        <v>44</v>
      </c>
      <c r="D30" t="s">
        <v>45</v>
      </c>
      <c r="E30" s="3" t="s">
        <v>267</v>
      </c>
      <c r="F30" s="3" t="s">
        <v>25</v>
      </c>
      <c r="G30" s="3" t="s">
        <v>113</v>
      </c>
      <c r="H30" s="3" t="s">
        <v>41</v>
      </c>
      <c r="I30" s="3" t="s">
        <v>7</v>
      </c>
      <c r="J30" s="3" t="s">
        <v>64</v>
      </c>
      <c r="K30" s="3" t="s">
        <v>30</v>
      </c>
      <c r="L30" s="3" t="s">
        <v>65</v>
      </c>
      <c r="M30">
        <v>1</v>
      </c>
    </row>
    <row r="31" spans="1:13" x14ac:dyDescent="0.25">
      <c r="A31" s="1">
        <v>46142</v>
      </c>
      <c r="B31" s="1" t="str">
        <f ca="1">IF(Información1[[#This Row],[Fecha]]='Ajuste de fechas'!$A$2,"Día actual","Día anterior")</f>
        <v>Día actual</v>
      </c>
      <c r="C31" s="3" t="s">
        <v>46</v>
      </c>
      <c r="D31" t="s">
        <v>49</v>
      </c>
      <c r="E31" s="3" t="s">
        <v>322</v>
      </c>
      <c r="F31" s="3" t="s">
        <v>23</v>
      </c>
      <c r="G31" s="3" t="s">
        <v>323</v>
      </c>
      <c r="H31" s="3" t="s">
        <v>11</v>
      </c>
      <c r="I31" s="3" t="s">
        <v>27</v>
      </c>
      <c r="J31" s="3" t="s">
        <v>69</v>
      </c>
      <c r="K31" s="3" t="s">
        <v>47</v>
      </c>
      <c r="L31" s="3" t="s">
        <v>65</v>
      </c>
      <c r="M31">
        <v>1</v>
      </c>
    </row>
    <row r="32" spans="1:13" x14ac:dyDescent="0.25">
      <c r="A32" s="1">
        <v>46142</v>
      </c>
      <c r="B32" s="1" t="str">
        <f ca="1">IF(Información1[[#This Row],[Fecha]]='Ajuste de fechas'!$A$2,"Día actual","Día anterior")</f>
        <v>Día actual</v>
      </c>
      <c r="C32" s="3" t="s">
        <v>46</v>
      </c>
      <c r="D32" t="s">
        <v>49</v>
      </c>
      <c r="E32" s="3" t="s">
        <v>324</v>
      </c>
      <c r="F32" s="3" t="s">
        <v>19</v>
      </c>
      <c r="G32" s="3" t="s">
        <v>208</v>
      </c>
      <c r="H32" s="3" t="s">
        <v>11</v>
      </c>
      <c r="I32" s="3" t="s">
        <v>7</v>
      </c>
      <c r="J32" s="3" t="s">
        <v>68</v>
      </c>
      <c r="K32" s="3" t="s">
        <v>47</v>
      </c>
      <c r="L32" s="3" t="s">
        <v>65</v>
      </c>
      <c r="M32">
        <v>1</v>
      </c>
    </row>
    <row r="33" spans="1:13" x14ac:dyDescent="0.25">
      <c r="A33" s="1">
        <v>46142</v>
      </c>
      <c r="B33" s="1" t="str">
        <f ca="1">IF(Información1[[#This Row],[Fecha]]='Ajuste de fechas'!$A$2,"Día actual","Día anterior")</f>
        <v>Día actual</v>
      </c>
      <c r="C33" s="3" t="s">
        <v>46</v>
      </c>
      <c r="D33" t="s">
        <v>49</v>
      </c>
      <c r="E33" s="3" t="s">
        <v>325</v>
      </c>
      <c r="F33" s="3" t="s">
        <v>80</v>
      </c>
      <c r="G33" s="3" t="s">
        <v>326</v>
      </c>
      <c r="H33" s="3" t="s">
        <v>11</v>
      </c>
      <c r="I33" s="3" t="s">
        <v>7</v>
      </c>
      <c r="J33" s="3" t="s">
        <v>64</v>
      </c>
      <c r="K33" s="3" t="s">
        <v>47</v>
      </c>
      <c r="L33" s="3" t="s">
        <v>70</v>
      </c>
      <c r="M33">
        <v>1</v>
      </c>
    </row>
    <row r="34" spans="1:13" x14ac:dyDescent="0.25">
      <c r="A34" s="1">
        <v>46142</v>
      </c>
      <c r="B34" s="1" t="str">
        <f ca="1">IF(Información1[[#This Row],[Fecha]]='Ajuste de fechas'!$A$2,"Día actual","Día anterior")</f>
        <v>Día actual</v>
      </c>
      <c r="C34" s="3" t="s">
        <v>46</v>
      </c>
      <c r="D34" t="s">
        <v>49</v>
      </c>
      <c r="E34" s="3" t="s">
        <v>327</v>
      </c>
      <c r="F34" s="3" t="s">
        <v>80</v>
      </c>
      <c r="G34" s="3" t="s">
        <v>78</v>
      </c>
      <c r="H34" s="3" t="s">
        <v>11</v>
      </c>
      <c r="I34" s="3" t="s">
        <v>7</v>
      </c>
      <c r="J34" s="3" t="s">
        <v>64</v>
      </c>
      <c r="K34" s="3" t="s">
        <v>47</v>
      </c>
      <c r="L34" s="3" t="s">
        <v>70</v>
      </c>
      <c r="M34">
        <v>1</v>
      </c>
    </row>
    <row r="35" spans="1:13" x14ac:dyDescent="0.25">
      <c r="A35" s="1">
        <v>46142</v>
      </c>
      <c r="B35" s="1" t="str">
        <f ca="1">IF(Información1[[#This Row],[Fecha]]='Ajuste de fechas'!$A$2,"Día actual","Día anterior")</f>
        <v>Día actual</v>
      </c>
      <c r="C35" s="3" t="s">
        <v>46</v>
      </c>
      <c r="D35" t="s">
        <v>49</v>
      </c>
      <c r="E35" s="3" t="s">
        <v>328</v>
      </c>
      <c r="F35" s="3" t="s">
        <v>24</v>
      </c>
      <c r="G35" s="3" t="s">
        <v>153</v>
      </c>
      <c r="H35" s="3" t="s">
        <v>11</v>
      </c>
      <c r="I35" s="3" t="s">
        <v>7</v>
      </c>
      <c r="J35" s="3" t="s">
        <v>64</v>
      </c>
      <c r="K35" s="3" t="s">
        <v>47</v>
      </c>
      <c r="L35" s="3" t="s">
        <v>65</v>
      </c>
      <c r="M35">
        <v>1</v>
      </c>
    </row>
    <row r="36" spans="1:13" x14ac:dyDescent="0.25">
      <c r="A36" s="1">
        <v>46142</v>
      </c>
      <c r="B36" s="1" t="str">
        <f ca="1">IF(Información1[[#This Row],[Fecha]]='Ajuste de fechas'!$A$2,"Día actual","Día anterior")</f>
        <v>Día actual</v>
      </c>
      <c r="C36" s="3" t="s">
        <v>31</v>
      </c>
      <c r="D36" t="s">
        <v>33</v>
      </c>
      <c r="E36" s="3" t="s">
        <v>329</v>
      </c>
      <c r="F36" s="3" t="s">
        <v>23</v>
      </c>
      <c r="G36" s="3" t="s">
        <v>330</v>
      </c>
      <c r="H36" s="3" t="s">
        <v>11</v>
      </c>
      <c r="I36" s="3" t="s">
        <v>7</v>
      </c>
      <c r="J36" s="3" t="s">
        <v>69</v>
      </c>
      <c r="K36" s="3" t="s">
        <v>32</v>
      </c>
      <c r="L36" s="3" t="s">
        <v>67</v>
      </c>
      <c r="M36">
        <v>1</v>
      </c>
    </row>
    <row r="37" spans="1:13" x14ac:dyDescent="0.25">
      <c r="A37" s="1">
        <v>46142</v>
      </c>
      <c r="B37" s="1" t="str">
        <f ca="1">IF(Información1[[#This Row],[Fecha]]='Ajuste de fechas'!$A$2,"Día actual","Día anterior")</f>
        <v>Día actual</v>
      </c>
      <c r="C37" s="3" t="s">
        <v>31</v>
      </c>
      <c r="D37" t="s">
        <v>33</v>
      </c>
      <c r="E37" s="3" t="s">
        <v>331</v>
      </c>
      <c r="F37" s="3" t="s">
        <v>19</v>
      </c>
      <c r="G37" s="3" t="s">
        <v>121</v>
      </c>
      <c r="H37" s="3" t="s">
        <v>11</v>
      </c>
      <c r="I37" s="3" t="s">
        <v>7</v>
      </c>
      <c r="J37" s="3" t="s">
        <v>68</v>
      </c>
      <c r="K37" s="3" t="s">
        <v>32</v>
      </c>
      <c r="L37" s="3" t="s">
        <v>65</v>
      </c>
      <c r="M37">
        <v>1</v>
      </c>
    </row>
    <row r="38" spans="1:13" x14ac:dyDescent="0.25">
      <c r="A38" s="1">
        <v>46142</v>
      </c>
      <c r="B38" s="1" t="str">
        <f ca="1">IF(Información1[[#This Row],[Fecha]]='Ajuste de fechas'!$A$2,"Día actual","Día anterior")</f>
        <v>Día actual</v>
      </c>
      <c r="C38" s="3" t="s">
        <v>31</v>
      </c>
      <c r="D38" t="s">
        <v>33</v>
      </c>
      <c r="E38" s="3" t="s">
        <v>332</v>
      </c>
      <c r="F38" s="3" t="s">
        <v>50</v>
      </c>
      <c r="G38" s="3" t="s">
        <v>301</v>
      </c>
      <c r="H38" s="3" t="s">
        <v>11</v>
      </c>
      <c r="I38" s="3" t="s">
        <v>7</v>
      </c>
      <c r="J38" s="3" t="s">
        <v>64</v>
      </c>
      <c r="K38" s="3" t="s">
        <v>32</v>
      </c>
      <c r="L38" s="3" t="s">
        <v>67</v>
      </c>
      <c r="M38">
        <v>1</v>
      </c>
    </row>
    <row r="39" spans="1:13" x14ac:dyDescent="0.25">
      <c r="A39" s="1">
        <v>46142</v>
      </c>
      <c r="B39" s="1" t="str">
        <f ca="1">IF(Información1[[#This Row],[Fecha]]='Ajuste de fechas'!$A$2,"Día actual","Día anterior")</f>
        <v>Día actual</v>
      </c>
      <c r="C39" s="3" t="s">
        <v>31</v>
      </c>
      <c r="D39" t="s">
        <v>33</v>
      </c>
      <c r="E39" s="3" t="s">
        <v>333</v>
      </c>
      <c r="F39" s="3" t="s">
        <v>93</v>
      </c>
      <c r="G39" s="3" t="s">
        <v>334</v>
      </c>
      <c r="H39" s="3" t="s">
        <v>11</v>
      </c>
      <c r="I39" s="3" t="s">
        <v>7</v>
      </c>
      <c r="J39" s="3" t="s">
        <v>64</v>
      </c>
      <c r="K39" s="3" t="s">
        <v>32</v>
      </c>
      <c r="L39" s="3" t="s">
        <v>67</v>
      </c>
      <c r="M39">
        <v>1</v>
      </c>
    </row>
    <row r="40" spans="1:13" x14ac:dyDescent="0.25">
      <c r="A40" s="1">
        <v>46142</v>
      </c>
      <c r="B40" s="1" t="str">
        <f ca="1">IF(Información1[[#This Row],[Fecha]]='Ajuste de fechas'!$A$2,"Día actual","Día anterior")</f>
        <v>Día actual</v>
      </c>
      <c r="C40" s="3" t="s">
        <v>31</v>
      </c>
      <c r="D40" t="s">
        <v>33</v>
      </c>
      <c r="E40" s="3" t="s">
        <v>260</v>
      </c>
      <c r="F40" s="3" t="s">
        <v>229</v>
      </c>
      <c r="G40" s="3" t="s">
        <v>127</v>
      </c>
      <c r="H40" s="3" t="s">
        <v>11</v>
      </c>
      <c r="I40" s="3" t="s">
        <v>7</v>
      </c>
      <c r="J40" s="3" t="s">
        <v>64</v>
      </c>
      <c r="K40" s="3" t="s">
        <v>32</v>
      </c>
      <c r="L40" s="3" t="s">
        <v>67</v>
      </c>
      <c r="M40">
        <v>1</v>
      </c>
    </row>
    <row r="41" spans="1:13" x14ac:dyDescent="0.25">
      <c r="A41" s="1">
        <v>46142</v>
      </c>
      <c r="B41" s="1" t="str">
        <f ca="1">IF(Información1[[#This Row],[Fecha]]='Ajuste de fechas'!$A$2,"Día actual","Día anterior")</f>
        <v>Día actual</v>
      </c>
      <c r="C41" s="3" t="s">
        <v>46</v>
      </c>
      <c r="D41" t="s">
        <v>48</v>
      </c>
      <c r="E41" s="3" t="s">
        <v>329</v>
      </c>
      <c r="F41" s="3" t="s">
        <v>23</v>
      </c>
      <c r="G41" s="3" t="s">
        <v>330</v>
      </c>
      <c r="H41" s="3" t="s">
        <v>11</v>
      </c>
      <c r="I41" s="3" t="s">
        <v>7</v>
      </c>
      <c r="J41" s="3" t="s">
        <v>69</v>
      </c>
      <c r="K41" s="3" t="s">
        <v>39</v>
      </c>
      <c r="L41" s="3" t="s">
        <v>67</v>
      </c>
      <c r="M41">
        <v>1</v>
      </c>
    </row>
    <row r="42" spans="1:13" x14ac:dyDescent="0.25">
      <c r="A42" s="1">
        <v>46142</v>
      </c>
      <c r="B42" s="1" t="str">
        <f ca="1">IF(Información1[[#This Row],[Fecha]]='Ajuste de fechas'!$A$2,"Día actual","Día anterior")</f>
        <v>Día actual</v>
      </c>
      <c r="C42" s="3" t="s">
        <v>46</v>
      </c>
      <c r="D42" t="s">
        <v>48</v>
      </c>
      <c r="E42" s="3" t="s">
        <v>335</v>
      </c>
      <c r="F42" s="3" t="s">
        <v>80</v>
      </c>
      <c r="G42" s="3" t="s">
        <v>336</v>
      </c>
      <c r="H42" s="3" t="s">
        <v>11</v>
      </c>
      <c r="I42" s="3" t="s">
        <v>7</v>
      </c>
      <c r="J42" s="3" t="s">
        <v>64</v>
      </c>
      <c r="K42" s="3" t="s">
        <v>47</v>
      </c>
      <c r="L42" s="3" t="s">
        <v>65</v>
      </c>
      <c r="M42">
        <v>1</v>
      </c>
    </row>
    <row r="43" spans="1:13" x14ac:dyDescent="0.25">
      <c r="A43" s="1">
        <v>46142</v>
      </c>
      <c r="B43" s="1" t="str">
        <f ca="1">IF(Información1[[#This Row],[Fecha]]='Ajuste de fechas'!$A$2,"Día actual","Día anterior")</f>
        <v>Día actual</v>
      </c>
      <c r="C43" s="3" t="s">
        <v>46</v>
      </c>
      <c r="D43" t="s">
        <v>48</v>
      </c>
      <c r="E43" s="3" t="s">
        <v>337</v>
      </c>
      <c r="F43" s="3" t="s">
        <v>21</v>
      </c>
      <c r="G43" s="3" t="s">
        <v>210</v>
      </c>
      <c r="H43" s="3" t="s">
        <v>11</v>
      </c>
      <c r="I43" s="3" t="s">
        <v>12</v>
      </c>
      <c r="J43" s="3" t="s">
        <v>64</v>
      </c>
      <c r="K43" s="3" t="s">
        <v>39</v>
      </c>
      <c r="L43" s="3" t="s">
        <v>66</v>
      </c>
      <c r="M43">
        <v>1</v>
      </c>
    </row>
    <row r="44" spans="1:13" x14ac:dyDescent="0.25">
      <c r="A44" s="1">
        <v>46142</v>
      </c>
      <c r="B44" s="1" t="str">
        <f ca="1">IF(Información1[[#This Row],[Fecha]]='Ajuste de fechas'!$A$2,"Día actual","Día anterior")</f>
        <v>Día actual</v>
      </c>
      <c r="C44" s="3" t="s">
        <v>46</v>
      </c>
      <c r="D44" t="s">
        <v>48</v>
      </c>
      <c r="E44" s="3" t="s">
        <v>338</v>
      </c>
      <c r="F44" s="3" t="s">
        <v>86</v>
      </c>
      <c r="G44" s="3" t="s">
        <v>339</v>
      </c>
      <c r="H44" s="3" t="s">
        <v>11</v>
      </c>
      <c r="I44" s="3" t="s">
        <v>7</v>
      </c>
      <c r="J44" s="3" t="s">
        <v>64</v>
      </c>
      <c r="K44" s="3" t="s">
        <v>39</v>
      </c>
      <c r="L44" s="3" t="s">
        <v>67</v>
      </c>
      <c r="M44">
        <v>1</v>
      </c>
    </row>
    <row r="45" spans="1:13" x14ac:dyDescent="0.25">
      <c r="A45" s="1">
        <v>46142</v>
      </c>
      <c r="B45" s="1" t="str">
        <f ca="1">IF(Información1[[#This Row],[Fecha]]='Ajuste de fechas'!$A$2,"Día actual","Día anterior")</f>
        <v>Día actual</v>
      </c>
      <c r="C45" s="3" t="s">
        <v>46</v>
      </c>
      <c r="D45" t="s">
        <v>48</v>
      </c>
      <c r="E45" s="3" t="s">
        <v>340</v>
      </c>
      <c r="F45" s="3" t="s">
        <v>341</v>
      </c>
      <c r="G45" s="3" t="s">
        <v>342</v>
      </c>
      <c r="H45" s="3" t="s">
        <v>11</v>
      </c>
      <c r="I45" s="3" t="s">
        <v>7</v>
      </c>
      <c r="J45" s="3" t="s">
        <v>64</v>
      </c>
      <c r="K45" s="3" t="s">
        <v>39</v>
      </c>
      <c r="L45" s="3" t="s">
        <v>67</v>
      </c>
      <c r="M45">
        <v>1</v>
      </c>
    </row>
    <row r="46" spans="1:13" x14ac:dyDescent="0.25">
      <c r="A46" s="1">
        <v>46142</v>
      </c>
      <c r="B46" s="1" t="str">
        <f ca="1">IF(Información1[[#This Row],[Fecha]]='Ajuste de fechas'!$A$2,"Día actual","Día anterior")</f>
        <v>Día actual</v>
      </c>
      <c r="C46" s="3" t="s">
        <v>46</v>
      </c>
      <c r="D46" t="s">
        <v>48</v>
      </c>
      <c r="E46" s="3" t="s">
        <v>333</v>
      </c>
      <c r="F46" s="3" t="s">
        <v>93</v>
      </c>
      <c r="G46" s="3" t="s">
        <v>334</v>
      </c>
      <c r="H46" s="3" t="s">
        <v>11</v>
      </c>
      <c r="I46" s="3" t="s">
        <v>7</v>
      </c>
      <c r="J46" s="3" t="s">
        <v>64</v>
      </c>
      <c r="K46" s="3" t="s">
        <v>39</v>
      </c>
      <c r="L46" s="3" t="s">
        <v>67</v>
      </c>
      <c r="M46">
        <v>1</v>
      </c>
    </row>
    <row r="47" spans="1:13" x14ac:dyDescent="0.25">
      <c r="A47" s="1">
        <v>46142</v>
      </c>
      <c r="B47" s="1" t="str">
        <f ca="1">IF(Información1[[#This Row],[Fecha]]='Ajuste de fechas'!$A$2,"Día actual","Día anterior")</f>
        <v>Día actual</v>
      </c>
      <c r="C47" s="3" t="s">
        <v>46</v>
      </c>
      <c r="D47" t="s">
        <v>48</v>
      </c>
      <c r="E47" s="3" t="s">
        <v>343</v>
      </c>
      <c r="F47" s="3" t="s">
        <v>15</v>
      </c>
      <c r="G47" s="3" t="s">
        <v>153</v>
      </c>
      <c r="H47" s="3" t="s">
        <v>11</v>
      </c>
      <c r="I47" s="3" t="s">
        <v>7</v>
      </c>
      <c r="J47" s="3" t="s">
        <v>64</v>
      </c>
      <c r="K47" s="3" t="s">
        <v>39</v>
      </c>
      <c r="L47" s="3" t="s">
        <v>67</v>
      </c>
      <c r="M47">
        <v>1</v>
      </c>
    </row>
    <row r="48" spans="1:13" x14ac:dyDescent="0.25">
      <c r="A48" s="1">
        <v>46142</v>
      </c>
      <c r="B48" s="1" t="str">
        <f ca="1">IF(Información1[[#This Row],[Fecha]]='Ajuste de fechas'!$A$2,"Día actual","Día anterior")</f>
        <v>Día actual</v>
      </c>
      <c r="C48" s="3" t="s">
        <v>46</v>
      </c>
      <c r="D48" t="s">
        <v>48</v>
      </c>
      <c r="E48" s="3" t="s">
        <v>344</v>
      </c>
      <c r="F48" s="3" t="s">
        <v>24</v>
      </c>
      <c r="G48" s="3" t="s">
        <v>151</v>
      </c>
      <c r="H48" s="3" t="s">
        <v>11</v>
      </c>
      <c r="I48" s="3" t="s">
        <v>7</v>
      </c>
      <c r="J48" s="3" t="s">
        <v>64</v>
      </c>
      <c r="K48" s="3" t="s">
        <v>39</v>
      </c>
      <c r="L48" s="3" t="s">
        <v>67</v>
      </c>
      <c r="M48">
        <v>1</v>
      </c>
    </row>
    <row r="49" spans="1:13" x14ac:dyDescent="0.25">
      <c r="A49" s="1">
        <v>46142</v>
      </c>
      <c r="B49" s="1" t="str">
        <f ca="1">IF(Información1[[#This Row],[Fecha]]='Ajuste de fechas'!$A$2,"Día actual","Día anterior")</f>
        <v>Día actual</v>
      </c>
      <c r="C49" s="3" t="s">
        <v>8</v>
      </c>
      <c r="D49" t="s">
        <v>10</v>
      </c>
      <c r="E49" s="3" t="s">
        <v>345</v>
      </c>
      <c r="F49" s="3" t="s">
        <v>19</v>
      </c>
      <c r="G49" s="3" t="s">
        <v>106</v>
      </c>
      <c r="H49" s="3" t="s">
        <v>11</v>
      </c>
      <c r="I49" s="3" t="s">
        <v>7</v>
      </c>
      <c r="J49" s="3" t="s">
        <v>68</v>
      </c>
      <c r="K49" s="3" t="s">
        <v>14</v>
      </c>
      <c r="L49" s="3" t="s">
        <v>65</v>
      </c>
      <c r="M49">
        <v>1</v>
      </c>
    </row>
    <row r="50" spans="1:13" x14ac:dyDescent="0.25">
      <c r="A50" s="1">
        <v>46142</v>
      </c>
      <c r="B50" s="1" t="str">
        <f ca="1">IF(Información1[[#This Row],[Fecha]]='Ajuste de fechas'!$A$2,"Día actual","Día anterior")</f>
        <v>Día actual</v>
      </c>
      <c r="C50" s="3" t="s">
        <v>8</v>
      </c>
      <c r="D50" t="s">
        <v>10</v>
      </c>
      <c r="E50" s="3" t="s">
        <v>346</v>
      </c>
      <c r="F50" s="3" t="s">
        <v>17</v>
      </c>
      <c r="G50" s="3" t="s">
        <v>347</v>
      </c>
      <c r="H50" s="3" t="s">
        <v>11</v>
      </c>
      <c r="I50" s="3" t="s">
        <v>27</v>
      </c>
      <c r="J50" s="3" t="s">
        <v>64</v>
      </c>
      <c r="K50" s="3" t="s">
        <v>14</v>
      </c>
      <c r="L50" s="3" t="s">
        <v>66</v>
      </c>
      <c r="M50">
        <v>1</v>
      </c>
    </row>
    <row r="51" spans="1:13" x14ac:dyDescent="0.25">
      <c r="A51" s="1">
        <v>46142</v>
      </c>
      <c r="B51" s="1" t="str">
        <f ca="1">IF(Información1[[#This Row],[Fecha]]='Ajuste de fechas'!$A$2,"Día actual","Día anterior")</f>
        <v>Día actual</v>
      </c>
      <c r="C51" s="3" t="s">
        <v>8</v>
      </c>
      <c r="D51" t="s">
        <v>10</v>
      </c>
      <c r="E51" s="3" t="s">
        <v>348</v>
      </c>
      <c r="F51" s="3" t="s">
        <v>17</v>
      </c>
      <c r="G51" s="3" t="s">
        <v>347</v>
      </c>
      <c r="H51" s="3" t="s">
        <v>11</v>
      </c>
      <c r="I51" s="3" t="s">
        <v>27</v>
      </c>
      <c r="J51" s="3" t="s">
        <v>64</v>
      </c>
      <c r="K51" s="3" t="s">
        <v>14</v>
      </c>
      <c r="L51" s="3" t="s">
        <v>66</v>
      </c>
      <c r="M51">
        <v>1</v>
      </c>
    </row>
    <row r="52" spans="1:13" x14ac:dyDescent="0.25">
      <c r="A52" s="1">
        <v>46142</v>
      </c>
      <c r="B52" s="1" t="str">
        <f ca="1">IF(Información1[[#This Row],[Fecha]]='Ajuste de fechas'!$A$2,"Día actual","Día anterior")</f>
        <v>Día actual</v>
      </c>
      <c r="C52" s="3" t="s">
        <v>8</v>
      </c>
      <c r="D52" t="s">
        <v>10</v>
      </c>
      <c r="E52" s="3" t="s">
        <v>349</v>
      </c>
      <c r="F52" s="3" t="s">
        <v>17</v>
      </c>
      <c r="G52" s="3" t="s">
        <v>347</v>
      </c>
      <c r="H52" s="3" t="s">
        <v>11</v>
      </c>
      <c r="I52" s="3" t="s">
        <v>27</v>
      </c>
      <c r="J52" s="3" t="s">
        <v>64</v>
      </c>
      <c r="K52" s="3" t="s">
        <v>14</v>
      </c>
      <c r="L52" s="3" t="s">
        <v>66</v>
      </c>
      <c r="M52">
        <v>1</v>
      </c>
    </row>
    <row r="53" spans="1:13" x14ac:dyDescent="0.25">
      <c r="A53" s="1">
        <v>46142</v>
      </c>
      <c r="B53" s="1" t="str">
        <f ca="1">IF(Información1[[#This Row],[Fecha]]='Ajuste de fechas'!$A$2,"Día actual","Día anterior")</f>
        <v>Día actual</v>
      </c>
      <c r="C53" s="3" t="s">
        <v>8</v>
      </c>
      <c r="D53" t="s">
        <v>10</v>
      </c>
      <c r="E53" s="3" t="s">
        <v>350</v>
      </c>
      <c r="F53" s="3" t="s">
        <v>21</v>
      </c>
      <c r="G53" s="3" t="s">
        <v>87</v>
      </c>
      <c r="H53" s="3" t="s">
        <v>11</v>
      </c>
      <c r="I53" s="3" t="s">
        <v>7</v>
      </c>
      <c r="J53" s="3" t="s">
        <v>64</v>
      </c>
      <c r="K53" s="3" t="s">
        <v>14</v>
      </c>
      <c r="L53" s="3" t="s">
        <v>65</v>
      </c>
      <c r="M53">
        <v>1</v>
      </c>
    </row>
    <row r="54" spans="1:13" x14ac:dyDescent="0.25">
      <c r="A54" s="1">
        <v>46142</v>
      </c>
      <c r="B54" s="1" t="str">
        <f ca="1">IF(Información1[[#This Row],[Fecha]]='Ajuste de fechas'!$A$2,"Día actual","Día anterior")</f>
        <v>Día actual</v>
      </c>
      <c r="C54" s="3" t="s">
        <v>8</v>
      </c>
      <c r="D54" t="s">
        <v>10</v>
      </c>
      <c r="E54" s="3" t="s">
        <v>20</v>
      </c>
      <c r="F54" s="3" t="s">
        <v>19</v>
      </c>
      <c r="G54" s="3" t="s">
        <v>55</v>
      </c>
      <c r="H54" s="3" t="s">
        <v>11</v>
      </c>
      <c r="I54" s="3" t="s">
        <v>12</v>
      </c>
      <c r="J54" s="3" t="s">
        <v>68</v>
      </c>
      <c r="K54" s="3" t="s">
        <v>14</v>
      </c>
      <c r="L54" s="3" t="s">
        <v>66</v>
      </c>
      <c r="M54">
        <v>1</v>
      </c>
    </row>
    <row r="55" spans="1:13" x14ac:dyDescent="0.25">
      <c r="A55" s="1">
        <v>46142</v>
      </c>
      <c r="B55" s="1" t="str">
        <f ca="1">IF(Información1[[#This Row],[Fecha]]='Ajuste de fechas'!$A$2,"Día actual","Día anterior")</f>
        <v>Día actual</v>
      </c>
      <c r="C55" s="3" t="s">
        <v>8</v>
      </c>
      <c r="D55" t="s">
        <v>10</v>
      </c>
      <c r="E55" s="3" t="s">
        <v>18</v>
      </c>
      <c r="F55" s="3" t="s">
        <v>19</v>
      </c>
      <c r="G55" s="3" t="s">
        <v>55</v>
      </c>
      <c r="H55" s="3" t="s">
        <v>11</v>
      </c>
      <c r="I55" s="3" t="s">
        <v>12</v>
      </c>
      <c r="J55" s="3" t="s">
        <v>68</v>
      </c>
      <c r="K55" s="3" t="s">
        <v>14</v>
      </c>
      <c r="L55" s="3" t="s">
        <v>66</v>
      </c>
      <c r="M55">
        <v>1</v>
      </c>
    </row>
    <row r="56" spans="1:13" x14ac:dyDescent="0.25">
      <c r="A56" s="1">
        <v>46142</v>
      </c>
      <c r="B56" s="1" t="str">
        <f ca="1">IF(Información1[[#This Row],[Fecha]]='Ajuste de fechas'!$A$2,"Día actual","Día anterior")</f>
        <v>Día actual</v>
      </c>
      <c r="C56" s="3" t="s">
        <v>8</v>
      </c>
      <c r="D56" t="s">
        <v>10</v>
      </c>
      <c r="E56" s="3" t="s">
        <v>54</v>
      </c>
      <c r="F56" s="3" t="s">
        <v>22</v>
      </c>
      <c r="G56" s="3" t="s">
        <v>55</v>
      </c>
      <c r="H56" s="3" t="s">
        <v>11</v>
      </c>
      <c r="I56" s="3" t="s">
        <v>12</v>
      </c>
      <c r="J56" s="3" t="s">
        <v>26</v>
      </c>
      <c r="K56" s="3" t="s">
        <v>14</v>
      </c>
      <c r="L56" s="3" t="s">
        <v>66</v>
      </c>
      <c r="M56">
        <v>1</v>
      </c>
    </row>
    <row r="57" spans="1:13" x14ac:dyDescent="0.25">
      <c r="A57" s="1">
        <v>46142</v>
      </c>
      <c r="B57" s="1" t="str">
        <f ca="1">IF(Información1[[#This Row],[Fecha]]='Ajuste de fechas'!$A$2,"Día actual","Día anterior")</f>
        <v>Día actual</v>
      </c>
      <c r="C57" s="3" t="s">
        <v>8</v>
      </c>
      <c r="D57" t="s">
        <v>10</v>
      </c>
      <c r="E57" s="3" t="s">
        <v>83</v>
      </c>
      <c r="F57" s="3" t="s">
        <v>21</v>
      </c>
      <c r="G57" s="3" t="s">
        <v>55</v>
      </c>
      <c r="H57" s="3" t="s">
        <v>11</v>
      </c>
      <c r="I57" s="3" t="s">
        <v>12</v>
      </c>
      <c r="J57" s="3" t="s">
        <v>64</v>
      </c>
      <c r="K57" s="3" t="s">
        <v>14</v>
      </c>
      <c r="L57" s="3" t="s">
        <v>66</v>
      </c>
      <c r="M57">
        <v>1</v>
      </c>
    </row>
    <row r="58" spans="1:13" x14ac:dyDescent="0.25">
      <c r="A58" s="1">
        <v>46142</v>
      </c>
      <c r="B58" s="1" t="str">
        <f ca="1">IF(Información1[[#This Row],[Fecha]]='Ajuste de fechas'!$A$2,"Día actual","Día anterior")</f>
        <v>Día actual</v>
      </c>
      <c r="C58" s="3" t="s">
        <v>8</v>
      </c>
      <c r="D58" t="s">
        <v>10</v>
      </c>
      <c r="E58" s="3" t="s">
        <v>13</v>
      </c>
      <c r="F58" s="3" t="s">
        <v>15</v>
      </c>
      <c r="G58" s="3" t="s">
        <v>55</v>
      </c>
      <c r="H58" s="3" t="s">
        <v>11</v>
      </c>
      <c r="I58" s="3" t="s">
        <v>12</v>
      </c>
      <c r="J58" s="3" t="s">
        <v>64</v>
      </c>
      <c r="K58" s="3" t="s">
        <v>14</v>
      </c>
      <c r="L58" s="3" t="s">
        <v>66</v>
      </c>
      <c r="M58">
        <v>1</v>
      </c>
    </row>
    <row r="59" spans="1:13" x14ac:dyDescent="0.25">
      <c r="A59" s="1">
        <v>46142</v>
      </c>
      <c r="B59" s="1" t="str">
        <f ca="1">IF(Información1[[#This Row],[Fecha]]='Ajuste de fechas'!$A$2,"Día actual","Día anterior")</f>
        <v>Día actual</v>
      </c>
      <c r="C59" s="3" t="s">
        <v>8</v>
      </c>
      <c r="D59" t="s">
        <v>10</v>
      </c>
      <c r="E59" s="3" t="s">
        <v>16</v>
      </c>
      <c r="F59" s="3" t="s">
        <v>17</v>
      </c>
      <c r="G59" s="3" t="s">
        <v>55</v>
      </c>
      <c r="H59" s="3" t="s">
        <v>11</v>
      </c>
      <c r="I59" s="3" t="s">
        <v>12</v>
      </c>
      <c r="J59" s="3" t="s">
        <v>64</v>
      </c>
      <c r="K59" s="3" t="s">
        <v>14</v>
      </c>
      <c r="L59" s="3" t="s">
        <v>66</v>
      </c>
      <c r="M59">
        <v>1</v>
      </c>
    </row>
    <row r="60" spans="1:13" x14ac:dyDescent="0.25">
      <c r="A60" s="1">
        <v>46142</v>
      </c>
      <c r="B60" s="1" t="str">
        <f ca="1">IF(Información1[[#This Row],[Fecha]]='Ajuste de fechas'!$A$2,"Día actual","Día anterior")</f>
        <v>Día actual</v>
      </c>
      <c r="C60" s="3" t="s">
        <v>8</v>
      </c>
      <c r="D60" t="s">
        <v>10</v>
      </c>
      <c r="E60" s="3" t="s">
        <v>57</v>
      </c>
      <c r="F60" s="3" t="s">
        <v>6</v>
      </c>
      <c r="G60" s="3" t="s">
        <v>55</v>
      </c>
      <c r="H60" s="3" t="s">
        <v>11</v>
      </c>
      <c r="I60" s="3" t="s">
        <v>12</v>
      </c>
      <c r="J60" s="3" t="s">
        <v>64</v>
      </c>
      <c r="K60" s="3" t="s">
        <v>14</v>
      </c>
      <c r="L60" s="3" t="s">
        <v>66</v>
      </c>
      <c r="M60">
        <v>1</v>
      </c>
    </row>
    <row r="61" spans="1:13" x14ac:dyDescent="0.25">
      <c r="A61" s="1">
        <v>46142</v>
      </c>
      <c r="B61" s="1" t="str">
        <f ca="1">IF(Información1[[#This Row],[Fecha]]='Ajuste de fechas'!$A$2,"Día actual","Día anterior")</f>
        <v>Día actual</v>
      </c>
      <c r="C61" s="3" t="s">
        <v>8</v>
      </c>
      <c r="D61" t="s">
        <v>10</v>
      </c>
      <c r="E61" s="3" t="s">
        <v>351</v>
      </c>
      <c r="F61" s="3" t="s">
        <v>24</v>
      </c>
      <c r="G61" s="3" t="s">
        <v>151</v>
      </c>
      <c r="H61" s="3" t="s">
        <v>11</v>
      </c>
      <c r="I61" s="3" t="s">
        <v>7</v>
      </c>
      <c r="J61" s="3" t="s">
        <v>64</v>
      </c>
      <c r="K61" s="3" t="s">
        <v>14</v>
      </c>
      <c r="L61" s="3" t="s">
        <v>67</v>
      </c>
      <c r="M61">
        <v>1</v>
      </c>
    </row>
    <row r="62" spans="1:13" x14ac:dyDescent="0.25">
      <c r="A62" s="1">
        <v>46142</v>
      </c>
      <c r="B62" s="1" t="str">
        <f ca="1">IF(Información1[[#This Row],[Fecha]]='Ajuste de fechas'!$A$2,"Día actual","Día anterior")</f>
        <v>Día actual</v>
      </c>
      <c r="C62" s="3" t="s">
        <v>8</v>
      </c>
      <c r="D62" t="s">
        <v>10</v>
      </c>
      <c r="E62" s="3" t="s">
        <v>352</v>
      </c>
      <c r="F62" s="3" t="s">
        <v>50</v>
      </c>
      <c r="G62" s="3" t="s">
        <v>353</v>
      </c>
      <c r="H62" s="3" t="s">
        <v>11</v>
      </c>
      <c r="I62" s="3" t="s">
        <v>7</v>
      </c>
      <c r="J62" s="3" t="s">
        <v>64</v>
      </c>
      <c r="K62" s="3" t="s">
        <v>14</v>
      </c>
      <c r="L62" s="3" t="s">
        <v>65</v>
      </c>
      <c r="M62">
        <v>1</v>
      </c>
    </row>
    <row r="63" spans="1:13" x14ac:dyDescent="0.25">
      <c r="A63" s="1">
        <v>46142</v>
      </c>
      <c r="B63" s="1" t="str">
        <f ca="1">IF(Información1[[#This Row],[Fecha]]='Ajuste de fechas'!$A$2,"Día actual","Día anterior")</f>
        <v>Día actual</v>
      </c>
      <c r="C63" s="3" t="s">
        <v>34</v>
      </c>
      <c r="D63" t="s">
        <v>36</v>
      </c>
      <c r="E63" s="3" t="s">
        <v>354</v>
      </c>
      <c r="F63" s="3" t="s">
        <v>24</v>
      </c>
      <c r="G63" s="3" t="s">
        <v>238</v>
      </c>
      <c r="H63" s="3" t="s">
        <v>11</v>
      </c>
      <c r="I63" s="3" t="s">
        <v>7</v>
      </c>
      <c r="J63" s="3" t="s">
        <v>64</v>
      </c>
      <c r="K63" s="3" t="s">
        <v>56</v>
      </c>
      <c r="L63" s="3" t="s">
        <v>65</v>
      </c>
      <c r="M63">
        <v>1</v>
      </c>
    </row>
    <row r="64" spans="1:13" x14ac:dyDescent="0.25">
      <c r="A64" s="1">
        <v>46142</v>
      </c>
      <c r="B64" s="1" t="str">
        <f ca="1">IF(Información1[[#This Row],[Fecha]]='Ajuste de fechas'!$A$2,"Día actual","Día anterior")</f>
        <v>Día actual</v>
      </c>
      <c r="C64" s="3" t="s">
        <v>34</v>
      </c>
      <c r="D64" t="s">
        <v>37</v>
      </c>
      <c r="E64" s="3" t="s">
        <v>355</v>
      </c>
      <c r="F64" s="3" t="s">
        <v>24</v>
      </c>
      <c r="G64" s="3" t="s">
        <v>238</v>
      </c>
      <c r="H64" s="3" t="s">
        <v>11</v>
      </c>
      <c r="I64" s="3" t="s">
        <v>7</v>
      </c>
      <c r="J64" s="3" t="s">
        <v>64</v>
      </c>
      <c r="K64" s="3" t="s">
        <v>35</v>
      </c>
      <c r="L64" s="3" t="s">
        <v>65</v>
      </c>
      <c r="M64">
        <v>1</v>
      </c>
    </row>
    <row r="65" spans="1:13" x14ac:dyDescent="0.25">
      <c r="A65" s="1">
        <v>46142</v>
      </c>
      <c r="B65" s="1" t="str">
        <f ca="1">IF(Información1[[#This Row],[Fecha]]='Ajuste de fechas'!$A$2,"Día actual","Día anterior")</f>
        <v>Día actual</v>
      </c>
      <c r="C65" s="3" t="s">
        <v>34</v>
      </c>
      <c r="D65" t="s">
        <v>36</v>
      </c>
      <c r="E65" s="3" t="s">
        <v>356</v>
      </c>
      <c r="F65" s="3" t="s">
        <v>15</v>
      </c>
      <c r="G65" s="3" t="s">
        <v>153</v>
      </c>
      <c r="H65" s="3" t="s">
        <v>11</v>
      </c>
      <c r="I65" s="3" t="s">
        <v>7</v>
      </c>
      <c r="J65" s="3" t="s">
        <v>64</v>
      </c>
      <c r="K65" s="3" t="s">
        <v>56</v>
      </c>
      <c r="L65" s="3" t="s">
        <v>67</v>
      </c>
      <c r="M65">
        <v>1</v>
      </c>
    </row>
    <row r="66" spans="1:13" x14ac:dyDescent="0.25">
      <c r="A66" s="1">
        <v>46142</v>
      </c>
      <c r="B66" s="1" t="str">
        <f ca="1">IF(Información1[[#This Row],[Fecha]]='Ajuste de fechas'!$A$2,"Día actual","Día anterior")</f>
        <v>Día actual</v>
      </c>
      <c r="C66" s="3" t="s">
        <v>34</v>
      </c>
      <c r="D66" t="s">
        <v>37</v>
      </c>
      <c r="E66" s="3" t="s">
        <v>357</v>
      </c>
      <c r="F66" s="3" t="s">
        <v>15</v>
      </c>
      <c r="G66" s="3" t="s">
        <v>153</v>
      </c>
      <c r="H66" s="3" t="s">
        <v>11</v>
      </c>
      <c r="I66" s="3" t="s">
        <v>7</v>
      </c>
      <c r="J66" s="3" t="s">
        <v>64</v>
      </c>
      <c r="K66" s="3" t="s">
        <v>35</v>
      </c>
      <c r="L66" s="3" t="s">
        <v>65</v>
      </c>
      <c r="M66">
        <v>1</v>
      </c>
    </row>
    <row r="67" spans="1:13" x14ac:dyDescent="0.25">
      <c r="A67" s="1">
        <v>46142</v>
      </c>
      <c r="B67" s="1" t="str">
        <f ca="1">IF(Información1[[#This Row],[Fecha]]='Ajuste de fechas'!$A$2,"Día actual","Día anterior")</f>
        <v>Día actual</v>
      </c>
      <c r="C67" s="3" t="s">
        <v>34</v>
      </c>
      <c r="D67" t="s">
        <v>36</v>
      </c>
      <c r="E67" s="3" t="s">
        <v>333</v>
      </c>
      <c r="F67" s="3" t="s">
        <v>93</v>
      </c>
      <c r="G67" s="3" t="s">
        <v>334</v>
      </c>
      <c r="H67" s="3" t="s">
        <v>11</v>
      </c>
      <c r="I67" s="3" t="s">
        <v>7</v>
      </c>
      <c r="J67" s="3" t="s">
        <v>64</v>
      </c>
      <c r="K67" s="3" t="s">
        <v>56</v>
      </c>
      <c r="L67" s="3" t="s">
        <v>67</v>
      </c>
      <c r="M67">
        <v>1</v>
      </c>
    </row>
    <row r="68" spans="1:13" x14ac:dyDescent="0.25">
      <c r="A68" s="1">
        <v>46142</v>
      </c>
      <c r="B68" s="1" t="str">
        <f ca="1">IF(Información1[[#This Row],[Fecha]]='Ajuste de fechas'!$A$2,"Día actual","Día anterior")</f>
        <v>Día actual</v>
      </c>
      <c r="C68" s="3" t="s">
        <v>107</v>
      </c>
      <c r="D68" t="s">
        <v>358</v>
      </c>
      <c r="E68" s="3" t="s">
        <v>359</v>
      </c>
      <c r="F68" s="3" t="s">
        <v>229</v>
      </c>
      <c r="G68" s="3" t="s">
        <v>219</v>
      </c>
      <c r="H68" s="3" t="s">
        <v>11</v>
      </c>
      <c r="I68" s="3" t="s">
        <v>7</v>
      </c>
      <c r="J68" s="3" t="s">
        <v>64</v>
      </c>
      <c r="K68" s="3" t="s">
        <v>360</v>
      </c>
      <c r="L68" s="3" t="s">
        <v>67</v>
      </c>
      <c r="M68">
        <v>1</v>
      </c>
    </row>
    <row r="69" spans="1:13" x14ac:dyDescent="0.25">
      <c r="A69" s="1">
        <v>46142</v>
      </c>
      <c r="B69" s="1" t="str">
        <f ca="1">IF(Información1[[#This Row],[Fecha]]='Ajuste de fechas'!$A$2,"Día actual","Día anterior")</f>
        <v>Día actual</v>
      </c>
      <c r="C69" s="3" t="s">
        <v>34</v>
      </c>
      <c r="D69" t="s">
        <v>37</v>
      </c>
      <c r="E69" s="3" t="s">
        <v>359</v>
      </c>
      <c r="F69" s="3" t="s">
        <v>229</v>
      </c>
      <c r="G69" s="3" t="s">
        <v>219</v>
      </c>
      <c r="H69" s="3" t="s">
        <v>11</v>
      </c>
      <c r="I69" s="3" t="s">
        <v>7</v>
      </c>
      <c r="J69" s="3" t="s">
        <v>64</v>
      </c>
      <c r="K69" s="3" t="s">
        <v>35</v>
      </c>
      <c r="L69" s="3" t="s">
        <v>67</v>
      </c>
      <c r="M69">
        <v>1</v>
      </c>
    </row>
    <row r="70" spans="1:13" x14ac:dyDescent="0.25">
      <c r="A70" s="1">
        <v>46142</v>
      </c>
      <c r="B70" s="1" t="str">
        <f ca="1">IF(Información1[[#This Row],[Fecha]]='Ajuste de fechas'!$A$2,"Día actual","Día anterior")</f>
        <v>Día actual</v>
      </c>
      <c r="C70" s="3" t="s">
        <v>8</v>
      </c>
      <c r="D70" t="s">
        <v>10</v>
      </c>
      <c r="E70" s="3" t="s">
        <v>361</v>
      </c>
      <c r="F70" s="3" t="s">
        <v>229</v>
      </c>
      <c r="G70" s="3" t="s">
        <v>219</v>
      </c>
      <c r="H70" s="3" t="s">
        <v>11</v>
      </c>
      <c r="I70" s="3" t="s">
        <v>7</v>
      </c>
      <c r="J70" s="3" t="s">
        <v>64</v>
      </c>
      <c r="K70" s="3" t="s">
        <v>14</v>
      </c>
      <c r="L70" s="3" t="s">
        <v>65</v>
      </c>
      <c r="M70">
        <v>1</v>
      </c>
    </row>
    <row r="71" spans="1:13" x14ac:dyDescent="0.25">
      <c r="A71" s="1">
        <v>46142</v>
      </c>
      <c r="B71" s="1" t="str">
        <f ca="1">IF(Información1[[#This Row],[Fecha]]='Ajuste de fechas'!$A$2,"Día actual","Día anterior")</f>
        <v>Día actual</v>
      </c>
      <c r="C71" s="3" t="s">
        <v>8</v>
      </c>
      <c r="D71" t="s">
        <v>10</v>
      </c>
      <c r="E71" s="3" t="s">
        <v>362</v>
      </c>
      <c r="F71" s="3" t="s">
        <v>19</v>
      </c>
      <c r="G71" s="3" t="s">
        <v>78</v>
      </c>
      <c r="H71" s="3" t="s">
        <v>11</v>
      </c>
      <c r="I71" s="3" t="s">
        <v>7</v>
      </c>
      <c r="J71" s="3" t="s">
        <v>68</v>
      </c>
      <c r="K71" s="3" t="s">
        <v>14</v>
      </c>
      <c r="L71" s="3" t="s">
        <v>70</v>
      </c>
      <c r="M71">
        <v>1</v>
      </c>
    </row>
    <row r="72" spans="1:13" x14ac:dyDescent="0.25">
      <c r="A72" s="1">
        <v>46142</v>
      </c>
      <c r="B72" s="1" t="str">
        <f ca="1">IF(Información1[[#This Row],[Fecha]]='Ajuste de fechas'!$A$2,"Día actual","Día anterior")</f>
        <v>Día actual</v>
      </c>
      <c r="C72" s="3" t="s">
        <v>8</v>
      </c>
      <c r="D72" t="s">
        <v>10</v>
      </c>
      <c r="E72" s="3" t="s">
        <v>363</v>
      </c>
      <c r="F72" s="3" t="s">
        <v>19</v>
      </c>
      <c r="G72" s="3" t="s">
        <v>78</v>
      </c>
      <c r="H72" s="3" t="s">
        <v>11</v>
      </c>
      <c r="I72" s="3" t="s">
        <v>7</v>
      </c>
      <c r="J72" s="3" t="s">
        <v>68</v>
      </c>
      <c r="K72" s="3" t="s">
        <v>14</v>
      </c>
      <c r="L72" s="3" t="s">
        <v>70</v>
      </c>
      <c r="M72">
        <v>1</v>
      </c>
    </row>
    <row r="73" spans="1:13" x14ac:dyDescent="0.25">
      <c r="A73" s="1">
        <v>46142</v>
      </c>
      <c r="B73" s="1" t="str">
        <f ca="1">IF(Información1[[#This Row],[Fecha]]='Ajuste de fechas'!$A$2,"Día actual","Día anterior")</f>
        <v>Día actual</v>
      </c>
      <c r="C73" s="3" t="s">
        <v>34</v>
      </c>
      <c r="D73" t="s">
        <v>36</v>
      </c>
      <c r="E73" s="3" t="s">
        <v>364</v>
      </c>
      <c r="F73" s="3" t="s">
        <v>21</v>
      </c>
      <c r="G73" s="3" t="s">
        <v>110</v>
      </c>
      <c r="H73" s="3" t="s">
        <v>11</v>
      </c>
      <c r="I73" s="3" t="s">
        <v>7</v>
      </c>
      <c r="J73" s="3" t="s">
        <v>64</v>
      </c>
      <c r="K73" s="3" t="s">
        <v>56</v>
      </c>
      <c r="L73" s="3" t="s">
        <v>67</v>
      </c>
      <c r="M73">
        <v>1</v>
      </c>
    </row>
    <row r="74" spans="1:13" x14ac:dyDescent="0.25">
      <c r="A74" s="1">
        <v>46142</v>
      </c>
      <c r="B74" s="1" t="str">
        <f ca="1">IF(Información1[[#This Row],[Fecha]]='Ajuste de fechas'!$A$2,"Día actual","Día anterior")</f>
        <v>Día actual</v>
      </c>
      <c r="C74" s="3" t="s">
        <v>34</v>
      </c>
      <c r="D74" t="s">
        <v>37</v>
      </c>
      <c r="E74" s="3" t="s">
        <v>365</v>
      </c>
      <c r="F74" s="3" t="s">
        <v>21</v>
      </c>
      <c r="G74" s="3" t="s">
        <v>110</v>
      </c>
      <c r="H74" s="3" t="s">
        <v>11</v>
      </c>
      <c r="I74" s="3" t="s">
        <v>7</v>
      </c>
      <c r="J74" s="3" t="s">
        <v>64</v>
      </c>
      <c r="K74" s="3" t="s">
        <v>35</v>
      </c>
      <c r="L74" s="3" t="s">
        <v>65</v>
      </c>
      <c r="M74">
        <v>1</v>
      </c>
    </row>
    <row r="75" spans="1:13" x14ac:dyDescent="0.25">
      <c r="A75" s="1">
        <v>46142</v>
      </c>
      <c r="B75" s="1" t="str">
        <f ca="1">IF(Información1[[#This Row],[Fecha]]='Ajuste de fechas'!$A$2,"Día actual","Día anterior")</f>
        <v>Día actual</v>
      </c>
      <c r="C75" s="3" t="s">
        <v>34</v>
      </c>
      <c r="D75" t="s">
        <v>36</v>
      </c>
      <c r="E75" s="3" t="s">
        <v>366</v>
      </c>
      <c r="F75" s="3" t="s">
        <v>215</v>
      </c>
      <c r="G75" s="3" t="s">
        <v>249</v>
      </c>
      <c r="H75" s="3" t="s">
        <v>11</v>
      </c>
      <c r="I75" s="3" t="s">
        <v>7</v>
      </c>
      <c r="J75" s="3" t="s">
        <v>64</v>
      </c>
      <c r="K75" s="3" t="s">
        <v>56</v>
      </c>
      <c r="L75" s="3" t="s">
        <v>67</v>
      </c>
      <c r="M75">
        <v>1</v>
      </c>
    </row>
    <row r="76" spans="1:13" x14ac:dyDescent="0.25">
      <c r="A76" s="1">
        <v>46142</v>
      </c>
      <c r="B76" s="1" t="str">
        <f ca="1">IF(Información1[[#This Row],[Fecha]]='Ajuste de fechas'!$A$2,"Día actual","Día anterior")</f>
        <v>Día actual</v>
      </c>
      <c r="C76" s="3" t="s">
        <v>8</v>
      </c>
      <c r="D76" t="s">
        <v>10</v>
      </c>
      <c r="E76" s="3" t="s">
        <v>367</v>
      </c>
      <c r="F76" s="3" t="s">
        <v>6</v>
      </c>
      <c r="G76" s="3" t="s">
        <v>79</v>
      </c>
      <c r="H76" s="3" t="s">
        <v>11</v>
      </c>
      <c r="I76" s="3" t="s">
        <v>27</v>
      </c>
      <c r="J76" s="3" t="s">
        <v>64</v>
      </c>
      <c r="K76" s="3" t="s">
        <v>14</v>
      </c>
      <c r="L76" s="3" t="s">
        <v>66</v>
      </c>
      <c r="M76">
        <v>1</v>
      </c>
    </row>
    <row r="77" spans="1:13" x14ac:dyDescent="0.25">
      <c r="A77" s="1">
        <v>46142</v>
      </c>
      <c r="B77" s="1" t="str">
        <f ca="1">IF(Información1[[#This Row],[Fecha]]='Ajuste de fechas'!$A$2,"Día actual","Día anterior")</f>
        <v>Día actual</v>
      </c>
      <c r="C77" s="3" t="s">
        <v>34</v>
      </c>
      <c r="D77" t="s">
        <v>36</v>
      </c>
      <c r="E77" s="3" t="s">
        <v>368</v>
      </c>
      <c r="F77" s="3" t="s">
        <v>25</v>
      </c>
      <c r="G77" s="3" t="s">
        <v>76</v>
      </c>
      <c r="H77" s="3" t="s">
        <v>11</v>
      </c>
      <c r="I77" s="3" t="s">
        <v>7</v>
      </c>
      <c r="J77" s="3" t="s">
        <v>64</v>
      </c>
      <c r="K77" s="3" t="s">
        <v>56</v>
      </c>
      <c r="L77" s="3" t="s">
        <v>65</v>
      </c>
      <c r="M77">
        <v>1</v>
      </c>
    </row>
    <row r="78" spans="1:13" x14ac:dyDescent="0.25">
      <c r="A78" s="1">
        <v>46142</v>
      </c>
      <c r="B78" s="1" t="str">
        <f ca="1">IF(Información1[[#This Row],[Fecha]]='Ajuste de fechas'!$A$2,"Día actual","Día anterior")</f>
        <v>Día actual</v>
      </c>
      <c r="C78" s="3" t="s">
        <v>34</v>
      </c>
      <c r="D78" t="s">
        <v>36</v>
      </c>
      <c r="E78" s="3" t="s">
        <v>368</v>
      </c>
      <c r="F78" s="3" t="s">
        <v>82</v>
      </c>
      <c r="G78" s="3" t="s">
        <v>76</v>
      </c>
      <c r="H78" s="3" t="s">
        <v>11</v>
      </c>
      <c r="I78" s="3" t="s">
        <v>7</v>
      </c>
      <c r="J78" s="3" t="s">
        <v>64</v>
      </c>
      <c r="K78" s="3" t="s">
        <v>56</v>
      </c>
      <c r="L78" s="3" t="s">
        <v>65</v>
      </c>
      <c r="M78">
        <v>1</v>
      </c>
    </row>
    <row r="79" spans="1:13" x14ac:dyDescent="0.25">
      <c r="A79" s="1">
        <v>46142</v>
      </c>
      <c r="B79" s="1" t="str">
        <f ca="1">IF(Información1[[#This Row],[Fecha]]='Ajuste de fechas'!$A$2,"Día actual","Día anterior")</f>
        <v>Día actual</v>
      </c>
      <c r="C79" s="3" t="s">
        <v>34</v>
      </c>
      <c r="D79" t="s">
        <v>37</v>
      </c>
      <c r="E79" s="3" t="s">
        <v>369</v>
      </c>
      <c r="F79" s="3" t="s">
        <v>23</v>
      </c>
      <c r="G79" s="3" t="s">
        <v>330</v>
      </c>
      <c r="H79" s="3" t="s">
        <v>11</v>
      </c>
      <c r="I79" s="3" t="s">
        <v>7</v>
      </c>
      <c r="J79" s="3" t="s">
        <v>69</v>
      </c>
      <c r="K79" s="3" t="s">
        <v>35</v>
      </c>
      <c r="L79" s="3" t="s">
        <v>65</v>
      </c>
      <c r="M79">
        <v>1</v>
      </c>
    </row>
    <row r="80" spans="1:13" x14ac:dyDescent="0.25">
      <c r="A80" s="1">
        <v>46142</v>
      </c>
      <c r="B80" s="1" t="str">
        <f ca="1">IF(Información1[[#This Row],[Fecha]]='Ajuste de fechas'!$A$2,"Día actual","Día anterior")</f>
        <v>Día actual</v>
      </c>
      <c r="C80" s="3" t="s">
        <v>34</v>
      </c>
      <c r="D80" t="s">
        <v>36</v>
      </c>
      <c r="E80" s="3" t="s">
        <v>370</v>
      </c>
      <c r="F80" s="3" t="s">
        <v>22</v>
      </c>
      <c r="G80" s="3" t="s">
        <v>224</v>
      </c>
      <c r="H80" s="3" t="s">
        <v>11</v>
      </c>
      <c r="I80" s="3" t="s">
        <v>7</v>
      </c>
      <c r="J80" s="3" t="s">
        <v>26</v>
      </c>
      <c r="K80" s="3" t="s">
        <v>56</v>
      </c>
      <c r="L80" s="3" t="s">
        <v>65</v>
      </c>
      <c r="M80">
        <v>1</v>
      </c>
    </row>
    <row r="81" spans="1:13" x14ac:dyDescent="0.25">
      <c r="A81" s="1">
        <v>46142</v>
      </c>
      <c r="B81" s="1" t="str">
        <f ca="1">IF(Información1[[#This Row],[Fecha]]='Ajuste de fechas'!$A$2,"Día actual","Día anterior")</f>
        <v>Día actual</v>
      </c>
      <c r="C81" s="3" t="s">
        <v>8</v>
      </c>
      <c r="D81" t="s">
        <v>10</v>
      </c>
      <c r="E81" s="3" t="s">
        <v>371</v>
      </c>
      <c r="F81" s="3" t="s">
        <v>19</v>
      </c>
      <c r="G81" s="3" t="s">
        <v>29</v>
      </c>
      <c r="H81" s="3" t="s">
        <v>11</v>
      </c>
      <c r="I81" s="3" t="s">
        <v>27</v>
      </c>
      <c r="J81" s="3" t="s">
        <v>68</v>
      </c>
      <c r="K81" s="3" t="s">
        <v>14</v>
      </c>
      <c r="L81" s="3" t="s">
        <v>66</v>
      </c>
      <c r="M81">
        <v>1</v>
      </c>
    </row>
    <row r="82" spans="1:13" x14ac:dyDescent="0.25">
      <c r="A82" s="1">
        <v>46142</v>
      </c>
      <c r="B82" s="1" t="str">
        <f ca="1">IF(Información1[[#This Row],[Fecha]]='Ajuste de fechas'!$A$2,"Día actual","Día anterior")</f>
        <v>Día actual</v>
      </c>
      <c r="C82" s="3" t="s">
        <v>34</v>
      </c>
      <c r="D82" t="s">
        <v>36</v>
      </c>
      <c r="E82" s="3" t="s">
        <v>373</v>
      </c>
      <c r="F82" s="3" t="s">
        <v>90</v>
      </c>
      <c r="G82" s="3" t="s">
        <v>231</v>
      </c>
      <c r="H82" s="3" t="s">
        <v>11</v>
      </c>
      <c r="I82" s="3" t="s">
        <v>7</v>
      </c>
      <c r="J82" s="3" t="s">
        <v>64</v>
      </c>
      <c r="K82" s="3" t="s">
        <v>56</v>
      </c>
      <c r="L82" s="3" t="s">
        <v>65</v>
      </c>
      <c r="M82">
        <v>1</v>
      </c>
    </row>
    <row r="83" spans="1:13" x14ac:dyDescent="0.25">
      <c r="A83" s="1">
        <v>46142</v>
      </c>
      <c r="B83" s="1" t="str">
        <f ca="1">IF(Información1[[#This Row],[Fecha]]='Ajuste de fechas'!$A$2,"Día actual","Día anterior")</f>
        <v>Día actual</v>
      </c>
      <c r="C83" s="3" t="s">
        <v>8</v>
      </c>
      <c r="D83" t="s">
        <v>10</v>
      </c>
      <c r="E83" s="3" t="s">
        <v>374</v>
      </c>
      <c r="F83" s="3" t="s">
        <v>50</v>
      </c>
      <c r="G83" s="3" t="s">
        <v>301</v>
      </c>
      <c r="H83" s="3" t="s">
        <v>11</v>
      </c>
      <c r="I83" s="3" t="s">
        <v>7</v>
      </c>
      <c r="J83" s="3" t="s">
        <v>64</v>
      </c>
      <c r="K83" s="3" t="s">
        <v>14</v>
      </c>
      <c r="L83" s="3" t="s">
        <v>65</v>
      </c>
      <c r="M83">
        <v>1</v>
      </c>
    </row>
    <row r="84" spans="1:13" x14ac:dyDescent="0.25">
      <c r="A84" s="1">
        <v>46142</v>
      </c>
      <c r="B84" s="1" t="str">
        <f ca="1">IF(Información1[[#This Row],[Fecha]]='Ajuste de fechas'!$A$2,"Día actual","Día anterior")</f>
        <v>Día actual</v>
      </c>
      <c r="C84" s="3" t="s">
        <v>34</v>
      </c>
      <c r="D84" t="s">
        <v>36</v>
      </c>
      <c r="E84" s="3" t="s">
        <v>375</v>
      </c>
      <c r="F84" s="3" t="s">
        <v>19</v>
      </c>
      <c r="G84" s="3" t="s">
        <v>376</v>
      </c>
      <c r="H84" s="3" t="s">
        <v>11</v>
      </c>
      <c r="I84" s="3" t="s">
        <v>7</v>
      </c>
      <c r="J84" s="3" t="s">
        <v>68</v>
      </c>
      <c r="K84" s="3" t="s">
        <v>56</v>
      </c>
      <c r="L84" s="3" t="s">
        <v>70</v>
      </c>
      <c r="M84">
        <v>1</v>
      </c>
    </row>
    <row r="85" spans="1:13" x14ac:dyDescent="0.25">
      <c r="A85" s="1">
        <v>46142</v>
      </c>
      <c r="B85" s="1" t="str">
        <f ca="1">IF(Información1[[#This Row],[Fecha]]='Ajuste de fechas'!$A$2,"Día actual","Día anterior")</f>
        <v>Día actual</v>
      </c>
      <c r="C85" s="3" t="s">
        <v>107</v>
      </c>
      <c r="D85" t="s">
        <v>358</v>
      </c>
      <c r="E85" s="3" t="s">
        <v>304</v>
      </c>
      <c r="F85" s="3" t="s">
        <v>15</v>
      </c>
      <c r="G85" s="3" t="s">
        <v>305</v>
      </c>
      <c r="H85" s="3" t="s">
        <v>11</v>
      </c>
      <c r="I85" s="3" t="s">
        <v>7</v>
      </c>
      <c r="J85" s="3" t="s">
        <v>64</v>
      </c>
      <c r="K85" s="3" t="s">
        <v>360</v>
      </c>
      <c r="L85" s="3" t="s">
        <v>67</v>
      </c>
      <c r="M85">
        <v>1</v>
      </c>
    </row>
    <row r="86" spans="1:13" x14ac:dyDescent="0.25">
      <c r="A86" s="1">
        <v>46142</v>
      </c>
      <c r="B86" s="1" t="str">
        <f ca="1">IF(Información1[[#This Row],[Fecha]]='Ajuste de fechas'!$A$2,"Día actual","Día anterior")</f>
        <v>Día actual</v>
      </c>
      <c r="C86" s="3" t="s">
        <v>34</v>
      </c>
      <c r="D86" t="s">
        <v>37</v>
      </c>
      <c r="E86" s="3" t="s">
        <v>377</v>
      </c>
      <c r="F86" s="3" t="s">
        <v>23</v>
      </c>
      <c r="G86" s="3" t="s">
        <v>378</v>
      </c>
      <c r="H86" s="3" t="s">
        <v>11</v>
      </c>
      <c r="I86" s="3" t="s">
        <v>27</v>
      </c>
      <c r="J86" s="3" t="s">
        <v>69</v>
      </c>
      <c r="K86" s="3" t="s">
        <v>35</v>
      </c>
      <c r="L86" s="3" t="s">
        <v>65</v>
      </c>
      <c r="M86">
        <v>1</v>
      </c>
    </row>
    <row r="87" spans="1:13" x14ac:dyDescent="0.25">
      <c r="A87" s="1">
        <v>46142</v>
      </c>
      <c r="B87" s="1" t="str">
        <f ca="1">IF(Información1[[#This Row],[Fecha]]='Ajuste de fechas'!$A$2,"Día actual","Día anterior")</f>
        <v>Día actual</v>
      </c>
      <c r="C87" s="3" t="s">
        <v>107</v>
      </c>
      <c r="D87" t="s">
        <v>358</v>
      </c>
      <c r="E87" s="3" t="s">
        <v>379</v>
      </c>
      <c r="F87" s="3" t="s">
        <v>157</v>
      </c>
      <c r="G87" s="3" t="s">
        <v>317</v>
      </c>
      <c r="H87" s="3" t="s">
        <v>11</v>
      </c>
      <c r="I87" s="3" t="s">
        <v>7</v>
      </c>
      <c r="J87" s="3" t="s">
        <v>64</v>
      </c>
      <c r="K87" s="3" t="s">
        <v>360</v>
      </c>
      <c r="L87" s="3" t="s">
        <v>67</v>
      </c>
      <c r="M87">
        <v>1</v>
      </c>
    </row>
    <row r="88" spans="1:13" x14ac:dyDescent="0.25">
      <c r="A88" s="1">
        <v>46142</v>
      </c>
      <c r="B88" s="1" t="str">
        <f ca="1">IF(Información1[[#This Row],[Fecha]]='Ajuste de fechas'!$A$2,"Día actual","Día anterior")</f>
        <v>Día actual</v>
      </c>
      <c r="C88" s="3" t="s">
        <v>8</v>
      </c>
      <c r="D88" t="s">
        <v>10</v>
      </c>
      <c r="E88" s="3" t="s">
        <v>380</v>
      </c>
      <c r="F88" s="3" t="s">
        <v>22</v>
      </c>
      <c r="G88" s="3" t="s">
        <v>381</v>
      </c>
      <c r="H88" s="3" t="s">
        <v>11</v>
      </c>
      <c r="I88" s="3" t="s">
        <v>7</v>
      </c>
      <c r="J88" s="3" t="s">
        <v>26</v>
      </c>
      <c r="K88" s="3" t="s">
        <v>14</v>
      </c>
      <c r="L88" s="3" t="s">
        <v>70</v>
      </c>
      <c r="M88">
        <v>1</v>
      </c>
    </row>
    <row r="89" spans="1:13" x14ac:dyDescent="0.25">
      <c r="A89" s="1">
        <v>46142</v>
      </c>
      <c r="B89" s="1" t="str">
        <f ca="1">IF(Información1[[#This Row],[Fecha]]='Ajuste de fechas'!$A$2,"Día actual","Día anterior")</f>
        <v>Día actual</v>
      </c>
      <c r="C89" s="3" t="s">
        <v>8</v>
      </c>
      <c r="D89" t="s">
        <v>10</v>
      </c>
      <c r="E89" s="3" t="s">
        <v>382</v>
      </c>
      <c r="F89" s="3" t="s">
        <v>19</v>
      </c>
      <c r="G89" s="3" t="s">
        <v>383</v>
      </c>
      <c r="H89" s="3" t="s">
        <v>11</v>
      </c>
      <c r="I89" s="3" t="s">
        <v>7</v>
      </c>
      <c r="J89" s="3" t="s">
        <v>68</v>
      </c>
      <c r="K89" s="3" t="s">
        <v>14</v>
      </c>
      <c r="L89" s="3" t="s">
        <v>65</v>
      </c>
      <c r="M89">
        <v>1</v>
      </c>
    </row>
    <row r="90" spans="1:13" x14ac:dyDescent="0.25">
      <c r="A90" s="1">
        <v>46141</v>
      </c>
      <c r="B90" s="1" t="str">
        <f ca="1">IF(Información1[[#This Row],[Fecha]]='Ajuste de fechas'!$A$2,"Día actual","Día anterior")</f>
        <v>Día anterior</v>
      </c>
      <c r="C90" s="3" t="s">
        <v>46</v>
      </c>
      <c r="D90" t="s">
        <v>49</v>
      </c>
      <c r="E90" s="3" t="s">
        <v>114</v>
      </c>
      <c r="F90" s="3" t="s">
        <v>19</v>
      </c>
      <c r="G90" s="3" t="s">
        <v>85</v>
      </c>
      <c r="H90" s="3" t="s">
        <v>11</v>
      </c>
      <c r="I90" s="3" t="s">
        <v>7</v>
      </c>
      <c r="J90" s="3" t="s">
        <v>68</v>
      </c>
      <c r="K90" s="3" t="s">
        <v>47</v>
      </c>
      <c r="L90" s="3" t="s">
        <v>70</v>
      </c>
      <c r="M90">
        <v>1</v>
      </c>
    </row>
    <row r="91" spans="1:13" x14ac:dyDescent="0.25">
      <c r="A91" s="1">
        <v>46141</v>
      </c>
      <c r="B91" s="1" t="str">
        <f ca="1">IF(Información1[[#This Row],[Fecha]]='Ajuste de fechas'!$A$2,"Día actual","Día anterior")</f>
        <v>Día anterior</v>
      </c>
      <c r="C91" s="3" t="s">
        <v>46</v>
      </c>
      <c r="D91" t="s">
        <v>49</v>
      </c>
      <c r="E91" s="3" t="s">
        <v>115</v>
      </c>
      <c r="F91" s="3" t="s">
        <v>43</v>
      </c>
      <c r="G91" s="3" t="s">
        <v>116</v>
      </c>
      <c r="H91" s="3" t="s">
        <v>11</v>
      </c>
      <c r="I91" s="3" t="s">
        <v>7</v>
      </c>
      <c r="J91" s="3" t="s">
        <v>64</v>
      </c>
      <c r="K91" s="3" t="s">
        <v>47</v>
      </c>
      <c r="L91" s="3" t="s">
        <v>65</v>
      </c>
      <c r="M91">
        <v>1</v>
      </c>
    </row>
    <row r="92" spans="1:13" x14ac:dyDescent="0.25">
      <c r="A92" s="1">
        <v>46141</v>
      </c>
      <c r="B92" s="1" t="str">
        <f ca="1">IF(Información1[[#This Row],[Fecha]]='Ajuste de fechas'!$A$2,"Día actual","Día anterior")</f>
        <v>Día anterior</v>
      </c>
      <c r="C92" s="3" t="s">
        <v>46</v>
      </c>
      <c r="D92" t="s">
        <v>49</v>
      </c>
      <c r="E92" s="3" t="s">
        <v>117</v>
      </c>
      <c r="F92" s="3" t="s">
        <v>24</v>
      </c>
      <c r="G92" s="3" t="s">
        <v>118</v>
      </c>
      <c r="H92" s="3" t="s">
        <v>11</v>
      </c>
      <c r="I92" s="3" t="s">
        <v>7</v>
      </c>
      <c r="J92" s="3" t="s">
        <v>64</v>
      </c>
      <c r="K92" s="3" t="s">
        <v>47</v>
      </c>
      <c r="L92" s="3" t="s">
        <v>65</v>
      </c>
      <c r="M92">
        <v>1</v>
      </c>
    </row>
    <row r="93" spans="1:13" x14ac:dyDescent="0.25">
      <c r="A93" s="1">
        <v>46141</v>
      </c>
      <c r="B93" s="1" t="str">
        <f ca="1">IF(Información1[[#This Row],[Fecha]]='Ajuste de fechas'!$A$2,"Día actual","Día anterior")</f>
        <v>Día anterior</v>
      </c>
      <c r="C93" s="3" t="s">
        <v>46</v>
      </c>
      <c r="D93" t="s">
        <v>49</v>
      </c>
      <c r="E93" s="3" t="s">
        <v>119</v>
      </c>
      <c r="F93" s="3" t="s">
        <v>24</v>
      </c>
      <c r="G93" s="3" t="s">
        <v>118</v>
      </c>
      <c r="H93" s="3" t="s">
        <v>11</v>
      </c>
      <c r="I93" s="3" t="s">
        <v>7</v>
      </c>
      <c r="J93" s="3" t="s">
        <v>64</v>
      </c>
      <c r="K93" s="3" t="s">
        <v>47</v>
      </c>
      <c r="L93" s="3" t="s">
        <v>65</v>
      </c>
      <c r="M93">
        <v>1</v>
      </c>
    </row>
    <row r="94" spans="1:13" x14ac:dyDescent="0.25">
      <c r="A94" s="1">
        <v>46141</v>
      </c>
      <c r="B94" s="1" t="str">
        <f ca="1">IF(Información1[[#This Row],[Fecha]]='Ajuste de fechas'!$A$2,"Día actual","Día anterior")</f>
        <v>Día anterior</v>
      </c>
      <c r="C94" s="3" t="s">
        <v>31</v>
      </c>
      <c r="D94" t="s">
        <v>33</v>
      </c>
      <c r="E94" s="3" t="s">
        <v>120</v>
      </c>
      <c r="F94" s="3" t="s">
        <v>19</v>
      </c>
      <c r="G94" s="3" t="s">
        <v>121</v>
      </c>
      <c r="H94" s="3" t="s">
        <v>11</v>
      </c>
      <c r="I94" s="3" t="s">
        <v>7</v>
      </c>
      <c r="J94" s="3" t="s">
        <v>68</v>
      </c>
      <c r="K94" s="3" t="s">
        <v>32</v>
      </c>
      <c r="L94" s="3" t="s">
        <v>65</v>
      </c>
      <c r="M94">
        <v>1</v>
      </c>
    </row>
    <row r="95" spans="1:13" x14ac:dyDescent="0.25">
      <c r="A95" s="1">
        <v>46141</v>
      </c>
      <c r="B95" s="1" t="str">
        <f ca="1">IF(Información1[[#This Row],[Fecha]]='Ajuste de fechas'!$A$2,"Día actual","Día anterior")</f>
        <v>Día anterior</v>
      </c>
      <c r="C95" s="3" t="s">
        <v>31</v>
      </c>
      <c r="D95" t="s">
        <v>33</v>
      </c>
      <c r="E95" s="3" t="s">
        <v>122</v>
      </c>
      <c r="F95" s="3" t="s">
        <v>15</v>
      </c>
      <c r="G95" s="3" t="s">
        <v>74</v>
      </c>
      <c r="H95" s="3" t="s">
        <v>11</v>
      </c>
      <c r="I95" s="3" t="s">
        <v>7</v>
      </c>
      <c r="J95" s="3" t="s">
        <v>64</v>
      </c>
      <c r="K95" s="3" t="s">
        <v>32</v>
      </c>
      <c r="L95" s="3" t="s">
        <v>65</v>
      </c>
      <c r="M95">
        <v>1</v>
      </c>
    </row>
    <row r="96" spans="1:13" x14ac:dyDescent="0.25">
      <c r="A96" s="1">
        <v>46141</v>
      </c>
      <c r="B96" s="1" t="str">
        <f ca="1">IF(Información1[[#This Row],[Fecha]]='Ajuste de fechas'!$A$2,"Día actual","Día anterior")</f>
        <v>Día anterior</v>
      </c>
      <c r="C96" s="3" t="s">
        <v>31</v>
      </c>
      <c r="D96" t="s">
        <v>33</v>
      </c>
      <c r="E96" s="3" t="s">
        <v>123</v>
      </c>
      <c r="F96" s="3" t="s">
        <v>15</v>
      </c>
      <c r="G96" s="3" t="s">
        <v>98</v>
      </c>
      <c r="H96" s="3" t="s">
        <v>11</v>
      </c>
      <c r="I96" s="3" t="s">
        <v>7</v>
      </c>
      <c r="J96" s="3" t="s">
        <v>64</v>
      </c>
      <c r="K96" s="3" t="s">
        <v>32</v>
      </c>
      <c r="L96" s="3" t="s">
        <v>67</v>
      </c>
      <c r="M96">
        <v>1</v>
      </c>
    </row>
    <row r="97" spans="1:13" x14ac:dyDescent="0.25">
      <c r="A97" s="1">
        <v>46141</v>
      </c>
      <c r="B97" s="1" t="str">
        <f ca="1">IF(Información1[[#This Row],[Fecha]]='Ajuste de fechas'!$A$2,"Día actual","Día anterior")</f>
        <v>Día anterior</v>
      </c>
      <c r="C97" s="3" t="s">
        <v>31</v>
      </c>
      <c r="D97" t="s">
        <v>33</v>
      </c>
      <c r="E97" s="3" t="s">
        <v>124</v>
      </c>
      <c r="F97" s="3" t="s">
        <v>50</v>
      </c>
      <c r="G97" s="3" t="s">
        <v>125</v>
      </c>
      <c r="H97" s="3" t="s">
        <v>11</v>
      </c>
      <c r="I97" s="3" t="s">
        <v>7</v>
      </c>
      <c r="J97" s="3" t="s">
        <v>64</v>
      </c>
      <c r="K97" s="3" t="s">
        <v>32</v>
      </c>
      <c r="L97" s="3" t="s">
        <v>67</v>
      </c>
      <c r="M97">
        <v>1</v>
      </c>
    </row>
    <row r="98" spans="1:13" x14ac:dyDescent="0.25">
      <c r="A98" s="1">
        <v>46141</v>
      </c>
      <c r="B98" s="1" t="str">
        <f ca="1">IF(Información1[[#This Row],[Fecha]]='Ajuste de fechas'!$A$2,"Día actual","Día anterior")</f>
        <v>Día anterior</v>
      </c>
      <c r="C98" s="3" t="s">
        <v>31</v>
      </c>
      <c r="D98" t="s">
        <v>33</v>
      </c>
      <c r="E98" s="3" t="s">
        <v>126</v>
      </c>
      <c r="F98" s="3" t="s">
        <v>22</v>
      </c>
      <c r="G98" s="3" t="s">
        <v>127</v>
      </c>
      <c r="H98" s="3" t="s">
        <v>11</v>
      </c>
      <c r="I98" s="3" t="s">
        <v>7</v>
      </c>
      <c r="J98" s="3" t="s">
        <v>26</v>
      </c>
      <c r="K98" s="3" t="s">
        <v>32</v>
      </c>
      <c r="L98" s="3" t="s">
        <v>65</v>
      </c>
      <c r="M98">
        <v>1</v>
      </c>
    </row>
    <row r="99" spans="1:13" x14ac:dyDescent="0.25">
      <c r="A99" s="1">
        <v>46141</v>
      </c>
      <c r="B99" s="1" t="str">
        <f ca="1">IF(Información1[[#This Row],[Fecha]]='Ajuste de fechas'!$A$2,"Día actual","Día anterior")</f>
        <v>Día anterior</v>
      </c>
      <c r="C99" s="3" t="s">
        <v>31</v>
      </c>
      <c r="D99" t="s">
        <v>33</v>
      </c>
      <c r="E99" s="3" t="s">
        <v>128</v>
      </c>
      <c r="F99" s="3" t="s">
        <v>22</v>
      </c>
      <c r="G99" s="3" t="s">
        <v>84</v>
      </c>
      <c r="H99" s="3" t="s">
        <v>11</v>
      </c>
      <c r="I99" s="3" t="s">
        <v>7</v>
      </c>
      <c r="J99" s="3" t="s">
        <v>26</v>
      </c>
      <c r="K99" s="3" t="s">
        <v>32</v>
      </c>
      <c r="L99" s="3" t="s">
        <v>65</v>
      </c>
      <c r="M99">
        <v>1</v>
      </c>
    </row>
    <row r="100" spans="1:13" x14ac:dyDescent="0.25">
      <c r="A100" s="1">
        <v>46141</v>
      </c>
      <c r="B100" s="1" t="str">
        <f ca="1">IF(Información1[[#This Row],[Fecha]]='Ajuste de fechas'!$A$2,"Día actual","Día anterior")</f>
        <v>Día anterior</v>
      </c>
      <c r="C100" s="3" t="s">
        <v>31</v>
      </c>
      <c r="D100" t="s">
        <v>33</v>
      </c>
      <c r="E100" s="3" t="s">
        <v>129</v>
      </c>
      <c r="F100" s="3" t="s">
        <v>21</v>
      </c>
      <c r="G100" s="3" t="s">
        <v>110</v>
      </c>
      <c r="H100" s="3" t="s">
        <v>11</v>
      </c>
      <c r="I100" s="3" t="s">
        <v>7</v>
      </c>
      <c r="J100" s="3" t="s">
        <v>64</v>
      </c>
      <c r="K100" s="3" t="s">
        <v>32</v>
      </c>
      <c r="L100" s="3" t="s">
        <v>67</v>
      </c>
      <c r="M100">
        <v>1</v>
      </c>
    </row>
    <row r="101" spans="1:13" x14ac:dyDescent="0.25">
      <c r="A101" s="1">
        <v>46141</v>
      </c>
      <c r="B101" s="1" t="str">
        <f ca="1">IF(Información1[[#This Row],[Fecha]]='Ajuste de fechas'!$A$2,"Día actual","Día anterior")</f>
        <v>Día anterior</v>
      </c>
      <c r="C101" s="3" t="s">
        <v>31</v>
      </c>
      <c r="D101" t="s">
        <v>33</v>
      </c>
      <c r="E101" s="3" t="s">
        <v>130</v>
      </c>
      <c r="F101" s="3" t="s">
        <v>131</v>
      </c>
      <c r="G101" s="3" t="s">
        <v>132</v>
      </c>
      <c r="H101" s="3" t="s">
        <v>11</v>
      </c>
      <c r="I101" s="3" t="s">
        <v>7</v>
      </c>
      <c r="J101" s="3" t="s">
        <v>64</v>
      </c>
      <c r="K101" s="3" t="s">
        <v>32</v>
      </c>
      <c r="L101" s="3" t="s">
        <v>65</v>
      </c>
      <c r="M101">
        <v>1</v>
      </c>
    </row>
    <row r="102" spans="1:13" x14ac:dyDescent="0.25">
      <c r="A102" s="1">
        <v>46141</v>
      </c>
      <c r="B102" s="1" t="str">
        <f ca="1">IF(Información1[[#This Row],[Fecha]]='Ajuste de fechas'!$A$2,"Día actual","Día anterior")</f>
        <v>Día anterior</v>
      </c>
      <c r="C102" s="3" t="s">
        <v>31</v>
      </c>
      <c r="D102" t="s">
        <v>33</v>
      </c>
      <c r="E102" s="3" t="s">
        <v>133</v>
      </c>
      <c r="F102" s="3" t="s">
        <v>24</v>
      </c>
      <c r="G102" s="3" t="s">
        <v>118</v>
      </c>
      <c r="H102" s="3" t="s">
        <v>11</v>
      </c>
      <c r="I102" s="3" t="s">
        <v>7</v>
      </c>
      <c r="J102" s="3" t="s">
        <v>64</v>
      </c>
      <c r="K102" s="3" t="s">
        <v>32</v>
      </c>
      <c r="L102" s="3" t="s">
        <v>67</v>
      </c>
      <c r="M102">
        <v>1</v>
      </c>
    </row>
    <row r="103" spans="1:13" x14ac:dyDescent="0.25">
      <c r="A103" s="1">
        <v>46141</v>
      </c>
      <c r="B103" s="1" t="str">
        <f ca="1">IF(Información1[[#This Row],[Fecha]]='Ajuste de fechas'!$A$2,"Día actual","Día anterior")</f>
        <v>Día anterior</v>
      </c>
      <c r="C103" s="3" t="s">
        <v>31</v>
      </c>
      <c r="D103" t="s">
        <v>33</v>
      </c>
      <c r="E103" s="3" t="s">
        <v>134</v>
      </c>
      <c r="F103" s="3" t="s">
        <v>24</v>
      </c>
      <c r="G103" s="3" t="s">
        <v>88</v>
      </c>
      <c r="H103" s="3" t="s">
        <v>11</v>
      </c>
      <c r="I103" s="3" t="s">
        <v>7</v>
      </c>
      <c r="J103" s="3" t="s">
        <v>64</v>
      </c>
      <c r="K103" s="3" t="s">
        <v>32</v>
      </c>
      <c r="L103" s="3" t="s">
        <v>67</v>
      </c>
      <c r="M103">
        <v>1</v>
      </c>
    </row>
    <row r="104" spans="1:13" x14ac:dyDescent="0.25">
      <c r="A104" s="1">
        <v>46141</v>
      </c>
      <c r="B104" s="1" t="str">
        <f ca="1">IF(Información1[[#This Row],[Fecha]]='Ajuste de fechas'!$A$2,"Día actual","Día anterior")</f>
        <v>Día anterior</v>
      </c>
      <c r="C104" s="3" t="s">
        <v>46</v>
      </c>
      <c r="D104" t="s">
        <v>48</v>
      </c>
      <c r="E104" s="3" t="s">
        <v>135</v>
      </c>
      <c r="F104" s="3" t="s">
        <v>136</v>
      </c>
      <c r="G104" s="3" t="s">
        <v>137</v>
      </c>
      <c r="H104" s="3" t="s">
        <v>11</v>
      </c>
      <c r="I104" s="3" t="s">
        <v>27</v>
      </c>
      <c r="J104" s="3" t="s">
        <v>138</v>
      </c>
      <c r="K104" s="3" t="s">
        <v>139</v>
      </c>
      <c r="L104" s="3" t="s">
        <v>66</v>
      </c>
      <c r="M104">
        <v>1</v>
      </c>
    </row>
    <row r="105" spans="1:13" x14ac:dyDescent="0.25">
      <c r="A105" s="1">
        <v>46141</v>
      </c>
      <c r="B105" s="1" t="str">
        <f ca="1">IF(Información1[[#This Row],[Fecha]]='Ajuste de fechas'!$A$2,"Día actual","Día anterior")</f>
        <v>Día anterior</v>
      </c>
      <c r="C105" s="3" t="s">
        <v>46</v>
      </c>
      <c r="D105" t="s">
        <v>48</v>
      </c>
      <c r="E105" s="3" t="s">
        <v>140</v>
      </c>
      <c r="F105" s="3" t="s">
        <v>26</v>
      </c>
      <c r="G105" s="3" t="s">
        <v>141</v>
      </c>
      <c r="H105" s="3" t="s">
        <v>11</v>
      </c>
      <c r="I105" s="3" t="s">
        <v>27</v>
      </c>
      <c r="J105" s="3" t="s">
        <v>26</v>
      </c>
      <c r="K105" s="3" t="s">
        <v>139</v>
      </c>
      <c r="L105" s="3" t="s">
        <v>66</v>
      </c>
      <c r="M105">
        <v>1</v>
      </c>
    </row>
    <row r="106" spans="1:13" x14ac:dyDescent="0.25">
      <c r="A106" s="1">
        <v>46141</v>
      </c>
      <c r="B106" s="1" t="str">
        <f ca="1">IF(Información1[[#This Row],[Fecha]]='Ajuste de fechas'!$A$2,"Día actual","Día anterior")</f>
        <v>Día anterior</v>
      </c>
      <c r="C106" s="3" t="s">
        <v>46</v>
      </c>
      <c r="D106" t="s">
        <v>48</v>
      </c>
      <c r="E106" s="3" t="s">
        <v>142</v>
      </c>
      <c r="F106" s="3" t="s">
        <v>19</v>
      </c>
      <c r="G106" s="3" t="s">
        <v>127</v>
      </c>
      <c r="H106" s="3" t="s">
        <v>11</v>
      </c>
      <c r="I106" s="3" t="s">
        <v>7</v>
      </c>
      <c r="J106" s="3" t="s">
        <v>68</v>
      </c>
      <c r="K106" s="3" t="s">
        <v>39</v>
      </c>
      <c r="L106" s="3" t="s">
        <v>65</v>
      </c>
      <c r="M106">
        <v>1</v>
      </c>
    </row>
    <row r="107" spans="1:13" x14ac:dyDescent="0.25">
      <c r="A107" s="1">
        <v>46141</v>
      </c>
      <c r="B107" s="1" t="str">
        <f ca="1">IF(Información1[[#This Row],[Fecha]]='Ajuste de fechas'!$A$2,"Día actual","Día anterior")</f>
        <v>Día anterior</v>
      </c>
      <c r="C107" s="3" t="s">
        <v>46</v>
      </c>
      <c r="D107" t="s">
        <v>48</v>
      </c>
      <c r="E107" s="3" t="s">
        <v>143</v>
      </c>
      <c r="F107" s="3" t="s">
        <v>19</v>
      </c>
      <c r="G107" s="3" t="s">
        <v>89</v>
      </c>
      <c r="H107" s="3" t="s">
        <v>11</v>
      </c>
      <c r="I107" s="3" t="s">
        <v>7</v>
      </c>
      <c r="J107" s="3" t="s">
        <v>68</v>
      </c>
      <c r="K107" s="3" t="s">
        <v>139</v>
      </c>
      <c r="L107" s="3" t="s">
        <v>66</v>
      </c>
      <c r="M107">
        <v>1</v>
      </c>
    </row>
    <row r="108" spans="1:13" x14ac:dyDescent="0.25">
      <c r="A108" s="1">
        <v>46141</v>
      </c>
      <c r="B108" s="1" t="str">
        <f ca="1">IF(Información1[[#This Row],[Fecha]]='Ajuste de fechas'!$A$2,"Día actual","Día anterior")</f>
        <v>Día anterior</v>
      </c>
      <c r="C108" s="3" t="s">
        <v>46</v>
      </c>
      <c r="D108" t="s">
        <v>48</v>
      </c>
      <c r="E108" s="3" t="s">
        <v>144</v>
      </c>
      <c r="F108" s="3" t="s">
        <v>19</v>
      </c>
      <c r="G108" s="3" t="s">
        <v>105</v>
      </c>
      <c r="H108" s="3" t="s">
        <v>11</v>
      </c>
      <c r="I108" s="3" t="s">
        <v>27</v>
      </c>
      <c r="J108" s="3" t="s">
        <v>68</v>
      </c>
      <c r="K108" s="3" t="s">
        <v>47</v>
      </c>
      <c r="L108" s="3" t="s">
        <v>65</v>
      </c>
      <c r="M108">
        <v>1</v>
      </c>
    </row>
    <row r="109" spans="1:13" x14ac:dyDescent="0.25">
      <c r="A109" s="1">
        <v>46141</v>
      </c>
      <c r="B109" s="1" t="str">
        <f ca="1">IF(Información1[[#This Row],[Fecha]]='Ajuste de fechas'!$A$2,"Día actual","Día anterior")</f>
        <v>Día anterior</v>
      </c>
      <c r="C109" s="3" t="s">
        <v>46</v>
      </c>
      <c r="D109" t="s">
        <v>48</v>
      </c>
      <c r="E109" s="3" t="s">
        <v>145</v>
      </c>
      <c r="F109" s="3" t="s">
        <v>19</v>
      </c>
      <c r="G109" s="3" t="s">
        <v>146</v>
      </c>
      <c r="H109" s="3" t="s">
        <v>11</v>
      </c>
      <c r="I109" s="3" t="s">
        <v>7</v>
      </c>
      <c r="J109" s="3" t="s">
        <v>68</v>
      </c>
      <c r="K109" s="3" t="s">
        <v>47</v>
      </c>
      <c r="L109" s="3" t="s">
        <v>65</v>
      </c>
      <c r="M109">
        <v>1</v>
      </c>
    </row>
    <row r="110" spans="1:13" x14ac:dyDescent="0.25">
      <c r="A110" s="1">
        <v>46141</v>
      </c>
      <c r="B110" s="1" t="str">
        <f ca="1">IF(Información1[[#This Row],[Fecha]]='Ajuste de fechas'!$A$2,"Día actual","Día anterior")</f>
        <v>Día anterior</v>
      </c>
      <c r="C110" s="3" t="s">
        <v>46</v>
      </c>
      <c r="D110" t="s">
        <v>48</v>
      </c>
      <c r="E110" s="3" t="s">
        <v>147</v>
      </c>
      <c r="F110" s="3" t="s">
        <v>6</v>
      </c>
      <c r="G110" s="3" t="s">
        <v>99</v>
      </c>
      <c r="H110" s="3" t="s">
        <v>11</v>
      </c>
      <c r="I110" s="3" t="s">
        <v>27</v>
      </c>
      <c r="J110" s="3" t="s">
        <v>64</v>
      </c>
      <c r="K110" s="3" t="s">
        <v>139</v>
      </c>
      <c r="L110" s="3" t="s">
        <v>66</v>
      </c>
      <c r="M110">
        <v>1</v>
      </c>
    </row>
    <row r="111" spans="1:13" x14ac:dyDescent="0.25">
      <c r="A111" s="1">
        <v>46141</v>
      </c>
      <c r="B111" s="1" t="str">
        <f ca="1">IF(Información1[[#This Row],[Fecha]]='Ajuste de fechas'!$A$2,"Día actual","Día anterior")</f>
        <v>Día anterior</v>
      </c>
      <c r="C111" s="3" t="s">
        <v>46</v>
      </c>
      <c r="D111" t="s">
        <v>48</v>
      </c>
      <c r="E111" s="3" t="s">
        <v>148</v>
      </c>
      <c r="F111" s="3" t="s">
        <v>90</v>
      </c>
      <c r="G111" s="3" t="s">
        <v>149</v>
      </c>
      <c r="H111" s="3" t="s">
        <v>11</v>
      </c>
      <c r="I111" s="3" t="s">
        <v>7</v>
      </c>
      <c r="J111" s="3" t="s">
        <v>64</v>
      </c>
      <c r="K111" s="3" t="s">
        <v>39</v>
      </c>
      <c r="L111" s="3" t="s">
        <v>65</v>
      </c>
      <c r="M111">
        <v>1</v>
      </c>
    </row>
    <row r="112" spans="1:13" x14ac:dyDescent="0.25">
      <c r="A112" s="1">
        <v>46141</v>
      </c>
      <c r="B112" s="1" t="str">
        <f ca="1">IF(Información1[[#This Row],[Fecha]]='Ajuste de fechas'!$A$2,"Día actual","Día anterior")</f>
        <v>Día anterior</v>
      </c>
      <c r="C112" s="3" t="s">
        <v>46</v>
      </c>
      <c r="D112" t="s">
        <v>48</v>
      </c>
      <c r="E112" s="3" t="s">
        <v>150</v>
      </c>
      <c r="F112" s="3" t="s">
        <v>24</v>
      </c>
      <c r="G112" s="3" t="s">
        <v>151</v>
      </c>
      <c r="H112" s="3" t="s">
        <v>11</v>
      </c>
      <c r="I112" s="3" t="s">
        <v>7</v>
      </c>
      <c r="J112" s="3" t="s">
        <v>64</v>
      </c>
      <c r="K112" s="3" t="s">
        <v>39</v>
      </c>
      <c r="L112" s="3" t="s">
        <v>67</v>
      </c>
      <c r="M112">
        <v>1</v>
      </c>
    </row>
    <row r="113" spans="1:13" x14ac:dyDescent="0.25">
      <c r="A113" s="1">
        <v>46141</v>
      </c>
      <c r="B113" s="1" t="str">
        <f ca="1">IF(Información1[[#This Row],[Fecha]]='Ajuste de fechas'!$A$2,"Día actual","Día anterior")</f>
        <v>Día anterior</v>
      </c>
      <c r="C113" s="3" t="s">
        <v>46</v>
      </c>
      <c r="D113" t="s">
        <v>48</v>
      </c>
      <c r="E113" s="3" t="s">
        <v>123</v>
      </c>
      <c r="F113" s="3" t="s">
        <v>15</v>
      </c>
      <c r="G113" s="3" t="s">
        <v>98</v>
      </c>
      <c r="H113" s="3" t="s">
        <v>11</v>
      </c>
      <c r="I113" s="3" t="s">
        <v>7</v>
      </c>
      <c r="J113" s="3" t="s">
        <v>64</v>
      </c>
      <c r="K113" s="3" t="s">
        <v>39</v>
      </c>
      <c r="L113" s="3" t="s">
        <v>67</v>
      </c>
      <c r="M113">
        <v>1</v>
      </c>
    </row>
    <row r="114" spans="1:13" x14ac:dyDescent="0.25">
      <c r="A114" s="1">
        <v>46141</v>
      </c>
      <c r="B114" s="1" t="str">
        <f ca="1">IF(Información1[[#This Row],[Fecha]]='Ajuste de fechas'!$A$2,"Día actual","Día anterior")</f>
        <v>Día anterior</v>
      </c>
      <c r="C114" s="3" t="s">
        <v>46</v>
      </c>
      <c r="D114" t="s">
        <v>48</v>
      </c>
      <c r="E114" s="3" t="s">
        <v>152</v>
      </c>
      <c r="F114" s="3" t="s">
        <v>15</v>
      </c>
      <c r="G114" s="3" t="s">
        <v>153</v>
      </c>
      <c r="H114" s="3" t="s">
        <v>11</v>
      </c>
      <c r="I114" s="3" t="s">
        <v>7</v>
      </c>
      <c r="J114" s="3" t="s">
        <v>64</v>
      </c>
      <c r="K114" s="3" t="s">
        <v>39</v>
      </c>
      <c r="L114" s="3" t="s">
        <v>65</v>
      </c>
      <c r="M114">
        <v>1</v>
      </c>
    </row>
    <row r="115" spans="1:13" x14ac:dyDescent="0.25">
      <c r="A115" s="1">
        <v>46141</v>
      </c>
      <c r="B115" s="1" t="str">
        <f ca="1">IF(Información1[[#This Row],[Fecha]]='Ajuste de fechas'!$A$2,"Día actual","Día anterior")</f>
        <v>Día anterior</v>
      </c>
      <c r="C115" s="3" t="s">
        <v>46</v>
      </c>
      <c r="D115" t="s">
        <v>48</v>
      </c>
      <c r="E115" s="3" t="s">
        <v>154</v>
      </c>
      <c r="F115" s="3" t="s">
        <v>50</v>
      </c>
      <c r="G115" s="3" t="s">
        <v>155</v>
      </c>
      <c r="H115" s="3" t="s">
        <v>11</v>
      </c>
      <c r="I115" s="3" t="s">
        <v>7</v>
      </c>
      <c r="J115" s="3" t="s">
        <v>64</v>
      </c>
      <c r="K115" s="3" t="s">
        <v>39</v>
      </c>
      <c r="L115" s="3" t="s">
        <v>67</v>
      </c>
      <c r="M115">
        <v>1</v>
      </c>
    </row>
    <row r="116" spans="1:13" x14ac:dyDescent="0.25">
      <c r="A116" s="1">
        <v>46141</v>
      </c>
      <c r="B116" s="1" t="str">
        <f ca="1">IF(Información1[[#This Row],[Fecha]]='Ajuste de fechas'!$A$2,"Día actual","Día anterior")</f>
        <v>Día anterior</v>
      </c>
      <c r="C116" s="3" t="s">
        <v>46</v>
      </c>
      <c r="D116" t="s">
        <v>48</v>
      </c>
      <c r="E116" s="3" t="s">
        <v>156</v>
      </c>
      <c r="F116" s="3" t="s">
        <v>157</v>
      </c>
      <c r="G116" s="3" t="s">
        <v>158</v>
      </c>
      <c r="H116" s="3" t="s">
        <v>11</v>
      </c>
      <c r="I116" s="3" t="s">
        <v>7</v>
      </c>
      <c r="J116" s="3" t="s">
        <v>64</v>
      </c>
      <c r="K116" s="3" t="s">
        <v>39</v>
      </c>
      <c r="L116" s="3" t="s">
        <v>67</v>
      </c>
      <c r="M116">
        <v>1</v>
      </c>
    </row>
    <row r="117" spans="1:13" x14ac:dyDescent="0.25">
      <c r="A117" s="1">
        <v>46141</v>
      </c>
      <c r="B117" s="1" t="str">
        <f ca="1">IF(Información1[[#This Row],[Fecha]]='Ajuste de fechas'!$A$2,"Día actual","Día anterior")</f>
        <v>Día anterior</v>
      </c>
      <c r="C117" s="3" t="s">
        <v>46</v>
      </c>
      <c r="D117" t="s">
        <v>48</v>
      </c>
      <c r="E117" s="3" t="s">
        <v>159</v>
      </c>
      <c r="F117" s="3" t="s">
        <v>25</v>
      </c>
      <c r="G117" s="3" t="s">
        <v>160</v>
      </c>
      <c r="H117" s="3" t="s">
        <v>11</v>
      </c>
      <c r="I117" s="3" t="s">
        <v>7</v>
      </c>
      <c r="J117" s="3" t="s">
        <v>64</v>
      </c>
      <c r="K117" s="3" t="s">
        <v>39</v>
      </c>
      <c r="L117" s="3" t="s">
        <v>67</v>
      </c>
      <c r="M117">
        <v>1</v>
      </c>
    </row>
    <row r="118" spans="1:13" x14ac:dyDescent="0.25">
      <c r="A118" s="1">
        <v>46141</v>
      </c>
      <c r="B118" s="1" t="str">
        <f ca="1">IF(Información1[[#This Row],[Fecha]]='Ajuste de fechas'!$A$2,"Día actual","Día anterior")</f>
        <v>Día anterior</v>
      </c>
      <c r="C118" s="3" t="s">
        <v>46</v>
      </c>
      <c r="D118" t="s">
        <v>48</v>
      </c>
      <c r="E118" s="3" t="s">
        <v>161</v>
      </c>
      <c r="F118" s="3" t="s">
        <v>6</v>
      </c>
      <c r="G118" s="3" t="s">
        <v>162</v>
      </c>
      <c r="H118" s="3" t="s">
        <v>11</v>
      </c>
      <c r="I118" s="3" t="s">
        <v>7</v>
      </c>
      <c r="J118" s="3" t="s">
        <v>64</v>
      </c>
      <c r="K118" s="3" t="s">
        <v>39</v>
      </c>
      <c r="L118" s="3" t="s">
        <v>67</v>
      </c>
      <c r="M118">
        <v>1</v>
      </c>
    </row>
    <row r="119" spans="1:13" x14ac:dyDescent="0.25">
      <c r="A119" s="1">
        <v>46141</v>
      </c>
      <c r="B119" s="1" t="str">
        <f ca="1">IF(Información1[[#This Row],[Fecha]]='Ajuste de fechas'!$A$2,"Día actual","Día anterior")</f>
        <v>Día anterior</v>
      </c>
      <c r="C119" s="3" t="s">
        <v>46</v>
      </c>
      <c r="D119" t="s">
        <v>48</v>
      </c>
      <c r="E119" s="3" t="s">
        <v>163</v>
      </c>
      <c r="F119" s="3" t="s">
        <v>15</v>
      </c>
      <c r="G119" s="3" t="s">
        <v>164</v>
      </c>
      <c r="H119" s="3" t="s">
        <v>11</v>
      </c>
      <c r="I119" s="3" t="s">
        <v>7</v>
      </c>
      <c r="J119" s="3" t="s">
        <v>64</v>
      </c>
      <c r="K119" s="3" t="s">
        <v>39</v>
      </c>
      <c r="L119" s="3" t="s">
        <v>67</v>
      </c>
      <c r="M119">
        <v>1</v>
      </c>
    </row>
    <row r="120" spans="1:13" x14ac:dyDescent="0.25">
      <c r="A120" s="1">
        <v>46141</v>
      </c>
      <c r="B120" s="1" t="str">
        <f ca="1">IF(Información1[[#This Row],[Fecha]]='Ajuste de fechas'!$A$2,"Día actual","Día anterior")</f>
        <v>Día anterior</v>
      </c>
      <c r="C120" s="3" t="s">
        <v>44</v>
      </c>
      <c r="D120" t="s">
        <v>45</v>
      </c>
      <c r="E120" s="3" t="s">
        <v>165</v>
      </c>
      <c r="F120" s="3" t="s">
        <v>17</v>
      </c>
      <c r="G120" s="3" t="s">
        <v>166</v>
      </c>
      <c r="H120" s="3" t="s">
        <v>41</v>
      </c>
      <c r="I120" s="3" t="s">
        <v>7</v>
      </c>
      <c r="J120" s="3" t="s">
        <v>64</v>
      </c>
      <c r="K120" s="3" t="s">
        <v>30</v>
      </c>
      <c r="L120" s="3" t="s">
        <v>65</v>
      </c>
      <c r="M120">
        <v>1</v>
      </c>
    </row>
    <row r="121" spans="1:13" x14ac:dyDescent="0.25">
      <c r="A121" s="1">
        <v>46141</v>
      </c>
      <c r="B121" s="1" t="str">
        <f ca="1">IF(Información1[[#This Row],[Fecha]]='Ajuste de fechas'!$A$2,"Día actual","Día anterior")</f>
        <v>Día anterior</v>
      </c>
      <c r="C121" s="3" t="s">
        <v>44</v>
      </c>
      <c r="D121" t="s">
        <v>45</v>
      </c>
      <c r="E121" s="3" t="s">
        <v>167</v>
      </c>
      <c r="F121" s="3" t="s">
        <v>15</v>
      </c>
      <c r="G121" s="3" t="s">
        <v>91</v>
      </c>
      <c r="H121" s="3" t="s">
        <v>41</v>
      </c>
      <c r="I121" s="3" t="s">
        <v>7</v>
      </c>
      <c r="J121" s="3" t="s">
        <v>64</v>
      </c>
      <c r="K121" s="3" t="s">
        <v>30</v>
      </c>
      <c r="L121" s="3" t="s">
        <v>65</v>
      </c>
      <c r="M121">
        <v>1</v>
      </c>
    </row>
    <row r="122" spans="1:13" x14ac:dyDescent="0.25">
      <c r="A122" s="1">
        <v>46141</v>
      </c>
      <c r="B122" s="1" t="str">
        <f ca="1">IF(Información1[[#This Row],[Fecha]]='Ajuste de fechas'!$A$2,"Día actual","Día anterior")</f>
        <v>Día anterior</v>
      </c>
      <c r="C122" s="3" t="s">
        <v>44</v>
      </c>
      <c r="D122" t="s">
        <v>45</v>
      </c>
      <c r="E122" s="3" t="s">
        <v>168</v>
      </c>
      <c r="F122" s="3" t="s">
        <v>19</v>
      </c>
      <c r="G122" s="3" t="s">
        <v>146</v>
      </c>
      <c r="H122" s="3" t="s">
        <v>41</v>
      </c>
      <c r="I122" s="3" t="s">
        <v>7</v>
      </c>
      <c r="J122" s="3" t="s">
        <v>68</v>
      </c>
      <c r="K122" s="3" t="s">
        <v>30</v>
      </c>
      <c r="L122" s="3" t="s">
        <v>65</v>
      </c>
      <c r="M122">
        <v>1</v>
      </c>
    </row>
    <row r="123" spans="1:13" x14ac:dyDescent="0.25">
      <c r="A123" s="1">
        <v>46141</v>
      </c>
      <c r="B123" s="1" t="str">
        <f ca="1">IF(Información1[[#This Row],[Fecha]]='Ajuste de fechas'!$A$2,"Día actual","Día anterior")</f>
        <v>Día anterior</v>
      </c>
      <c r="C123" s="3" t="s">
        <v>44</v>
      </c>
      <c r="D123" t="s">
        <v>45</v>
      </c>
      <c r="E123" s="3" t="s">
        <v>169</v>
      </c>
      <c r="F123" s="3" t="s">
        <v>24</v>
      </c>
      <c r="G123" s="3" t="s">
        <v>170</v>
      </c>
      <c r="H123" s="3" t="s">
        <v>41</v>
      </c>
      <c r="I123" s="3" t="s">
        <v>7</v>
      </c>
      <c r="J123" s="3" t="s">
        <v>64</v>
      </c>
      <c r="K123" s="3" t="s">
        <v>30</v>
      </c>
      <c r="L123" s="3" t="s">
        <v>65</v>
      </c>
      <c r="M123">
        <v>1</v>
      </c>
    </row>
    <row r="124" spans="1:13" x14ac:dyDescent="0.25">
      <c r="A124" s="1">
        <v>46141</v>
      </c>
      <c r="B124" s="1" t="str">
        <f ca="1">IF(Información1[[#This Row],[Fecha]]='Ajuste de fechas'!$A$2,"Día actual","Día anterior")</f>
        <v>Día anterior</v>
      </c>
      <c r="C124" s="3" t="s">
        <v>44</v>
      </c>
      <c r="D124" t="s">
        <v>45</v>
      </c>
      <c r="E124" s="3" t="s">
        <v>171</v>
      </c>
      <c r="F124" s="3" t="s">
        <v>19</v>
      </c>
      <c r="G124" s="3" t="s">
        <v>172</v>
      </c>
      <c r="H124" s="3" t="s">
        <v>41</v>
      </c>
      <c r="I124" s="3" t="s">
        <v>27</v>
      </c>
      <c r="J124" s="3" t="s">
        <v>68</v>
      </c>
      <c r="K124" s="3" t="s">
        <v>30</v>
      </c>
      <c r="L124" s="3" t="s">
        <v>65</v>
      </c>
      <c r="M124">
        <v>1</v>
      </c>
    </row>
    <row r="125" spans="1:13" x14ac:dyDescent="0.25">
      <c r="A125" s="1">
        <v>46141</v>
      </c>
      <c r="B125" s="1" t="str">
        <f ca="1">IF(Información1[[#This Row],[Fecha]]='Ajuste de fechas'!$A$2,"Día actual","Día anterior")</f>
        <v>Día anterior</v>
      </c>
      <c r="C125" s="3" t="s">
        <v>44</v>
      </c>
      <c r="D125" t="s">
        <v>45</v>
      </c>
      <c r="E125" s="3" t="s">
        <v>173</v>
      </c>
      <c r="F125" s="3" t="s">
        <v>19</v>
      </c>
      <c r="G125" s="3" t="s">
        <v>127</v>
      </c>
      <c r="H125" s="3" t="s">
        <v>41</v>
      </c>
      <c r="I125" s="3" t="s">
        <v>7</v>
      </c>
      <c r="J125" s="3" t="s">
        <v>68</v>
      </c>
      <c r="K125" s="3" t="s">
        <v>30</v>
      </c>
      <c r="L125" s="3" t="s">
        <v>65</v>
      </c>
      <c r="M125">
        <v>1</v>
      </c>
    </row>
    <row r="126" spans="1:13" x14ac:dyDescent="0.25">
      <c r="A126" s="1">
        <v>46141</v>
      </c>
      <c r="B126" s="1" t="str">
        <f ca="1">IF(Información1[[#This Row],[Fecha]]='Ajuste de fechas'!$A$2,"Día actual","Día anterior")</f>
        <v>Día anterior</v>
      </c>
      <c r="C126" s="3" t="s">
        <v>44</v>
      </c>
      <c r="D126" t="s">
        <v>45</v>
      </c>
      <c r="E126" s="3" t="s">
        <v>174</v>
      </c>
      <c r="F126" s="3" t="s">
        <v>50</v>
      </c>
      <c r="G126" s="3" t="s">
        <v>155</v>
      </c>
      <c r="H126" s="3" t="s">
        <v>41</v>
      </c>
      <c r="I126" s="3" t="s">
        <v>7</v>
      </c>
      <c r="J126" s="3" t="s">
        <v>64</v>
      </c>
      <c r="K126" s="3" t="s">
        <v>30</v>
      </c>
      <c r="L126" s="3" t="s">
        <v>67</v>
      </c>
      <c r="M126">
        <v>1</v>
      </c>
    </row>
    <row r="127" spans="1:13" x14ac:dyDescent="0.25">
      <c r="A127" s="1">
        <v>46141</v>
      </c>
      <c r="B127" s="1" t="str">
        <f ca="1">IF(Información1[[#This Row],[Fecha]]='Ajuste de fechas'!$A$2,"Día actual","Día anterior")</f>
        <v>Día anterior</v>
      </c>
      <c r="C127" s="3" t="s">
        <v>44</v>
      </c>
      <c r="D127" t="s">
        <v>45</v>
      </c>
      <c r="E127" s="3" t="s">
        <v>175</v>
      </c>
      <c r="F127" s="3" t="s">
        <v>19</v>
      </c>
      <c r="G127" s="3" t="s">
        <v>176</v>
      </c>
      <c r="H127" s="3" t="s">
        <v>41</v>
      </c>
      <c r="I127" s="3" t="s">
        <v>7</v>
      </c>
      <c r="J127" s="3" t="s">
        <v>68</v>
      </c>
      <c r="K127" s="3" t="s">
        <v>30</v>
      </c>
      <c r="L127" s="3" t="s">
        <v>66</v>
      </c>
      <c r="M127">
        <v>1</v>
      </c>
    </row>
    <row r="128" spans="1:13" x14ac:dyDescent="0.25">
      <c r="A128" s="1">
        <v>46141</v>
      </c>
      <c r="B128" s="1" t="str">
        <f ca="1">IF(Información1[[#This Row],[Fecha]]='Ajuste de fechas'!$A$2,"Día actual","Día anterior")</f>
        <v>Día anterior</v>
      </c>
      <c r="C128" s="3" t="s">
        <v>44</v>
      </c>
      <c r="D128" t="s">
        <v>45</v>
      </c>
      <c r="E128" s="3" t="s">
        <v>177</v>
      </c>
      <c r="F128" s="3" t="s">
        <v>19</v>
      </c>
      <c r="G128" s="3" t="s">
        <v>178</v>
      </c>
      <c r="H128" s="3" t="s">
        <v>41</v>
      </c>
      <c r="I128" s="3" t="s">
        <v>27</v>
      </c>
      <c r="J128" s="3" t="s">
        <v>68</v>
      </c>
      <c r="K128" s="3" t="s">
        <v>30</v>
      </c>
      <c r="L128" s="3" t="s">
        <v>65</v>
      </c>
      <c r="M128">
        <v>1</v>
      </c>
    </row>
    <row r="129" spans="1:13" x14ac:dyDescent="0.25">
      <c r="A129" s="1">
        <v>46141</v>
      </c>
      <c r="B129" s="1" t="str">
        <f ca="1">IF(Información1[[#This Row],[Fecha]]='Ajuste de fechas'!$A$2,"Día actual","Día anterior")</f>
        <v>Día anterior</v>
      </c>
      <c r="C129" s="3" t="s">
        <v>44</v>
      </c>
      <c r="D129" t="s">
        <v>45</v>
      </c>
      <c r="E129" s="3" t="s">
        <v>179</v>
      </c>
      <c r="F129" s="3" t="s">
        <v>21</v>
      </c>
      <c r="G129" s="3" t="s">
        <v>110</v>
      </c>
      <c r="H129" s="3" t="s">
        <v>41</v>
      </c>
      <c r="I129" s="3" t="s">
        <v>7</v>
      </c>
      <c r="J129" s="3" t="s">
        <v>64</v>
      </c>
      <c r="K129" s="3" t="s">
        <v>30</v>
      </c>
      <c r="L129" s="3" t="s">
        <v>67</v>
      </c>
      <c r="M129">
        <v>1</v>
      </c>
    </row>
    <row r="130" spans="1:13" x14ac:dyDescent="0.25">
      <c r="A130" s="1">
        <v>46141</v>
      </c>
      <c r="B130" s="1" t="str">
        <f ca="1">IF(Información1[[#This Row],[Fecha]]='Ajuste de fechas'!$A$2,"Día actual","Día anterior")</f>
        <v>Día anterior</v>
      </c>
      <c r="C130" s="3" t="s">
        <v>44</v>
      </c>
      <c r="D130" t="s">
        <v>45</v>
      </c>
      <c r="E130" s="3" t="s">
        <v>180</v>
      </c>
      <c r="F130" s="3" t="s">
        <v>25</v>
      </c>
      <c r="G130" s="3" t="s">
        <v>160</v>
      </c>
      <c r="H130" s="3" t="s">
        <v>41</v>
      </c>
      <c r="I130" s="3" t="s">
        <v>7</v>
      </c>
      <c r="J130" s="3" t="s">
        <v>64</v>
      </c>
      <c r="K130" s="3" t="s">
        <v>30</v>
      </c>
      <c r="L130" s="3" t="s">
        <v>67</v>
      </c>
      <c r="M130">
        <v>1</v>
      </c>
    </row>
    <row r="131" spans="1:13" x14ac:dyDescent="0.25">
      <c r="A131" s="1">
        <v>46141</v>
      </c>
      <c r="B131" s="1" t="str">
        <f ca="1">IF(Información1[[#This Row],[Fecha]]='Ajuste de fechas'!$A$2,"Día actual","Día anterior")</f>
        <v>Día anterior</v>
      </c>
      <c r="C131" s="3" t="s">
        <v>44</v>
      </c>
      <c r="D131" t="s">
        <v>45</v>
      </c>
      <c r="E131" s="3" t="s">
        <v>181</v>
      </c>
      <c r="F131" s="3" t="s">
        <v>19</v>
      </c>
      <c r="G131" s="3" t="s">
        <v>95</v>
      </c>
      <c r="H131" s="3" t="s">
        <v>41</v>
      </c>
      <c r="I131" s="3" t="s">
        <v>7</v>
      </c>
      <c r="J131" s="3" t="s">
        <v>68</v>
      </c>
      <c r="K131" s="3" t="s">
        <v>30</v>
      </c>
      <c r="L131" s="3" t="s">
        <v>65</v>
      </c>
      <c r="M131">
        <v>1</v>
      </c>
    </row>
    <row r="132" spans="1:13" x14ac:dyDescent="0.25">
      <c r="A132" s="1">
        <v>46141</v>
      </c>
      <c r="B132" s="1" t="str">
        <f ca="1">IF(Información1[[#This Row],[Fecha]]='Ajuste de fechas'!$A$2,"Día actual","Día anterior")</f>
        <v>Día anterior</v>
      </c>
      <c r="C132" s="3" t="s">
        <v>44</v>
      </c>
      <c r="D132" t="s">
        <v>45</v>
      </c>
      <c r="E132" s="3" t="s">
        <v>182</v>
      </c>
      <c r="F132" s="3" t="s">
        <v>19</v>
      </c>
      <c r="G132" s="3" t="s">
        <v>42</v>
      </c>
      <c r="H132" s="3" t="s">
        <v>41</v>
      </c>
      <c r="I132" s="3" t="s">
        <v>7</v>
      </c>
      <c r="J132" s="3" t="s">
        <v>68</v>
      </c>
      <c r="K132" s="3" t="s">
        <v>30</v>
      </c>
      <c r="L132" s="3" t="s">
        <v>65</v>
      </c>
      <c r="M132">
        <v>1</v>
      </c>
    </row>
    <row r="133" spans="1:13" x14ac:dyDescent="0.25">
      <c r="A133" s="1">
        <v>46141</v>
      </c>
      <c r="B133" s="1" t="str">
        <f ca="1">IF(Información1[[#This Row],[Fecha]]='Ajuste de fechas'!$A$2,"Día actual","Día anterior")</f>
        <v>Día anterior</v>
      </c>
      <c r="C133" s="3" t="s">
        <v>44</v>
      </c>
      <c r="D133" t="s">
        <v>45</v>
      </c>
      <c r="E133" s="3" t="s">
        <v>183</v>
      </c>
      <c r="F133" s="3" t="s">
        <v>19</v>
      </c>
      <c r="G133" s="3" t="s">
        <v>77</v>
      </c>
      <c r="H133" s="3" t="s">
        <v>41</v>
      </c>
      <c r="I133" s="3" t="s">
        <v>7</v>
      </c>
      <c r="J133" s="3" t="s">
        <v>68</v>
      </c>
      <c r="K133" s="3" t="s">
        <v>30</v>
      </c>
      <c r="L133" s="3" t="s">
        <v>65</v>
      </c>
      <c r="M133">
        <v>1</v>
      </c>
    </row>
    <row r="134" spans="1:13" x14ac:dyDescent="0.25">
      <c r="A134" s="1">
        <v>46141</v>
      </c>
      <c r="B134" s="1" t="str">
        <f ca="1">IF(Información1[[#This Row],[Fecha]]='Ajuste de fechas'!$A$2,"Día actual","Día anterior")</f>
        <v>Día anterior</v>
      </c>
      <c r="C134" s="3" t="s">
        <v>44</v>
      </c>
      <c r="D134" t="s">
        <v>45</v>
      </c>
      <c r="E134" s="3" t="s">
        <v>184</v>
      </c>
      <c r="F134" s="3" t="s">
        <v>50</v>
      </c>
      <c r="G134" s="3" t="s">
        <v>185</v>
      </c>
      <c r="H134" s="3" t="s">
        <v>41</v>
      </c>
      <c r="I134" s="3" t="s">
        <v>7</v>
      </c>
      <c r="J134" s="3" t="s">
        <v>64</v>
      </c>
      <c r="K134" s="3" t="s">
        <v>30</v>
      </c>
      <c r="L134" s="3" t="s">
        <v>66</v>
      </c>
      <c r="M134">
        <v>1</v>
      </c>
    </row>
    <row r="135" spans="1:13" x14ac:dyDescent="0.25">
      <c r="A135" s="1">
        <v>46141</v>
      </c>
      <c r="B135" s="1" t="str">
        <f ca="1">IF(Información1[[#This Row],[Fecha]]='Ajuste de fechas'!$A$2,"Día actual","Día anterior")</f>
        <v>Día anterior</v>
      </c>
      <c r="C135" s="3" t="s">
        <v>44</v>
      </c>
      <c r="D135" t="s">
        <v>45</v>
      </c>
      <c r="E135" s="3" t="s">
        <v>186</v>
      </c>
      <c r="F135" s="3" t="s">
        <v>19</v>
      </c>
      <c r="G135" s="3" t="s">
        <v>187</v>
      </c>
      <c r="H135" s="3" t="s">
        <v>41</v>
      </c>
      <c r="I135" s="3" t="s">
        <v>27</v>
      </c>
      <c r="J135" s="3" t="s">
        <v>68</v>
      </c>
      <c r="K135" s="3" t="s">
        <v>188</v>
      </c>
      <c r="L135" s="3" t="s">
        <v>65</v>
      </c>
      <c r="M135">
        <v>3</v>
      </c>
    </row>
    <row r="136" spans="1:13" x14ac:dyDescent="0.25">
      <c r="A136" s="1">
        <v>46141</v>
      </c>
      <c r="B136" s="1" t="str">
        <f ca="1">IF(Información1[[#This Row],[Fecha]]='Ajuste de fechas'!$A$2,"Día actual","Día anterior")</f>
        <v>Día anterior</v>
      </c>
      <c r="C136" s="3" t="s">
        <v>51</v>
      </c>
      <c r="D136" t="s">
        <v>189</v>
      </c>
      <c r="E136" s="3" t="s">
        <v>190</v>
      </c>
      <c r="F136" s="3" t="s">
        <v>19</v>
      </c>
      <c r="G136" s="3" t="s">
        <v>191</v>
      </c>
      <c r="H136" s="3" t="s">
        <v>11</v>
      </c>
      <c r="I136" s="3" t="s">
        <v>7</v>
      </c>
      <c r="J136" s="3" t="s">
        <v>68</v>
      </c>
      <c r="K136" s="3" t="s">
        <v>53</v>
      </c>
      <c r="L136" s="3" t="s">
        <v>65</v>
      </c>
      <c r="M136">
        <v>1</v>
      </c>
    </row>
    <row r="137" spans="1:13" x14ac:dyDescent="0.25">
      <c r="A137" s="1">
        <v>46141</v>
      </c>
      <c r="B137" s="1" t="str">
        <f ca="1">IF(Información1[[#This Row],[Fecha]]='Ajuste de fechas'!$A$2,"Día actual","Día anterior")</f>
        <v>Día anterior</v>
      </c>
      <c r="C137" s="3" t="s">
        <v>51</v>
      </c>
      <c r="D137" t="s">
        <v>189</v>
      </c>
      <c r="E137" s="3" t="s">
        <v>192</v>
      </c>
      <c r="F137" s="3" t="s">
        <v>23</v>
      </c>
      <c r="G137" s="3" t="s">
        <v>100</v>
      </c>
      <c r="H137" s="3" t="s">
        <v>11</v>
      </c>
      <c r="I137" s="3" t="s">
        <v>7</v>
      </c>
      <c r="J137" s="3" t="s">
        <v>69</v>
      </c>
      <c r="K137" s="3" t="s">
        <v>53</v>
      </c>
      <c r="L137" s="3" t="s">
        <v>65</v>
      </c>
      <c r="M137">
        <v>1</v>
      </c>
    </row>
    <row r="138" spans="1:13" x14ac:dyDescent="0.25">
      <c r="A138" s="1">
        <v>46141</v>
      </c>
      <c r="B138" s="1" t="str">
        <f ca="1">IF(Información1[[#This Row],[Fecha]]='Ajuste de fechas'!$A$2,"Día actual","Día anterior")</f>
        <v>Día anterior</v>
      </c>
      <c r="C138" s="3" t="s">
        <v>51</v>
      </c>
      <c r="D138" t="s">
        <v>189</v>
      </c>
      <c r="E138" s="3" t="s">
        <v>193</v>
      </c>
      <c r="F138" s="3" t="s">
        <v>19</v>
      </c>
      <c r="G138" s="3" t="s">
        <v>105</v>
      </c>
      <c r="H138" s="3" t="s">
        <v>11</v>
      </c>
      <c r="I138" s="3" t="s">
        <v>7</v>
      </c>
      <c r="J138" s="3" t="s">
        <v>68</v>
      </c>
      <c r="K138" s="3" t="s">
        <v>53</v>
      </c>
      <c r="L138" s="3" t="s">
        <v>65</v>
      </c>
      <c r="M138">
        <v>1</v>
      </c>
    </row>
    <row r="139" spans="1:13" x14ac:dyDescent="0.25">
      <c r="A139" s="1">
        <v>46141</v>
      </c>
      <c r="B139" s="1" t="str">
        <f ca="1">IF(Información1[[#This Row],[Fecha]]='Ajuste de fechas'!$A$2,"Día actual","Día anterior")</f>
        <v>Día anterior</v>
      </c>
      <c r="C139" s="3" t="s">
        <v>51</v>
      </c>
      <c r="D139" t="s">
        <v>189</v>
      </c>
      <c r="E139" s="3" t="s">
        <v>194</v>
      </c>
      <c r="F139" s="3" t="s">
        <v>24</v>
      </c>
      <c r="G139" s="3" t="s">
        <v>195</v>
      </c>
      <c r="H139" s="3" t="s">
        <v>11</v>
      </c>
      <c r="I139" s="3" t="s">
        <v>27</v>
      </c>
      <c r="J139" s="3" t="s">
        <v>64</v>
      </c>
      <c r="K139" s="3" t="s">
        <v>53</v>
      </c>
      <c r="L139" s="3" t="s">
        <v>66</v>
      </c>
      <c r="M139">
        <v>1</v>
      </c>
    </row>
    <row r="140" spans="1:13" x14ac:dyDescent="0.25">
      <c r="A140" s="1">
        <v>46141</v>
      </c>
      <c r="B140" s="1" t="str">
        <f ca="1">IF(Información1[[#This Row],[Fecha]]='Ajuste de fechas'!$A$2,"Día actual","Día anterior")</f>
        <v>Día anterior</v>
      </c>
      <c r="C140" s="3" t="s">
        <v>51</v>
      </c>
      <c r="D140" t="s">
        <v>189</v>
      </c>
      <c r="E140" s="3" t="s">
        <v>196</v>
      </c>
      <c r="F140" s="3" t="s">
        <v>19</v>
      </c>
      <c r="G140" s="3" t="s">
        <v>42</v>
      </c>
      <c r="H140" s="3" t="s">
        <v>11</v>
      </c>
      <c r="I140" s="3" t="s">
        <v>7</v>
      </c>
      <c r="J140" s="3" t="s">
        <v>68</v>
      </c>
      <c r="K140" s="3" t="s">
        <v>53</v>
      </c>
      <c r="L140" s="3" t="s">
        <v>65</v>
      </c>
      <c r="M140">
        <v>1</v>
      </c>
    </row>
    <row r="141" spans="1:13" x14ac:dyDescent="0.25">
      <c r="A141" s="1">
        <v>46141</v>
      </c>
      <c r="B141" s="1" t="str">
        <f ca="1">IF(Información1[[#This Row],[Fecha]]='Ajuste de fechas'!$A$2,"Día actual","Día anterior")</f>
        <v>Día anterior</v>
      </c>
      <c r="C141" s="3" t="s">
        <v>51</v>
      </c>
      <c r="D141" t="s">
        <v>189</v>
      </c>
      <c r="E141" s="3" t="s">
        <v>197</v>
      </c>
      <c r="F141" s="3" t="s">
        <v>198</v>
      </c>
      <c r="G141" s="3" t="s">
        <v>199</v>
      </c>
      <c r="H141" s="3" t="s">
        <v>11</v>
      </c>
      <c r="I141" s="3" t="s">
        <v>7</v>
      </c>
      <c r="J141" s="3" t="s">
        <v>26</v>
      </c>
      <c r="K141" s="3" t="s">
        <v>53</v>
      </c>
      <c r="L141" s="3" t="s">
        <v>65</v>
      </c>
      <c r="M141">
        <v>1</v>
      </c>
    </row>
    <row r="142" spans="1:13" x14ac:dyDescent="0.25">
      <c r="A142" s="1">
        <v>46141</v>
      </c>
      <c r="B142" s="1" t="str">
        <f ca="1">IF(Información1[[#This Row],[Fecha]]='Ajuste de fechas'!$A$2,"Día actual","Día anterior")</f>
        <v>Día anterior</v>
      </c>
      <c r="C142" s="3" t="s">
        <v>51</v>
      </c>
      <c r="D142" t="s">
        <v>189</v>
      </c>
      <c r="E142" s="3" t="s">
        <v>200</v>
      </c>
      <c r="F142" s="3" t="s">
        <v>23</v>
      </c>
      <c r="G142" s="3" t="s">
        <v>112</v>
      </c>
      <c r="H142" s="3" t="s">
        <v>11</v>
      </c>
      <c r="I142" s="3" t="s">
        <v>27</v>
      </c>
      <c r="J142" s="3" t="s">
        <v>69</v>
      </c>
      <c r="K142" s="3" t="s">
        <v>53</v>
      </c>
      <c r="L142" s="3" t="s">
        <v>66</v>
      </c>
      <c r="M142">
        <v>1</v>
      </c>
    </row>
    <row r="143" spans="1:13" x14ac:dyDescent="0.25">
      <c r="A143" s="1">
        <v>46141</v>
      </c>
      <c r="B143" s="1" t="str">
        <f ca="1">IF(Información1[[#This Row],[Fecha]]='Ajuste de fechas'!$A$2,"Día actual","Día anterior")</f>
        <v>Día anterior</v>
      </c>
      <c r="C143" s="3" t="s">
        <v>51</v>
      </c>
      <c r="D143" t="s">
        <v>189</v>
      </c>
      <c r="E143" s="3" t="s">
        <v>201</v>
      </c>
      <c r="F143" s="3" t="s">
        <v>22</v>
      </c>
      <c r="G143" s="3" t="s">
        <v>84</v>
      </c>
      <c r="H143" s="3" t="s">
        <v>11</v>
      </c>
      <c r="I143" s="3" t="s">
        <v>7</v>
      </c>
      <c r="J143" s="3" t="s">
        <v>26</v>
      </c>
      <c r="K143" s="3" t="s">
        <v>53</v>
      </c>
      <c r="L143" s="3" t="s">
        <v>65</v>
      </c>
      <c r="M143">
        <v>1</v>
      </c>
    </row>
    <row r="144" spans="1:13" x14ac:dyDescent="0.25">
      <c r="A144" s="1">
        <v>46141</v>
      </c>
      <c r="B144" s="1" t="str">
        <f ca="1">IF(Información1[[#This Row],[Fecha]]='Ajuste de fechas'!$A$2,"Día actual","Día anterior")</f>
        <v>Día anterior</v>
      </c>
      <c r="C144" s="3" t="s">
        <v>51</v>
      </c>
      <c r="D144" t="s">
        <v>189</v>
      </c>
      <c r="E144" s="3" t="s">
        <v>202</v>
      </c>
      <c r="F144" s="3" t="s">
        <v>22</v>
      </c>
      <c r="G144" s="3" t="s">
        <v>84</v>
      </c>
      <c r="H144" s="3" t="s">
        <v>11</v>
      </c>
      <c r="I144" s="3" t="s">
        <v>7</v>
      </c>
      <c r="J144" s="3" t="s">
        <v>26</v>
      </c>
      <c r="K144" s="3" t="s">
        <v>53</v>
      </c>
      <c r="L144" s="3" t="s">
        <v>65</v>
      </c>
      <c r="M144">
        <v>1</v>
      </c>
    </row>
    <row r="145" spans="1:13" x14ac:dyDescent="0.25">
      <c r="A145" s="1">
        <v>46141</v>
      </c>
      <c r="B145" s="1" t="str">
        <f ca="1">IF(Información1[[#This Row],[Fecha]]='Ajuste de fechas'!$A$2,"Día actual","Día anterior")</f>
        <v>Día anterior</v>
      </c>
      <c r="C145" s="3" t="s">
        <v>51</v>
      </c>
      <c r="D145" t="s">
        <v>189</v>
      </c>
      <c r="E145" s="3" t="s">
        <v>203</v>
      </c>
      <c r="F145" s="3" t="s">
        <v>15</v>
      </c>
      <c r="G145" s="3" t="s">
        <v>96</v>
      </c>
      <c r="H145" s="3" t="s">
        <v>11</v>
      </c>
      <c r="I145" s="3" t="s">
        <v>7</v>
      </c>
      <c r="J145" s="3" t="s">
        <v>64</v>
      </c>
      <c r="K145" s="3" t="s">
        <v>53</v>
      </c>
      <c r="L145" s="3" t="s">
        <v>65</v>
      </c>
      <c r="M145">
        <v>1</v>
      </c>
    </row>
    <row r="146" spans="1:13" x14ac:dyDescent="0.25">
      <c r="A146" s="1">
        <v>46141</v>
      </c>
      <c r="B146" s="1" t="str">
        <f ca="1">IF(Información1[[#This Row],[Fecha]]='Ajuste de fechas'!$A$2,"Día actual","Día anterior")</f>
        <v>Día anterior</v>
      </c>
      <c r="C146" s="3" t="s">
        <v>51</v>
      </c>
      <c r="D146" t="s">
        <v>189</v>
      </c>
      <c r="E146" s="3" t="s">
        <v>204</v>
      </c>
      <c r="F146" s="3" t="s">
        <v>15</v>
      </c>
      <c r="G146" s="3" t="s">
        <v>96</v>
      </c>
      <c r="H146" s="3" t="s">
        <v>11</v>
      </c>
      <c r="I146" s="3" t="s">
        <v>27</v>
      </c>
      <c r="J146" s="3" t="s">
        <v>64</v>
      </c>
      <c r="K146" s="3" t="s">
        <v>53</v>
      </c>
      <c r="L146" s="3" t="s">
        <v>66</v>
      </c>
      <c r="M146">
        <v>1</v>
      </c>
    </row>
    <row r="147" spans="1:13" x14ac:dyDescent="0.25">
      <c r="A147" s="1">
        <v>46141</v>
      </c>
      <c r="B147" s="1" t="str">
        <f ca="1">IF(Información1[[#This Row],[Fecha]]='Ajuste de fechas'!$A$2,"Día actual","Día anterior")</f>
        <v>Día anterior</v>
      </c>
      <c r="C147" s="3" t="s">
        <v>51</v>
      </c>
      <c r="D147" t="s">
        <v>189</v>
      </c>
      <c r="E147" s="3" t="s">
        <v>179</v>
      </c>
      <c r="F147" s="3" t="s">
        <v>21</v>
      </c>
      <c r="G147" s="3" t="s">
        <v>110</v>
      </c>
      <c r="H147" s="3" t="s">
        <v>11</v>
      </c>
      <c r="I147" s="3" t="s">
        <v>7</v>
      </c>
      <c r="J147" s="3" t="s">
        <v>64</v>
      </c>
      <c r="K147" s="3" t="s">
        <v>53</v>
      </c>
      <c r="L147" s="3" t="s">
        <v>67</v>
      </c>
      <c r="M147">
        <v>1</v>
      </c>
    </row>
    <row r="148" spans="1:13" x14ac:dyDescent="0.25">
      <c r="A148" s="1">
        <v>46141</v>
      </c>
      <c r="B148" s="1" t="str">
        <f ca="1">IF(Información1[[#This Row],[Fecha]]='Ajuste de fechas'!$A$2,"Día actual","Día anterior")</f>
        <v>Día anterior</v>
      </c>
      <c r="C148" s="3" t="s">
        <v>51</v>
      </c>
      <c r="D148" t="s">
        <v>189</v>
      </c>
      <c r="E148" s="3" t="s">
        <v>205</v>
      </c>
      <c r="F148" s="3" t="s">
        <v>21</v>
      </c>
      <c r="G148" s="3" t="s">
        <v>206</v>
      </c>
      <c r="H148" s="3" t="s">
        <v>11</v>
      </c>
      <c r="I148" s="3" t="s">
        <v>27</v>
      </c>
      <c r="J148" s="3" t="s">
        <v>64</v>
      </c>
      <c r="K148" s="3" t="s">
        <v>9</v>
      </c>
      <c r="L148" s="3" t="s">
        <v>66</v>
      </c>
      <c r="M148">
        <v>1</v>
      </c>
    </row>
    <row r="149" spans="1:13" x14ac:dyDescent="0.25">
      <c r="A149" s="1">
        <v>46141</v>
      </c>
      <c r="B149" s="1" t="str">
        <f ca="1">IF(Información1[[#This Row],[Fecha]]='Ajuste de fechas'!$A$2,"Día actual","Día anterior")</f>
        <v>Día anterior</v>
      </c>
      <c r="C149" s="3" t="s">
        <v>51</v>
      </c>
      <c r="D149" t="s">
        <v>189</v>
      </c>
      <c r="E149" s="3" t="s">
        <v>174</v>
      </c>
      <c r="F149" s="3" t="s">
        <v>50</v>
      </c>
      <c r="G149" s="3" t="s">
        <v>155</v>
      </c>
      <c r="H149" s="3" t="s">
        <v>11</v>
      </c>
      <c r="I149" s="3" t="s">
        <v>7</v>
      </c>
      <c r="J149" s="3" t="s">
        <v>64</v>
      </c>
      <c r="K149" s="3" t="s">
        <v>53</v>
      </c>
      <c r="L149" s="3" t="s">
        <v>67</v>
      </c>
      <c r="M149">
        <v>1</v>
      </c>
    </row>
    <row r="150" spans="1:13" x14ac:dyDescent="0.25">
      <c r="A150" s="1">
        <v>46141</v>
      </c>
      <c r="B150" s="1" t="str">
        <f ca="1">IF(Información1[[#This Row],[Fecha]]='Ajuste de fechas'!$A$2,"Día actual","Día anterior")</f>
        <v>Día anterior</v>
      </c>
      <c r="C150" s="3" t="s">
        <v>51</v>
      </c>
      <c r="D150" t="s">
        <v>189</v>
      </c>
      <c r="E150" s="3" t="s">
        <v>103</v>
      </c>
      <c r="F150" s="3" t="s">
        <v>43</v>
      </c>
      <c r="G150" s="3" t="s">
        <v>104</v>
      </c>
      <c r="H150" s="3" t="s">
        <v>11</v>
      </c>
      <c r="I150" s="3" t="s">
        <v>7</v>
      </c>
      <c r="J150" s="3" t="s">
        <v>64</v>
      </c>
      <c r="K150" s="3" t="s">
        <v>53</v>
      </c>
      <c r="L150" s="3" t="s">
        <v>67</v>
      </c>
      <c r="M150">
        <v>1</v>
      </c>
    </row>
    <row r="151" spans="1:13" x14ac:dyDescent="0.25">
      <c r="A151" s="1">
        <v>46141</v>
      </c>
      <c r="B151" s="1" t="str">
        <f ca="1">IF(Información1[[#This Row],[Fecha]]='Ajuste de fechas'!$A$2,"Día actual","Día anterior")</f>
        <v>Día anterior</v>
      </c>
      <c r="C151" s="3" t="s">
        <v>51</v>
      </c>
      <c r="D151" t="s">
        <v>189</v>
      </c>
      <c r="E151" s="3" t="s">
        <v>207</v>
      </c>
      <c r="F151" s="3" t="s">
        <v>19</v>
      </c>
      <c r="G151" s="3" t="s">
        <v>208</v>
      </c>
      <c r="H151" s="3" t="s">
        <v>11</v>
      </c>
      <c r="I151" s="3" t="s">
        <v>7</v>
      </c>
      <c r="J151" s="3" t="s">
        <v>68</v>
      </c>
      <c r="K151" s="3" t="s">
        <v>53</v>
      </c>
      <c r="L151" s="3" t="s">
        <v>70</v>
      </c>
      <c r="M151">
        <v>1</v>
      </c>
    </row>
    <row r="152" spans="1:13" x14ac:dyDescent="0.25">
      <c r="A152" s="1">
        <v>46141</v>
      </c>
      <c r="B152" s="1" t="str">
        <f ca="1">IF(Información1[[#This Row],[Fecha]]='Ajuste de fechas'!$A$2,"Día actual","Día anterior")</f>
        <v>Día anterior</v>
      </c>
      <c r="C152" s="3" t="s">
        <v>38</v>
      </c>
      <c r="D152" t="s">
        <v>40</v>
      </c>
      <c r="E152" s="3" t="s">
        <v>209</v>
      </c>
      <c r="F152" s="3" t="s">
        <v>21</v>
      </c>
      <c r="G152" s="3" t="s">
        <v>210</v>
      </c>
      <c r="H152" s="3" t="s">
        <v>41</v>
      </c>
      <c r="I152" s="3" t="s">
        <v>7</v>
      </c>
      <c r="J152" s="3" t="s">
        <v>64</v>
      </c>
      <c r="K152" s="3" t="s">
        <v>39</v>
      </c>
      <c r="L152" s="3" t="s">
        <v>65</v>
      </c>
      <c r="M152">
        <v>1</v>
      </c>
    </row>
    <row r="153" spans="1:13" x14ac:dyDescent="0.25">
      <c r="A153" s="1">
        <v>46141</v>
      </c>
      <c r="B153" s="1" t="str">
        <f ca="1">IF(Información1[[#This Row],[Fecha]]='Ajuste de fechas'!$A$2,"Día actual","Día anterior")</f>
        <v>Día anterior</v>
      </c>
      <c r="C153" s="3" t="s">
        <v>38</v>
      </c>
      <c r="D153" t="s">
        <v>40</v>
      </c>
      <c r="E153" s="3" t="s">
        <v>133</v>
      </c>
      <c r="F153" s="3" t="s">
        <v>24</v>
      </c>
      <c r="G153" s="3" t="s">
        <v>118</v>
      </c>
      <c r="H153" s="3" t="s">
        <v>41</v>
      </c>
      <c r="I153" s="3" t="s">
        <v>7</v>
      </c>
      <c r="J153" s="3" t="s">
        <v>64</v>
      </c>
      <c r="K153" s="3" t="s">
        <v>39</v>
      </c>
      <c r="L153" s="3" t="s">
        <v>67</v>
      </c>
      <c r="M153">
        <v>1</v>
      </c>
    </row>
    <row r="154" spans="1:13" x14ac:dyDescent="0.25">
      <c r="A154" s="1">
        <v>46141</v>
      </c>
      <c r="B154" s="1" t="str">
        <f ca="1">IF(Información1[[#This Row],[Fecha]]='Ajuste de fechas'!$A$2,"Día actual","Día anterior")</f>
        <v>Día anterior</v>
      </c>
      <c r="C154" s="3" t="s">
        <v>38</v>
      </c>
      <c r="D154" t="s">
        <v>40</v>
      </c>
      <c r="E154" s="3" t="s">
        <v>134</v>
      </c>
      <c r="F154" s="3" t="s">
        <v>24</v>
      </c>
      <c r="G154" s="3" t="s">
        <v>88</v>
      </c>
      <c r="H154" s="3" t="s">
        <v>41</v>
      </c>
      <c r="I154" s="3" t="s">
        <v>7</v>
      </c>
      <c r="J154" s="3" t="s">
        <v>64</v>
      </c>
      <c r="K154" s="3" t="s">
        <v>39</v>
      </c>
      <c r="L154" s="3" t="s">
        <v>67</v>
      </c>
      <c r="M154">
        <v>1</v>
      </c>
    </row>
    <row r="155" spans="1:13" x14ac:dyDescent="0.25">
      <c r="A155" s="1">
        <v>46141</v>
      </c>
      <c r="B155" s="1" t="str">
        <f ca="1">IF(Información1[[#This Row],[Fecha]]='Ajuste de fechas'!$A$2,"Día actual","Día anterior")</f>
        <v>Día anterior</v>
      </c>
      <c r="C155" s="3" t="s">
        <v>38</v>
      </c>
      <c r="D155" t="s">
        <v>40</v>
      </c>
      <c r="E155" s="3" t="s">
        <v>101</v>
      </c>
      <c r="F155" s="3" t="s">
        <v>28</v>
      </c>
      <c r="G155" s="3" t="s">
        <v>102</v>
      </c>
      <c r="H155" s="3" t="s">
        <v>41</v>
      </c>
      <c r="I155" s="3" t="s">
        <v>7</v>
      </c>
      <c r="J155" s="3" t="s">
        <v>64</v>
      </c>
      <c r="K155" s="3" t="s">
        <v>39</v>
      </c>
      <c r="L155" s="3" t="s">
        <v>67</v>
      </c>
      <c r="M155">
        <v>1</v>
      </c>
    </row>
    <row r="156" spans="1:13" x14ac:dyDescent="0.25">
      <c r="A156" s="1">
        <v>46141</v>
      </c>
      <c r="B156" s="1" t="str">
        <f ca="1">IF(Información1[[#This Row],[Fecha]]='Ajuste de fechas'!$A$2,"Día actual","Día anterior")</f>
        <v>Día anterior</v>
      </c>
      <c r="C156" s="3" t="s">
        <v>38</v>
      </c>
      <c r="D156" t="s">
        <v>40</v>
      </c>
      <c r="E156" s="3" t="s">
        <v>211</v>
      </c>
      <c r="F156" s="3" t="s">
        <v>50</v>
      </c>
      <c r="G156" s="3" t="s">
        <v>155</v>
      </c>
      <c r="H156" s="3" t="s">
        <v>41</v>
      </c>
      <c r="I156" s="3" t="s">
        <v>7</v>
      </c>
      <c r="J156" s="3" t="s">
        <v>64</v>
      </c>
      <c r="K156" s="3" t="s">
        <v>39</v>
      </c>
      <c r="L156" s="3" t="s">
        <v>67</v>
      </c>
      <c r="M156">
        <v>1</v>
      </c>
    </row>
    <row r="157" spans="1:13" x14ac:dyDescent="0.25">
      <c r="A157" s="1">
        <v>46141</v>
      </c>
      <c r="B157" s="1" t="str">
        <f ca="1">IF(Información1[[#This Row],[Fecha]]='Ajuste de fechas'!$A$2,"Día actual","Día anterior")</f>
        <v>Día anterior</v>
      </c>
      <c r="C157" s="3" t="s">
        <v>38</v>
      </c>
      <c r="D157" t="s">
        <v>40</v>
      </c>
      <c r="E157" s="3" t="s">
        <v>124</v>
      </c>
      <c r="F157" s="3" t="s">
        <v>50</v>
      </c>
      <c r="G157" s="3" t="s">
        <v>125</v>
      </c>
      <c r="H157" s="3" t="s">
        <v>41</v>
      </c>
      <c r="I157" s="3" t="s">
        <v>7</v>
      </c>
      <c r="J157" s="3" t="s">
        <v>64</v>
      </c>
      <c r="K157" s="3" t="s">
        <v>39</v>
      </c>
      <c r="L157" s="3" t="s">
        <v>67</v>
      </c>
      <c r="M157">
        <v>1</v>
      </c>
    </row>
    <row r="158" spans="1:13" x14ac:dyDescent="0.25">
      <c r="A158" s="1">
        <v>46141</v>
      </c>
      <c r="B158" s="1" t="str">
        <f ca="1">IF(Información1[[#This Row],[Fecha]]='Ajuste de fechas'!$A$2,"Día actual","Día anterior")</f>
        <v>Día anterior</v>
      </c>
      <c r="C158" s="3" t="s">
        <v>38</v>
      </c>
      <c r="D158" t="s">
        <v>40</v>
      </c>
      <c r="E158" s="3" t="s">
        <v>212</v>
      </c>
      <c r="F158" s="3" t="s">
        <v>82</v>
      </c>
      <c r="G158" s="3" t="s">
        <v>213</v>
      </c>
      <c r="H158" s="3" t="s">
        <v>41</v>
      </c>
      <c r="I158" s="3" t="s">
        <v>7</v>
      </c>
      <c r="J158" s="3" t="s">
        <v>64</v>
      </c>
      <c r="K158" s="3" t="s">
        <v>39</v>
      </c>
      <c r="L158" s="3" t="s">
        <v>67</v>
      </c>
      <c r="M158">
        <v>1</v>
      </c>
    </row>
    <row r="159" spans="1:13" x14ac:dyDescent="0.25">
      <c r="A159" s="1">
        <v>46141</v>
      </c>
      <c r="B159" s="1" t="str">
        <f ca="1">IF(Información1[[#This Row],[Fecha]]='Ajuste de fechas'!$A$2,"Día actual","Día anterior")</f>
        <v>Día anterior</v>
      </c>
      <c r="C159" s="3" t="s">
        <v>38</v>
      </c>
      <c r="D159" t="s">
        <v>40</v>
      </c>
      <c r="E159" s="3" t="s">
        <v>159</v>
      </c>
      <c r="F159" s="3" t="s">
        <v>25</v>
      </c>
      <c r="G159" s="3" t="s">
        <v>160</v>
      </c>
      <c r="H159" s="3" t="s">
        <v>41</v>
      </c>
      <c r="I159" s="3" t="s">
        <v>7</v>
      </c>
      <c r="J159" s="3" t="s">
        <v>64</v>
      </c>
      <c r="K159" s="3" t="s">
        <v>39</v>
      </c>
      <c r="L159" s="3" t="s">
        <v>67</v>
      </c>
      <c r="M159">
        <v>1</v>
      </c>
    </row>
    <row r="160" spans="1:13" x14ac:dyDescent="0.25">
      <c r="A160" s="1">
        <v>46141</v>
      </c>
      <c r="B160" s="1" t="str">
        <f ca="1">IF(Información1[[#This Row],[Fecha]]='Ajuste de fechas'!$A$2,"Día actual","Día anterior")</f>
        <v>Día anterior</v>
      </c>
      <c r="C160" s="3" t="s">
        <v>38</v>
      </c>
      <c r="D160" t="s">
        <v>40</v>
      </c>
      <c r="E160" s="3" t="s">
        <v>214</v>
      </c>
      <c r="F160" s="3" t="s">
        <v>215</v>
      </c>
      <c r="G160" s="3" t="s">
        <v>216</v>
      </c>
      <c r="H160" s="3" t="s">
        <v>41</v>
      </c>
      <c r="I160" s="3" t="s">
        <v>7</v>
      </c>
      <c r="J160" s="3" t="s">
        <v>64</v>
      </c>
      <c r="K160" s="3" t="s">
        <v>39</v>
      </c>
      <c r="L160" s="3" t="s">
        <v>67</v>
      </c>
      <c r="M160">
        <v>1</v>
      </c>
    </row>
    <row r="161" spans="1:13" x14ac:dyDescent="0.25">
      <c r="A161" s="1">
        <v>46141</v>
      </c>
      <c r="B161" s="1" t="str">
        <f ca="1">IF(Información1[[#This Row],[Fecha]]='Ajuste de fechas'!$A$2,"Día actual","Día anterior")</f>
        <v>Día anterior</v>
      </c>
      <c r="C161" s="3" t="s">
        <v>38</v>
      </c>
      <c r="D161" t="s">
        <v>40</v>
      </c>
      <c r="E161" s="3" t="s">
        <v>217</v>
      </c>
      <c r="F161" s="3" t="s">
        <v>21</v>
      </c>
      <c r="G161" s="3" t="s">
        <v>110</v>
      </c>
      <c r="H161" s="3" t="s">
        <v>41</v>
      </c>
      <c r="I161" s="3" t="s">
        <v>7</v>
      </c>
      <c r="J161" s="3" t="s">
        <v>64</v>
      </c>
      <c r="K161" s="3" t="s">
        <v>39</v>
      </c>
      <c r="L161" s="3" t="s">
        <v>67</v>
      </c>
      <c r="M161">
        <v>1</v>
      </c>
    </row>
    <row r="162" spans="1:13" x14ac:dyDescent="0.25">
      <c r="A162" s="1">
        <v>46141</v>
      </c>
      <c r="B162" s="1" t="str">
        <f ca="1">IF(Información1[[#This Row],[Fecha]]='Ajuste de fechas'!$A$2,"Día actual","Día anterior")</f>
        <v>Día anterior</v>
      </c>
      <c r="C162" s="3" t="s">
        <v>38</v>
      </c>
      <c r="D162" t="s">
        <v>40</v>
      </c>
      <c r="E162" s="3" t="s">
        <v>218</v>
      </c>
      <c r="F162" s="3" t="s">
        <v>19</v>
      </c>
      <c r="G162" s="3" t="s">
        <v>219</v>
      </c>
      <c r="H162" s="3" t="s">
        <v>41</v>
      </c>
      <c r="I162" s="3" t="s">
        <v>7</v>
      </c>
      <c r="J162" s="3" t="s">
        <v>68</v>
      </c>
      <c r="K162" s="3" t="s">
        <v>39</v>
      </c>
      <c r="L162" s="3" t="s">
        <v>65</v>
      </c>
      <c r="M162">
        <v>1</v>
      </c>
    </row>
    <row r="163" spans="1:13" x14ac:dyDescent="0.25">
      <c r="A163" s="1">
        <v>46141</v>
      </c>
      <c r="B163" s="1" t="str">
        <f ca="1">IF(Información1[[#This Row],[Fecha]]='Ajuste de fechas'!$A$2,"Día actual","Día anterior")</f>
        <v>Día anterior</v>
      </c>
      <c r="C163" s="3" t="s">
        <v>38</v>
      </c>
      <c r="D163" t="s">
        <v>40</v>
      </c>
      <c r="E163" s="3" t="s">
        <v>220</v>
      </c>
      <c r="F163" s="3" t="s">
        <v>26</v>
      </c>
      <c r="G163" s="3" t="s">
        <v>221</v>
      </c>
      <c r="H163" s="3" t="s">
        <v>41</v>
      </c>
      <c r="I163" s="3" t="s">
        <v>7</v>
      </c>
      <c r="J163" s="3" t="s">
        <v>26</v>
      </c>
      <c r="K163" s="3" t="s">
        <v>39</v>
      </c>
      <c r="L163" s="3" t="s">
        <v>65</v>
      </c>
      <c r="M163">
        <v>1</v>
      </c>
    </row>
    <row r="164" spans="1:13" x14ac:dyDescent="0.25">
      <c r="A164" s="1">
        <v>46141</v>
      </c>
      <c r="B164" s="1" t="str">
        <f ca="1">IF(Información1[[#This Row],[Fecha]]='Ajuste de fechas'!$A$2,"Día actual","Día anterior")</f>
        <v>Día anterior</v>
      </c>
      <c r="C164" s="3" t="s">
        <v>38</v>
      </c>
      <c r="D164" t="s">
        <v>40</v>
      </c>
      <c r="E164" s="3" t="s">
        <v>222</v>
      </c>
      <c r="F164" s="3" t="s">
        <v>157</v>
      </c>
      <c r="G164" s="3" t="s">
        <v>221</v>
      </c>
      <c r="H164" s="3" t="s">
        <v>41</v>
      </c>
      <c r="I164" s="3" t="s">
        <v>7</v>
      </c>
      <c r="J164" s="3" t="s">
        <v>64</v>
      </c>
      <c r="K164" s="3" t="s">
        <v>39</v>
      </c>
      <c r="L164" s="3" t="s">
        <v>65</v>
      </c>
      <c r="M164">
        <v>1</v>
      </c>
    </row>
    <row r="165" spans="1:13" x14ac:dyDescent="0.25">
      <c r="A165" s="1">
        <v>46141</v>
      </c>
      <c r="B165" s="1" t="str">
        <f ca="1">IF(Información1[[#This Row],[Fecha]]='Ajuste de fechas'!$A$2,"Día actual","Día anterior")</f>
        <v>Día anterior</v>
      </c>
      <c r="C165" s="3" t="s">
        <v>34</v>
      </c>
      <c r="D165" t="s">
        <v>36</v>
      </c>
      <c r="E165" s="3" t="s">
        <v>268</v>
      </c>
      <c r="F165" s="3" t="s">
        <v>21</v>
      </c>
      <c r="G165" s="3" t="s">
        <v>269</v>
      </c>
      <c r="H165" s="3" t="s">
        <v>11</v>
      </c>
      <c r="I165" s="3" t="s">
        <v>7</v>
      </c>
      <c r="J165" s="3" t="s">
        <v>64</v>
      </c>
      <c r="K165" s="3" t="s">
        <v>56</v>
      </c>
      <c r="L165" s="3" t="s">
        <v>65</v>
      </c>
      <c r="M165">
        <v>1</v>
      </c>
    </row>
    <row r="166" spans="1:13" x14ac:dyDescent="0.25">
      <c r="A166" s="1">
        <v>46141</v>
      </c>
      <c r="B166" s="1" t="str">
        <f ca="1">IF(Información1[[#This Row],[Fecha]]='Ajuste de fechas'!$A$2,"Día actual","Día anterior")</f>
        <v>Día anterior</v>
      </c>
      <c r="C166" s="3" t="s">
        <v>34</v>
      </c>
      <c r="D166" t="s">
        <v>37</v>
      </c>
      <c r="E166" s="3" t="s">
        <v>270</v>
      </c>
      <c r="F166" s="3" t="s">
        <v>23</v>
      </c>
      <c r="G166" s="3" t="s">
        <v>92</v>
      </c>
      <c r="H166" s="3" t="s">
        <v>11</v>
      </c>
      <c r="I166" s="3" t="s">
        <v>7</v>
      </c>
      <c r="J166" s="3" t="s">
        <v>69</v>
      </c>
      <c r="K166" s="3" t="s">
        <v>35</v>
      </c>
      <c r="L166" s="3" t="s">
        <v>65</v>
      </c>
      <c r="M166">
        <v>1</v>
      </c>
    </row>
    <row r="167" spans="1:13" x14ac:dyDescent="0.25">
      <c r="A167" s="1">
        <v>46141</v>
      </c>
      <c r="B167" s="1" t="str">
        <f ca="1">IF(Información1[[#This Row],[Fecha]]='Ajuste de fechas'!$A$2,"Día actual","Día anterior")</f>
        <v>Día anterior</v>
      </c>
      <c r="C167" s="3" t="s">
        <v>8</v>
      </c>
      <c r="D167" t="s">
        <v>10</v>
      </c>
      <c r="E167" s="3" t="s">
        <v>271</v>
      </c>
      <c r="F167" s="3" t="s">
        <v>6</v>
      </c>
      <c r="G167" s="3" t="s">
        <v>272</v>
      </c>
      <c r="H167" s="3" t="s">
        <v>11</v>
      </c>
      <c r="I167" s="3" t="s">
        <v>27</v>
      </c>
      <c r="J167" s="3" t="s">
        <v>64</v>
      </c>
      <c r="K167" s="3" t="s">
        <v>9</v>
      </c>
      <c r="L167" s="3" t="s">
        <v>66</v>
      </c>
      <c r="M167">
        <v>1</v>
      </c>
    </row>
    <row r="168" spans="1:13" x14ac:dyDescent="0.25">
      <c r="A168" s="1">
        <v>46141</v>
      </c>
      <c r="B168" s="1" t="str">
        <f ca="1">IF(Información1[[#This Row],[Fecha]]='Ajuste de fechas'!$A$2,"Día actual","Día anterior")</f>
        <v>Día anterior</v>
      </c>
      <c r="C168" s="3" t="s">
        <v>8</v>
      </c>
      <c r="D168" t="s">
        <v>10</v>
      </c>
      <c r="E168" s="3" t="s">
        <v>273</v>
      </c>
      <c r="F168" s="3" t="s">
        <v>6</v>
      </c>
      <c r="G168" s="3" t="s">
        <v>272</v>
      </c>
      <c r="H168" s="3" t="s">
        <v>11</v>
      </c>
      <c r="I168" s="3" t="s">
        <v>27</v>
      </c>
      <c r="J168" s="3" t="s">
        <v>64</v>
      </c>
      <c r="K168" s="3" t="s">
        <v>14</v>
      </c>
      <c r="L168" s="3" t="s">
        <v>66</v>
      </c>
      <c r="M168">
        <v>1</v>
      </c>
    </row>
    <row r="169" spans="1:13" x14ac:dyDescent="0.25">
      <c r="A169" s="1">
        <v>46141</v>
      </c>
      <c r="B169" s="1" t="str">
        <f ca="1">IF(Información1[[#This Row],[Fecha]]='Ajuste de fechas'!$A$2,"Día actual","Día anterior")</f>
        <v>Día anterior</v>
      </c>
      <c r="C169" s="3" t="s">
        <v>34</v>
      </c>
      <c r="D169" t="s">
        <v>37</v>
      </c>
      <c r="E169" s="3" t="s">
        <v>274</v>
      </c>
      <c r="F169" s="3" t="s">
        <v>15</v>
      </c>
      <c r="G169" s="3" t="s">
        <v>98</v>
      </c>
      <c r="H169" s="3" t="s">
        <v>11</v>
      </c>
      <c r="I169" s="3" t="s">
        <v>7</v>
      </c>
      <c r="J169" s="3" t="s">
        <v>64</v>
      </c>
      <c r="K169" s="3" t="s">
        <v>35</v>
      </c>
      <c r="L169" s="3" t="s">
        <v>67</v>
      </c>
      <c r="M169">
        <v>1</v>
      </c>
    </row>
    <row r="170" spans="1:13" x14ac:dyDescent="0.25">
      <c r="A170" s="1">
        <v>46141</v>
      </c>
      <c r="B170" s="1" t="str">
        <f ca="1">IF(Información1[[#This Row],[Fecha]]='Ajuste de fechas'!$A$2,"Día actual","Día anterior")</f>
        <v>Día anterior</v>
      </c>
      <c r="C170" s="3" t="s">
        <v>8</v>
      </c>
      <c r="D170" t="s">
        <v>10</v>
      </c>
      <c r="E170" s="3" t="s">
        <v>274</v>
      </c>
      <c r="F170" s="3" t="s">
        <v>15</v>
      </c>
      <c r="G170" s="3" t="s">
        <v>98</v>
      </c>
      <c r="H170" s="3" t="s">
        <v>11</v>
      </c>
      <c r="I170" s="3" t="s">
        <v>7</v>
      </c>
      <c r="J170" s="3" t="s">
        <v>64</v>
      </c>
      <c r="K170" s="3" t="s">
        <v>14</v>
      </c>
      <c r="L170" s="3" t="s">
        <v>67</v>
      </c>
      <c r="M170">
        <v>1</v>
      </c>
    </row>
    <row r="171" spans="1:13" x14ac:dyDescent="0.25">
      <c r="A171" s="1">
        <v>46141</v>
      </c>
      <c r="B171" s="1" t="str">
        <f ca="1">IF(Información1[[#This Row],[Fecha]]='Ajuste de fechas'!$A$2,"Día actual","Día anterior")</f>
        <v>Día anterior</v>
      </c>
      <c r="C171" s="3" t="s">
        <v>34</v>
      </c>
      <c r="D171" t="s">
        <v>37</v>
      </c>
      <c r="E171" s="3" t="s">
        <v>275</v>
      </c>
      <c r="F171" s="3" t="s">
        <v>19</v>
      </c>
      <c r="G171" s="3" t="s">
        <v>276</v>
      </c>
      <c r="H171" s="3" t="s">
        <v>11</v>
      </c>
      <c r="I171" s="3" t="s">
        <v>27</v>
      </c>
      <c r="J171" s="3" t="s">
        <v>68</v>
      </c>
      <c r="K171" s="3" t="s">
        <v>35</v>
      </c>
      <c r="L171" s="3" t="s">
        <v>65</v>
      </c>
      <c r="M171">
        <v>1</v>
      </c>
    </row>
    <row r="172" spans="1:13" x14ac:dyDescent="0.25">
      <c r="A172" s="1">
        <v>46141</v>
      </c>
      <c r="B172" s="1" t="str">
        <f ca="1">IF(Información1[[#This Row],[Fecha]]='Ajuste de fechas'!$A$2,"Día actual","Día anterior")</f>
        <v>Día anterior</v>
      </c>
      <c r="C172" s="3" t="s">
        <v>34</v>
      </c>
      <c r="D172" t="s">
        <v>37</v>
      </c>
      <c r="E172" s="3" t="s">
        <v>277</v>
      </c>
      <c r="F172" s="3" t="s">
        <v>82</v>
      </c>
      <c r="G172" s="3" t="s">
        <v>213</v>
      </c>
      <c r="H172" s="3" t="s">
        <v>11</v>
      </c>
      <c r="I172" s="3" t="s">
        <v>7</v>
      </c>
      <c r="J172" s="3" t="s">
        <v>64</v>
      </c>
      <c r="K172" s="3" t="s">
        <v>35</v>
      </c>
      <c r="L172" s="3" t="s">
        <v>65</v>
      </c>
      <c r="M172">
        <v>1</v>
      </c>
    </row>
    <row r="173" spans="1:13" x14ac:dyDescent="0.25">
      <c r="A173" s="1">
        <v>46141</v>
      </c>
      <c r="B173" s="1" t="str">
        <f ca="1">IF(Información1[[#This Row],[Fecha]]='Ajuste de fechas'!$A$2,"Día actual","Día anterior")</f>
        <v>Día anterior</v>
      </c>
      <c r="C173" s="3" t="s">
        <v>8</v>
      </c>
      <c r="D173" t="s">
        <v>10</v>
      </c>
      <c r="E173" s="3" t="s">
        <v>20</v>
      </c>
      <c r="F173" s="3" t="s">
        <v>19</v>
      </c>
      <c r="G173" s="3" t="s">
        <v>55</v>
      </c>
      <c r="H173" s="3" t="s">
        <v>11</v>
      </c>
      <c r="I173" s="3" t="s">
        <v>12</v>
      </c>
      <c r="J173" s="3" t="s">
        <v>68</v>
      </c>
      <c r="K173" s="3" t="s">
        <v>14</v>
      </c>
      <c r="L173" s="3" t="s">
        <v>66</v>
      </c>
      <c r="M173">
        <v>1</v>
      </c>
    </row>
    <row r="174" spans="1:13" x14ac:dyDescent="0.25">
      <c r="A174" s="1">
        <v>46141</v>
      </c>
      <c r="B174" s="1" t="str">
        <f ca="1">IF(Información1[[#This Row],[Fecha]]='Ajuste de fechas'!$A$2,"Día actual","Día anterior")</f>
        <v>Día anterior</v>
      </c>
      <c r="C174" s="3" t="s">
        <v>8</v>
      </c>
      <c r="D174" t="s">
        <v>10</v>
      </c>
      <c r="E174" s="3" t="s">
        <v>18</v>
      </c>
      <c r="F174" s="3" t="s">
        <v>19</v>
      </c>
      <c r="G174" s="3" t="s">
        <v>55</v>
      </c>
      <c r="H174" s="3" t="s">
        <v>11</v>
      </c>
      <c r="I174" s="3" t="s">
        <v>12</v>
      </c>
      <c r="J174" s="3" t="s">
        <v>68</v>
      </c>
      <c r="K174" s="3" t="s">
        <v>14</v>
      </c>
      <c r="L174" s="3" t="s">
        <v>66</v>
      </c>
      <c r="M174">
        <v>1</v>
      </c>
    </row>
    <row r="175" spans="1:13" x14ac:dyDescent="0.25">
      <c r="A175" s="1">
        <v>46141</v>
      </c>
      <c r="B175" s="1" t="str">
        <f ca="1">IF(Información1[[#This Row],[Fecha]]='Ajuste de fechas'!$A$2,"Día actual","Día anterior")</f>
        <v>Día anterior</v>
      </c>
      <c r="C175" s="3" t="s">
        <v>8</v>
      </c>
      <c r="D175" t="s">
        <v>10</v>
      </c>
      <c r="E175" s="3" t="s">
        <v>54</v>
      </c>
      <c r="F175" s="3" t="s">
        <v>22</v>
      </c>
      <c r="G175" s="3" t="s">
        <v>55</v>
      </c>
      <c r="H175" s="3" t="s">
        <v>11</v>
      </c>
      <c r="I175" s="3" t="s">
        <v>12</v>
      </c>
      <c r="J175" s="3" t="s">
        <v>26</v>
      </c>
      <c r="K175" s="3" t="s">
        <v>14</v>
      </c>
      <c r="L175" s="3" t="s">
        <v>66</v>
      </c>
      <c r="M175">
        <v>1</v>
      </c>
    </row>
    <row r="176" spans="1:13" x14ac:dyDescent="0.25">
      <c r="A176" s="1">
        <v>46141</v>
      </c>
      <c r="B176" s="1" t="str">
        <f ca="1">IF(Información1[[#This Row],[Fecha]]='Ajuste de fechas'!$A$2,"Día actual","Día anterior")</f>
        <v>Día anterior</v>
      </c>
      <c r="C176" s="3" t="s">
        <v>8</v>
      </c>
      <c r="D176" t="s">
        <v>10</v>
      </c>
      <c r="E176" s="3" t="s">
        <v>83</v>
      </c>
      <c r="F176" s="3" t="s">
        <v>21</v>
      </c>
      <c r="G176" s="3" t="s">
        <v>55</v>
      </c>
      <c r="H176" s="3" t="s">
        <v>11</v>
      </c>
      <c r="I176" s="3" t="s">
        <v>12</v>
      </c>
      <c r="J176" s="3" t="s">
        <v>64</v>
      </c>
      <c r="K176" s="3" t="s">
        <v>14</v>
      </c>
      <c r="L176" s="3" t="s">
        <v>66</v>
      </c>
      <c r="M176">
        <v>1</v>
      </c>
    </row>
    <row r="177" spans="1:13" x14ac:dyDescent="0.25">
      <c r="A177" s="1">
        <v>46141</v>
      </c>
      <c r="B177" s="1" t="str">
        <f ca="1">IF(Información1[[#This Row],[Fecha]]='Ajuste de fechas'!$A$2,"Día actual","Día anterior")</f>
        <v>Día anterior</v>
      </c>
      <c r="C177" s="3" t="s">
        <v>8</v>
      </c>
      <c r="D177" t="s">
        <v>10</v>
      </c>
      <c r="E177" s="3" t="s">
        <v>13</v>
      </c>
      <c r="F177" s="3" t="s">
        <v>15</v>
      </c>
      <c r="G177" s="3" t="s">
        <v>55</v>
      </c>
      <c r="H177" s="3" t="s">
        <v>11</v>
      </c>
      <c r="I177" s="3" t="s">
        <v>12</v>
      </c>
      <c r="J177" s="3" t="s">
        <v>64</v>
      </c>
      <c r="K177" s="3" t="s">
        <v>14</v>
      </c>
      <c r="L177" s="3" t="s">
        <v>66</v>
      </c>
      <c r="M177">
        <v>1</v>
      </c>
    </row>
    <row r="178" spans="1:13" x14ac:dyDescent="0.25">
      <c r="A178" s="1">
        <v>46141</v>
      </c>
      <c r="B178" s="1" t="str">
        <f ca="1">IF(Información1[[#This Row],[Fecha]]='Ajuste de fechas'!$A$2,"Día actual","Día anterior")</f>
        <v>Día anterior</v>
      </c>
      <c r="C178" s="3" t="s">
        <v>8</v>
      </c>
      <c r="D178" t="s">
        <v>10</v>
      </c>
      <c r="E178" s="3" t="s">
        <v>16</v>
      </c>
      <c r="F178" s="3" t="s">
        <v>17</v>
      </c>
      <c r="G178" s="3" t="s">
        <v>55</v>
      </c>
      <c r="H178" s="3" t="s">
        <v>11</v>
      </c>
      <c r="I178" s="3" t="s">
        <v>12</v>
      </c>
      <c r="J178" s="3" t="s">
        <v>64</v>
      </c>
      <c r="K178" s="3" t="s">
        <v>14</v>
      </c>
      <c r="L178" s="3" t="s">
        <v>66</v>
      </c>
      <c r="M178">
        <v>1</v>
      </c>
    </row>
    <row r="179" spans="1:13" x14ac:dyDescent="0.25">
      <c r="A179" s="1">
        <v>46141</v>
      </c>
      <c r="B179" s="1" t="str">
        <f ca="1">IF(Información1[[#This Row],[Fecha]]='Ajuste de fechas'!$A$2,"Día actual","Día anterior")</f>
        <v>Día anterior</v>
      </c>
      <c r="C179" s="3" t="s">
        <v>8</v>
      </c>
      <c r="D179" t="s">
        <v>10</v>
      </c>
      <c r="E179" s="3" t="s">
        <v>57</v>
      </c>
      <c r="F179" s="3" t="s">
        <v>6</v>
      </c>
      <c r="G179" s="3" t="s">
        <v>55</v>
      </c>
      <c r="H179" s="3" t="s">
        <v>11</v>
      </c>
      <c r="I179" s="3" t="s">
        <v>12</v>
      </c>
      <c r="J179" s="3" t="s">
        <v>64</v>
      </c>
      <c r="K179" s="3" t="s">
        <v>14</v>
      </c>
      <c r="L179" s="3" t="s">
        <v>66</v>
      </c>
      <c r="M179">
        <v>1</v>
      </c>
    </row>
    <row r="180" spans="1:13" x14ac:dyDescent="0.25">
      <c r="A180" s="1">
        <v>46141</v>
      </c>
      <c r="B180" s="1" t="str">
        <f ca="1">IF(Información1[[#This Row],[Fecha]]='Ajuste de fechas'!$A$2,"Día actual","Día anterior")</f>
        <v>Día anterior</v>
      </c>
      <c r="C180" s="3" t="s">
        <v>8</v>
      </c>
      <c r="D180" t="s">
        <v>10</v>
      </c>
      <c r="E180" s="3" t="s">
        <v>278</v>
      </c>
      <c r="F180" s="3" t="s">
        <v>21</v>
      </c>
      <c r="G180" s="3" t="s">
        <v>279</v>
      </c>
      <c r="H180" s="3" t="s">
        <v>11</v>
      </c>
      <c r="I180" s="3" t="s">
        <v>27</v>
      </c>
      <c r="J180" s="3" t="s">
        <v>64</v>
      </c>
      <c r="K180" s="3" t="s">
        <v>9</v>
      </c>
      <c r="L180" s="3" t="s">
        <v>66</v>
      </c>
      <c r="M180">
        <v>1</v>
      </c>
    </row>
    <row r="181" spans="1:13" x14ac:dyDescent="0.25">
      <c r="A181" s="1">
        <v>46141</v>
      </c>
      <c r="B181" s="1" t="str">
        <f ca="1">IF(Información1[[#This Row],[Fecha]]='Ajuste de fechas'!$A$2,"Día actual","Día anterior")</f>
        <v>Día anterior</v>
      </c>
      <c r="C181" s="3" t="s">
        <v>34</v>
      </c>
      <c r="D181" t="s">
        <v>37</v>
      </c>
      <c r="E181" s="3" t="s">
        <v>133</v>
      </c>
      <c r="F181" s="3" t="s">
        <v>24</v>
      </c>
      <c r="G181" s="3" t="s">
        <v>118</v>
      </c>
      <c r="H181" s="3" t="s">
        <v>11</v>
      </c>
      <c r="I181" s="3" t="s">
        <v>7</v>
      </c>
      <c r="J181" s="3" t="s">
        <v>64</v>
      </c>
      <c r="K181" s="3" t="s">
        <v>35</v>
      </c>
      <c r="L181" s="3" t="s">
        <v>67</v>
      </c>
      <c r="M181">
        <v>1</v>
      </c>
    </row>
    <row r="182" spans="1:13" x14ac:dyDescent="0.25">
      <c r="A182" s="1">
        <v>46141</v>
      </c>
      <c r="B182" s="1" t="str">
        <f ca="1">IF(Información1[[#This Row],[Fecha]]='Ajuste de fechas'!$A$2,"Día actual","Día anterior")</f>
        <v>Día anterior</v>
      </c>
      <c r="C182" s="3" t="s">
        <v>8</v>
      </c>
      <c r="D182" t="s">
        <v>10</v>
      </c>
      <c r="E182" s="3" t="s">
        <v>133</v>
      </c>
      <c r="F182" s="3" t="s">
        <v>24</v>
      </c>
      <c r="G182" s="3" t="s">
        <v>118</v>
      </c>
      <c r="H182" s="3" t="s">
        <v>11</v>
      </c>
      <c r="I182" s="3" t="s">
        <v>7</v>
      </c>
      <c r="J182" s="3" t="s">
        <v>64</v>
      </c>
      <c r="K182" s="3" t="s">
        <v>14</v>
      </c>
      <c r="L182" s="3" t="s">
        <v>67</v>
      </c>
      <c r="M182">
        <v>1</v>
      </c>
    </row>
    <row r="183" spans="1:13" x14ac:dyDescent="0.25">
      <c r="A183" s="1">
        <v>46141</v>
      </c>
      <c r="B183" s="1" t="str">
        <f ca="1">IF(Información1[[#This Row],[Fecha]]='Ajuste de fechas'!$A$2,"Día actual","Día anterior")</f>
        <v>Día anterior</v>
      </c>
      <c r="C183" s="3" t="s">
        <v>34</v>
      </c>
      <c r="D183" t="s">
        <v>37</v>
      </c>
      <c r="E183" s="3" t="s">
        <v>280</v>
      </c>
      <c r="F183" s="3" t="s">
        <v>24</v>
      </c>
      <c r="G183" s="3" t="s">
        <v>151</v>
      </c>
      <c r="H183" s="3" t="s">
        <v>11</v>
      </c>
      <c r="I183" s="3" t="s">
        <v>7</v>
      </c>
      <c r="J183" s="3" t="s">
        <v>64</v>
      </c>
      <c r="K183" s="3" t="s">
        <v>35</v>
      </c>
      <c r="L183" s="3" t="s">
        <v>65</v>
      </c>
      <c r="M183">
        <v>1</v>
      </c>
    </row>
    <row r="184" spans="1:13" x14ac:dyDescent="0.25">
      <c r="A184" s="1">
        <v>46141</v>
      </c>
      <c r="B184" s="1" t="str">
        <f ca="1">IF(Información1[[#This Row],[Fecha]]='Ajuste de fechas'!$A$2,"Día actual","Día anterior")</f>
        <v>Día anterior</v>
      </c>
      <c r="C184" s="3" t="s">
        <v>8</v>
      </c>
      <c r="D184" t="s">
        <v>10</v>
      </c>
      <c r="E184" s="3" t="s">
        <v>281</v>
      </c>
      <c r="F184" s="3" t="s">
        <v>23</v>
      </c>
      <c r="G184" s="3" t="s">
        <v>75</v>
      </c>
      <c r="H184" s="3" t="s">
        <v>11</v>
      </c>
      <c r="I184" s="3" t="s">
        <v>7</v>
      </c>
      <c r="J184" s="3" t="s">
        <v>69</v>
      </c>
      <c r="K184" s="3" t="s">
        <v>14</v>
      </c>
      <c r="L184" s="3" t="s">
        <v>65</v>
      </c>
      <c r="M184">
        <v>1</v>
      </c>
    </row>
    <row r="185" spans="1:13" x14ac:dyDescent="0.25">
      <c r="A185" s="1">
        <v>46141</v>
      </c>
      <c r="B185" s="1" t="str">
        <f ca="1">IF(Información1[[#This Row],[Fecha]]='Ajuste de fechas'!$A$2,"Día actual","Día anterior")</f>
        <v>Día anterior</v>
      </c>
      <c r="C185" s="3" t="s">
        <v>34</v>
      </c>
      <c r="D185" t="s">
        <v>37</v>
      </c>
      <c r="E185" s="3" t="s">
        <v>282</v>
      </c>
      <c r="F185" s="3" t="s">
        <v>25</v>
      </c>
      <c r="G185" s="3" t="s">
        <v>283</v>
      </c>
      <c r="H185" s="3" t="s">
        <v>11</v>
      </c>
      <c r="I185" s="3" t="s">
        <v>7</v>
      </c>
      <c r="J185" s="3" t="s">
        <v>64</v>
      </c>
      <c r="K185" s="3" t="s">
        <v>35</v>
      </c>
      <c r="L185" s="3" t="s">
        <v>65</v>
      </c>
      <c r="M185">
        <v>1</v>
      </c>
    </row>
    <row r="186" spans="1:13" x14ac:dyDescent="0.25">
      <c r="A186" s="1">
        <v>46141</v>
      </c>
      <c r="B186" s="1" t="str">
        <f ca="1">IF(Información1[[#This Row],[Fecha]]='Ajuste de fechas'!$A$2,"Día actual","Día anterior")</f>
        <v>Día anterior</v>
      </c>
      <c r="C186" s="3" t="s">
        <v>34</v>
      </c>
      <c r="D186" t="s">
        <v>36</v>
      </c>
      <c r="E186" s="3" t="s">
        <v>284</v>
      </c>
      <c r="F186" s="3" t="s">
        <v>26</v>
      </c>
      <c r="G186" s="3" t="s">
        <v>285</v>
      </c>
      <c r="H186" s="3" t="s">
        <v>11</v>
      </c>
      <c r="I186" s="3" t="s">
        <v>7</v>
      </c>
      <c r="J186" s="3" t="s">
        <v>26</v>
      </c>
      <c r="K186" s="3" t="s">
        <v>56</v>
      </c>
      <c r="L186" s="3" t="s">
        <v>65</v>
      </c>
      <c r="M186">
        <v>1</v>
      </c>
    </row>
    <row r="187" spans="1:13" x14ac:dyDescent="0.25">
      <c r="A187" s="1">
        <v>46141</v>
      </c>
      <c r="B187" s="1" t="str">
        <f ca="1">IF(Información1[[#This Row],[Fecha]]='Ajuste de fechas'!$A$2,"Día actual","Día anterior")</f>
        <v>Día anterior</v>
      </c>
      <c r="C187" s="3" t="s">
        <v>34</v>
      </c>
      <c r="D187" t="s">
        <v>36</v>
      </c>
      <c r="E187" s="3" t="s">
        <v>286</v>
      </c>
      <c r="F187" s="3" t="s">
        <v>229</v>
      </c>
      <c r="G187" s="3" t="s">
        <v>219</v>
      </c>
      <c r="H187" s="3" t="s">
        <v>11</v>
      </c>
      <c r="I187" s="3" t="s">
        <v>7</v>
      </c>
      <c r="J187" s="3" t="s">
        <v>64</v>
      </c>
      <c r="K187" s="3" t="s">
        <v>56</v>
      </c>
      <c r="L187" s="3" t="s">
        <v>65</v>
      </c>
      <c r="M187">
        <v>1</v>
      </c>
    </row>
    <row r="188" spans="1:13" x14ac:dyDescent="0.25">
      <c r="A188" s="1">
        <v>46141</v>
      </c>
      <c r="B188" s="1" t="str">
        <f ca="1">IF(Información1[[#This Row],[Fecha]]='Ajuste de fechas'!$A$2,"Día actual","Día anterior")</f>
        <v>Día anterior</v>
      </c>
      <c r="C188" s="3" t="s">
        <v>8</v>
      </c>
      <c r="D188" t="s">
        <v>10</v>
      </c>
      <c r="E188" s="3" t="s">
        <v>287</v>
      </c>
      <c r="F188" s="3" t="s">
        <v>19</v>
      </c>
      <c r="G188" s="3" t="s">
        <v>219</v>
      </c>
      <c r="H188" s="3" t="s">
        <v>11</v>
      </c>
      <c r="I188" s="3" t="s">
        <v>7</v>
      </c>
      <c r="J188" s="3" t="s">
        <v>68</v>
      </c>
      <c r="K188" s="3" t="s">
        <v>14</v>
      </c>
      <c r="L188" s="3" t="s">
        <v>65</v>
      </c>
      <c r="M188">
        <v>1</v>
      </c>
    </row>
    <row r="189" spans="1:13" x14ac:dyDescent="0.25">
      <c r="A189" s="1">
        <v>46141</v>
      </c>
      <c r="B189" s="1" t="str">
        <f ca="1">IF(Información1[[#This Row],[Fecha]]='Ajuste de fechas'!$A$2,"Día actual","Día anterior")</f>
        <v>Día anterior</v>
      </c>
      <c r="C189" s="3" t="s">
        <v>34</v>
      </c>
      <c r="D189" t="s">
        <v>37</v>
      </c>
      <c r="E189" s="3" t="s">
        <v>288</v>
      </c>
      <c r="F189" s="3" t="s">
        <v>108</v>
      </c>
      <c r="G189" s="3" t="s">
        <v>109</v>
      </c>
      <c r="H189" s="3" t="s">
        <v>11</v>
      </c>
      <c r="I189" s="3" t="s">
        <v>27</v>
      </c>
      <c r="J189" s="3" t="s">
        <v>26</v>
      </c>
      <c r="K189" s="3" t="s">
        <v>35</v>
      </c>
      <c r="L189" s="3" t="s">
        <v>65</v>
      </c>
      <c r="M189">
        <v>1</v>
      </c>
    </row>
    <row r="190" spans="1:13" x14ac:dyDescent="0.25">
      <c r="A190" s="1">
        <v>46141</v>
      </c>
      <c r="B190" s="1" t="str">
        <f ca="1">IF(Información1[[#This Row],[Fecha]]='Ajuste de fechas'!$A$2,"Día actual","Día anterior")</f>
        <v>Día anterior</v>
      </c>
      <c r="C190" s="3" t="s">
        <v>8</v>
      </c>
      <c r="D190" t="s">
        <v>10</v>
      </c>
      <c r="E190" s="3" t="s">
        <v>289</v>
      </c>
      <c r="F190" s="3" t="s">
        <v>6</v>
      </c>
      <c r="G190" s="3" t="s">
        <v>187</v>
      </c>
      <c r="H190" s="3" t="s">
        <v>11</v>
      </c>
      <c r="I190" s="3" t="s">
        <v>12</v>
      </c>
      <c r="J190" s="3" t="s">
        <v>64</v>
      </c>
      <c r="K190" s="3" t="s">
        <v>9</v>
      </c>
      <c r="L190" s="3" t="s">
        <v>66</v>
      </c>
      <c r="M190">
        <v>1</v>
      </c>
    </row>
    <row r="191" spans="1:13" x14ac:dyDescent="0.25">
      <c r="A191" s="1">
        <v>46141</v>
      </c>
      <c r="B191" s="1" t="str">
        <f ca="1">IF(Información1[[#This Row],[Fecha]]='Ajuste de fechas'!$A$2,"Día actual","Día anterior")</f>
        <v>Día anterior</v>
      </c>
      <c r="C191" s="3" t="s">
        <v>34</v>
      </c>
      <c r="D191" t="s">
        <v>37</v>
      </c>
      <c r="E191" s="3" t="s">
        <v>290</v>
      </c>
      <c r="F191" s="3" t="s">
        <v>19</v>
      </c>
      <c r="G191" s="3" t="s">
        <v>78</v>
      </c>
      <c r="H191" s="3" t="s">
        <v>11</v>
      </c>
      <c r="I191" s="3" t="s">
        <v>7</v>
      </c>
      <c r="J191" s="3" t="s">
        <v>68</v>
      </c>
      <c r="K191" s="3" t="s">
        <v>35</v>
      </c>
      <c r="L191" s="3" t="s">
        <v>65</v>
      </c>
      <c r="M191">
        <v>1</v>
      </c>
    </row>
    <row r="192" spans="1:13" x14ac:dyDescent="0.25">
      <c r="A192" s="1">
        <v>46141</v>
      </c>
      <c r="B192" s="1" t="str">
        <f ca="1">IF(Información1[[#This Row],[Fecha]]='Ajuste de fechas'!$A$2,"Día actual","Día anterior")</f>
        <v>Día anterior</v>
      </c>
      <c r="C192" s="3" t="s">
        <v>34</v>
      </c>
      <c r="D192" t="s">
        <v>37</v>
      </c>
      <c r="E192" s="3" t="s">
        <v>217</v>
      </c>
      <c r="F192" s="3" t="s">
        <v>21</v>
      </c>
      <c r="G192" s="3" t="s">
        <v>110</v>
      </c>
      <c r="H192" s="3" t="s">
        <v>11</v>
      </c>
      <c r="I192" s="3" t="s">
        <v>7</v>
      </c>
      <c r="J192" s="3" t="s">
        <v>64</v>
      </c>
      <c r="K192" s="3" t="s">
        <v>35</v>
      </c>
      <c r="L192" s="3" t="s">
        <v>67</v>
      </c>
      <c r="M192">
        <v>1</v>
      </c>
    </row>
    <row r="193" spans="1:13" x14ac:dyDescent="0.25">
      <c r="A193" s="1">
        <v>46141</v>
      </c>
      <c r="B193" s="1" t="str">
        <f ca="1">IF(Información1[[#This Row],[Fecha]]='Ajuste de fechas'!$A$2,"Día actual","Día anterior")</f>
        <v>Día anterior</v>
      </c>
      <c r="C193" s="3" t="s">
        <v>34</v>
      </c>
      <c r="D193" t="s">
        <v>36</v>
      </c>
      <c r="E193" s="3" t="s">
        <v>291</v>
      </c>
      <c r="F193" s="3" t="s">
        <v>43</v>
      </c>
      <c r="G193" s="3" t="s">
        <v>116</v>
      </c>
      <c r="H193" s="3" t="s">
        <v>11</v>
      </c>
      <c r="I193" s="3" t="s">
        <v>7</v>
      </c>
      <c r="J193" s="3" t="s">
        <v>64</v>
      </c>
      <c r="K193" s="3" t="s">
        <v>56</v>
      </c>
      <c r="L193" s="3" t="s">
        <v>65</v>
      </c>
      <c r="M193">
        <v>1</v>
      </c>
    </row>
    <row r="194" spans="1:13" x14ac:dyDescent="0.25">
      <c r="A194" s="1">
        <v>46141</v>
      </c>
      <c r="B194" s="1" t="str">
        <f ca="1">IF(Información1[[#This Row],[Fecha]]='Ajuste de fechas'!$A$2,"Día actual","Día anterior")</f>
        <v>Día anterior</v>
      </c>
      <c r="C194" s="3" t="s">
        <v>8</v>
      </c>
      <c r="D194" t="s">
        <v>10</v>
      </c>
      <c r="E194" s="3" t="s">
        <v>292</v>
      </c>
      <c r="F194" s="3" t="s">
        <v>6</v>
      </c>
      <c r="G194" s="3" t="s">
        <v>79</v>
      </c>
      <c r="H194" s="3" t="s">
        <v>11</v>
      </c>
      <c r="I194" s="3" t="s">
        <v>27</v>
      </c>
      <c r="J194" s="3" t="s">
        <v>64</v>
      </c>
      <c r="K194" s="3" t="s">
        <v>9</v>
      </c>
      <c r="L194" s="3" t="s">
        <v>66</v>
      </c>
      <c r="M194">
        <v>1</v>
      </c>
    </row>
    <row r="195" spans="1:13" x14ac:dyDescent="0.25">
      <c r="A195" s="1">
        <v>46141</v>
      </c>
      <c r="B195" s="1" t="str">
        <f ca="1">IF(Información1[[#This Row],[Fecha]]='Ajuste de fechas'!$A$2,"Día actual","Día anterior")</f>
        <v>Día anterior</v>
      </c>
      <c r="C195" s="3" t="s">
        <v>34</v>
      </c>
      <c r="D195" t="s">
        <v>37</v>
      </c>
      <c r="E195" s="3" t="s">
        <v>293</v>
      </c>
      <c r="F195" s="3" t="s">
        <v>19</v>
      </c>
      <c r="G195" s="3" t="s">
        <v>294</v>
      </c>
      <c r="H195" s="3" t="s">
        <v>11</v>
      </c>
      <c r="I195" s="3" t="s">
        <v>7</v>
      </c>
      <c r="J195" s="3" t="s">
        <v>68</v>
      </c>
      <c r="K195" s="3" t="s">
        <v>35</v>
      </c>
      <c r="L195" s="3" t="s">
        <v>65</v>
      </c>
      <c r="M195">
        <v>1</v>
      </c>
    </row>
    <row r="196" spans="1:13" x14ac:dyDescent="0.25">
      <c r="A196" s="1">
        <v>46141</v>
      </c>
      <c r="B196" s="1" t="str">
        <f ca="1">IF(Información1[[#This Row],[Fecha]]='Ajuste de fechas'!$A$2,"Día actual","Día anterior")</f>
        <v>Día anterior</v>
      </c>
      <c r="C196" s="3" t="s">
        <v>34</v>
      </c>
      <c r="D196" t="s">
        <v>37</v>
      </c>
      <c r="E196" s="3" t="s">
        <v>295</v>
      </c>
      <c r="F196" s="3" t="s">
        <v>19</v>
      </c>
      <c r="G196" s="3" t="s">
        <v>296</v>
      </c>
      <c r="H196" s="3" t="s">
        <v>11</v>
      </c>
      <c r="I196" s="3" t="s">
        <v>7</v>
      </c>
      <c r="J196" s="3" t="s">
        <v>68</v>
      </c>
      <c r="K196" s="3" t="s">
        <v>35</v>
      </c>
      <c r="L196" s="3" t="s">
        <v>65</v>
      </c>
      <c r="M196">
        <v>1</v>
      </c>
    </row>
    <row r="197" spans="1:13" x14ac:dyDescent="0.25">
      <c r="A197" s="1">
        <v>46141</v>
      </c>
      <c r="B197" s="1" t="str">
        <f ca="1">IF(Información1[[#This Row],[Fecha]]='Ajuste de fechas'!$A$2,"Día actual","Día anterior")</f>
        <v>Día anterior</v>
      </c>
      <c r="C197" s="3" t="s">
        <v>8</v>
      </c>
      <c r="D197" t="s">
        <v>10</v>
      </c>
      <c r="E197" s="3" t="s">
        <v>297</v>
      </c>
      <c r="F197" s="3" t="s">
        <v>22</v>
      </c>
      <c r="G197" s="3" t="s">
        <v>224</v>
      </c>
      <c r="H197" s="3" t="s">
        <v>11</v>
      </c>
      <c r="I197" s="3" t="s">
        <v>7</v>
      </c>
      <c r="J197" s="3" t="s">
        <v>26</v>
      </c>
      <c r="K197" s="3" t="s">
        <v>14</v>
      </c>
      <c r="L197" s="3" t="s">
        <v>65</v>
      </c>
      <c r="M197">
        <v>1</v>
      </c>
    </row>
    <row r="198" spans="1:13" x14ac:dyDescent="0.25">
      <c r="A198" s="1">
        <v>46141</v>
      </c>
      <c r="B198" s="1" t="str">
        <f ca="1">IF(Información1[[#This Row],[Fecha]]='Ajuste de fechas'!$A$2,"Día actual","Día anterior")</f>
        <v>Día anterior</v>
      </c>
      <c r="C198" s="3" t="s">
        <v>34</v>
      </c>
      <c r="D198" t="s">
        <v>36</v>
      </c>
      <c r="E198" s="3" t="s">
        <v>298</v>
      </c>
      <c r="F198" s="3" t="s">
        <v>19</v>
      </c>
      <c r="G198" s="3" t="s">
        <v>299</v>
      </c>
      <c r="H198" s="3" t="s">
        <v>11</v>
      </c>
      <c r="I198" s="3" t="s">
        <v>7</v>
      </c>
      <c r="J198" s="3" t="s">
        <v>68</v>
      </c>
      <c r="K198" s="3" t="s">
        <v>56</v>
      </c>
      <c r="L198" s="3" t="s">
        <v>65</v>
      </c>
      <c r="M198">
        <v>1</v>
      </c>
    </row>
    <row r="199" spans="1:13" x14ac:dyDescent="0.25">
      <c r="A199" s="1">
        <v>46141</v>
      </c>
      <c r="B199" s="1" t="str">
        <f ca="1">IF(Información1[[#This Row],[Fecha]]='Ajuste de fechas'!$A$2,"Día actual","Día anterior")</f>
        <v>Día anterior</v>
      </c>
      <c r="C199" s="3" t="s">
        <v>8</v>
      </c>
      <c r="D199" t="s">
        <v>10</v>
      </c>
      <c r="E199" s="3" t="s">
        <v>300</v>
      </c>
      <c r="F199" s="3" t="s">
        <v>26</v>
      </c>
      <c r="G199" s="3" t="s">
        <v>301</v>
      </c>
      <c r="H199" s="3" t="s">
        <v>11</v>
      </c>
      <c r="I199" s="3" t="s">
        <v>7</v>
      </c>
      <c r="J199" s="3" t="s">
        <v>26</v>
      </c>
      <c r="K199" s="3" t="s">
        <v>14</v>
      </c>
      <c r="L199" s="3" t="s">
        <v>66</v>
      </c>
      <c r="M199">
        <v>1</v>
      </c>
    </row>
    <row r="200" spans="1:13" x14ac:dyDescent="0.25">
      <c r="A200" s="1">
        <v>46141</v>
      </c>
      <c r="B200" s="1" t="str">
        <f ca="1">IF(Información1[[#This Row],[Fecha]]='Ajuste de fechas'!$A$2,"Día actual","Día anterior")</f>
        <v>Día anterior</v>
      </c>
      <c r="C200" s="3" t="s">
        <v>302</v>
      </c>
      <c r="D200" t="s">
        <v>303</v>
      </c>
      <c r="E200" s="3" t="s">
        <v>304</v>
      </c>
      <c r="F200" s="3" t="s">
        <v>15</v>
      </c>
      <c r="G200" s="3" t="s">
        <v>305</v>
      </c>
      <c r="H200" s="3" t="s">
        <v>11</v>
      </c>
      <c r="I200" s="3" t="s">
        <v>7</v>
      </c>
      <c r="J200" s="3" t="s">
        <v>64</v>
      </c>
      <c r="K200" s="3" t="s">
        <v>306</v>
      </c>
      <c r="L200" s="3" t="s">
        <v>67</v>
      </c>
      <c r="M200">
        <v>1</v>
      </c>
    </row>
    <row r="201" spans="1:13" x14ac:dyDescent="0.25">
      <c r="A201" s="1">
        <v>46141</v>
      </c>
      <c r="B201" s="1" t="str">
        <f ca="1">IF(Información1[[#This Row],[Fecha]]='Ajuste de fechas'!$A$2,"Día actual","Día anterior")</f>
        <v>Día anterior</v>
      </c>
      <c r="C201" s="3" t="s">
        <v>8</v>
      </c>
      <c r="D201" t="s">
        <v>10</v>
      </c>
      <c r="E201" s="3" t="s">
        <v>307</v>
      </c>
      <c r="F201" s="3" t="s">
        <v>23</v>
      </c>
      <c r="G201" s="3" t="s">
        <v>74</v>
      </c>
      <c r="H201" s="3" t="s">
        <v>11</v>
      </c>
      <c r="I201" s="3" t="s">
        <v>7</v>
      </c>
      <c r="J201" s="3" t="s">
        <v>69</v>
      </c>
      <c r="K201" s="3" t="s">
        <v>14</v>
      </c>
      <c r="L201" s="3" t="s">
        <v>65</v>
      </c>
      <c r="M201">
        <v>1</v>
      </c>
    </row>
    <row r="202" spans="1:13" x14ac:dyDescent="0.25">
      <c r="A202" s="1">
        <v>46141</v>
      </c>
      <c r="B202" s="1" t="str">
        <f ca="1">IF(Información1[[#This Row],[Fecha]]='Ajuste de fechas'!$A$2,"Día actual","Día anterior")</f>
        <v>Día anterior</v>
      </c>
      <c r="C202" s="3" t="s">
        <v>8</v>
      </c>
      <c r="D202" t="s">
        <v>10</v>
      </c>
      <c r="E202" s="3" t="s">
        <v>308</v>
      </c>
      <c r="F202" s="3" t="s">
        <v>21</v>
      </c>
      <c r="G202" s="3" t="s">
        <v>309</v>
      </c>
      <c r="H202" s="3" t="s">
        <v>11</v>
      </c>
      <c r="I202" s="3" t="s">
        <v>7</v>
      </c>
      <c r="J202" s="3" t="s">
        <v>64</v>
      </c>
      <c r="K202" s="3" t="s">
        <v>9</v>
      </c>
      <c r="L202" s="3" t="s">
        <v>66</v>
      </c>
      <c r="M202">
        <v>1</v>
      </c>
    </row>
    <row r="203" spans="1:13" x14ac:dyDescent="0.25">
      <c r="A203" s="1">
        <v>46141</v>
      </c>
      <c r="B203" s="1" t="str">
        <f ca="1">IF(Información1[[#This Row],[Fecha]]='Ajuste de fechas'!$A$2,"Día actual","Día anterior")</f>
        <v>Día anterior</v>
      </c>
      <c r="C203" s="3" t="s">
        <v>34</v>
      </c>
      <c r="D203" t="s">
        <v>37</v>
      </c>
      <c r="E203" s="3" t="s">
        <v>310</v>
      </c>
      <c r="F203" s="3" t="s">
        <v>19</v>
      </c>
      <c r="G203" s="3" t="s">
        <v>311</v>
      </c>
      <c r="H203" s="3" t="s">
        <v>11</v>
      </c>
      <c r="I203" s="3" t="s">
        <v>27</v>
      </c>
      <c r="J203" s="3" t="s">
        <v>68</v>
      </c>
      <c r="K203" s="3" t="s">
        <v>35</v>
      </c>
      <c r="L203" s="3" t="s">
        <v>65</v>
      </c>
      <c r="M203">
        <v>1</v>
      </c>
    </row>
    <row r="204" spans="1:13" x14ac:dyDescent="0.25">
      <c r="A204" s="1">
        <v>46141</v>
      </c>
      <c r="B204" s="1" t="str">
        <f ca="1">IF(Información1[[#This Row],[Fecha]]='Ajuste de fechas'!$A$2,"Día actual","Día anterior")</f>
        <v>Día anterior</v>
      </c>
      <c r="C204" s="3" t="s">
        <v>8</v>
      </c>
      <c r="D204" t="s">
        <v>10</v>
      </c>
      <c r="E204" s="3" t="s">
        <v>312</v>
      </c>
      <c r="F204" s="3" t="s">
        <v>19</v>
      </c>
      <c r="G204" s="3" t="s">
        <v>81</v>
      </c>
      <c r="H204" s="3" t="s">
        <v>11</v>
      </c>
      <c r="I204" s="3" t="s">
        <v>27</v>
      </c>
      <c r="J204" s="3" t="s">
        <v>68</v>
      </c>
      <c r="K204" s="3" t="s">
        <v>9</v>
      </c>
      <c r="L204" s="3" t="s">
        <v>66</v>
      </c>
      <c r="M204">
        <v>1</v>
      </c>
    </row>
    <row r="205" spans="1:13" x14ac:dyDescent="0.25">
      <c r="A205" s="1">
        <v>46141</v>
      </c>
      <c r="B205" s="1" t="str">
        <f ca="1">IF(Información1[[#This Row],[Fecha]]='Ajuste de fechas'!$A$2,"Día actual","Día anterior")</f>
        <v>Día anterior</v>
      </c>
      <c r="C205" s="3" t="s">
        <v>34</v>
      </c>
      <c r="D205" t="s">
        <v>37</v>
      </c>
      <c r="E205" s="3" t="s">
        <v>313</v>
      </c>
      <c r="F205" s="3" t="s">
        <v>26</v>
      </c>
      <c r="G205" s="3" t="s">
        <v>314</v>
      </c>
      <c r="H205" s="3" t="s">
        <v>11</v>
      </c>
      <c r="I205" s="3" t="s">
        <v>7</v>
      </c>
      <c r="J205" s="3" t="s">
        <v>26</v>
      </c>
      <c r="K205" s="3" t="s">
        <v>35</v>
      </c>
      <c r="L205" s="3" t="s">
        <v>65</v>
      </c>
      <c r="M205">
        <v>1</v>
      </c>
    </row>
    <row r="206" spans="1:13" x14ac:dyDescent="0.25">
      <c r="A206" s="1">
        <v>46141</v>
      </c>
      <c r="B206" s="1" t="str">
        <f ca="1">IF(Información1[[#This Row],[Fecha]]='Ajuste de fechas'!$A$2,"Día actual","Día anterior")</f>
        <v>Día anterior</v>
      </c>
      <c r="C206" s="3" t="s">
        <v>34</v>
      </c>
      <c r="D206" t="s">
        <v>36</v>
      </c>
      <c r="E206" s="3" t="s">
        <v>315</v>
      </c>
      <c r="F206" s="3" t="s">
        <v>22</v>
      </c>
      <c r="G206" s="3" t="s">
        <v>84</v>
      </c>
      <c r="H206" s="3" t="s">
        <v>11</v>
      </c>
      <c r="I206" s="3" t="s">
        <v>7</v>
      </c>
      <c r="J206" s="3" t="s">
        <v>26</v>
      </c>
      <c r="K206" s="3" t="s">
        <v>56</v>
      </c>
      <c r="L206" s="3" t="s">
        <v>65</v>
      </c>
      <c r="M206">
        <v>1</v>
      </c>
    </row>
    <row r="207" spans="1:13" x14ac:dyDescent="0.25">
      <c r="A207" s="1">
        <v>46141</v>
      </c>
      <c r="B207" s="1" t="str">
        <f ca="1">IF(Información1[[#This Row],[Fecha]]='Ajuste de fechas'!$A$2,"Día actual","Día anterior")</f>
        <v>Día anterior</v>
      </c>
      <c r="C207" s="3" t="s">
        <v>34</v>
      </c>
      <c r="D207" t="s">
        <v>36</v>
      </c>
      <c r="E207" s="3" t="s">
        <v>316</v>
      </c>
      <c r="F207" s="3" t="s">
        <v>157</v>
      </c>
      <c r="G207" s="3" t="s">
        <v>317</v>
      </c>
      <c r="H207" s="3" t="s">
        <v>11</v>
      </c>
      <c r="I207" s="3" t="s">
        <v>7</v>
      </c>
      <c r="J207" s="3" t="s">
        <v>64</v>
      </c>
      <c r="K207" s="3" t="s">
        <v>56</v>
      </c>
      <c r="L207" s="3" t="s">
        <v>67</v>
      </c>
      <c r="M207">
        <v>1</v>
      </c>
    </row>
    <row r="208" spans="1:13" x14ac:dyDescent="0.25">
      <c r="A208" s="1">
        <v>46141</v>
      </c>
      <c r="B208" s="1" t="str">
        <f ca="1">IF(Información1[[#This Row],[Fecha]]='Ajuste de fechas'!$A$2,"Día actual","Día anterior")</f>
        <v>Día anterior</v>
      </c>
      <c r="C208" s="3" t="s">
        <v>34</v>
      </c>
      <c r="D208" t="s">
        <v>37</v>
      </c>
      <c r="E208" s="3" t="s">
        <v>156</v>
      </c>
      <c r="F208" s="3" t="s">
        <v>157</v>
      </c>
      <c r="G208" s="3" t="s">
        <v>317</v>
      </c>
      <c r="H208" s="3" t="s">
        <v>11</v>
      </c>
      <c r="I208" s="3" t="s">
        <v>7</v>
      </c>
      <c r="J208" s="3" t="s">
        <v>64</v>
      </c>
      <c r="K208" s="3" t="s">
        <v>35</v>
      </c>
      <c r="L208" s="3" t="s">
        <v>67</v>
      </c>
      <c r="M208">
        <v>1</v>
      </c>
    </row>
    <row r="209" spans="1:13" x14ac:dyDescent="0.25">
      <c r="A209" s="1">
        <v>46141</v>
      </c>
      <c r="B209" s="1" t="str">
        <f ca="1">IF(Información1[[#This Row],[Fecha]]='Ajuste de fechas'!$A$2,"Día actual","Día anterior")</f>
        <v>Día anterior</v>
      </c>
      <c r="C209" s="3" t="s">
        <v>34</v>
      </c>
      <c r="D209" t="s">
        <v>37</v>
      </c>
      <c r="E209" s="3" t="s">
        <v>318</v>
      </c>
      <c r="F209" s="3" t="s">
        <v>319</v>
      </c>
      <c r="G209" s="3" t="s">
        <v>320</v>
      </c>
      <c r="H209" s="3" t="s">
        <v>11</v>
      </c>
      <c r="I209" s="3" t="s">
        <v>27</v>
      </c>
      <c r="J209" s="3" t="s">
        <v>64</v>
      </c>
      <c r="K209" s="3" t="s">
        <v>35</v>
      </c>
      <c r="L209" s="3" t="s">
        <v>66</v>
      </c>
      <c r="M209">
        <v>1</v>
      </c>
    </row>
    <row r="210" spans="1:13" x14ac:dyDescent="0.25">
      <c r="A210" s="1">
        <v>46141</v>
      </c>
      <c r="B210" s="1" t="str">
        <f ca="1">IF(Información1[[#This Row],[Fecha]]='Ajuste de fechas'!$A$2,"Día actual","Día anterior")</f>
        <v>Día anterior</v>
      </c>
      <c r="C210" s="3" t="s">
        <v>8</v>
      </c>
      <c r="D210" t="s">
        <v>10</v>
      </c>
      <c r="E210" s="3" t="s">
        <v>321</v>
      </c>
      <c r="F210" s="3" t="s">
        <v>6</v>
      </c>
      <c r="G210" s="3" t="s">
        <v>111</v>
      </c>
      <c r="H210" s="3" t="s">
        <v>11</v>
      </c>
      <c r="I210" s="3" t="s">
        <v>27</v>
      </c>
      <c r="J210" s="3" t="s">
        <v>64</v>
      </c>
      <c r="K210" s="3" t="s">
        <v>9</v>
      </c>
      <c r="L210" s="3" t="s">
        <v>66</v>
      </c>
      <c r="M210">
        <v>1</v>
      </c>
    </row>
    <row r="211" spans="1:13" x14ac:dyDescent="0.25">
      <c r="A211" s="1">
        <v>46141</v>
      </c>
      <c r="B211" s="1" t="str">
        <f ca="1">IF(Información1[[#This Row],[Fecha]]='Ajuste de fechas'!$A$2,"Día actual","Día anterior")</f>
        <v>Día anterior</v>
      </c>
      <c r="C211" s="3" t="s">
        <v>107</v>
      </c>
      <c r="D211" t="s">
        <v>358</v>
      </c>
      <c r="E211" s="3" t="s">
        <v>372</v>
      </c>
      <c r="F211" s="3" t="s">
        <v>97</v>
      </c>
      <c r="G211" s="3" t="s">
        <v>94</v>
      </c>
      <c r="H211" s="3" t="s">
        <v>11</v>
      </c>
      <c r="I211" s="3" t="s">
        <v>7</v>
      </c>
      <c r="J211" s="3" t="s">
        <v>64</v>
      </c>
      <c r="K211" s="3" t="s">
        <v>360</v>
      </c>
      <c r="L211" s="3" t="s">
        <v>67</v>
      </c>
      <c r="M21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72</v>
      </c>
      <c r="B1" t="s">
        <v>73</v>
      </c>
    </row>
    <row r="2" spans="1:2" x14ac:dyDescent="0.25">
      <c r="A2" s="2">
        <f ca="1">TODAY()</f>
        <v>46142</v>
      </c>
      <c r="B2" s="2">
        <f ca="1">A2-1</f>
        <v>46141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2026-05-01T00:50:55Z</dcterms:modified>
</cp:coreProperties>
</file>