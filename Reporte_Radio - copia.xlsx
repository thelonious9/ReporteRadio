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C14D3FF2-FF34-4B99-85C7-E5C387244D78}"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13" i="2" l="1"/>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9" i="2"/>
  <c r="B11" i="2"/>
  <c r="B13" i="2"/>
  <c r="B15" i="2"/>
  <c r="B17" i="2"/>
  <c r="B19" i="2"/>
  <c r="B21" i="2"/>
  <c r="B23" i="2"/>
  <c r="B220" i="2"/>
  <c r="B26" i="2"/>
  <c r="B28" i="2"/>
  <c r="B30" i="2"/>
  <c r="B32" i="2"/>
  <c r="B34" i="2"/>
  <c r="B36" i="2"/>
  <c r="B38" i="2"/>
  <c r="B221" i="2"/>
  <c r="B40" i="2"/>
  <c r="B42" i="2"/>
  <c r="B44" i="2"/>
  <c r="B46" i="2"/>
  <c r="B48" i="2"/>
  <c r="B50" i="2"/>
  <c r="B52" i="2"/>
  <c r="B54" i="2"/>
  <c r="B56" i="2"/>
  <c r="B64" i="2"/>
  <c r="B65" i="2"/>
  <c r="B66" i="2"/>
  <c r="B68" i="2"/>
  <c r="B70" i="2"/>
  <c r="B72" i="2"/>
  <c r="B74" i="2"/>
  <c r="B76" i="2"/>
  <c r="B78" i="2"/>
  <c r="B224" i="2"/>
  <c r="B226" i="2"/>
  <c r="B228" i="2"/>
  <c r="B230" i="2"/>
  <c r="B232" i="2"/>
  <c r="B234" i="2"/>
  <c r="B236" i="2"/>
  <c r="B239" i="2"/>
  <c r="B240" i="2"/>
  <c r="B79" i="2"/>
  <c r="B81" i="2"/>
  <c r="B83" i="2"/>
  <c r="B85" i="2"/>
  <c r="B88" i="2"/>
  <c r="B90" i="2"/>
  <c r="B92" i="2"/>
  <c r="B94" i="2"/>
  <c r="B96" i="2"/>
  <c r="B98" i="2"/>
  <c r="B100" i="2"/>
  <c r="B102" i="2"/>
  <c r="B104" i="2"/>
  <c r="B106" i="2"/>
  <c r="B108" i="2"/>
  <c r="B110" i="2"/>
  <c r="B11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 i="2"/>
  <c r="B3" i="2"/>
  <c r="B4" i="2"/>
  <c r="B5" i="2"/>
  <c r="B6" i="2"/>
  <c r="B7" i="2"/>
  <c r="B8" i="2"/>
  <c r="B10" i="2"/>
  <c r="B12" i="2"/>
  <c r="B14" i="2"/>
  <c r="B16" i="2"/>
  <c r="B18" i="2"/>
  <c r="B20" i="2"/>
  <c r="B22" i="2"/>
  <c r="B24" i="2"/>
  <c r="B25" i="2"/>
  <c r="B27" i="2"/>
  <c r="B29" i="2"/>
  <c r="B31" i="2"/>
  <c r="B33" i="2"/>
  <c r="B35" i="2"/>
  <c r="B37" i="2"/>
  <c r="B39" i="2"/>
  <c r="B222" i="2"/>
  <c r="B41" i="2"/>
  <c r="B43" i="2"/>
  <c r="B45" i="2"/>
  <c r="B47" i="2"/>
  <c r="B49" i="2"/>
  <c r="B51" i="2"/>
  <c r="B53" i="2"/>
  <c r="B55" i="2"/>
  <c r="B57" i="2"/>
  <c r="B58" i="2"/>
  <c r="B59" i="2"/>
  <c r="B60" i="2"/>
  <c r="B61" i="2"/>
  <c r="B62" i="2"/>
  <c r="B63" i="2"/>
  <c r="B67" i="2"/>
  <c r="B69" i="2"/>
  <c r="B71" i="2"/>
  <c r="B73" i="2"/>
  <c r="B75" i="2"/>
  <c r="B77" i="2"/>
  <c r="B223" i="2"/>
  <c r="B225" i="2"/>
  <c r="B227" i="2"/>
  <c r="B229" i="2"/>
  <c r="B231" i="2"/>
  <c r="B233" i="2"/>
  <c r="B235" i="2"/>
  <c r="B237" i="2"/>
  <c r="B238" i="2"/>
  <c r="B241" i="2"/>
  <c r="B80" i="2"/>
  <c r="B82" i="2"/>
  <c r="B84" i="2"/>
  <c r="B86" i="2"/>
  <c r="B87" i="2"/>
  <c r="B89" i="2"/>
  <c r="B91" i="2"/>
  <c r="B93" i="2"/>
  <c r="B95" i="2"/>
  <c r="B97" i="2"/>
  <c r="B99" i="2"/>
  <c r="B101" i="2"/>
  <c r="B103" i="2"/>
  <c r="B105" i="2"/>
  <c r="B107" i="2"/>
  <c r="B109" i="2"/>
  <c r="B11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<sst xmlns="http://schemas.openxmlformats.org/spreadsheetml/2006/main" count="2415" uniqueCount="417">
  <si>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</si>
  <si>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</si>
  <si>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</si>
  <si>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</si>
  <si>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</si>
  <si>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</si>
  <si>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</si>
  <si>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</si>
  <si>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</si>
  <si>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</si>
  <si>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</si>
  <si>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</si>
  <si>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</si>
  <si>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</si>
  <si>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</si>
  <si>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</si>
  <si>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</si>
  <si>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</si>
  <si>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</si>
  <si>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</si>
  <si>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</si>
  <si>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</si>
  <si>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</si>
  <si>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</si>
  <si>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</si>
  <si>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</si>
  <si>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</si>
  <si>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</si>
  <si>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</si>
  <si>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</si>
  <si>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Gobierno</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</si>
  <si>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</si>
  <si>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</si>
  <si>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</si>
  <si>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</si>
  <si>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</si>
  <si>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</si>
  <si>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</si>
  <si>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</si>
  <si>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</si>
  <si>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</si>
  <si>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</si>
  <si>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</si>
  <si>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</si>
  <si>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</si>
  <si>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</si>
  <si>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</si>
  <si>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</si>
  <si>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</si>
  <si>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Contraloría</t>
  </si>
  <si>
    <t>Canal del Pueblo</t>
  </si>
  <si>
    <t>Vocales Radio</t>
  </si>
  <si>
    <t>Semarnath</t>
  </si>
  <si>
    <t>STPSH</t>
  </si>
  <si>
    <t>Trabajo legislativo</t>
  </si>
  <si>
    <t>NQ 90.1 FM</t>
  </si>
  <si>
    <t>Jesús Riveros</t>
  </si>
  <si>
    <t>Enlace Hidalgo1</t>
  </si>
  <si>
    <t>Enlace Hidalgo2</t>
  </si>
  <si>
    <t>Radio Lobo 96.7 FM</t>
  </si>
  <si>
    <t>Gina Lorenzo</t>
  </si>
  <si>
    <t>Enlace Noticias</t>
  </si>
  <si>
    <t>Planeación</t>
  </si>
  <si>
    <t>Ultra 102.9 FM</t>
  </si>
  <si>
    <t>Ultra Noticias1</t>
  </si>
  <si>
    <t>Daniel Martínez</t>
  </si>
  <si>
    <t>Cultura</t>
  </si>
  <si>
    <t>Firma De Convenio</t>
  </si>
  <si>
    <t>Detención</t>
  </si>
  <si>
    <t>Sarampión</t>
  </si>
  <si>
    <t>Combate a la delincuencia</t>
  </si>
  <si>
    <t>Despacho</t>
  </si>
  <si>
    <t>Eulalio Larrieta agradece a Carlos Gamiño por estar al pendiente de temas</t>
  </si>
  <si>
    <t>Iniciativa</t>
  </si>
  <si>
    <t>Intervención Gráfica</t>
  </si>
  <si>
    <t>Alerta Meteorológica</t>
  </si>
  <si>
    <t>Justicia Por Propia Mano</t>
  </si>
  <si>
    <t>Huracán Priscilla</t>
  </si>
  <si>
    <t>Abasto De Agua</t>
  </si>
  <si>
    <t>Fuga De Agua</t>
  </si>
  <si>
    <t>Control de incendios</t>
  </si>
  <si>
    <t>Atención Ciudadana</t>
  </si>
  <si>
    <t>Incendios forestales</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</si>
  <si>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</si>
  <si>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</si>
  <si>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</si>
  <si>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</si>
  <si>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</si>
  <si>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</si>
  <si>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</si>
  <si>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</si>
  <si>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</si>
  <si>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</si>
  <si>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</si>
  <si>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</si>
  <si>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</si>
  <si>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</si>
  <si>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</si>
  <si>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</si>
  <si>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</si>
  <si>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</si>
  <si>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Eulalio Larrieta agradece a Edith Balderas de la Secretaria de Educación Pública.</t>
  </si>
  <si>
    <t>Aumento de peaje</t>
  </si>
  <si>
    <t>Bacheo</t>
  </si>
  <si>
    <t>Drenaje tapado</t>
  </si>
  <si>
    <t>Maltrato animal</t>
  </si>
  <si>
    <t>Mañanera de Hidalgo</t>
  </si>
  <si>
    <t>En materia de salud, la secretaria Vanesa Escalante Arroyo destacó que Hidalgo se mantiene en el lugar 26 a nivel nacional en casos de sarampión, con tres casos activos de un total de 20 registrados. Asimismo, reiteró la importancia de la vacunación como una estrategia clave para la prevención, señalando que se han aplicado más de 352 mil dosis a través de instituciones como IMSS, IMSS Bienestar, ISSSTE y la Secretaría de Salud, se sigue reforzando la vacunación con la unidad movil “La Ronchita” a toda la poblacion del estado, AUDIO APOYO</t>
  </si>
  <si>
    <t>El secretario de Educación Pública en Hidalgo, Natividad Castrejón Valdez, informó que en 2026 se llevará a cabo la construcción simultánea de 26 planteles de educación media superior, un hecho histórico que permitirá ampliar la cobertura educativa en el estado: “Este es un dato sumamente importante, porque nunca se habían construido tantos bachilleratos al mismo tiempo”, subrayó.A esta estrategia se suma el programa federal “La Escuela es Nuestra”, que destinará 167 millones de pesos para este nivel educativo. En conjunto con aportaciones estatales y municipales, la inversión total alcanzará los 491 millones de pesos, recursos que serán aplicados en la construcción y equipamiento de nuevos espacios, AUDIO APOYO</t>
  </si>
  <si>
    <t>Movilidad incluyente</t>
  </si>
  <si>
    <t>CGCG</t>
  </si>
  <si>
    <t>Queja transporte público</t>
  </si>
  <si>
    <t>Robo a comercio</t>
  </si>
  <si>
    <t>Tauromaquia</t>
  </si>
  <si>
    <t>Desbordamiento de río</t>
  </si>
  <si>
    <t>Prevención De Riesgos</t>
  </si>
  <si>
    <t>Índice de desempeño municipal</t>
  </si>
  <si>
    <t>El día de hoy el gobernador acudirá a la inauguración de la exposición colectiva intervención gráfica 4.1 “Hióki, Acto de Reconstrucción”, que se llevará a cabo en Palacio de Gobierno.</t>
  </si>
  <si>
    <t>Sedeco y CELEH firman convenio a favor del talento joven</t>
  </si>
  <si>
    <t>Sedeco</t>
  </si>
  <si>
    <t>En Ixmiquilpan, pobladores de la comunidad de Cerritos Remedios, se manifestaron en el juzgado penal luego de que se emitiera una sentencia a favor de Enedino Vázquez Hernández, de 102 años, quien fue despojado de un predio. De acuerdo con los inconformes, en 2014 un grupo de pobladores, mediante el uso de la fuerza y bajo supuestos derechos adquiridos por la delegación sobre la parcela, despojó al afectado de la cosecha y del terreno, justificando las acciones en usos y costumbres. Además del despojo del predio, el afectado y sus hijos fueron privados de sus derechos comunitarios, por lo que actualmente no pueden participar en asambleas ni acceder a servicios de la comunidad. Por estos hechos se inició una denuncia penal bajo el expediente D.P. 124/2022, el cual resolvió a favor de los particulares.</t>
  </si>
  <si>
    <t>TSJEH</t>
  </si>
  <si>
    <t>Despojo</t>
  </si>
  <si>
    <t>Un operativo realizado este domingo 12 de abril de 2026 en la colonia Sierra Bonita, en Pachuca, derivó en la detención de 37 personas que participaban en una pelea clandestina de gallos. De acuerdo con información de la Secretaría de Seguridad Pública, Tránsito y Vialidad municipal, el hecho fue reportado por ciudadanos y canalizado a través del C4, donde se alertó sobre la realización de este evento con apuestas y consumo de bebidas alcohólicas en un inmueble ubicado en la esquina de Sierra Madre Oriental y Montaña Himalaya. Al lugar acudieron elementos de la corporación municipal en coordinación con Policía Estatal, así como personal de la Dirección de Reglamentos y Espectáculos y de la Secretaría de Medio Ambiente, quienes llevaron a cabo la inspección correspondiente.</t>
  </si>
  <si>
    <t>El caso del multihomicidio ocurrido el pasado 9 de abril en el fraccionamiento San Isidro, en Tlanalapa, continúa su curso legal, luego de que autoridades aclararan la situación jurídica de los involucrados, precisando que únicamente dos personas permanecen como imputadas. De acuerdo con la información oficial, los hechos se registraron en un domicilio ubicado sobre la calle Plaza del Maguey, donde las víctimas se encontraban conviviendo con los ahora señalados. Presuntamente, A. R. H. y O. E. P. habrían disparado un arma de fuego en contra de los presentes.Como consecuencia del ataque, tres personas perdieron la vida en el lugar, mientras que otra más resultó gravemente lesionada, por lo que fue trasladada a un hospital para recibir atención médica especializada. En cuanto al estatus de los involucrados, las autoridades indicaron que dos personas fueron imputadas, dos más quedaron en calidad de testigos y una adicional fue reconocida como víctima y testigo, lo que modifica las primeras versiones difundidas tras el suceso.</t>
  </si>
  <si>
    <t>Radioescucha: la fila del verificentro que está hacia fraccionamientos haciendo doble fila y obstruyen constantemente la circulación vehicular. Llegan filas desde la carretera del verificentro. Piden atención para que se regule esa situación.</t>
  </si>
  <si>
    <t>Verificentros</t>
  </si>
  <si>
    <t>Organizaciones defensoras de los animales intensificaron sus acciones legales para impedir la realización de corridas de toros en Hidalgo, al promover recursos jurídicos y campañas de recolección de firmas. La vocera de Animal Héroes, Jimena Noguera, informó que se encuentran a la espera de que sea admitida una solicitud de amparo en contra de la corrida programada para el próximo 18 de abril, con la intención de obtener primero una suspensión provisional y posteriormente una definitiva, mientras se resuelve el caso de fondo. El evento forma parte de la Expo Feria La Ganadera de Hidalgo. Durante su visita a Pachuca, donde participó en una jornada de recolección de firmas para que el Congreso local reactive la iniciativa que busca prohibir estos espectáculos, la activista explicó que la estrategia contempla interponer recursos legales por cada corrida anunciada, incluyendo las fechas del 18 de abril y 30 de mayo. El objetivo, dijo, es generar un precedente en la entidad, como ha ocurrido en otras regiones del país.De acuerdo con la organización, las corridas de toros incurren en irregularidades legales debido a que no cumplen con la Norma Oficial Mexicana 033, la cual establece métodos para la muerte de animales que eviten sufrimiento innecesario. Señalan que, en estos espectáculos, los toros son sometidos a prácticas que vulneran dichos lineamientos antes de ser sacrificados. .</t>
  </si>
  <si>
    <t>Los municipios de Cuautepec de Hinojosa y Singuilucan, ambos ubicados en la región Tulancingo, fueron de los peores evaluados Índice de Evaluación del Desempeño Municipal 2025, publicado por la Auditoría Superior del Estado de Hidalgo (ASEH). Dichas demarcaciones obtuvieron 16.5 y 17 puntos respectivamente, estando sólo por debajo de Tianguistengo, que no obtuvo puntos en la evaluación realizada. De acuerdo con el informe, los municipios con los puntajes más bajos reflejan rezagos importantes en la implementación de herramientas de evaluación y gestión pública. Otros municipios que no alcanzaron ni siquiera 50 puntos, son Tenango de Doria, con 17; Huejutla, Mineral del Chico y Chapulhuacán, con 38, 39.5 y 43 puntos, respectivamente. Así como Tlanalapa y Atotonilco el Grande, que obtuvieron 46.5 puntos en cada caso y Tepetitlán, con 49 puntos. Con estos resultados, dichos gobiernos municipales son evidenciados estado crítico en planeación, seguimiento y evaluación del gasto público.</t>
  </si>
  <si>
    <t>Por lo menos en siete municipios del Estado de Hidalgo no han sido localizadas ambulancias entregadas en comodato, o existen irregularidades en su mantenimiento y manejo, encontrándose algunas de las unidades incluso sin uso alguno. La declaración fue ofrecida por Vanessa Escalante Arroyo, titular de la Secretaría de Salud en Hidalgo (SSH), señalando que las ambulancias se entregan en comodato a los gobiernos municipales. Ello para garantizar la prestación de servicio en situaciones de emergencia o cuando sea necesario el traslado de alguna persona de acuerdo a las necesidades que tenga en materia de atención a su salud. Sin embargo, se han identificado casos en los que las ambulancias no recibieron mantenimiento adecuado o no se encuentran operando en algunos municipios de la entidad con quienes en su momento se estableció el comodato respectivo. Los datos son ofrecidos luego de darse a conocer una denuncia ciudadana sobre la ausencia de una ambulancia en el municipio de Epazoyucan para trasladar a un paciente que lo requería.</t>
  </si>
  <si>
    <t>Ambulancia dañada</t>
  </si>
  <si>
    <t>El gobierno de Hidalgo dio a conocer la puesta en marcha de un proyecto para fortalecer la educación media superior, que contempla la construcción y ampliación de 26 planteles en distintas regiones del estado. El anuncio fue realizado este lunes 13 de abril de 2026 por el titular de la Secretaría de Educación Pública estatal, Natividad Castrejón Valdez, durante la conferencia semanal, donde explicó que esta estrategia se desarrolla en coordinación con el Gobierno Federal. El objetivo principal es ampliar la cobertura educativa y disminuir la deserción escolar, especialmente en zonas donde actualmente existe falta de infraestructura para atender la demanda de estudiantes de bachillerato. El plan incluye tanto la edificación de nuevos centros educativos como la ampliación de planteles ya existentes, además de la implementación del modelo “Margarita Maza”, enfocado en generar mayores oportunidades de formación para jóvenes en este nivel.</t>
  </si>
  <si>
    <t>Radioescucha reporta que le dieron cita a través de internet en el verificentro a las 8 de la mañana y ya casi son las 8 y no le atienden.</t>
  </si>
  <si>
    <t>Verificación vehicular</t>
  </si>
  <si>
    <t>Cinco vehículos automotores han caído en los dos años recientes al canal de riego ubicado en el acceso al fraccionamiento Rincones de la Hacienda, al margen del bulevar Quetzalcóatl, en Tulancingo, registrándose el accidente más reciente la mañana del lunes 13 de abril. Los vecinos de la zona refieren que los accidentes se deben al estrecho espacio para poder circular, el cual incluso se ha reducido por la caída de tierra hacia el canal de riego. Sobre el accidente más reciente, estuvo involucrada una camioneta Virtus, color negro, con placas de circulación LUM-496-A, cuya conductora salió del camino, quedando la unidad dentro del canal de riego. Además de los accidentes referidos, vecinos de la zona señalan que han sido varias ocasiones en las que otros vehículos han estado en riesgo de caer en el canal, pero la habilidad de los conductores ha evitado el riesgo de más accidentes. Agregaron que han solicitado a las autoridades que se realicen obras que permitan la circulación sin riesgos sobre la vialidad, sobre todo considerando que esta se desmorona constantemente, haciendo cada vez más angosto el camino.</t>
  </si>
  <si>
    <t>Vialidad En Mal Estado</t>
  </si>
  <si>
    <t>Vía telefónica el reporte de Bombero y Protección Civil con Abner Yáñez informa que se atendieron diversas emergencias entre ellas un incendio en un lote baldío en la Colonia Napateco; entre otras acciones</t>
  </si>
  <si>
    <t>Con el objetivo de fortalecer el funcionamiento de los tianguis y garantizar condiciones seguras para comerciantes y consumidores, se realizará reunión de trabajo entre líderes tianguistas y autoridades municipales el próximo miércoles, afirmó el secretario municipal, Edmundo Aguilar Aranda. En este encuentro participarán las direcciones de Mercados, Reglamentos, así como Bomberos y Protección Civil, quienes reiterarán los lineamientos de operación y promoverán la prevención de riesgos, los cuales de manera consecutiva se promueven. Se anticipó que, como parte de los acuerdos, los dirigentes firmarán una minuta de compromiso para que sus agremiados participen en capacitaciones sobre uso de extintores, manejo de gas LP, instalaciones eléctricas y atención a emergencias. Además, se emitirán recomendaciones para su implementación gradual, como el uso de tanques de gas de hasta 10 kilogramos con regulador, contar con extintores y botiquín de primeros auxilios, así como respetar distancias para garantizar la seguridad y el libre tránsito.</t>
  </si>
  <si>
    <t>Prevención de riesgos</t>
  </si>
  <si>
    <t>A partir de este 13 de abril entraron en vigor nuevos costos en distintas autopistas del país, lo que impacta directamente a usuarios que transitan entre Hidalgo, la Ciudad de México y la zona del Golfo. En el caso de la autopista México–Pachuca, la tarifa para automóviles quedó establecida en 72 pesos por cruce de caseta. En tanto, en la vía México–Tuxpan, el peaje en la caseta de Tejocotal, ubicada en Tulancingo, se elevó a 116 pesos para vehículos particulares. Por otro lado, el Arco Norte continúa manejando precios variables dependiendo del tramo recorrido. Un ejemplo es el trayecto desde el entronque con la México–Pachuca hasta la salida Tula I, cuyo costo aproximado es de 106 pesos.</t>
  </si>
  <si>
    <t>Luego de versiones que alertaban sobre un posible desbordamiento del río en la comunidad de Chapula, municipio de Tianguistengo, autoridades de Hidalgo aseguraron que no se ha registrado tal situación y que el incremento en el nivel del agua ha sido controlado. De acuerdo con información oficial, el coordinador de Comunicación Social del estado, Mundo Pineda, señaló que, con base en datos proporcionados por el subsecretario de Protección Civil, Román Bernal Díaz, el cauce principal del río se mantiene dentro de sus niveles, gracias a trabajos preventivos realizados previamente en la zona. No obstante, durante la madrugada de este lunes 13 de abril, alrededor de las 2:30 horas, circularon reportes ciudadanos que indicaban que el agua habría ingresado a algunas viviendas, lo que provocó la evacuación de varias familias hacia la galera comunitaria. Las autoridades explicaron que las lluvias atípicas registradas desde días anteriores ocasionaron el crecimiento de algunos ramales del río, lo que pudo generar afectaciones sin que esto represente un desbordamiento del afluente principal. Chapula es considerada una zona de riesgo debido a que el río cruza por el centro de la comunidad y se encuentra cerca de múltiples viviendas, lo que incrementa la posibilidad de inundaciones ante precipitaciones intensas. La preocupación entre los habitantes se mantiene, ya que esta localidad fue catalogada como inhabitable tras las lluvias de octubre de 2025, cuando el desbordamiento del río Amajac y varios deslaves provocaron daños severos en viviendas, caminos y servicios básicos, dejando a diversas familias en proceso de reubicación.</t>
  </si>
  <si>
    <t>Aclaración mañanera</t>
  </si>
  <si>
    <t>A poco más de seis meses del registro de la vaguada monzónica que afectó a los habitantes de buena parte de Huehuetla, aún están a la espera de que se realicen obras de rehabilitación e infraestructura, así como de mitigación de riesgos. Los habitantes del municipio exigen el dragado de los ríos que cruzan por las localidades de Arroyo Negro y Barrio Aztlán, zonas sumamente afectadas por las torrenciales lluvias que se registraron en octubre del año pasado. También exigen la rehabilitación del puente de Zinacatlán, uno de los más afectados, debido a la gran cantidad de personas que lo requieren para circular por la zona. Además, señalan como urgente la rehabilitación de planteles educativos afectados en su infraestructura tras el registro de las lluvias, hace poco más de seis meses. En el caso de la primaria “Benito Juárez”, se concretaron los trabajos de limpieza luego de que a las personas a cargo de las labores se les liquidaron sus pagos pendientes desde finales del año pasado. Pero desde hace aproximadamente dos meses no han existido avances en la reparación de la infraestructura educativa, por lo que los alumnos están asistiendo a tomar clases por las tardes a las instalaciones del Colegio de Bachilleres local. En el caso de la secundaria “Caudillo del Sur”, los estudiantes están tomando clases en estas instalaciones, pese a que se ha señalado posible colapso de algunas bardas, además que en algunos salones no cuentan con puertas o ventanas. Un plantel de educación preescolar está en condiciones similares a la secundaria citada, y del mismo modo, están asistiendo a dichas instalaciones con el riesgo que implica para el alumnado y el resto de la comunidad educativa. De no tener respuesta amenazan con manifestaciones para que sus peticiones sean atendidas.</t>
  </si>
  <si>
    <t>Como parte del proceso de planeación urbana, se llevó a cabo la Audiencia Pública del Programa Parcial de Desarrollo Urbano Pachuca–Mineral de la Reforma, con la participación de autoridades de los tres niveles de gobierno, sector académico, empresarial y ciudadanía. El alcalde Jorge Reyes destacó la importancia de evitar un crecimiento desordenado y establecer bases claras para el desarrollo a futuro; además se abrió un espacio de diálogo para recibir propuestas ciudadanas, como parte de la consulta pública que sigue vigente.</t>
  </si>
  <si>
    <t>Desarrollo Urbano</t>
  </si>
  <si>
    <t>Andrés Torres señala que en San Antonio el Desmonte recién pavimentaron con concreto hidráulico, pero ya lo rompieron para meter drenaje y tomas de agua. No es posible que primero hayan pavimentado y luego de un mes de haberse concluido la destrocen y ni la han inaugurado.</t>
  </si>
  <si>
    <t>Rehabilitación vial</t>
  </si>
  <si>
    <t>Radioescucha, Francisco Javier: está pausado el proyecto de bulevar Las Torres, lleva 5 meses sin obras.</t>
  </si>
  <si>
    <t>Abandono de obra</t>
  </si>
  <si>
    <t>El día de hoy habrá sesión en el Congreso en donde se analizarán diversas iniciativas.</t>
  </si>
  <si>
    <t>En cabina Alberto González menciona que estuvo en el lienzo charro de Huichapan el cuarto día del Circuito Excelencia Charra de nivel nacional, donde estaban los hermanos Jorge y José Antonio Rojo. En este sentido señala que es un “deporte” nacional la charrería e Hidalgo es la “cuna” y no tiene un recinto emblemático a la altura. Critica el maltrato animal que puede haber dentro de esta actividad y que sabe que Abelino Tovar gusta de ella , por lo que ve difícil que legisle en este tema.</t>
  </si>
  <si>
    <t>Excelencia charra</t>
  </si>
  <si>
    <t>Alberto González</t>
  </si>
  <si>
    <t>El Congreso del Estado de Hidalgo aprobó la entrega de financiamiento por parte del Banco Nacional de Obras y Servicios Públicos (Banobras) al municipio de San Salvador, por un monto de 7 millones 433 mil 305 pesos con 13 centavos, cuya fuente de pago será el Fondo de Aportaciones para la Infraestructura Social (FAIS). El presidente de la Junta de Gobierno, diputado Andrés Velázquez Vázquez, aseveró que los recursos serán manejados con transparencia, bajo supervisión y mecanismos administrativos que garantizan su correcta aplicación. Además, subrayó que diversas instancias fiscalizadoras vigilarán su uso y reconoció la madurez política para apoyar al presidente municipal en beneficio de la población de San Salvador.</t>
  </si>
  <si>
    <t>Deuda Pública</t>
  </si>
  <si>
    <t>En respuesta a la radioescucha Olga Islas que dice que eso que anuncia el secretario de Educación del estado, la creación de nuevos bachilleratos, yo pienso que debería de acondicionar con espacios dignos que existen, por ejemplo; el CECYTEH plantel Tepeapulco, al cual no le ha hecho nada; Andrés Torres señala que ayer el secretario de Educación, Natividad Castrejón anunció la creación de nuevos bachilleratos y que en el caso de ese CECYTEH de Tepeapulco tiene un gran problema porque está en comodato y no se le puede invertir recursos para su rehabilitación. No es propiedad pública y por ley no pude invertirse dinero público ahí. Los padres de familia deberían promover que se haga la donación de ese espacio a la Secretaría de Educación y entonces sí ya le podrían exigir.</t>
  </si>
  <si>
    <t>Infraestructura educativ</t>
  </si>
  <si>
    <t>Crecimiento urbano ordenado, prioridad para el gobierno de Julio Menchaca</t>
  </si>
  <si>
    <t>Semot fortalece la movilidad incluyente con tarifas preferentes</t>
  </si>
  <si>
    <t>Comité de Emergencias está activo, monitorea Tianguistengo y Huehuetla ante precipitaciones</t>
  </si>
  <si>
    <t>Reunión Gabinete De Seguridad</t>
  </si>
  <si>
    <t>En el bulevar Santa Catarina un tráiler volcó y quedó atravesado en la carretera, por lo que el paso está bloqueado. En el lugar se encuentran la policía municipal, estatal y cuerpos de emergencia.</t>
  </si>
  <si>
    <t>Radioescucha reporta falta de agua en Paseo Chavarria</t>
  </si>
  <si>
    <t>La mañana de este martes 14 de abril un trailer, aparentemente sin frenos, quedó montado sobre el acotamiento en el bulevar Santa Catarina obstruyendo un carril, tome precauciones y vías alternas al circular por esta zona.</t>
  </si>
  <si>
    <t>Accidente Vial</t>
  </si>
  <si>
    <t>Radioescucha reporta varias coladeras sin tapa en la calle Campo de Tiro en San Antonio</t>
  </si>
  <si>
    <t>Alcantarillado</t>
  </si>
  <si>
    <t>Gracias también a los conductores que se reportan con nosotros, al señor Sebastián García Nogués, de aquí de Tula, que pues nos comenta que subieron la caseta del Arco Norte.Sí, así es, ayer se dio a conocer esta información, no solamente en el Arco Norte, sino también en diversas carreteras de la provincia. El señor Sebastián señala que pues sí subieron la caseta del Arco Norte, pero ni siquiera son capaces de arreglar la autopista, dice que es una porquería, es cara y peligrosa, en todos los sentidos, si te asaltan, o caes en un bache pues es el sentir del señor Sebastián García Nogués, que seguramente también es el de muchos.</t>
  </si>
  <si>
    <t>Radioescucha reporta un bache muy grande en calle Sabino por Fernández de Lizardi en la colonia Francisco I. Madero.</t>
  </si>
  <si>
    <t>Integrantes de la Asamblea Nacional de Usuarios de Energía Eléctrica en Tepeji y del Río realizaron una manifestación afuera de las instalaciones de la Comisión Federal de Electricidad en la colonia San Francisco. Denuncian cobros excesivos en los recibos de luz y piden borrón y cuenta nueva, porque dicen que es impagable lo que deben por consumo de energía eléctrica.</t>
  </si>
  <si>
    <t>Cobros excesivos</t>
  </si>
  <si>
    <t>Comenta conductor Jesús Gozalez sobre el cambate al narcomenudeo, “Duros golpes a la gente que se dedica al narcotráfico aquí en Hidalgo, importante trabajo el que realiza la Secretaría de Seguridad Pública del Estado,de verdad que vale la pena dar (esta información”</t>
  </si>
  <si>
    <t>Combate Al Narcomenudeo</t>
  </si>
  <si>
    <t>Boletín 713: SSPH asegura a célula dedicada a la venta de sustancias ilícitas</t>
  </si>
  <si>
    <t>Boletín 712: Policía Estatal asegura en Yahualica a individuo con más de 9 mil dosis de droga</t>
  </si>
  <si>
    <t>Elementos de la Agencia de Investigación Criminal de la Procuraduría General de Justicia del Estado de Hidalgo, en coordinación con la Unidad de Alto Impacto realizaron un cateo por narcomenudeo en el municipio de Huichapan con saldo de dos personas detenidas. El operativo se llevó a cabo en un inmueble ubicado sobre la carretera Huichapan – San Juan del Río, donde fueron asegurados una mujer y un hombre, quienes ya están a disposición del Ministerio Público. En el lugar, autoridades aseguraron diversas dosis de vegetal verde con características de marihuana, bolsas con sustancias ilícitas, medicamentos y cartuchos útiles, además de vehículos.</t>
  </si>
  <si>
    <t>Tengo en la línea telefónica al maestro Salvador Uribe Lara, quien es delegado estatal de la Procuraduría de la Defensa del Contribuyente en Hidalgo, quien nos tiene información muy importante. Recordarle a nuestros radioescuchas que el mes de abril, como cada año, es la declaración anual de personas físicas, y que, pues, a través del portal del SAT, hay diversos mecanismos y herramientas que pueden ayudar en el seguimiento de este proceso. De hecho, hay un micrositio por parte de la PRODECON que ayuda a los contribuyentes para que no se cometa ningún error. ¿Qué recomendaciones primarias son las que debe conocer el contribuyente antes de hacer su declaración?</t>
  </si>
  <si>
    <t>Declaración patrimonial</t>
  </si>
  <si>
    <t>Boletín: Crecimiento urbano ordenado, prioridad para el gobierno de Julio Menchaca</t>
  </si>
  <si>
    <t>Boletín: La Subsecretaría de Protección Civil y Gestión de Riesgos informa que, derivado del incremento en el nivel del arroyo en la margen del río en Chapula, municipio de Tianguistengo, se presentó ingreso de agua en algunas viviendas de la comunidad (...) AUDIO APOYO</t>
  </si>
  <si>
    <t>Radioescucha reporta que el drenaje esta tapado en Ampliación La Loma</t>
  </si>
  <si>
    <t>El Congreso local entregó el financiamiento previamente avalado por más de 7.4 millones de pesos para el municipio de San Salvador, en un contexto marcado por adeudos acumulados y tensiones políticas.De acuerdo con el alcalde Norberto Martínez Cruz, el municipio enfrenta laudos laborales superiores a 13 millones de pesos, además de adeudos cercanos a 800 mil pesos con la Comisión Nacional del Agua (Conagua) y otros 800 mil con la Comisión Federal de Electricidad (CFE), así como más de 3 millones ante el Servicio de Administración Tributaria (SAT).El uso del financiamiento contará con seguimiento institucional para asegurar su correcta aplicación, afirmó el presidente de la Junta de Gobierno, Andrés Velázquez Vázquez. “Los recursos serán manejados con transparencia, bajo supervisión y mecanismos administrativos que garantizan su correcta aplicación”.</t>
  </si>
  <si>
    <t>Financiamiento</t>
  </si>
  <si>
    <t>Radioescucha reporta una gran fuga bajando el Boulevard Panoramico, llegando a Cubitos</t>
  </si>
  <si>
    <t>Información al momento es sobre la próxima apertura parcial del nuevo Hospital General Número 5 programada a partir del 16 de abril, se va a aperturar las especialidades de Medicina Interna, Nefrología, Ginecología, Pediatría, Geriatría y Alergología, es el que construyeron en Doxey actualmente tiene servicios de consulta externa, hoy van a abrir consulta familiar y que a partir del jueves estarán en Medicina Familiar las especialidades</t>
  </si>
  <si>
    <t>Hospital Tula</t>
  </si>
  <si>
    <t>Boletín 1042: Nueva era del deporte en Hidalgo: inversión histórica fortalece talento e infraestructura</t>
  </si>
  <si>
    <t>Impulso al deporte</t>
  </si>
  <si>
    <t>Huasca de Ocampo está nominado en los Premios México Desconocido 2026. El director de turismo de Huasca, Gustavo Guzmán, invita a votar en la página de www.mexicodesconocido.gov.mx. El primer pueblo mágico compite en dos importantes categorías. Mejor pueblo mágico para celebrar una boda, lo que llaman ahora las bodas destino. Sin duda este distintivo para Huasca lo posiciona ya en otros niveles a nivel internacional. También la otra categoría es mejores experiencias para vivir en México por los prismas basálticos</t>
  </si>
  <si>
    <t>Impulso Al Turismo</t>
  </si>
  <si>
    <t>Radioescucha reporta que las lamparas estan fundidas frente al Conalep en el Saucillo en Mineral de la Reforma</t>
  </si>
  <si>
    <t>Una pelea de gallos clandestina en la cual se realizaban apuestas y se consumían bebidas alcohólicas fue cancelada por la Policía Municipal de Pachuca, en un inmueble en la colonia Sierra Bonita. El operativo derivó de un reporte ciudadano al C cuatro. En el momento en que se realizó la intervención se confirmó que el evento no contaba con los permisos correspondientes, por lo que las personas detenidas y los animales fueron puestos a disposición del Ministerio Público.En plena capital hidalguense, este tipo de eventos clandestinos que sin duda, pues no solamente pues dejan de ser un evento dejan de ser un evento clandestino.</t>
  </si>
  <si>
    <t>Boletín 1618: Construirán 26 bachilleratos para ampliar cobertura educativa en Hidalgo</t>
  </si>
  <si>
    <t>En otra información, pero en materia de educación, Natividad Castrejón también se refirió a que solo dos escuelas sufrieron daños por estas lluvias atípicas que se han presentado en Hidalgo. AUDIO DE APOYO.Tengo en la línea telefónica al maestro Salvador Uribe Lara, quien es delegado estatal de la Procuraduría de la Defensa del Contribuyente en Hidalgo, quien nos tiene información muy importante. Recordarle a nuestros radioescuchas que el mes de abril, como cada año, es la declaración anual de personas físicas, y que, pues, a través del portal del SAT, hay diversos mecanismos y herramientas que pueden ayudar en el seguimiento de este proceso. De hecho, hay un micrositio por parte de la PRODECON que ayuda a los contribuyentes para que no se cometa ningún error. ¿Qué recomendaciones primarias son las que debe conocer el contribuyente antes de hacer su declaración?</t>
  </si>
  <si>
    <t>Boletín 1043: Educación, salud y ciencia: ejes estratégicos para el bienestar de Hidalgo</t>
  </si>
  <si>
    <t>En la comunidad de Xithi en Tepetitlán se ha registrado recientemente la presencia de un puma, lo que movilizó a autoridades ambientales para atender la situación. La Procuraduría Federal de Protección al Ambiente (PROFEPA) informó que ya realiza labores de monitoreo y conservación en la zona, con el objetivo de salvaguardar tanto a la población como al ejemplar silvestre.</t>
  </si>
  <si>
    <t>Monitoreo biológico</t>
  </si>
  <si>
    <t>Boletín: La Semot, a través de su organismo sectorizado el Sitmah, impulsa la movilidad incluyente como una política pública orientada a brindar el acceso digno y equitativo al transporte para todas y todos (...)</t>
  </si>
  <si>
    <t>Radioescucha reporta que no funciona la aplicación para pagar el agua de Cassim</t>
  </si>
  <si>
    <t>Pago De Agua</t>
  </si>
  <si>
    <t>En Tula, autoridades municipales, estatales y federales presentaron en el auditorio Jorge Reacosta, el cuaderno infantil de actividades para conocer la zona arqueológica de los Atlantes. El director del Centro INAH en Hidalgo, Manuel Villarruel Vásquez, hablo sobre la presentación del cuadernillo sobre la historia de Tula, es un documento que plantea ideas históricas sobre la evolución de este importante sitio arqueológico, pero a través de una forma visual muy gráfica y con un lenguaje adecuado para los niños puedan aprovecharlo, usarlo y disfrutarlo. Este es para conocer sobre Tula, sobre la zona arqueológica, todo lo que tiene que ver con los toltecas.</t>
  </si>
  <si>
    <t>Presentación Editorial</t>
  </si>
  <si>
    <t>En este momento vía telefónica Román Bernal Díaz, subsecretario de Protección Civil y Gestión de Riesgos - Habló sobre el cambio climático aquí en Hidalgo, los fenómenos meteorológicos que hoy se están presentando, pidio estar atentos a los comunicados que por los medios oficiales y los canales oficiales se estén emitiendo en relación al monitoreo de las condiciones meteorológicas. Entender que la protección civil es responsabilidad de todos.</t>
  </si>
  <si>
    <t>Entrevista pautada</t>
  </si>
  <si>
    <t>Vía telefónica Román Bernal Díaz, subsecretario de Protección Civil y Gestión de Riesgos - Habló sobre los cambio climático y fenómenos meteorológicos que impactan en el estado. Cómo estar preparado.</t>
  </si>
  <si>
    <t>En San Salvador en la comunidad de Lagunilla se frustrara un intento de extracción ilegal de biznagas cactáceas resguardadas por la legislación ambiental. En el sitio fueron localizados más de 30 ejemplares ya cortados y listos para su traslado.Sin embargo, la rápida intervención evitó que los responsables concretaran el robo.</t>
  </si>
  <si>
    <t>Protección Biodiversidad</t>
  </si>
  <si>
    <t>Radioescucha Sr. Alejandro comenta: ¿Cuándo van a abrir nuevamente el paso de la calle Melchor Ocampo y cruce con Santiago? Ya que es un verdadero caos, puras obras sin control y sin señalización.</t>
  </si>
  <si>
    <t>Rehabilitación Vial</t>
  </si>
  <si>
    <t>Boletín 1044: Comité de Emergencias está activo, monitorea Tianguistengo y Huehuetla ante precipitaciones</t>
  </si>
  <si>
    <t>Accidentes viales y ahogamientos fueron las causas de fallecimiento de 16 personas en Hidalgo al finalizar el periodo vacacional de Semana Santa y también de Cuaresma.</t>
  </si>
  <si>
    <t>– Radioescucha reporta nuevamente que los semáforos de Avenida Madero y del Río de las Avenidas no funcionan.</t>
  </si>
  <si>
    <t>Semaforización</t>
  </si>
  <si>
    <t>La Secretaria de Gobierno del Estado de Hidalgo informa que se identificó un perfil apócrifo en Facebook, que utiliza de menera indebibala identidad del titular de esta dependencia. Desde dicha cuenta se realizan solicitudes de amistad y envian mensajes privados que no son propias de la institución ni a la comunicaciñon oficial</t>
  </si>
  <si>
    <t>Suplantación de identidad</t>
  </si>
  <si>
    <t>En el estado de Hidalgo, esta un debate en torno a la tauromaquia, integrantes de tauromaquia mexicana, Capítulo Hidalgo, solicitaron que se consulte a 115 % comunidades indígenas de la entidad antes de avanzar en cualquier iniciativa que busque erradicar las corridas de toros. Los representantes del sector señalaron que más allá de afinidades o rechazos hacia esta práctica, existe una realidad económica que no puede ignorarse.Afirmaron que numerosas comunidades dependen de manera directa o indirecta de las festividades vinculadas a la tauromaquia. Hay miembros de las comunidades indígenas que aunque no usen los toros, dependen económicamente de manera directa o de manera indirecta de su actividad.</t>
  </si>
  <si>
    <t>Campesinos de los módulos de riego del Valle del Mezquital y de la región de Tula, se encuentran preocupados ante la falta de claridad en la información en torno a los trabajos que realiza la Conagua en los canales de riego, los cuales tenían que haber sido entregados el mes pasado, en marzo, ante esta situación los campesinos señalaron que podrían tomar las oficinas de Conagua, si no reciben información clara sobre los trabajos que se llevan a cabo en los canales de riego, , AUDIO APOYO</t>
  </si>
  <si>
    <t>Tecnificación De Riego</t>
  </si>
  <si>
    <t>El presidente municipal de Mineral de la Refoma Eduardo Medécigo Rubio, aseguró que la llegada del tren AIFA–Pachuca, cuya estación principal estará en Mineral de la Reforma, representa un proyecto de gran envergadura que permitirá la transformación y convertir al municipio en el más importante del estado de Hidalgo, AUDIO APOYO</t>
  </si>
  <si>
    <t>Tren AIFA</t>
  </si>
  <si>
    <t>Durante los trabajos del proyecto de salvamiento arqueológico del tren de pasajeros Ciudad de México-Querétaro, promovidos por la Secretaría de Cultura del Gobierno de México a través del INAH, se llevó a cabo un descubrimiento arqueológico significativo para la historia de Hidalgo.</t>
  </si>
  <si>
    <t>Vestigios Arqueológicos</t>
  </si>
  <si>
    <t>La temporada de huracanes 2026 ya tiene fechas definidas y listas oficiales de nombres para los ciclones tropicales que podrían formarse a lo largo del año, un periodo clave para la prevención y vigilancia meteorológica en México y otras regiones costeras. Además, especialistas advierten que el fenómeno de El Niño podría influir de manera significativa en la intensidad y frecuencia de estos sistemas. De acuerdo con los calendarios oficiales, en el océano Pacífico la temporada iniciará el 15 de mayo y concluirá el 30 de noviembre, mientras que en la cuenca del Atlántico comenzará el 1 de junio y finalizará en la misma fecha. Estas referencias permiten a las autoridades de protección civil y a la población prepararse ante posibles lluvias intensas, tormentas y huracanes.</t>
  </si>
  <si>
    <t>Autoridades de Santiago Tulantepec respondieron a una solicitud del regidor Horacio Islas Díaz sobre las observaciones millonarias que enfrenta la demarcación. El tesorero Jesús del Rosal Campos detalló que la suma de pendientes asciende a 15 millones 295 mil 955.07 pesos, producto de cuatro fiscalizaciones distintas. De la revisión de 2023, la Auditoría Superior de la Federación derivó dos pliegos de observaciones y dos promociones de responsabilidades administrativas, con 3 millones 958 mil 994 pesos por aclarar. La fiscalización de 2024 dejó otros 5 millones 667 mil 966 pesos en observaciones, también divididos en dos pliegos y dos promociones de responsabilidades. La Auditoría Superior del Estado de Hidalgo sumó observaciones por 3 millones 926 mil 605.16 pesos en 2023 y 3 millones 209 mil 688 pesos en 2024. Esto significa que solo en 2023 las observaciones combinadas de ambos órganos fiscalizadores alcanzaron 7 millones 885 mil 599.38 pesos, mientras que en 2024 fueron 7 millones 410 mil 335.68 pesos. Paralelamente, el director de Obras Públicas, Damián Hernández Bautista, informó que 20 obras ejecutadas entre 2020 y septiembre de 2024 no han sido recepcionadas. Las causas incluyen anomalías en las metas, mala calidad de los trabajos y falta de documentación en los expedientes. Estas obras se realizaron en diversas colonias y comunidades del municipio. Hernández Bautista señaló que, durante los primeros 30 días de la nueva administración, se realizaron recorridos de supervisión que permitieron elaborar reportes técnicos remitidos a la Contraloría estatal y a la auditoría local. A partir de mayo de 2025, dichos reportes motivaron una auditoría que permanece abierta hasta la fecha. La información fue proporcionada en respuesta a la exigencia del regidor Islas Díaz por conocer el origen de las observaciones que arrastra el municipio. Las autoridades actuales atribuyen estos pendientes a la gestión 2020-2024, aunque no han precisado si las promociones de responsabilidades administrativas derivarán en sanciones contra funcionarios anteriores.</t>
  </si>
  <si>
    <t>Observaciones ASEH</t>
  </si>
  <si>
    <t>Locutor Jesús Riveros da lectura a comentario de radioescucha que comentó sobre el aumento a la tarifa de transporte público, señala que las unidades están en malas condiciones y que muchas veces el servicio deja mucho que desear, cómo es posible que aun así quieran aumentar la tarifa.</t>
  </si>
  <si>
    <t>Aumento Tarifa De Transporte</t>
  </si>
  <si>
    <t>Locutor Jesús Riveros da lectura a comentario de radioescucha que reporta que en el centro de verificación vehicular hay un desastre.</t>
  </si>
  <si>
    <t>El gobernador de Hidalgo, Julio Menchaca Salazar, confirmó que la nueva tarifa del transporte público en la entidad podría definirse en las próximas semanas, después de varios meses de estudio. Esta medida ha sido uno de los temas más esperados por los usuarios del transporte público en la entidad, quienes han expresado preocupación sobre los posibles ajustes e incrementos. Según compartió el mandatario, las autoridades han evaluado en mesas de trabajo el impacto que pueda generar esta modificación en el sistema de transporte de Hidalgo. Asimismo, comentó que se han tomado en cuenta tanto las necesidades de los transportistas como la economía de los usuarios. Mientras que, sobre la cantidad en la que quedará la tarifa de transporte público en el estado de Hidalgo, Menchaca Salazar lo dejó en suspenso y dijo que próximamente será anunciada, pero que no lo considera como un aumento considerable, más bien razonable. Informó que será la Secretaría de Movilidad y Transporte estatal la que informará lo detalles de este ajuste al precio del pasaje, que sería resultado de un “estudio minucioso”.</t>
  </si>
  <si>
    <t>La Secretaría de Medio Ambiente y Recursos Naturales (Semarnat), en coordinación con el Instituto Nacional de los Pueblos Indígenas (INPI) como órgano técnico, realizó el 5 de abril una asamblea informativa en la comunidad de La Loma sobre el proyecto del Programa de Restauración Ecológica del Área de Influencia de la Presa Endhó, dando continuidad al diálogo con las distintas comunidades que integran el territorio. Durante el encuentro, representantes de la Semarnat presentaron las acciones para atender la problemática hídrica en la región, incluyendo el tratamiento de aguas residuales, la mitigación de descargas directas en ríos y la eliminación del lirio acuático y el mosco Culex. Compartieron que se fortalecerán las labores de monitoreo para mejorar la calidad del aire y se llevarán a cabo acciones de reforestación para recuperar los ecosistemas. El Programa de Restauración Ecológica del Área de Influencia de la Presa Endhó impulsará proyectos integrales coordinados entre diversas instituciones gubernamentales y comunidades. Las asambleas informativas forman parte del proceso de consulta previa, libre e informada que está dirigido a los integrantes de las comunidades indígenas que habitan en el área de influencia de la presa para garantizar su participación en la toma de decisiones sobre las acciones de restauración ambiental que se implementarán en la región.</t>
  </si>
  <si>
    <t>Presa Endhó</t>
  </si>
  <si>
    <t>La Secretaría de Gobernación realizó este lunes la toma de datos biométricos como parte de la actualización de la Clave Única de Registro de Población (CURP). Al encabezar el acto, la titular de esta dependencia, Rosa Icela Rodríguez Velázquez, sostuvo que la nueva CURP Biométrica “es una herramienta de justicia social, con la cual el Gobierno de México garantiza que cada persona cuente con una identidad única, verificable y protegida para fortalecer sus derechos”. Además, recalcó que no se trata solamente de un avance tecnológico ni un proyecto aislado, sino de “una transformación en la forma en que el Estado reconoce y protege la identidad de las personas como un derecho”. Rodríguez Velázquez apuntó que también es “parte del compromiso de la presidenta Claudia Sheinbaum Pardo de proteger este derecho humano a la identidad y hacer de la CURP el documento principal en el país”, en busca de que por medio de éste pueda brindarse de manera más eficiente, segura y accesible los servicios gubernamentales. De igual forma, dijo que reduce el riesgo de duplicidad, suplantación de identidad y uso indebido de información personal.</t>
  </si>
  <si>
    <t>CURP Biométrica</t>
  </si>
  <si>
    <t>El gobierno federal anunció la creación de la Escuela para Mandos, un nuevo esquema de formación dirigido a fortalecer la profesionalización de las corporaciones de seguridad en los ámbitos federal, estatal y municipal. El titular de la Secretaría de Seguridad y Protección Ciudadana, Omar García Harfuch, explicó que este proyecto busca desarrollar cuadros altamente capacitados para enfrentar la inseguridad y mejorar la coordinación entre las distintas instancias del país. De acuerdo con el funcionario, la iniciativa forma parte de una estrategia integral que prioriza la atención a las causas de la violencia, así como el fortalecimiento institucional de las policías locales. El modelo de formación, impulsado por el gabinete de seguridad, estará orientado a preparar a quienes ocupan cargos de mando en las instituciones de seguridad, con énfasis en el respeto a los derechos humanos, la honestidad y la conducción estratégica de las corporaciones. Asimismo, se prevé que la Escuela para Mandos contribuya a elevar las capacidades operativas y de gestión de las fuerzas de seguridad, con una visión coordinada entre los tres órdenes de gobierno. Este nuevo organismo estará integrado a la Academia Nacional de Seguridad Pública, como parte de la Estrategia Nacional de Seguridad del gobierno federal.</t>
  </si>
  <si>
    <t>Profesionalización policial</t>
  </si>
  <si>
    <t>El municipio Tepeji del Río contará con un plantel de la Universidad Rita Cetina tras las gestiones realizadas por el municipio y la administración estatal ante el gobierno de México a partir de solicitudes ciudadanas. Lo anterior lo reveló la alcaldesa Tania Valdez Cuéllar, quien expresó que la ciudadanía le planteó la necesidad de que el municipio contara con una institución de nivel superior y a partir de ello realizó las gestiones ante la administración del gobernador Julio Menchaca Salazar. Explicó que hubo insistencia de su gobierno en torno al tema y a su vez el mandatario estatal planteó el proyecto al gobierno de la presidenta Claudia Sheinbaum Pardo, mismo que autorizó el plantel para este municipio. Aseveró que comisariados de cuatro comunidades propusieron predios para convertirlos en la sede de esta nueva universidad, por lo que resaltó el apoyo ciudadano para la creación de espacios educativos.</t>
  </si>
  <si>
    <t>Universidad Rita Cetina</t>
  </si>
  <si>
    <t>La Semarnat Hidalgo confirmó que derivado del reporte sobre la presencia de un puma en el municipio de Tepetitlán, en coordinación con la PROFEPA y el Ayuntamiento, se realizó una visita de seguimiento al ejido Xithi para dialogar con autoridades locales. Durante este encuentro, se estableció una agenda de trabajo conjunta enfocada en la protección de la especie y su hábitat, con el objetivo de impulsar estrategias que permitan una coexistencia segura entre la fauna silvestre y las comunidades, así como la preservación de la biodiversidad en la región.</t>
  </si>
  <si>
    <t>Boletín: Citnova recibió las primeras propuestas para la convocatoria del Fondo Hidalgo</t>
  </si>
  <si>
    <t>Becas De Posgrado</t>
  </si>
  <si>
    <t>El día de hoy, re realizó la inauguración de la exposición gráfica 4.1 “Hióki” a cargo de Alejandro Velázquez, titular del Despacho del Gobernador. (AUDIO AVM); (AUDIO JMS).</t>
  </si>
  <si>
    <t>Boletín: Constata la Contraloría estatal entrega de siete vehículos a Seguridad Pública</t>
  </si>
  <si>
    <t>Vigilancia del gasto público</t>
  </si>
  <si>
    <t>El nuevo reglamento de tránsito y vialidad de Pachuca contempla no solo la regulación, y en su caso sanción, a los usuarios de motocicletas como medio de transporte en las calles y avenidas de la capital de Hidalgo, sino que también incluye lineamientos para la operación de vehículos motorizados como es el caso de scooters eléctricos y otro tipo de unidades similares que reflejen un incremento en el tránsito cotidiano de la ciudad, refirió la síndica jurídica del ayuntamiento pachuqueño, Jenny Melgarejo Chino. Dicho documento aún no es aprobado por el cabildo ni entra en vigor al carecer de su publicación en el Periódico Oficial del Estado de Hidalgo (POEH); aunado a esto, reconoció la asambleísta emanada del Partido Acción Nacional (PAN), se trabaja con la Secretaría de Seguridad Pública, Tránsito y Vialidad municipal y la Comisión de Movilidad del ayuntamiento para un análisis adicional de la propuesta en la que se incluyen los rubros de lineamientos para regulación de motocicletas y vehículos eléctricos, como scooters u otros tipos que ya se comercializan. Una vez que se tenga definición de la norma actualizada para estos vehículos eléctricos, refirió Melgarejo Chino, la tarea principal de la autoridad municipal será socializar a través de diferentes campañas las obligaciones, derechos y, en su caso, sanciones a las que pueden ser acreedores, pues el principal fallo en la ley es que no se da a conocer a la población para que se respete, sino que se disimula cumplir con esta obligación y no se acata la norma.</t>
  </si>
  <si>
    <t>Micromovilidad</t>
  </si>
  <si>
    <t>Habitantes de la localidad de Santa Elena Paliseca, en Cuautepec de Hinojosa, fueron testigos del inicio de una obra que marcará un antes y un después en sus condiciones de vida: la construcción integral en la calle 16 de Septiembre. Esta importante acción contempla una inversión de 2 millones 269 mil 904.54 pesos y beneficiará de manera directa a 50 habitantes, así como a más de 2 mil 500 personas de forma indirecta, quienes verán mejoradas sus condiciones de movilidad, acceso a servicios básicos y entorno urbano. Durante el acto protocolario de arranque, el presidente municipal Jorge Hernández Araus destacó que esta acción responde a las necesidades prioritarias de la población al integrar trabajos de agua potable, drenaje sanitario y pavimentación, lo que permitirá brindar servicios más eficientes y dignificar los espacios públicos. El proyecto incluye la instalación de 158 metros lineales de red de agua potable con tubería hidráulica, así como la construcción de una caja de válvulas, 150 metros de red de drenaje sanitario con tubería de alta densidad, seis pozos de visita y seis descargas sanitarias. En materia de infraestructura urbana, se contempla la construcción de mil 104.96 metros cuadrados de pavimento de concreto hidráulico, 286.50 metros lineales de guarniciones y 194.50 metros cuadrados de banquetas. También se realizará la aplicación de pintura de tránsito en guarniciones y la colocación de una mampara informativa. La administración que encabeza Hernández Araus en Cuautepec de Hinojosa continúa priorizando obras que atiendan las necesidades más sentidas de la ciudadanía con medidas que generen bienestar y desarrollo en las comunidades de toda la demarcación.</t>
  </si>
  <si>
    <t>Obras De Infraestructura</t>
  </si>
  <si>
    <t>Entrevista en cabina Gonzalo Herrera Muñoz, profesor investigador del programa educativo de la licenciatura en Turismo del ITESA: Habló sobre la licenciatura de turismo alternativo, las ventajas que ofrece dicho programa a los interesados en el cuidado del medio ambiente, destacando que, parte la dinámica de la educación superior en el Estado es buscar y orientar a las vocaciones regionales. El principal objetivo de los profesionistas que se forman bajo este perfil, tenga como finalidad el enaltecer el patrimonio biocultural de la entidad, expresó.</t>
  </si>
  <si>
    <t>Oferta educativa</t>
  </si>
  <si>
    <t>Más de siete municipios de Hidalgo presentan ambulancias en desuso, informó la secretaria de Salud estatal, Vanesa Escalante Arroyo, quien atribuyó esta situación a la falta de mantenimiento preventivo y correctivo por parte de los ayuntamientos. Durante la conferencia matutina de este lunes, la funcionaria explicó que muchas de estas unidades fueron entregadas en comodato por la Secretaría de Salud a los municipios, por lo que corresponde a las autoridades locales conservarlas en condiciones de operación. Escalante Arroyo señaló que actualmente se realiza un segundo diagnóstico sobre el estado de estas ambulancias, luego de detectar que varias no recibieron atención mecánica durante administraciones anteriores o incluso permanecen fuera de servicio.</t>
  </si>
  <si>
    <t>Boletín 46: Impulsa Hidalgo experiencias turísticas accesibles y seguras para personas adultas mayores</t>
  </si>
  <si>
    <t>Turismo inclusivo</t>
  </si>
  <si>
    <t>Boletín 634: Convocan a participar en el 2º Concurso Nacional de Huapango en Apan</t>
  </si>
  <si>
    <t>Concurso De Huapango</t>
  </si>
  <si>
    <t>Boletín: Colaboración Eudaldo Rivas - Habló sobre el reciente aumento a la canasta básica</t>
  </si>
  <si>
    <t>Reparto de utilidades</t>
  </si>
  <si>
    <t>Radioescucha Pedro Nieto reporta falta de agua en Barrio San Clemente</t>
  </si>
  <si>
    <t>Radioescucha reporta que sigue sin agua en calle Santiago y Arizpe</t>
  </si>
  <si>
    <t>La Oficina de Defensa del Consumidor (Odeco) en Pachuca colocó la primera lona con la leyenda “No cargues aquí, se vuelan la barda con los precios” en una gasolinera en Mineral de la Reforma, ubicada sobre la carretera Pachuca–Ciudad Sahagún, por registrar precios elevados de gasolina en Hidalgo.</t>
  </si>
  <si>
    <t>Alerta al consumidor</t>
  </si>
  <si>
    <t>Eulalio Larrieta agradece Hans Islas del ayuntamiento de Mineral de la Reforma , por su apoyo en pasar los reportes</t>
  </si>
  <si>
    <t>Sobre el tema de aumento tarifa de transporte el conductor Jesús Gonzalez comentó : “Amigos transportistas y usuarios del transporte público, hasta hoy no se ha autorizado ningún aumento, ya existen reportes que algunos choferes gandallas que ya están cobrando, si le cobran más de lo que regularmente usted paga, denúncielo, todavía no se da el aumento, esperemos y en los próximos días la autoridad de a conocer cuál va a ser el aumento”</t>
  </si>
  <si>
    <t>Comentó conductor Jesús Gonzalez que, el dia lunes durante la mesa de analisis de Enfoque Regional Alberto Tapia Serrano presidente de los Transportistas Unidos de Hidalgo, dijo que tiene la apertura para negociar el costo del trasnporte público, comentó tambien que el viernes se tuvo el acercamiento con gobierno y tuvo que tomar la palabra el secretario de gobieno en donde se comentó que estamos abiertos al dialogo, no debe de pasar de un mes para dar una solución, ya que esto es insostenible, se esta haciendo todo el esfuerzo para que no se cause ningún problema, en la movilidad de la economía, ni en la movilidad de los usuarios. AUDIO APOYO</t>
  </si>
  <si>
    <t>El gobernador de Hidalgo, Julio Menchaca, señaló que este mes se dará a conocer la nueva tarifa del transporte público en la entidad, tras la realización de los estudios por parte de la secretaría de movilidad, subrayó que el aumento será de entre 10 y 15 pesos, con base en las necesidades de los transportistas y el bolsillo de los usuarios.AUDIO APOYO</t>
  </si>
  <si>
    <t>Radioescucha comenta: Que el gobierno se entere de que miles de hidalguenses estamos arrepentidos de este gobierno, que se doblegó ante los intereses de los concesionarios por el aumento del transporte público; nos haremos escuchar.</t>
  </si>
  <si>
    <t>Radioescucha comenta: Los hidalguenses estamos muy enojados porque el gobernador se dejó vencer por los concesionarios, y será que vendrá el aumento del transporte público; también los usuarios nos debemos poner exigentes. 1. Las colectivas amplíen los horarios, ya que después de las 9 de la noche escasean. 2. Colectivas exclusivas para mujeres, 3. Descuentos de INAPAM sean permanentes sin restricciones. 4. Descuentos a estudiantes, 5.Que quede estrictamente no viajar parados. Esas son algunas de nuestras exigencias.</t>
  </si>
  <si>
    <t>El gobernador de Hidalgo, Julio Menchaca Salazar, indicó que este mes se dará a conocer la nueva tarifa del transporte público y dijo que no se aceptarán “chantajes”, tras la amenaza de paro por parte de transportistas que exigieron el incremento al pasaje. Explicó que, luego de varios meses de análisis, se dará a conocer el anuncio, aunque recalcó que no será un incremento considerable, sino “razonable y equilibrado” entre las necesidades de concesionarios y la economía.</t>
  </si>
  <si>
    <t>Durante el mediodía de este martes 14 de abril de 2026, una barda perimetral de aproximadamente 15 metros de longitud colapsó en la colonia Maestranza, en Pachuca, dejando una camioneta tipo MG completamente dañada bajo los escombros.El incidente ocurrió en la intersección de las calles República de Brasil y República del Perú, dentro de una propiedad perteneciente a la empresa INFRA, de acuerdo con reportes de autoridades locales.A pesar de la magnitud del incidente, no se reportaron personas lesionadas. La conductora del vehículo afectado resultó ilesa, registrándose únicamente pérdidas materiales totales en la unidad.Tras el colapso, elementos de Protección Civil de Pachuca, en coordinación con la policía municipal, acordonaron el área para evitar riesgos adicionales, ante la posibilidad de nuevos derrumbes en la estructura restante.</t>
  </si>
  <si>
    <t>Caída de barda</t>
  </si>
  <si>
    <t>Boletín 714: Caen 2 presuntos narcomenudistas en Tizayuca tras despliegue operativo de la SSPH</t>
  </si>
  <si>
    <t>Boletín 634: Convocan a participar en el 2º Concurso Nacional de Huapango en Apan, AUDIO APOYO</t>
  </si>
  <si>
    <t>Comenta conductora Jaquelin Servín que no funciona tampoco la pantalla que está en la estación Presidente Alemán</t>
  </si>
  <si>
    <t>Deficiencias Tuzobús</t>
  </si>
  <si>
    <t>Radioescucha reporta que la pantalla que indica la hora de llegada de la unidad del Tuzobús en la estación de Prepa 1 no funciona</t>
  </si>
  <si>
    <t>Boletín: Crecimiento urbano ordenado, prioridad para el gobierno de Julio Menchaca, AUDIO APOYO</t>
  </si>
  <si>
    <t>Al considerar que la respuesta de la PGJEH, ha sido nulas, familiares y amigos de Iván Salvador Ortega González realizarán hoy miércoles 15 de abril una manifestación pacífica para exigir justicia por el homicidio del joven , frente a la PGJEH a las 12:00 pm</t>
  </si>
  <si>
    <t>Exigen esclarecer homicidio</t>
  </si>
  <si>
    <t>"NN Nuestras Noticias ""El Resumen"""</t>
  </si>
  <si>
    <t>Boletín 263: Sedeco y CELEH firman convenio a favor del talento joven</t>
  </si>
  <si>
    <t>Tomás Sosa</t>
  </si>
  <si>
    <t>Cinco de las 32 entidades federativas destacaron en crecimiento industrial al cierre del 2025.Destacan crecimientos de Baja California Sur con 9.7% e Hidalgo ocupó el segundo lugar nacional con un crecimiento de 7.1%.A estos estados siguieron Nayarit, Tamaulipas y Colima, impulsados principalmente por infraestructura y manufactura.</t>
  </si>
  <si>
    <t>Índice De Actividad Industrial</t>
  </si>
  <si>
    <t>Hidalgo registró tres muertes por influenza y seis nuevos contagios durante la primera semana de abril, lo que mantiene a la entidad entre los estados con mayor impacto por esta enfermedad a nivel nacional.De acuerdo con la Dirección General de Epidemiología, el acumulado asciende a 403 casos confirmados, luego de que al cierre de marzo se reportaran 397.En cuanto a la mortalidad, la Secretaría de Salud Federal informó que suman 26 defunciones en la entidad, de las cuales tres ocurrieron en los primeros días de abril. Con estas cifras, Hidalgo se ubica en el segundo lugar nacional en número de fallecimientos, solo por debajo de Puebla, y en la quinta posición por casos confirmados.A un mes de que concluya la temporada estacional —que inició en septiembre de 2025 y termina a mediados de mayo—, autoridades de salud mantienen el llamado a reforzar medidas preventivas y atención oportuna ante síntomas.</t>
  </si>
  <si>
    <t>Influenza</t>
  </si>
  <si>
    <t>El diputado Andrés Velázquez Vázquez y la diputada Lizbeth Iraís Ordaz Islas (Morena) presentaron la iniciativa que reforma la Ley de Turismo Sustentable y la Ley de los Derechos de Niñas, Niños y Adolescentes para el Estado de Hidalgo, con el objetivo de incorporar medidas preventivas y mecanismos de verificación en los servicios de hospedaje para garantizar la integridad, seguridad y protección de dicho sector.Lo anterior, mediante la implementación de disposiciones que obliguen a dichos prestadores de servicios a corroborar que las personas adultas que ingresen acompañadas de personas menores de edad acrediten fehacientemente su calidad de madre, padre, tutor legal o su vínculo de parentesco consanguíneo.</t>
  </si>
  <si>
    <t>Boletín 1045 : Como un “acto de reconstrucción”, Julio Menchaca inaugura Intervención Gráfica 4.1 Hióki, AUDIO APOYO</t>
  </si>
  <si>
    <t>Boletín 1045 : Como un “acto de reconstrucción”, Julio Menchaca inaugura Intervención Gráfica 4.1 Hióki</t>
  </si>
  <si>
    <t>Boletín 1043: Educación, salud y ciencia: ejes estratégicos para el bienestar de Hidalgo, AUDIO APOYO</t>
  </si>
  <si>
    <t>Sobre la entrevista realizada a Humberto Gándara, director internacional de Grupo Pachuca, el conductor Jesús González comentó lo siguiente: “Qué importante que él, como parte del Grupo Pachuca, reconozca el trabajo que está haciendo el gobernador Julio Menchaca y el trabajo que se hace en turismo la secretaría Liz Quintanar”</t>
  </si>
  <si>
    <t>Mundial De Futbol</t>
  </si>
  <si>
    <t>Entrevista Humberto Gándara, director internacional de Grupo Pachuca, quien detalló cómo avanza la preparación de la capital hidalguense para recibir a la selección de Sudáfrica, equipo que tendrá un papel protagónico al inaugurar el torneo enfrentando a la selección Mexicana en el Estadio Azteca. La designación de Pachuca como campamento sede responde al trabajo coordinado entre el Grupo Pachuca y el Gobierno del Estado de Hidalgo. El gobierno del estado junto con la Secretaría de Turismo con con Liz Quintanar quien lidera muy bien este tema, llamó a la embajadora de Sudáfrica a que viniera a conocer nuestro estado, conoció el estado y ahora se está proyectando que no que sea la sede de los viajeros sudafricanos durante el mundial.</t>
  </si>
  <si>
    <t>Boletín 14:Hidalgo fortalece acciones para prevenir el embarazo en niñas y adolescentes</t>
  </si>
  <si>
    <t>Prevención De Embarazo Adolescente</t>
  </si>
  <si>
    <t>Radioescucha reporta que la colectiva de la Ruta Central - Pedregal - Plaza Juárez urge que se exija a los concesionarios que la ruta, después de las 8:00 pm, el servicio sea cada 6 minutos porque en los recorridos van muy llenas.</t>
  </si>
  <si>
    <t>Para disminuir los asaltos a transportistas en los estados de Puebla, Querétaro, Hidalgo y San Luis Potosí, se implementó el Plan Cero Robos, que cuenta con 20 mil elementos de la Guardia Nacional, explicó el General de División de Guardia Nacional de Estado Mayor, Guillermo Briseño Lobera. AUDIO APOYO</t>
  </si>
  <si>
    <t>Refuerzo De Seguridad</t>
  </si>
  <si>
    <t>El Ayuntamiento de Pachuca, encabezado por el alcalde Jorge Reyes, rehabilitó el Jardín del Arte, ubicado en el Centro Histórico, mediante un trabajo conjunto con tiendas Oxxo, con el objetivo de reactivar este espacio como punto de encuentro ciudadano y de expresión cultural.Las acciones realizadas incluyeron limpieza integral, retiro de maleza, atención de áreas verdes, reconstrucción de bancas y mesas, así como trabajos de pintura y mejora general del entorno. Con ello, se restablecen condiciones adecuadas para su uso y se impulsa nuevamente la convivencia en uno de los espacios más representativos de la ciudad.</t>
  </si>
  <si>
    <t>Rehabilitación de espacios públicos</t>
  </si>
  <si>
    <t>Reparto de utilerias</t>
  </si>
  <si>
    <t>En Ixmiquilpan, en plena luz del día, un hombre y una mujer realizaron un asalto con armas blancas en el barrio de la Reforma en Ixmiquilpan. Lograron huir con un botín de 7 mil pesos. Este hecho se suma a otros robos que se realizaron ya en el municipio; ya los habitantes solicitan reforzamiento de la seguridad en esa zona</t>
  </si>
  <si>
    <t>Robo de identidad</t>
  </si>
  <si>
    <t>Boletín 47: Más de 2.4 millones de visitantes llegan a Hidalgo en el periodo vacacional de Semana Santa</t>
  </si>
  <si>
    <t>Semana Santa</t>
  </si>
  <si>
    <t>Boletín : Más de 2.4 millones de visitantes llegan a Hidalgo en el periodo vacacional de Semana Santa, AUDIO APOYO.</t>
  </si>
  <si>
    <t>Habitantes de la localidad de Caxuxi de San Salvador, perteneciente al municipio de San Salvador, se manifestarón esta mañana en Pachuca. El contingente inició en las inmediaciones de la Plaza de Toros Vicente Segura con dirección al Congreso del Estado de Hidalgo, protestan ante la posible prohibición de la "fiesta brava</t>
  </si>
  <si>
    <t>El Congreso del Estado ha anunciado que abrirá un espacio de diálogo antes de tomar una decisión sobre una posible prohibición de las Correas de Toros. El presidente de la Junta de Gobierno del Congreso de Hidalgo, Andrés Velásquez Vázquez, informó que se va a organizar un foro de discusión en el que van a participar voces a favor y en contra de la llamada fiesta brava, con el objetivo de construir una resolución incluyente</t>
  </si>
  <si>
    <t>A días de que se realicen corridas de toros anunciadas en Pachuca, el ayuntamiento capitalino no ha recibido ni autorizado solicitudes para estos eventos, por lo que, de llevarse a cabo, podrían derivar en sanciones administrativas como la cancelación.Así lo informó el alcalde pachuqueño, Jorge Reyes Hernández, quien aseguró que hasta el momento ninguna empresa u organizador ha ingresado trámites ante el área de Reglamentos, instancia encargada de validar este tipo de espectáculos, AUDIO APOYO</t>
  </si>
  <si>
    <t>El grupo Tauromaquia Mexicana, Capítulo Hidalgo, solicitó al Congreso del Estado realizar "una consulta a pueblos y comunidades indígenas" antes de dictaminar una eventual prohibición de las corridas de toros, con el argumento de "evitar acciones legales y garantizar el respeto a sus derechos".En un encuentro con medios de comunicación locales, representantes de la organización Tauromaquia Mexicana anunciaron la presentación oficial del libro "México es Taurino", una obra que documenta la trascendencia histórica, social y ecológica de la tauromaquia en nuestro país.El evento se llevará a cabo el jueves 16 de abril en el auditorio del Consejo Coordinador Empresarial.</t>
  </si>
  <si>
    <t>El Sistema Estatal de Donación y Trasplantes en Hidalgo, una política que salva vidas y refleja el lado más solidario de nuestra sociedad.En la entidad se registran mil 36 donadores de origen cadavérico; de ellos, se han procurado 958 órganos y tejidos, con niveles de viabilidad superiores al 85 por ciento.Son poco más de 20 mil personas que esperan un trasplante de órgano. "Donar es dar una nueva oportunidad de vida." AUDIO APOYO</t>
  </si>
  <si>
    <t>Trasplante de órganos</t>
  </si>
  <si>
    <t>Durante los trabajos del proyecto de salvamento arqueológico del Tren de Pasajeros Ciudad de México-Querétaro, se hallaron nuevas manifestaciones gráfico-rupestres en el lugar identificado como "Sitio 77, El Venado", ubicado en el cerro homónimo.Se trata de 15 elementos, entre petrograbados y pinturas rupestres que, por sus características estilísticas, datan posiblemente de la prehistoria y del periodo posclásico (900-1521 d.C.). Se localizan en dos acantilados cercanos al Río Tula y la Presa La Requena, en las inmediaciones de las comunidades de San José Acoculco en Atotonilco de Tula, y Benito Juárez en Tepeji del Río de Ocampo.El arqueólogo Abel José Romero García añadió que las pinturas se encuentran en buen estado de conservación y estimó que, en el caso de aquellas de origen prehispánico, posiblemente tengan relación con la etapa final de Tula.El sitio fue registrado en los años 70 del siglo pasado, dentro del proyecto arqueológico Tula coordinado por el investigador emérito del INAH, Eduardo Matos Moctezuma, y en aquella década se halló un elemento pintado alusivo a un venado, a partir del cual se dio nombre al cerro, AUDIO APOYO</t>
  </si>
  <si>
    <t>La Oficina de Defensa del Consumidor (Odeco) en Pachuca colocó la primera lona con la leyenda “No cargues aquí, se vuelan la barda con los precios” una gasolinera en Mineral de la Reforma, ubicada sobre la carretera Pachuca–Ciudad Sahagún, por registrar precios elevados de gasolina en Hidalgo. El operativo forma parte de una estrategia federal orientada a identificar y exhibir a estaciones de servicio que ofertan gasolina cara en Hidalgo con precios superiores a los parámetros definidos.</t>
  </si>
  <si>
    <t>Durante la reunión semanal, el Comité Jurisdiccional de Vigilancia Epidemiológica de Tulancingo, se trataron temas como la vacunación canina y felina en donde destacan municipios como Singuilucan que rebasa la meta ; Tulancingo con un 76.6 por ciento de cobertura alcanzada; Santiago Tulantepec con la aplicación de dos mil 525 vacunas, por mencionar algunos. En números rojas aparecen Agua Blanca, Huehuetla, Metepec y San Bartolo Tutotepec. Respecto al panorama epidemiológico de sarampión, se informó que hasta la fecha se han registrado 19 casos correspondientes al 2026 y uno del 2025, lo anterior, a nivel estatal, por lo anterior, las autoridades hicieron un llamado a la población que todavía no se ha vacunado, para que aproveche la disponibilidad de esta vacuna y se proteja con la enfermedad.</t>
  </si>
  <si>
    <t>Vigilancia Epidemiológica</t>
  </si>
  <si>
    <t>Como parte de las estrategias de sustentabilidad y responsabilidad social impulsadas por el Ayuntamiento de Tulancingo, la Dirección de Medio Ambiente informó que, durante el primer trimestre del año, se recolectaron más de 240 kilogramos de residuos a través de sus centros de acopio permanentes, de los cuales 201.36 kilogramos corresponden a desechos electrónicos y 39 kilogramos a papel de oficina. Entre los materiales captados destacan equipos de cómputo, laptops, teléfonos celulares, archivos documentales en desuso, monitores, CPU, teclados e impresoras, los cuales, de no ser manejados adecuadamente, representan un riesgo para el entorno y la salud pública. La dependencia destacó que los centros de acopio operan de manera permanente, brindando tanto a la ciudadanía como a las dependencias gubernamentales un espacio seguro y responsable para la disposición final de residuos, fortaleciendo así una cultura de reciclaje y manejo adecuado. Todo el material recolectado es canalizado a la Secretaría de Medio Ambiente y Recursos Naturales de Hidalgo (Semarnath), lo que garantiza su tratamiento conforme a la normativa vigente y bajo procesos técnicos que contribuyen a la protección del medio ambiente. De acuerdo con datos de la Dirección de Limpias, en el municipio se recolectan en promedio 10 aparatos electrónicos en desuso por semana, lo que evidencia la necesidad de fortalecer la participación ciudadana en este tipo de campañas. La alcaldía hizo un llamado a la ciudadanía para sumarse activamente a prácticas responsables de reciclaje, contribuyendo así a la construcción de un Tulancingo más limpio, ordenado y sustentable.</t>
  </si>
  <si>
    <t>Disposición de residuos</t>
  </si>
  <si>
    <t>Tras el ingreso de la excitativa del diputado Avelino Tovar Iglesias a la Comisión de Legislación y Puntos Constitucionales para que en un plazo de 10 días se vote la iniciativa que busca prohibir las corridas de toros en el estado, se estará resolviendo sin opiniones técnicas y sin la consulta a pueblos y comunidades indígenas. La diputada Lizbeth Iraís Ordaz Islas, presidenta de dicha comisión, explicó que ante la “prisa” del diputado promovente, la propuesta deberá someterse a votación a pesar de no contar con las opiniones del impacto de esta actividad en el estado, de no haberse realizado foros ni la consulta respectiva.</t>
  </si>
  <si>
    <t>La manifestación taurina comenzó esta mañana en la Plaza de Toros de Pachuca, marchando hacia el Congreso local. El contingente avanza por el bulevar Felipe Ángeles, lo que ha generado tráfico lento en la zona sur de la ciudad. Las autoridades han solicitado a los conductores tomar precauciones debido a las afectaciones viales que está provocando la movilización.</t>
  </si>
  <si>
    <t>La Procuraduría Federal del Consumidor (Profeco) colocó las primeras lonas con la frase “No cargues aquí, se vuelan la barda con los precios” en estaciones de servicio con precios superiores a lo acordado. Estas lonas tienen el objetivo de alertar a las personas sobre un precio caro y puedan elegir algún otro proveedor que tenga precios justos. Como resultado del primer día del operativo, el procurador Federal del Consumidor, Iván Escalante Ruiz, colocó una lona en una estación de servicio de Repsol, ubicada en Amecameca, Estado de México, donde se encontró el precio del diésel en $31.99 pesos el litro, y una más en una Mobil, en la alcaldía Iztapalapa, Ciudad de México, donde el litro de gasolina regular está en $24.39. Las brigadas de verificación se desplegaron en otros puntos del país con los siguientes resultados: Se colocaron mantas por exceder el precio de $24.00 pesos por litro de gasolina en una estación de servicio de Oxxo Gas ubicada en Aguascalientes, Aguascalientes, donde el litro de combustible se vende en $24.99. Del mismo proveedor, pero en Toluca, Estado de México, el precio fue de $24.99, igual que en una ubicada en Moroleón, Guanajuato y otra en Mineral de la Reforma, Hidalgo.</t>
  </si>
  <si>
    <t>El municipio de Tasquillo acumula un promedio de 60 incendios registrados durante los primeros cuatro meses de este 2026, el de mayor magnitud ocurrió el pasado 29 de marzo, afectando más de 70 hectáreas de pastizal. En rueda de prensa, Itzel Olguín, Directora de Protección Civil Municipal explicó que de todos los siniestros reportados durante dicho período, solo uno represento más complicaciones Puede leer Reportan 2 incendios en Ixmiquilpan en menos de 24 horas "El 29 de marzo tuvimos seis incendios activos en distintas localidades, siendo más afectadas de la de Remedios y Santiago Ixtlachuaca". Los hechos dejaron un total de 70 hectáreas consumidas por el fuego, además de pérdidas de flora y fauna endémica. En otro tenor, Itzel Olguín destacó saldo blanco en la demarcación durante el período vacacional que concluyó este domingo 12 de abril.</t>
  </si>
  <si>
    <t>La racha de robos continúa en el municipio de Ixmiquilpan, esta vez le tocó a una tienda ubicada sobre avenida Insurgentes, en el Barrio de La Reforma con razón social Tiendas 3B. De acuerdo con información preliminar, la noche de este martes, una pareja ingresó al establecimiento haciéndose pasar por clientes; sin embargo, una vez en el interior, sacaron de entre sus ropas armas blancas con las que amenazaron a los trabajadores. Tras someter al personal, los responsables la pareja de ladrones se apoderaron del dinero correspondiente a las ventas del día, así como de algunos productos del lugar. De manera extraoficial, se indicó que el monto de lo robado podría superar los 7 mil pesos. Luego del reporte del robo, elementos de seguridad pública y paramédicos acudieron al sitio para brindar apoyo, ya que los empleados presentaron crisis nerviosa tras lo ocurrido. Hasta el momento no se ha informado sobre la localización de los presuntos responsables, mientras autoridades continúan con las indagatorias correspondientes. Apenas antier se reportó un robo similar en un establecimiento del barrio del Fitzhi, además de otros asaltos a comercios del municipio, sin que se tengan personas detenidas por estos hechos.</t>
  </si>
  <si>
    <t>Inseguridad</t>
  </si>
  <si>
    <t>En un momento en que la economía social adquiere mayor relevancia en México, la Cámara de Diputados anunció la realización del foro “Los Retos de las Cooperativas en México”, programado para el próximo 18 de abril a las 9:30 horas en el lobby del Congreso del Estado de Hidalgo. El encuentro busca generar un espacio de diálogo sobre el papel de las cooperativas como eje de desarrollo comunitario, justicia económica y organización solidaria frente a los modelos tradicionales. El evento contará con la participación de la diputada federal Tatiana Ángeles Moreno, quien ha consolidado una trayectoria destacada como luchadora social y referente progresista en la vida pública nacional. Con más de cuatro décadas de trabajo desde la izquierda, ha impulsado iniciativas enfocadas en la transparencia, el combate a la corrupción y el fortalecimiento de las economías locales, priorizando a los sectores históricamente marginados. Más allá de una discusión técnica, el foro se plantea como un acto político con profundo sentido social: visibilizar alternativas económicas más equitativas. La presencia de Tatiana Ángeles refuerza su perfil como una legisladora cercana a la ciudadanía, convencida de que el futuro del país pasa por modelos solidarios, incluyentes y orientados a la justicia social.</t>
  </si>
  <si>
    <t>Economía social</t>
  </si>
  <si>
    <t>Boletín: CEDSPI continúa con su campaña “¡A ver… a ver!”</t>
  </si>
  <si>
    <t>Salud Visual</t>
  </si>
  <si>
    <t>Entrevista vía telefónica Román Bernal Díaz, subsecretario de Protección Civil y Gestión de Riesgos - Fenómenos Meteorológicos en Hidalgo - Habló sobre los recientes cambios en el equilibrio ecológico, los cuales alteran los eventos meteorológicos extremos, en ese sentido, dijo, que el Estado cuenta un sistema de monitoreo suficiente para estar en condiciones de alertar a la población de manera oportuna sobre los fenómenos meteorológicos que puedan presentarse, en ese sentido, llamó a la población a mantenerse informados a través de canales oficiales.</t>
  </si>
  <si>
    <t>Boletín: CCLEH brinda asesoría gratuita sobre reparto de utilidades</t>
  </si>
  <si>
    <t>Boletín 1045: Como un “acto de reconstrucción”, Julio Menchaca inaugura Intervención Gráfica 4.1 Hióki (AUDIO JMS);(AUDIO AVM)</t>
  </si>
  <si>
    <t>Enlace Hidalgo</t>
  </si>
  <si>
    <t>Columna a media semana - La situación jurídica del empresario iraquí nacionalizado mexicano, Rafael Zaga Tawil detenido en Florida, Estados Unidos, causa inquietud entre algunos políticos hidalguenses y no es para menos, ya que se mantienen vigentes los señalamientos en su contra por delincuencia organizada y lavado de dinero, que surgieron tras el desfalco de 5 mil millones de pesos al INFONAVIT, en los tiempos en los que el hoy morenista Alejandro Murat y el ex-senador David Penchyna Grub estuvieron al frente de la dirección general. El hidalguense habría avalado el saqueo y parece que la captura del ricachón podría escribir un nuevo capítulo a esta historia.</t>
  </si>
  <si>
    <t>Desvío de recursos</t>
  </si>
  <si>
    <t>Joel Sánchez</t>
  </si>
  <si>
    <t>Columna a media semana - Hace unos días en este mismo espacio, destacamos el trabajo que el Instituto Nacional de Antropología e Historia lleva a cabo en torno al descubrimiento de un altar, ofrendas humanas, vestigios y muros localizados durante la construcción del tren México-Querétaro; pero de la riqueza arqueológica de la zona habla también el hallazgo de 16 petrograbados y pinturas rupestres, manifestaciones gráficas localizadas en El Venado, entre Atotonilco de Tula y Tepeji del Río, las cuales han sido catalogadas por los especialistas como pertenecientes al periodo posclásico (900 y 1521 d.C.). Interesante es el trabajo histórico y la labor de conservación.</t>
  </si>
  <si>
    <t>Columna a media semana - El gobierno federal y el estatal de Hidalgo, impulsan importantes proyectos para la generación y aprovechamiento de energía limpia en la entidad, ejemplo de ello es que la Comisión Nacional del Agua, ha inaugurado el 1er sistema solar sin respaldo para la alimentación de la bomba de riego que beneficiará a cientos de productores agrícolas de la Unidad de Riesgo el Yolo en Acatlán, con lo que se tecnifican 95.3 hectáreas; a ello hay que sumarle que ya se desarrolla el plan ejecutivo para instalar un mega parque fotovoltaico en Huichapan, proyecto similar a los ya existentes en Nopala de Villagrán y Emiliano Zapata. Energía sin contaminar el ambiente. Bien.</t>
  </si>
  <si>
    <t>Energías renovables</t>
  </si>
  <si>
    <t>A través de un video publicado en redes sociales, la presidenta de Tulancingo, Lorena García, se pronunció sobre los señalamientos sobre presuntas irregularidades, señalando, que su administración trabaja con legalidad y transparencia, calificando su gestión como enfocada en "resultados visibles". (AUDIO LGC).</t>
  </si>
  <si>
    <t>El síndico procurador hacendario del municipio de Tulancingo, Pedro Hiram Soto Márquez, dio a conocer presuntas irregularidades en la administración municipal encabezada por Lorena García Cázares, que podrían haber generado un posible daño al erario. El funcionario señaló que desde finales de 2024 detectó inconsistencias administrativas. Entre los señalamientos, mencionó el presunto ofrecimiento de un recurso de 200 mil pesos para cada integrante del ayuntamiento con el objetivo de facilitar acuerdos internos; indicó que para 2025 tuvo conocimiento de que dicho “bono” habría sido entregado a través de terceros. El síndico informó que presentó denuncias ante distintas instancias: el 28 de febrero de 2025 ante el Órgano Interno de Control; el 26 de marzo ante la Auditoría Superior del Estado de Hidalgo; y el 13 de abril de 2026 ante la Fiscalía Especializada en Delitos de Corrupción.</t>
  </si>
  <si>
    <t>Con el objetivo de fortalecer el funcionamiento de los tianguis y garantizar condiciones seguras para comerciantes y consumidores, se realizará reunión de trabajo entre líderes tianguistas y autoridades municipales el próximo miércoles, afirmó el secretario municipal, Edmundo Aguilar Aranda. En este encuentro participarán las direcciones de Mercados, Reglamentos, así como Bomberos y Protección Civil, quienes reiterarán los lineamientos de operación y promoverán la prevención de riesgos, los cuales de manera consecutiva se promueven. Se anticipó que, como parte de los acuerdos, los dirigentes firmarán una minuta de compromiso para que sus agremiados participen en capacitaciones sobre uso de extintores, manejo de gas LP, instalaciones eléctricas y atención a emergencias. Además, se emitirán recomendaciones para su implementación gradual, como el uso de tanques de gas de hasta 10 kilogramos con regulador, contar con extintores y botiquín de primeros auxilios, así como respetar distancias para garantizar la seguridad y el libre tránsito. También se establecerá un cronograma de supervisión en los 13 tianguis del municipio para verificar el cumplimiento de estas disposiciones, anticipando que, de no cumplirse, se emitirán sanciones.</t>
  </si>
  <si>
    <t>Como parte de los resultados de la implementación del “Operativo Mineral Seguro”, elementos de la Secretaría de Seguridad Ciudadana de Mineral de la Reforma detuvieron a cuatro personas quienes tenían en su posesión enervantes. De acuerdo con policías municipales, tras establecer recorridos preventivos en la avenida de Los Árboles, a la altura de una farmacia, en la colonia Fraccionamientos del Sur, se efectuó la intervención de un vehículo Nissan Sentra, color blanco, en el que viajaban los presuntos responsables. Al revisar el automotor, se encontraron en su interior 13 bolsas con marihuana, 28 bolsas con cristal (metanfetamina) y una báscula gramera. Las personas detenidas se identificaron con las iniciales M. A. H. G., J. A. V. S., A. L. T. y D. M. H. S. Tanto los cuatro detenidos, como las dosis de enervantes y el vehículo, fueron puestos a disposición del Ministerio Público del fuero común para las investigaciones correspondientes. Esta acción forma parte de las medidas preventivas implementadas para evitar la comisión de delitos en la zona.</t>
  </si>
  <si>
    <t>Columna a media semana: Quien enfrenta un serio conflicto es el director general del Colegio del Estado de Hidalgo, Pablo Vargas González, pues con razón o sin ella, su nombre salió a relucir tras un cateo en una vivienda de El Cerezo, diligencia derivada de la carpeta de investigación 12-2025-051-65 por el delito de despojo y lo que resulte en agravio de Sergio Loreto Hernández; es previsible que el asunto llegará muy lejos, ya que lo que se disputan es un predio de más de 21 mil metros en Ampliación El Palmar, cuyo valor se estima en 100 millones de pesos y ninguna de las partes lo va a dejar perder sin pelear. Mientras tanto el morenista ex-candidato a presidente municipal de Pachuca y funcionario público, está en medio del escándalo.</t>
  </si>
  <si>
    <t>Columna a media semana: Cuentan que en el marco del posible relevo en la sección XV del Sindicato Nacional de Trabajadores de la Educación, en el magisterio hidalguense se están cocinando enroques y relevos en importantes áreas de la SEPH; según los informados, Taurino Ramírez Lara y Francisco Morelos, director de Educación Normal (DEN-SEPH) y director de Formación y Superación Docente, podrían cambiar cargos entre sí; Enriqueta Vargas, podría pasar del Centro Regional de Educación Normal “Benito Juárez” a la dirección de la Escuela Normal Superior del Estado de Hidalgo, mientras que Benigno Sánchez Naranjo, de la Secretaría de Conflictos del SNTE, pasaría a la DEN; algunos llevan décadas ahí y ya era tiempo de sacarlos.</t>
  </si>
  <si>
    <t>Nombramientos</t>
  </si>
  <si>
    <t>Joselyn Sánchez</t>
  </si>
  <si>
    <t>Miled 97.1 FM</t>
  </si>
  <si>
    <t>Línea en Alta Tensión</t>
  </si>
  <si>
    <t>Entrevista vía telefónica Román Bernal Díaz, subsecretario de Protección Civil y Gestión de Riesgos - Fenómenos Meteorológicos en Hidalgo</t>
  </si>
  <si>
    <t>María Antonieta Islas</t>
  </si>
  <si>
    <t>Canal 12 Huejutla</t>
  </si>
  <si>
    <t>Contacto Informativo N</t>
  </si>
  <si>
    <t>Selene Ortega</t>
  </si>
  <si>
    <t>El pasado 11 de abril, la Selección Estatal de Béisbol 5 conquistó el tercer lugar en el Campeonato Nacional de Béisbol 5 categoría Sub 18 celebrado en Piedras Negras Coahuila, además este destacado equipo aseguró su lugar en la Olimpiada Nacional 2026.</t>
  </si>
  <si>
    <t>Nacionales Conade</t>
  </si>
  <si>
    <t>Policía Estatal asegura en Yahualica a individuo con más de 9 mil dosis de droga</t>
  </si>
  <si>
    <t>SSPH asegura a célula dedicada a la venta de sustancias ilícitas</t>
  </si>
  <si>
    <t>Constata la Contraloría estatal entrega de siete vehículos a Seguridad Pública</t>
  </si>
  <si>
    <t>Convocan a participar en el 2º Concurso Nacional de Huapango en Apan</t>
  </si>
  <si>
    <t>CCLEH brinda asesoría gratuita sobre reparto de utilidades</t>
  </si>
  <si>
    <t>La Semot, a través de su organismo sectorizado el Sitmah, impulsa la movilidad incluyente como una política pública orientada a brindar el acceso digno y equitativo al transporte para todas y todos (...)</t>
  </si>
  <si>
    <t>Una barda de la empresa Infra cayó sobre un vehículo particular. Sin embargo, no se reportaron personas lesionadas, aunque el vehículo sufrió daños materiales. De acuerdo con los informes de la Policía de Pachuca, el hecho ocurrió cuando la barda de la mencionada empresa se desplomó sobre el automóvil estacionado en la vía pública.</t>
  </si>
  <si>
    <t>En el lugar conocido como Las Vidriera, municipio de Singuilucan, se registra el incendio de un local comercial ubicado a un costado de la carretera federal México-Tuxpan, en el carril con dirección a la Ciudad de México (CDMX). Tras el hecho, se cerró la carrera en el tramo Pirámides- Tulancingo, pues cuerpos de emergencia atienden el siniestro.</t>
  </si>
  <si>
    <t>Impulsa Hidalgo experiencias turísticas accesibles y seguras para personas adultas mayores</t>
  </si>
  <si>
    <t>En el marco de la conmemoración del 106 aniversario de la creación de Mineral de la Reforma, el presidente municipal, Eduardo Medezigo Rubio, aseguró que actualmente se trabaja para construir un futuro para todos, con un presente que permita continuar con la edificación de la historia que forja esta ciudad, acompañado de la presidenta del patronato del sistema municipal, DIF, Samantha Esparza Hernández, secretarios municipales, regidores, síndicas y estudiantes de preescolar, primaria y secundaria, el alcalde también afirmó que es tiempo de transformación de consolidar proyectos que den como resultado una mejor vida para la población.</t>
  </si>
  <si>
    <t>Conmemoración Aniversario</t>
  </si>
  <si>
    <t>El secretario de educación pública de Hidalgo, Natividad Castrejón Valdez, anunció la construcción simultánea de 26 planteles de educación media superior en la entidad, una acción que ampliará la cobertura y calidad educativa para las y los jóvenes hidalguenses. Los proyectos contemplan la ampliación de 2 planteles existentes en Tizayuca, 12 bachilleratos de Nueva Creación que operarán bajo la denominación Bachillerato General Margarita Maza y estarán distribuidos en los municipios de Atotonilco de Dula con 2 planteles, Apan, Huejutla, Mineral de la Reforma con 2 sedes, Pachuca, Tezontepec de Aldama, Tianguistengo, Tizayuca y Tula de Allende. También edificarán 10 telebachilleratos comunitarios en distintos municipios del estado, lo que permitirá consolidar un sistema educativo más equitativo y accesible.</t>
  </si>
  <si>
    <t>En entrevista con medios, el gobernador Julio Menchaca Salazar se refirió a la reubicación de las personas afectadas por la vaguada monzónica, destacando las acciones que se están implementando para brindar atención y apoyo a las familias damnificadas.</t>
  </si>
  <si>
    <t>Reubicación de viviendas</t>
  </si>
  <si>
    <t>En entrevista con medios, el gobernador Julio Menchaca Salazar se pronunció respecto a las actualizaciones que tendrá el Tuzobús, donde adelantó que se contemplan mejoras en el servicio y brindar una mejor atención a las y los usuarios.</t>
  </si>
  <si>
    <t>Modernización Tuzobús</t>
  </si>
  <si>
    <t>El día de hoy el edificio de gobierno abrió sus puertas al arte con la Intervención Gráfica 4.1 “Hióki, Acto de Reconstrucción”, una exposición colectiva que reúne a quince artistas hidalguenses para acercar la cultura a la ciudadanía. Por su parte, Rubí Zaira Flores Cruz, participante de la tercera edición de la intervención gráfica, Anima Soma, compartió su mensaje como artista, destacando la importancia de mostrar su arte y conectar con el público. Posteriormente, Alejandro Velázquez Mendoza, secretario del despacho del poder ejecutivo del estado, destacó en su mensaje la importancia de la cultura en los espacios públicos. Por último, el gobernador Julio Menchaca Salazar compartió su entusiasmo por comenzar la jornada con una expresión tan valiosa como el arte.</t>
  </si>
  <si>
    <t>Comerciantes de la zona centro del municipio de Actopan retuvieron, golpearon, raparon y amarraron a una pareja de presuntos delincuentes. Los hechos ocurrieron cuando los implicados, un hombre y una mujer, fueron detenidos tras ser señalados por los vendedores de cometer varios robos a los establecimientos. Ambos implicados fueron golpeados, rapados y amarrados, como les decía, en el obelisco del jardín municipal, con el objetivo de exhibirlos ante la ciudadanía. La policía municipal llegó al lugar y tras un diálogo los presuntos ladrones les fueron entregados.</t>
  </si>
  <si>
    <t>La presidenta del Partido Acción Nacional (PAN) en Hidalgo, Marcela Isidro García, reconoció que incurrieron en irregularidades en el uso de recursos públicos en 2024, mismas que no pudieron solventar, por lo que deberán pagar la multa superior a 7 millones de pesos que les impuso el Instituto Nacional Electoral (INE). La expresidenta municipal de Nicolás Flores afirmó que la sanción ya no puede revertirse, al señalar que las observaciones debieron atenderse en su momento. “Las observaciones que se hacen, en su momento, se debieron de solventar, hoy, efectivamente, se tienen que pagar estas multas”, afirmó. La dirigente panista evitó detallar las irregularidades específicas señaladas por el INE y sostuvo que el partido asumirá las consecuencias. “Sí o sí se tendrá que pagar”, reiteró. Isidro García también deslindó su responsabilidad directa al señalar que las inconsistencias corresponden al ejercicio 2024, cuando la diputada Claudia Luna Islas era presidenta, aunque indicó que el PAN debe responder como institución.</t>
  </si>
  <si>
    <t>PAN</t>
  </si>
  <si>
    <t>Multas INE</t>
  </si>
  <si>
    <t>Partidos</t>
  </si>
  <si>
    <t>UTMZ mantiene abierta su convocatoria de nuevo ingreso</t>
  </si>
  <si>
    <t>Oferta académica</t>
  </si>
  <si>
    <t>Como parte de las estrategias de sustentabilidad y responsabilidad social impulsadas por el Gobierno Municipal de Tulancingo, la Dirección de Medio Ambiente informó que, durante el primer trimestre del año, se logró la recolección de más de 240 kilogramos de residuos, integrados por 201.36 kilogramos de desechos electrónicos y 39 kilogramos de papel de oficina, a través de sus centros de acopio permanentes. Entre los materiales captados destacan equipos de cómputo, laptops, teléfonos celulares, archivos documentales en desuso, monitores, CPU, teclados e impresoras, los cuales, de no ser manejados adecuadamente, representan un riesgo para el entorno y la salud pública. La Dirección de Medio Ambiente destacó que los centros de acopio operan de manera permanente, brindando tanto a la ciudadanía como a las dependencias gubernamentales un espacio seguro y responsable para la disposición final de residuos electrónicos y papelería en desuso, fortaleciendo así una cultura de reciclaje y manejo adecuado de residuos.</t>
  </si>
  <si>
    <t>Con el objetivo de ordenar el crecimiento de la ciudad, se llevó a cabo la Audiencia Pública del Programa Parcial de Desarrollo Urbano Pachuca–Mineral de la Reforma, un ejercicio que reunió a autoridades de los tres niveles de gobierno, así como a representantes del sector académico, empresarial y ciudadanía interesada. En el encuentro participaron Eduardo Medécigo, presidente municipal de Mineral de la Reforma; Edgar Buenrostro, en representación de la Secretaría de Desarrollo Agrario, Territorial y Urbano (Sedatu); Miguel Tello, secretario de Planeación y Prospectiva; Julio Valera; Horacio Castañeda; y Octavio Díaz, rector del Tecnológico de Monterrey. Durante la sesión se presentaron los objetivos, alcances y lineamientos de esta estrategia, que busca establecer bases claras para guiar el desarrollo de Pachuca y fortalecer su integración con el municipio vecino.</t>
  </si>
  <si>
    <t>Integrantes de diversas dependencias de los tres órdenes de gobierno, se llevó a cabo una evaluación de la operatividad de los corralones o depósitos vehiculares, así como el manejo del servicio de grúas. Durante un encuentro encabezado por el secretario de Gobierno Guillermo Olivares Reyna, se escuchó a víctimas de malos tratos, abusos o a quienes se les proveyó de un mal servicio por parte de alguno de los operadores de los sitios evaluados. A lo largo de este encuentro, se generaron observaciones y compromisos para solventar lo antes posible desde cada área de responsabilidad, con la finalidad de evitar que, en su mayoría, los cobros excesivos, sean una constante.</t>
  </si>
  <si>
    <t>Cobro de grúas</t>
  </si>
  <si>
    <t>La segunda semana del periodo vacacional encendió las alertas en Tulancingo, luego de que se registraran 10 accidentes automovilísticos entre el 5 y el 12 de abril, de acuerdo con información de Bomberos y Protección Civil del municipio. Del total de percances, siete ocurrieron en la zona urbana, mientras que tres más se registraron en tramos carreteros de Las Lajas, San Alejo y Zempoala, donde el flujo vehicular se mantuvo constante durante estos días. Este repunte se suma al balance general del periodo de Semana Santa, en el que se contabilizaron ocho accidentes que dejaron como saldo cuatro personas lesionadas. Las autoridades señalaron que los puntos con mayor incidencia continúan siendo la carretera México-Tuxpan, así como las colonias Centro y Loma Bonita, zonas donde se concentra gran parte de la movilidad.</t>
  </si>
  <si>
    <t>Hidalgo refuerza acciones de atención y control del Gusano Barrenador del Ganado</t>
  </si>
  <si>
    <t>Saderh</t>
  </si>
  <si>
    <t>Gusano barrenador</t>
  </si>
  <si>
    <t>En el Estado de Hidalgo se ha registrado un incremento importante de casos de sarampión en el comparativo con el año anterior, reconoció la titular de la Secretaría de Salud de Hidalgo, Vanesa Escalante Arroyo. En el comparativo, durante todo el año 2025 se registró un caso de la enfermedad, mientras que en lo que va del presente, ya han sido confirmados 20 contagios. La funcionaria aclaró que del total de dichos casos sólo cuatro se mantienen activos, agregando que Hidalgo se encuentra en lugar 27 de las 32 entidades federativas que conforman el país en cuanto al registro correspondiente. A mediados de la semana pasada, funcionarios de la Secretaría de Salud federal señalaron durante una conferencia de prensa matutina en Palacio Nacional que el registro de casos de sarampión iba a la baja.</t>
  </si>
  <si>
    <t>La temporada vacacional de Semana Santa 2026 dejó resultados por debajo de lo esperado para el sector hotelero en Hidalgo, donde la ocupación promedio se ubicó en 57 por ciento, inferior a la registrada el año anterior. Así lo dio a conocer Roxana Vargas Juárez, presidenta de la Asociación Mexicana de Hoteles y Moteles del Estado de Hidalgo (AMHMH), quien señaló que esta disminución forma parte de una tendencia que también se observó a nivel nacional. De acuerdo con la dirigente, aunque se registraron picos de visitantes durante el primer fin de semana del periodo vacacional, así como en viernes y sábado santos, la afluencia disminuyó en los días posteriores. Indicó que parte de la ocupación hotelera en la capital se vio impulsada por la llegada de jóvenes futbolistas que acudieron a visorías con el Club Pachuca, lo que generó movimiento en algunos establecimientos.</t>
  </si>
  <si>
    <t>Ocupación Hotelera</t>
  </si>
  <si>
    <t>Durante la recién concluida temporada vacacional de Semana Santa, en el Estado de Hidalgo se registró la llegada de 2.4 millones de visitantes, aumentando la derrama económica en 5.23 por ciento. La información fue ofrecida por Elizabeth Quintanar Gómez, titular de la Secretaría de Turismo de la entidad, señalando que la derrama económica fue de mil 235 millones de pesos, lo que significó un aumento del 5.23 por ciento. La secretaria de Turismo de Hidalgo, Elizabeth Quintanar Gómez, presentó el informe oficial de resultados correspondiente al periodo vacacional de Semana Santa 2026, con un balance positivo en afluencia turística de 2.4 millones de visitantes y un aumento en derrama económica del 5.23 por ciento.</t>
  </si>
  <si>
    <t>Entrevista en cabina de Ultra Noticias con el Síndico Hacendario del Ayuntamiento, Pedro Hiram Soto Márquez y el tema del presunto desvío de recursos públicos del municipio de Tulancingo. Por lo menos 4 millones de pesos de recursos públicos de Tulancingo habrían sido desviados en un esquema de entrega de apoyos sociales en efectivo. Se descubrió que los cheques eran emitidos a nombre del entonces titular de la Secretaría de Administración y Finanzas, y el dinero fue repartido con ayuda de la Secretaría Particular. Se detectaron 38 apoyos entregados a 11 domicilios, incluidos algunos de otros municipios. Algunos beneficiarios eran empleados del gobierno municipal. Negó que exista una partida especial para apoyos como lo ha declarado la alcaldesa de Tulancingo. Aseveró que confía en la Procuraduría y los órganos de justicia y es por ello que acudió a ellos y que este análisis es hasta el mes de mayo del año pasado. Señala que lo que busca es que cese este desvío y los recursos lleguen a quine de verdad lo necesita.</t>
  </si>
  <si>
    <t>Vía telefónica el reporte de Bombero y Protección Civil con Abner Yáñez informa que se atendieron diversas emergencias.</t>
  </si>
  <si>
    <t>El promedio diario de homicidios dolosos en México mostró una disminución significativa del 41% entre septiembre de 2024 y marzo de 2026, de acuerdo con datos presentados por Marcela Figueroa, secretaria ejecutiva del Sistema Nacional de Seguridad Pública, con base en información de las 32 fiscalías estatales. Durante la conferencia matutina de la presidenta Claudia Sheinbaum, se detalló que el promedio nacional pasó de 86.9 víctimas diarias en septiembre de 2024 a 51.4 en marzo de este año, lo que equivale a una reducción de 35 casos por día. En el análisis por entidades correspondiente a marzo de 2026, siete estados concentraron el 50.2% de los homicidios en el país, evidenciando una alta concentración de este delito. Entre las entidades con mayor incidencia se encuentran Guanajuato (9.2%), Chihuahua (8.3%), Baja California (8%), Morelos (6.4%), Guerrero (6.3%), Estado de México (6%) y Oaxaca (5.9%). En contraste, Hidalgo registró 18 homicidios dolosos durante marzo, lo que representa apenas el 1.1% del total nacional, colocándose entre las entidades con menor incidencia en este delito.</t>
  </si>
  <si>
    <t>Incidencia Delictiva</t>
  </si>
  <si>
    <t>Se anunció un bloqueo carretero sobre la carretera Pachuca- Ixmiquilpan a la altura de Yolotepec, esto por falta de agua desde hace varios meses. Se desconoce si ya se realiza o a qué hora iniciará.</t>
  </si>
  <si>
    <t>Al medio día e la sede de la Procuraduría General de Justicia se espera una manifestación que busca que se revise el caso de Iván. No se tiene considerado bloque carretero.</t>
  </si>
  <si>
    <t>Se esperan manifestaciones el día de hoy. Una a partir de las 10 de la mañana en la Plaza de Toros de Pachuca, esto por parte de habitantes de la comunidad de Caxuxi, se manifestarán en defensa de la tradición taurina.</t>
  </si>
  <si>
    <t>Con el acompañamiento de notarios públicos, el Gobierno del Estado de Hidalgo inició la notificación formal a los habitantes de cuatro comunidades ubicadas dentro del municipio de Tianguistengo, dentro de zonas consideradas de alto riesgo. El gobernador de Hidalgo, Julio Menchaca Salazar, explicó que estas notificaciones tienen el objetivo de dejar constancia legal de que las autoridades han advertido oportunamente a la población sobre los riesgos. Particularmente en zonas serranas y cercanas a cauces, donde ya se han registrado afectaciones graves, y hacerle saber a los habitantes sobre la necesidad de reubicarse ante los peligros que representan las lluvias y las condiciones geográficas.</t>
  </si>
  <si>
    <t>20 obras ejecutadas durante la anterior administración municipal de Santiago Tulantepec están aún sin recepcionarse hasta la fecha en diferentes colonias y comunidades del municipio. La información fue presentada por el titular de la dirección de Obras Públicas municipal, Damián Hernández Bautista, ante integrantes de la Asamblea Municipal, tras solicitud previa de los datos por parte del regidor Horacio Islas Díaz. El funcionario municipal señaló que las obras no han sido recepcionadas debido a anomalías detectadas en las metas, mala calidad de los trabajos y falta de documentación en los expedientes, principalmente.</t>
  </si>
  <si>
    <t>Municipalización</t>
  </si>
  <si>
    <t>La empresa Rubrum, presenta los resultados de la encuesta que realizó en las 31 capitales del país para conocer su evaluación al desempeño de los alcaldes, de sus oficinas municipales y de toda la estructura encargada de atender estas ciudades que son carta de presentación de cada estado. Los puntos a evaluar son: Calificación de Trabajo y Desempeño de Presidentes Municipales, Calificación de los Servicios Públicos, Calificación de Cercanía de Presidente Municipal con la población y Percepción ciudadana de Seguridad. en esta encuesta el alcalde Pachuca se encuentra en el lugar 17.</t>
  </si>
  <si>
    <t>Aprobación Alcalde</t>
  </si>
  <si>
    <t>Andrés Torres relata que durante la clausura de la Feria del Calvario y mientras la Banda Cuisillos hacía su presentación, la alcaldesa de Huichapan, Yeymi Yadira Solís Zavala, la interrumpió para dar un mensaje; lo que provocó la molesta de los asistentes y su equipo tuvo que sacarla del lugar.</t>
  </si>
  <si>
    <t>Impericia</t>
  </si>
  <si>
    <t>Se ha anunciado una jornada de vacunación contra el sarampión por parte del DIF Pachuca, ubicado en el Parque Hidalgo de Pachuca el día 16 de abril de 2026 de 09:00 a 14:00 hrs. se hará la aplicación de vacunas contra sarampión, rubéola y parotiditis (SRP) en niñas y niños</t>
  </si>
  <si>
    <t>Vacunación</t>
  </si>
  <si>
    <t>El secretario de Educación Pública de Hidalgo, Natividad Castrejón Valdez, encabezó la ceremonia de abanderamiento de la delegación que representará a la entidad en la Olimpiada Nacional CONADE 2026. El contingente, integrado por alrededor de 450 personas entre deportistas, entrenadores, delegados, jefes de misión, oficiales y jueces, competirá en 38 disciplinas, con el objetivo de poner en alto el nombre de Hidalgo en el certamen deportivo más importante del país. Durante su mensaje, el titular de la SEPH reconoció la dedicación de las y los atletas para alcanzar un óptimo nivel de preparación técnica y física, y subrayó que, bajo la visión del gobernador Julio Menchaca Salazar, el deporte se impulsa como un motor de movilidad social.</t>
  </si>
  <si>
    <t>El IMSS Bienestar Hidalgo promueve la detección oportuna de la Enfermedad Renal Crónica (ERC) como una medida fundamental para prevenir complicaciones graves y mejorar la calidad de vida de la población. Durante la atención médica en el Hospital General de Alta Especialidad IMSS Bienestar en Pachuca, el especialista en medicina interna y nefrología, doctor José Ramón Legorreta Ramírez, explicó que esta enfermedad se caracteriza por la pérdida progresiva de la función renal y puede avanzar sin causar síntomas en sus primeras etapas.</t>
  </si>
  <si>
    <t>IMSS Bienestar</t>
  </si>
  <si>
    <t>El día de hoy en Ixmiquilpan se inaugurarán las Olimpiadas infantiles y juveniles y habrá una carrera de 100 metros planos entre el alcalde de Ixmiquilpan, Emmanuel Hernández, que seguramente tiene mucho qué hacer, contra "El Alushe", uno de los Hijos del Pueblo.</t>
  </si>
  <si>
    <t>Una persona perdió la vida tras desvanecerse en la vía pública frente a una farmacia en avenida Constitución, Pachuca. Paramédicos confirmaron que ya no tenía s1gnos vitales; autoridades investigan causas.</t>
  </si>
  <si>
    <t>La noche de este martes se registró un asalto a mano armada en una tienda 3B en el municipio de Ixmiquilpan.</t>
  </si>
  <si>
    <t>Asalto A Comercio</t>
  </si>
  <si>
    <t>El Ayuntamiento de Pachuca, encabezado por el alcalde Jorge Reyes, rehabilitó el Jardín del Arte, ubicado en el centro histórico, mediante un trabajo conjunto con tiendas Oxxo, con el objetivo de reactivar este espacio como punto de encuentro ciudadano y de expresión cultural. Las acciones realizadas incluyeron limpieza integral, retiro de maleza, atención de áreas verdes, reconstrucción de bancas y mesas, así como trabajos de pintura y mejora general del entorno. Con ello, se restablecen condiciones adecuadas para su uso y se impulsa nuevamente la convivencia en uno de los espacios más representativos de la ciudad.</t>
  </si>
  <si>
    <t>En el marco del Día Nacional del Tenango, conmemorado cada 10 de abril, y del Día del Niño y la Niña, celebrado cada 30 de abril, el Congreso del Estado de Hidalgo reconoció a Malintsin Cruz Méndez y Rafael Bautista Bautista, jóvenes de Atlapexco bailarines de huapango, quienes representan con orgullo las tradiciones de Hidalgo a nivel nacional. El diputado Andrés Velázquez Vázquez, presidente de la Junta de Gobierno, aseguró que el huapango es una de sus expresiones más auténticas y vibrantes. “A través del talento infantil, vemos cómo esta herencia no solo se preserva, sino que florece con fuerza. Reconozco con profunda admiración a Malintsin y Rafael, jóvenes que nos inspiran con su talento, disciplina y amor por sus raíces. Son ejemplo de que la cultura se construye día a día con esfuerzo, dedicación y pasión”.</t>
  </si>
  <si>
    <t>Reconocimiento</t>
  </si>
  <si>
    <t>El diputado Andrés Velázquez Vázquez y la diputada Lizbeth Iraís Ordaz Islas (Morena) presentaron la iniciativa que reforma la Ley de Turismo Sustentable y la Ley de los Derechos de Niñas, Niños y Adolescentes para el Estado de Hidalgo, con el objetivo de incorporar medidas preventivas y mecanismos de verificación en los servicios de hospedaje para garantizar la integridad, seguridad y protección de dicho sector. Lo anterior, mediante la implementación de disposiciones que obliguen a dichos prestadores de servicios a corroborar que las personas adultas que ingresen acompañadas de personas menores de edad acrediten fehacientemente su calidad de madre, padre, tutor legal o su vínculo de parentesco consanguíneo.</t>
  </si>
  <si>
    <t>Como un “acto de reconstrucción”, Julio Menchaca inaugura Intervención Gráfica 4.1 Hióki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</si>
</sst>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41" tableType="queryTable" totalsRowShown="0">
  <autoFilter ref="A1:M241" xr:uid="{717AF3FA-E95C-4D17-A1C9-B8D7CBE34EF0}"/>
  <sortState xmlns:xlrd2="http://schemas.microsoft.com/office/spreadsheetml/2017/richdata2" ref="A2:M241">
    <sortCondition ref="B1:B241"/>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41"/>
  <sheetViews>
    <sheetView tabSelected="1" topLeftCell="A206" workbookViewId="0">
      <selection activeCell="B241" sqref="B241"/>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85</v>
      </c>
      <c r="C1" t="s">
        <v>86</v>
      </c>
      <c r="D1" t="s">
        <v>87</v>
      </c>
      <c r="E1" t="s">
        <v>1</v>
      </c>
      <c r="F1" t="s">
        <v>2</v>
      </c>
      <c r="G1" t="s">
        <v>4</v>
      </c>
      <c r="H1" t="s">
        <v>3</v>
      </c>
      <c r="I1" t="s">
        <v>5</v>
      </c>
      <c r="J1" t="s">
        <v>88</v>
      </c>
      <c r="K1" t="s">
        <v>89</v>
      </c>
      <c r="L1" t="s">
        <v>90</v>
      </c>
      <c r="M1" t="s">
        <v>98</v>
      </c>
    </row>
    <row r="2" spans="1:13" x14ac:dyDescent="0.25">
      <c r="A2" s="1">
        <v>46127</v>
      </c>
      <c r="B2" s="1" t="str">
        <f ca="1">IF(Información1[[#This Row],[Fecha]]='Ajuste de fechas'!$A$2,"Día actual","Día anterior")</f>
        <v>Día actual</v>
      </c>
      <c r="C2" s="3" t="s">
        <v>8</v>
      </c>
      <c r="D2" t="s">
        <v>10</v>
      </c>
      <c r="E2" s="3" t="s">
        <v>256</v>
      </c>
      <c r="F2" s="3" t="s">
        <v>6</v>
      </c>
      <c r="G2" s="3" t="s">
        <v>78</v>
      </c>
      <c r="H2" s="3" t="s">
        <v>11</v>
      </c>
      <c r="I2" s="3" t="s">
        <v>27</v>
      </c>
      <c r="J2" s="3" t="s">
        <v>91</v>
      </c>
      <c r="K2" s="3" t="s">
        <v>9</v>
      </c>
      <c r="L2" s="3" t="s">
        <v>93</v>
      </c>
      <c r="M2">
        <v>1</v>
      </c>
    </row>
    <row r="3" spans="1:13" x14ac:dyDescent="0.25">
      <c r="A3" s="1">
        <v>46127</v>
      </c>
      <c r="B3" s="1" t="str">
        <f ca="1">IF(Información1[[#This Row],[Fecha]]='Ajuste de fechas'!$A$2,"Día actual","Día anterior")</f>
        <v>Día actual</v>
      </c>
      <c r="C3" s="3" t="s">
        <v>8</v>
      </c>
      <c r="D3" t="s">
        <v>10</v>
      </c>
      <c r="E3" s="3" t="s">
        <v>257</v>
      </c>
      <c r="F3" s="3" t="s">
        <v>6</v>
      </c>
      <c r="G3" s="3" t="s">
        <v>78</v>
      </c>
      <c r="H3" s="3" t="s">
        <v>11</v>
      </c>
      <c r="I3" s="3" t="s">
        <v>27</v>
      </c>
      <c r="J3" s="3" t="s">
        <v>91</v>
      </c>
      <c r="K3" s="3" t="s">
        <v>9</v>
      </c>
      <c r="L3" s="3" t="s">
        <v>93</v>
      </c>
      <c r="M3">
        <v>1</v>
      </c>
    </row>
    <row r="4" spans="1:13" x14ac:dyDescent="0.25">
      <c r="A4" s="1">
        <v>46127</v>
      </c>
      <c r="B4" s="1" t="str">
        <f ca="1">IF(Información1[[#This Row],[Fecha]]='Ajuste de fechas'!$A$2,"Día actual","Día anterior")</f>
        <v>Día actual</v>
      </c>
      <c r="C4" s="3" t="s">
        <v>8</v>
      </c>
      <c r="D4" t="s">
        <v>10</v>
      </c>
      <c r="E4" s="3" t="s">
        <v>258</v>
      </c>
      <c r="F4" s="3" t="s">
        <v>26</v>
      </c>
      <c r="G4" s="3" t="s">
        <v>259</v>
      </c>
      <c r="H4" s="3" t="s">
        <v>11</v>
      </c>
      <c r="I4" s="3" t="s">
        <v>7</v>
      </c>
      <c r="J4" s="3" t="s">
        <v>26</v>
      </c>
      <c r="K4" s="3" t="s">
        <v>14</v>
      </c>
      <c r="L4" s="3" t="s">
        <v>92</v>
      </c>
      <c r="M4">
        <v>1</v>
      </c>
    </row>
    <row r="5" spans="1:13" x14ac:dyDescent="0.25">
      <c r="A5" s="1">
        <v>46127</v>
      </c>
      <c r="B5" s="1" t="str">
        <f ca="1">IF(Información1[[#This Row],[Fecha]]='Ajuste de fechas'!$A$2,"Día actual","Día anterior")</f>
        <v>Día actual</v>
      </c>
      <c r="C5" s="3" t="s">
        <v>8</v>
      </c>
      <c r="D5" t="s">
        <v>10</v>
      </c>
      <c r="E5" s="3" t="s">
        <v>260</v>
      </c>
      <c r="F5" s="3" t="s">
        <v>19</v>
      </c>
      <c r="G5" s="3" t="s">
        <v>81</v>
      </c>
      <c r="H5" s="3" t="s">
        <v>11</v>
      </c>
      <c r="I5" s="3" t="s">
        <v>12</v>
      </c>
      <c r="J5" s="3" t="s">
        <v>95</v>
      </c>
      <c r="K5" s="3" t="s">
        <v>14</v>
      </c>
      <c r="L5" s="3" t="s">
        <v>93</v>
      </c>
      <c r="M5">
        <v>1</v>
      </c>
    </row>
    <row r="6" spans="1:13" x14ac:dyDescent="0.25">
      <c r="A6" s="1">
        <v>46127</v>
      </c>
      <c r="B6" s="1" t="str">
        <f ca="1">IF(Información1[[#This Row],[Fecha]]='Ajuste de fechas'!$A$2,"Día actual","Día anterior")</f>
        <v>Día actual</v>
      </c>
      <c r="C6" s="3" t="s">
        <v>8</v>
      </c>
      <c r="D6" t="s">
        <v>10</v>
      </c>
      <c r="E6" s="3" t="s">
        <v>18</v>
      </c>
      <c r="F6" s="3" t="s">
        <v>19</v>
      </c>
      <c r="G6" s="3" t="s">
        <v>81</v>
      </c>
      <c r="H6" s="3" t="s">
        <v>11</v>
      </c>
      <c r="I6" s="3" t="s">
        <v>12</v>
      </c>
      <c r="J6" s="3" t="s">
        <v>95</v>
      </c>
      <c r="K6" s="3" t="s">
        <v>14</v>
      </c>
      <c r="L6" s="3" t="s">
        <v>93</v>
      </c>
      <c r="M6">
        <v>1</v>
      </c>
    </row>
    <row r="7" spans="1:13" x14ac:dyDescent="0.25">
      <c r="A7" s="1">
        <v>46127</v>
      </c>
      <c r="B7" s="1" t="str">
        <f ca="1">IF(Información1[[#This Row],[Fecha]]='Ajuste de fechas'!$A$2,"Día actual","Día anterior")</f>
        <v>Día actual</v>
      </c>
      <c r="C7" s="3" t="s">
        <v>8</v>
      </c>
      <c r="D7" t="s">
        <v>10</v>
      </c>
      <c r="E7" s="3" t="s">
        <v>72</v>
      </c>
      <c r="F7" s="3" t="s">
        <v>22</v>
      </c>
      <c r="G7" s="3" t="s">
        <v>81</v>
      </c>
      <c r="H7" s="3" t="s">
        <v>11</v>
      </c>
      <c r="I7" s="3" t="s">
        <v>12</v>
      </c>
      <c r="J7" s="3" t="s">
        <v>26</v>
      </c>
      <c r="K7" s="3" t="s">
        <v>14</v>
      </c>
      <c r="L7" s="3" t="s">
        <v>93</v>
      </c>
      <c r="M7">
        <v>1</v>
      </c>
    </row>
    <row r="8" spans="1:13" x14ac:dyDescent="0.25">
      <c r="A8" s="1">
        <v>46127</v>
      </c>
      <c r="B8" s="1" t="str">
        <f ca="1">IF(Información1[[#This Row],[Fecha]]='Ajuste de fechas'!$A$2,"Día actual","Día anterior")</f>
        <v>Día actual</v>
      </c>
      <c r="C8" s="3" t="s">
        <v>8</v>
      </c>
      <c r="D8" t="s">
        <v>10</v>
      </c>
      <c r="E8" s="3" t="s">
        <v>101</v>
      </c>
      <c r="F8" s="3" t="s">
        <v>21</v>
      </c>
      <c r="G8" s="3" t="s">
        <v>81</v>
      </c>
      <c r="H8" s="3" t="s">
        <v>11</v>
      </c>
      <c r="I8" s="3" t="s">
        <v>12</v>
      </c>
      <c r="J8" s="3" t="s">
        <v>91</v>
      </c>
      <c r="K8" s="3" t="s">
        <v>14</v>
      </c>
      <c r="L8" s="3" t="s">
        <v>93</v>
      </c>
      <c r="M8">
        <v>1</v>
      </c>
    </row>
    <row r="9" spans="1:13" x14ac:dyDescent="0.25">
      <c r="A9" s="1">
        <v>46127</v>
      </c>
      <c r="B9" s="1" t="str">
        <f ca="1">IF(Información1[[#This Row],[Fecha]]='Ajuste de fechas'!$A$2,"Día actual","Día anterior")</f>
        <v>Día actual</v>
      </c>
      <c r="C9" s="3" t="s">
        <v>8</v>
      </c>
      <c r="D9" t="s">
        <v>10</v>
      </c>
      <c r="E9" s="3" t="s">
        <v>13</v>
      </c>
      <c r="F9" s="3" t="s">
        <v>15</v>
      </c>
      <c r="G9" s="3" t="s">
        <v>81</v>
      </c>
      <c r="H9" s="3" t="s">
        <v>11</v>
      </c>
      <c r="I9" s="3" t="s">
        <v>12</v>
      </c>
      <c r="J9" s="3" t="s">
        <v>91</v>
      </c>
      <c r="K9" s="3" t="s">
        <v>14</v>
      </c>
      <c r="L9" s="3" t="s">
        <v>93</v>
      </c>
      <c r="M9">
        <v>1</v>
      </c>
    </row>
    <row r="10" spans="1:13" x14ac:dyDescent="0.25">
      <c r="A10" s="1">
        <v>46127</v>
      </c>
      <c r="B10" s="1" t="str">
        <f ca="1">IF(Información1[[#This Row],[Fecha]]='Ajuste de fechas'!$A$2,"Día actual","Día anterior")</f>
        <v>Día actual</v>
      </c>
      <c r="C10" s="3" t="s">
        <v>8</v>
      </c>
      <c r="D10" t="s">
        <v>10</v>
      </c>
      <c r="E10" s="3" t="s">
        <v>16</v>
      </c>
      <c r="F10" s="3" t="s">
        <v>17</v>
      </c>
      <c r="G10" s="3" t="s">
        <v>81</v>
      </c>
      <c r="H10" s="3" t="s">
        <v>11</v>
      </c>
      <c r="I10" s="3" t="s">
        <v>12</v>
      </c>
      <c r="J10" s="3" t="s">
        <v>91</v>
      </c>
      <c r="K10" s="3" t="s">
        <v>14</v>
      </c>
      <c r="L10" s="3" t="s">
        <v>93</v>
      </c>
      <c r="M10">
        <v>1</v>
      </c>
    </row>
    <row r="11" spans="1:13" x14ac:dyDescent="0.25">
      <c r="A11" s="1">
        <v>46127</v>
      </c>
      <c r="B11" s="1" t="str">
        <f ca="1">IF(Información1[[#This Row],[Fecha]]='Ajuste de fechas'!$A$2,"Día actual","Día anterior")</f>
        <v>Día actual</v>
      </c>
      <c r="C11" s="3" t="s">
        <v>8</v>
      </c>
      <c r="D11" t="s">
        <v>10</v>
      </c>
      <c r="E11" s="3" t="s">
        <v>84</v>
      </c>
      <c r="F11" s="3" t="s">
        <v>6</v>
      </c>
      <c r="G11" s="3" t="s">
        <v>81</v>
      </c>
      <c r="H11" s="3" t="s">
        <v>11</v>
      </c>
      <c r="I11" s="3" t="s">
        <v>12</v>
      </c>
      <c r="J11" s="3" t="s">
        <v>91</v>
      </c>
      <c r="K11" s="3" t="s">
        <v>14</v>
      </c>
      <c r="L11" s="3" t="s">
        <v>93</v>
      </c>
      <c r="M11">
        <v>1</v>
      </c>
    </row>
    <row r="12" spans="1:13" x14ac:dyDescent="0.25">
      <c r="A12" s="1">
        <v>46127</v>
      </c>
      <c r="B12" s="1" t="str">
        <f ca="1">IF(Información1[[#This Row],[Fecha]]='Ajuste de fechas'!$A$2,"Día actual","Día anterior")</f>
        <v>Día actual</v>
      </c>
      <c r="C12" s="3" t="s">
        <v>39</v>
      </c>
      <c r="D12" t="s">
        <v>41</v>
      </c>
      <c r="E12" s="3" t="s">
        <v>261</v>
      </c>
      <c r="F12" s="3" t="s">
        <v>17</v>
      </c>
      <c r="G12" s="3" t="s">
        <v>226</v>
      </c>
      <c r="H12" s="3" t="s">
        <v>11</v>
      </c>
      <c r="I12" s="3" t="s">
        <v>27</v>
      </c>
      <c r="J12" s="3" t="s">
        <v>91</v>
      </c>
      <c r="K12" s="3" t="s">
        <v>83</v>
      </c>
      <c r="L12" s="3" t="s">
        <v>93</v>
      </c>
      <c r="M12">
        <v>1</v>
      </c>
    </row>
    <row r="13" spans="1:13" x14ac:dyDescent="0.25">
      <c r="A13" s="1">
        <v>46127</v>
      </c>
      <c r="B13" s="1" t="str">
        <f ca="1">IF(Información1[[#This Row],[Fecha]]='Ajuste de fechas'!$A$2,"Día actual","Día anterior")</f>
        <v>Día actual</v>
      </c>
      <c r="C13" s="3" t="s">
        <v>39</v>
      </c>
      <c r="D13" t="s">
        <v>41</v>
      </c>
      <c r="E13" s="3" t="s">
        <v>262</v>
      </c>
      <c r="F13" s="3" t="s">
        <v>26</v>
      </c>
      <c r="G13" s="3" t="s">
        <v>226</v>
      </c>
      <c r="H13" s="3" t="s">
        <v>11</v>
      </c>
      <c r="I13" s="3" t="s">
        <v>7</v>
      </c>
      <c r="J13" s="3" t="s">
        <v>26</v>
      </c>
      <c r="K13" s="3" t="s">
        <v>83</v>
      </c>
      <c r="L13" s="3" t="s">
        <v>93</v>
      </c>
      <c r="M13">
        <v>1</v>
      </c>
    </row>
    <row r="14" spans="1:13" x14ac:dyDescent="0.25">
      <c r="A14" s="1">
        <v>46127</v>
      </c>
      <c r="B14" s="1" t="str">
        <f ca="1">IF(Información1[[#This Row],[Fecha]]='Ajuste de fechas'!$A$2,"Día actual","Día anterior")</f>
        <v>Día actual</v>
      </c>
      <c r="C14" s="3" t="s">
        <v>39</v>
      </c>
      <c r="D14" t="s">
        <v>42</v>
      </c>
      <c r="E14" s="3" t="s">
        <v>263</v>
      </c>
      <c r="F14" s="3" t="s">
        <v>28</v>
      </c>
      <c r="G14" s="3" t="s">
        <v>226</v>
      </c>
      <c r="H14" s="3" t="s">
        <v>11</v>
      </c>
      <c r="I14" s="3" t="s">
        <v>7</v>
      </c>
      <c r="J14" s="3" t="s">
        <v>91</v>
      </c>
      <c r="K14" s="3" t="s">
        <v>40</v>
      </c>
      <c r="L14" s="3" t="s">
        <v>92</v>
      </c>
      <c r="M14">
        <v>1</v>
      </c>
    </row>
    <row r="15" spans="1:13" x14ac:dyDescent="0.25">
      <c r="A15" s="1">
        <v>46127</v>
      </c>
      <c r="B15" s="1" t="str">
        <f ca="1">IF(Información1[[#This Row],[Fecha]]='Ajuste de fechas'!$A$2,"Día actual","Día anterior")</f>
        <v>Día actual</v>
      </c>
      <c r="C15" s="3" t="s">
        <v>8</v>
      </c>
      <c r="D15" t="s">
        <v>10</v>
      </c>
      <c r="E15" s="3" t="s">
        <v>264</v>
      </c>
      <c r="F15" s="3" t="s">
        <v>30</v>
      </c>
      <c r="G15" s="3" t="s">
        <v>226</v>
      </c>
      <c r="H15" s="3" t="s">
        <v>11</v>
      </c>
      <c r="I15" s="3" t="s">
        <v>27</v>
      </c>
      <c r="J15" s="3" t="s">
        <v>91</v>
      </c>
      <c r="K15" s="3" t="s">
        <v>9</v>
      </c>
      <c r="L15" s="3" t="s">
        <v>93</v>
      </c>
      <c r="M15">
        <v>1</v>
      </c>
    </row>
    <row r="16" spans="1:13" x14ac:dyDescent="0.25">
      <c r="A16" s="1">
        <v>46127</v>
      </c>
      <c r="B16" s="1" t="str">
        <f ca="1">IF(Información1[[#This Row],[Fecha]]='Ajuste de fechas'!$A$2,"Día actual","Día anterior")</f>
        <v>Día actual</v>
      </c>
      <c r="C16" s="3" t="s">
        <v>8</v>
      </c>
      <c r="D16" t="s">
        <v>10</v>
      </c>
      <c r="E16" s="3" t="s">
        <v>265</v>
      </c>
      <c r="F16" s="3" t="s">
        <v>28</v>
      </c>
      <c r="G16" s="3" t="s">
        <v>226</v>
      </c>
      <c r="H16" s="3" t="s">
        <v>11</v>
      </c>
      <c r="I16" s="3" t="s">
        <v>27</v>
      </c>
      <c r="J16" s="3" t="s">
        <v>91</v>
      </c>
      <c r="K16" s="3" t="s">
        <v>9</v>
      </c>
      <c r="L16" s="3" t="s">
        <v>93</v>
      </c>
      <c r="M16">
        <v>1</v>
      </c>
    </row>
    <row r="17" spans="1:13" x14ac:dyDescent="0.25">
      <c r="A17" s="1">
        <v>46127</v>
      </c>
      <c r="B17" s="1" t="str">
        <f ca="1">IF(Información1[[#This Row],[Fecha]]='Ajuste de fechas'!$A$2,"Día actual","Día anterior")</f>
        <v>Día actual</v>
      </c>
      <c r="C17" s="3" t="s">
        <v>8</v>
      </c>
      <c r="D17" t="s">
        <v>10</v>
      </c>
      <c r="E17" s="3" t="s">
        <v>266</v>
      </c>
      <c r="F17" s="3" t="s">
        <v>28</v>
      </c>
      <c r="G17" s="3" t="s">
        <v>226</v>
      </c>
      <c r="H17" s="3" t="s">
        <v>11</v>
      </c>
      <c r="I17" s="3" t="s">
        <v>7</v>
      </c>
      <c r="J17" s="3" t="s">
        <v>91</v>
      </c>
      <c r="K17" s="3" t="s">
        <v>14</v>
      </c>
      <c r="L17" s="3" t="s">
        <v>92</v>
      </c>
      <c r="M17">
        <v>1</v>
      </c>
    </row>
    <row r="18" spans="1:13" x14ac:dyDescent="0.25">
      <c r="A18" s="1">
        <v>46127</v>
      </c>
      <c r="B18" s="1" t="str">
        <f ca="1">IF(Información1[[#This Row],[Fecha]]='Ajuste de fechas'!$A$2,"Día actual","Día anterior")</f>
        <v>Día actual</v>
      </c>
      <c r="C18" s="3" t="s">
        <v>8</v>
      </c>
      <c r="D18" t="s">
        <v>10</v>
      </c>
      <c r="E18" s="3" t="s">
        <v>267</v>
      </c>
      <c r="F18" s="3" t="s">
        <v>19</v>
      </c>
      <c r="G18" s="3" t="s">
        <v>268</v>
      </c>
      <c r="H18" s="3" t="s">
        <v>11</v>
      </c>
      <c r="I18" s="3" t="s">
        <v>7</v>
      </c>
      <c r="J18" s="3" t="s">
        <v>95</v>
      </c>
      <c r="K18" s="3" t="s">
        <v>14</v>
      </c>
      <c r="L18" s="3" t="s">
        <v>92</v>
      </c>
      <c r="M18">
        <v>1</v>
      </c>
    </row>
    <row r="19" spans="1:13" x14ac:dyDescent="0.25">
      <c r="A19" s="1">
        <v>46127</v>
      </c>
      <c r="B19" s="1" t="str">
        <f ca="1">IF(Información1[[#This Row],[Fecha]]='Ajuste de fechas'!$A$2,"Día actual","Día anterior")</f>
        <v>Día actual</v>
      </c>
      <c r="C19" s="3" t="s">
        <v>8</v>
      </c>
      <c r="D19" t="s">
        <v>10</v>
      </c>
      <c r="E19" s="3" t="s">
        <v>269</v>
      </c>
      <c r="F19" s="3" t="s">
        <v>24</v>
      </c>
      <c r="G19" s="3" t="s">
        <v>172</v>
      </c>
      <c r="H19" s="3" t="s">
        <v>11</v>
      </c>
      <c r="I19" s="3" t="s">
        <v>7</v>
      </c>
      <c r="J19" s="3" t="s">
        <v>91</v>
      </c>
      <c r="K19" s="3" t="s">
        <v>14</v>
      </c>
      <c r="L19" s="3" t="s">
        <v>94</v>
      </c>
      <c r="M19">
        <v>1</v>
      </c>
    </row>
    <row r="20" spans="1:13" x14ac:dyDescent="0.25">
      <c r="A20" s="1">
        <v>46127</v>
      </c>
      <c r="B20" s="1" t="str">
        <f ca="1">IF(Información1[[#This Row],[Fecha]]='Ajuste de fechas'!$A$2,"Día actual","Día anterior")</f>
        <v>Día actual</v>
      </c>
      <c r="C20" s="3" t="s">
        <v>35</v>
      </c>
      <c r="D20" t="s">
        <v>37</v>
      </c>
      <c r="E20" s="3" t="s">
        <v>270</v>
      </c>
      <c r="F20" s="3" t="s">
        <v>66</v>
      </c>
      <c r="G20" s="3" t="s">
        <v>253</v>
      </c>
      <c r="H20" s="3" t="s">
        <v>11</v>
      </c>
      <c r="I20" s="3" t="s">
        <v>7</v>
      </c>
      <c r="J20" s="3" t="s">
        <v>91</v>
      </c>
      <c r="K20" s="3" t="s">
        <v>36</v>
      </c>
      <c r="L20" s="3" t="s">
        <v>94</v>
      </c>
      <c r="M20">
        <v>1</v>
      </c>
    </row>
    <row r="21" spans="1:13" x14ac:dyDescent="0.25">
      <c r="A21" s="1">
        <v>46127</v>
      </c>
      <c r="B21" s="1" t="str">
        <f ca="1">IF(Información1[[#This Row],[Fecha]]='Ajuste de fechas'!$A$2,"Día actual","Día anterior")</f>
        <v>Día actual</v>
      </c>
      <c r="C21" s="3" t="s">
        <v>8</v>
      </c>
      <c r="D21" t="s">
        <v>10</v>
      </c>
      <c r="E21" s="3" t="s">
        <v>271</v>
      </c>
      <c r="F21" s="3" t="s">
        <v>17</v>
      </c>
      <c r="G21" s="3" t="s">
        <v>272</v>
      </c>
      <c r="H21" s="3" t="s">
        <v>11</v>
      </c>
      <c r="I21" s="3" t="s">
        <v>27</v>
      </c>
      <c r="J21" s="3" t="s">
        <v>91</v>
      </c>
      <c r="K21" s="3" t="s">
        <v>14</v>
      </c>
      <c r="L21" s="3" t="s">
        <v>93</v>
      </c>
      <c r="M21">
        <v>1</v>
      </c>
    </row>
    <row r="22" spans="1:13" x14ac:dyDescent="0.25">
      <c r="A22" s="1">
        <v>46127</v>
      </c>
      <c r="B22" s="1" t="str">
        <f ca="1">IF(Información1[[#This Row],[Fecha]]='Ajuste de fechas'!$A$2,"Día actual","Día anterior")</f>
        <v>Día actual</v>
      </c>
      <c r="C22" s="3" t="s">
        <v>8</v>
      </c>
      <c r="D22" t="s">
        <v>10</v>
      </c>
      <c r="E22" s="3" t="s">
        <v>273</v>
      </c>
      <c r="F22" s="3" t="s">
        <v>17</v>
      </c>
      <c r="G22" s="3" t="s">
        <v>272</v>
      </c>
      <c r="H22" s="3" t="s">
        <v>11</v>
      </c>
      <c r="I22" s="3" t="s">
        <v>27</v>
      </c>
      <c r="J22" s="3" t="s">
        <v>91</v>
      </c>
      <c r="K22" s="3" t="s">
        <v>9</v>
      </c>
      <c r="L22" s="3" t="s">
        <v>93</v>
      </c>
      <c r="M22">
        <v>1</v>
      </c>
    </row>
    <row r="23" spans="1:13" x14ac:dyDescent="0.25">
      <c r="A23" s="1">
        <v>46127</v>
      </c>
      <c r="B23" s="1" t="str">
        <f ca="1">IF(Información1[[#This Row],[Fecha]]='Ajuste de fechas'!$A$2,"Día actual","Día anterior")</f>
        <v>Día actual</v>
      </c>
      <c r="C23" s="3" t="s">
        <v>35</v>
      </c>
      <c r="D23" t="s">
        <v>37</v>
      </c>
      <c r="E23" s="3" t="s">
        <v>274</v>
      </c>
      <c r="F23" s="3" t="s">
        <v>62</v>
      </c>
      <c r="G23" s="3" t="s">
        <v>144</v>
      </c>
      <c r="H23" s="3" t="s">
        <v>11</v>
      </c>
      <c r="I23" s="3" t="s">
        <v>7</v>
      </c>
      <c r="J23" s="3" t="s">
        <v>91</v>
      </c>
      <c r="K23" s="3" t="s">
        <v>36</v>
      </c>
      <c r="L23" s="3" t="s">
        <v>94</v>
      </c>
      <c r="M23">
        <v>1</v>
      </c>
    </row>
    <row r="24" spans="1:13" x14ac:dyDescent="0.25">
      <c r="A24" s="1">
        <v>46127</v>
      </c>
      <c r="B24" s="1" t="str">
        <f ca="1">IF(Información1[[#This Row],[Fecha]]='Ajuste de fechas'!$A$2,"Día actual","Día anterior")</f>
        <v>Día actual</v>
      </c>
      <c r="C24" s="3" t="s">
        <v>8</v>
      </c>
      <c r="D24" t="s">
        <v>10</v>
      </c>
      <c r="E24" s="3" t="s">
        <v>275</v>
      </c>
      <c r="F24" s="3" t="s">
        <v>48</v>
      </c>
      <c r="G24" s="3" t="s">
        <v>276</v>
      </c>
      <c r="H24" s="3" t="s">
        <v>11</v>
      </c>
      <c r="I24" s="3" t="s">
        <v>27</v>
      </c>
      <c r="J24" s="3" t="s">
        <v>91</v>
      </c>
      <c r="K24" s="3" t="s">
        <v>9</v>
      </c>
      <c r="L24" s="3" t="s">
        <v>92</v>
      </c>
      <c r="M24">
        <v>1</v>
      </c>
    </row>
    <row r="25" spans="1:13" x14ac:dyDescent="0.25">
      <c r="A25" s="1">
        <v>46127</v>
      </c>
      <c r="B25" s="1" t="str">
        <f ca="1">IF(Información1[[#This Row],[Fecha]]='Ajuste de fechas'!$A$2,"Día actual","Día anterior")</f>
        <v>Día actual</v>
      </c>
      <c r="C25" s="3" t="s">
        <v>39</v>
      </c>
      <c r="D25" t="s">
        <v>42</v>
      </c>
      <c r="E25" s="3" t="s">
        <v>280</v>
      </c>
      <c r="F25" s="3" t="s">
        <v>119</v>
      </c>
      <c r="G25" s="3" t="s">
        <v>281</v>
      </c>
      <c r="H25" s="3" t="s">
        <v>11</v>
      </c>
      <c r="I25" s="3" t="s">
        <v>7</v>
      </c>
      <c r="J25" s="3" t="s">
        <v>91</v>
      </c>
      <c r="K25" s="3" t="s">
        <v>40</v>
      </c>
      <c r="L25" s="3" t="s">
        <v>92</v>
      </c>
      <c r="M25">
        <v>1</v>
      </c>
    </row>
    <row r="26" spans="1:13" x14ac:dyDescent="0.25">
      <c r="A26" s="1">
        <v>46127</v>
      </c>
      <c r="B26" s="1" t="str">
        <f ca="1">IF(Información1[[#This Row],[Fecha]]='Ajuste de fechas'!$A$2,"Día actual","Día anterior")</f>
        <v>Día actual</v>
      </c>
      <c r="C26" s="3" t="s">
        <v>39</v>
      </c>
      <c r="D26" t="s">
        <v>42</v>
      </c>
      <c r="E26" s="3" t="s">
        <v>282</v>
      </c>
      <c r="F26" s="3" t="s">
        <v>25</v>
      </c>
      <c r="G26" s="3" t="s">
        <v>283</v>
      </c>
      <c r="H26" s="3" t="s">
        <v>11</v>
      </c>
      <c r="I26" s="3" t="s">
        <v>7</v>
      </c>
      <c r="J26" s="3" t="s">
        <v>91</v>
      </c>
      <c r="K26" s="3" t="s">
        <v>40</v>
      </c>
      <c r="L26" s="3" t="s">
        <v>92</v>
      </c>
      <c r="M26">
        <v>1</v>
      </c>
    </row>
    <row r="27" spans="1:13" x14ac:dyDescent="0.25">
      <c r="A27" s="1">
        <v>46127</v>
      </c>
      <c r="B27" s="1" t="str">
        <f ca="1">IF(Información1[[#This Row],[Fecha]]='Ajuste de fechas'!$A$2,"Día actual","Día anterior")</f>
        <v>Día actual</v>
      </c>
      <c r="C27" s="3" t="s">
        <v>8</v>
      </c>
      <c r="D27" t="s">
        <v>10</v>
      </c>
      <c r="E27" s="3" t="s">
        <v>284</v>
      </c>
      <c r="F27" s="3" t="s">
        <v>22</v>
      </c>
      <c r="G27" s="3" t="s">
        <v>73</v>
      </c>
      <c r="H27" s="3" t="s">
        <v>11</v>
      </c>
      <c r="I27" s="3" t="s">
        <v>7</v>
      </c>
      <c r="J27" s="3" t="s">
        <v>26</v>
      </c>
      <c r="K27" s="3" t="s">
        <v>14</v>
      </c>
      <c r="L27" s="3" t="s">
        <v>92</v>
      </c>
      <c r="M27">
        <v>1</v>
      </c>
    </row>
    <row r="28" spans="1:13" x14ac:dyDescent="0.25">
      <c r="A28" s="1">
        <v>46127</v>
      </c>
      <c r="B28" s="1" t="str">
        <f ca="1">IF(Información1[[#This Row],[Fecha]]='Ajuste de fechas'!$A$2,"Día actual","Día anterior")</f>
        <v>Día actual</v>
      </c>
      <c r="C28" s="3" t="s">
        <v>39</v>
      </c>
      <c r="D28" t="s">
        <v>41</v>
      </c>
      <c r="E28" s="3" t="s">
        <v>285</v>
      </c>
      <c r="F28" s="3" t="s">
        <v>28</v>
      </c>
      <c r="G28" s="3" t="s">
        <v>74</v>
      </c>
      <c r="H28" s="3" t="s">
        <v>11</v>
      </c>
      <c r="I28" s="3" t="s">
        <v>7</v>
      </c>
      <c r="J28" s="3" t="s">
        <v>91</v>
      </c>
      <c r="K28" s="3" t="s">
        <v>83</v>
      </c>
      <c r="L28" s="3" t="s">
        <v>94</v>
      </c>
      <c r="M28">
        <v>1</v>
      </c>
    </row>
    <row r="29" spans="1:13" x14ac:dyDescent="0.25">
      <c r="A29" s="1">
        <v>46127</v>
      </c>
      <c r="B29" s="1" t="str">
        <f ca="1">IF(Información1[[#This Row],[Fecha]]='Ajuste de fechas'!$A$2,"Día actual","Día anterior")</f>
        <v>Día actual</v>
      </c>
      <c r="C29" s="3" t="s">
        <v>39</v>
      </c>
      <c r="D29" t="s">
        <v>42</v>
      </c>
      <c r="E29" s="3" t="s">
        <v>285</v>
      </c>
      <c r="F29" s="3" t="s">
        <v>28</v>
      </c>
      <c r="G29" s="3" t="s">
        <v>74</v>
      </c>
      <c r="H29" s="3" t="s">
        <v>11</v>
      </c>
      <c r="I29" s="3" t="s">
        <v>7</v>
      </c>
      <c r="J29" s="3" t="s">
        <v>91</v>
      </c>
      <c r="K29" s="3" t="s">
        <v>40</v>
      </c>
      <c r="L29" s="3" t="s">
        <v>94</v>
      </c>
      <c r="M29">
        <v>1</v>
      </c>
    </row>
    <row r="30" spans="1:13" x14ac:dyDescent="0.25">
      <c r="A30" s="1">
        <v>46127</v>
      </c>
      <c r="B30" s="1" t="str">
        <f ca="1">IF(Información1[[#This Row],[Fecha]]='Ajuste de fechas'!$A$2,"Día actual","Día anterior")</f>
        <v>Día actual</v>
      </c>
      <c r="C30" s="3" t="s">
        <v>8</v>
      </c>
      <c r="D30" t="s">
        <v>10</v>
      </c>
      <c r="E30" s="3" t="s">
        <v>286</v>
      </c>
      <c r="F30" s="3" t="s">
        <v>28</v>
      </c>
      <c r="G30" s="3" t="s">
        <v>74</v>
      </c>
      <c r="H30" s="3" t="s">
        <v>11</v>
      </c>
      <c r="I30" s="3" t="s">
        <v>7</v>
      </c>
      <c r="J30" s="3" t="s">
        <v>91</v>
      </c>
      <c r="K30" s="3" t="s">
        <v>14</v>
      </c>
      <c r="L30" s="3" t="s">
        <v>94</v>
      </c>
      <c r="M30">
        <v>1</v>
      </c>
    </row>
    <row r="31" spans="1:13" x14ac:dyDescent="0.25">
      <c r="A31" s="1">
        <v>46127</v>
      </c>
      <c r="B31" s="1" t="str">
        <f ca="1">IF(Información1[[#This Row],[Fecha]]='Ajuste de fechas'!$A$2,"Día actual","Día anterior")</f>
        <v>Día actual</v>
      </c>
      <c r="C31" s="3" t="s">
        <v>35</v>
      </c>
      <c r="D31" t="s">
        <v>37</v>
      </c>
      <c r="E31" s="3" t="s">
        <v>287</v>
      </c>
      <c r="F31" s="3" t="s">
        <v>110</v>
      </c>
      <c r="G31" s="3" t="s">
        <v>106</v>
      </c>
      <c r="H31" s="3" t="s">
        <v>11</v>
      </c>
      <c r="I31" s="3" t="s">
        <v>7</v>
      </c>
      <c r="J31" s="3" t="s">
        <v>91</v>
      </c>
      <c r="K31" s="3" t="s">
        <v>36</v>
      </c>
      <c r="L31" s="3" t="s">
        <v>94</v>
      </c>
      <c r="M31">
        <v>1</v>
      </c>
    </row>
    <row r="32" spans="1:13" x14ac:dyDescent="0.25">
      <c r="A32" s="1">
        <v>46127</v>
      </c>
      <c r="B32" s="1" t="str">
        <f ca="1">IF(Información1[[#This Row],[Fecha]]='Ajuste de fechas'!$A$2,"Día actual","Día anterior")</f>
        <v>Día actual</v>
      </c>
      <c r="C32" s="3" t="s">
        <v>39</v>
      </c>
      <c r="D32" t="s">
        <v>41</v>
      </c>
      <c r="E32" s="3" t="s">
        <v>288</v>
      </c>
      <c r="F32" s="3" t="s">
        <v>28</v>
      </c>
      <c r="G32" s="3" t="s">
        <v>289</v>
      </c>
      <c r="H32" s="3" t="s">
        <v>11</v>
      </c>
      <c r="I32" s="3" t="s">
        <v>7</v>
      </c>
      <c r="J32" s="3" t="s">
        <v>91</v>
      </c>
      <c r="K32" s="3" t="s">
        <v>83</v>
      </c>
      <c r="L32" s="3" t="s">
        <v>92</v>
      </c>
      <c r="M32">
        <v>1</v>
      </c>
    </row>
    <row r="33" spans="1:13" x14ac:dyDescent="0.25">
      <c r="A33" s="1">
        <v>46127</v>
      </c>
      <c r="B33" s="1" t="str">
        <f ca="1">IF(Información1[[#This Row],[Fecha]]='Ajuste de fechas'!$A$2,"Día actual","Día anterior")</f>
        <v>Día actual</v>
      </c>
      <c r="C33" s="3" t="s">
        <v>39</v>
      </c>
      <c r="D33" t="s">
        <v>41</v>
      </c>
      <c r="E33" s="3" t="s">
        <v>288</v>
      </c>
      <c r="F33" s="3" t="s">
        <v>28</v>
      </c>
      <c r="G33" s="3" t="s">
        <v>289</v>
      </c>
      <c r="H33" s="3" t="s">
        <v>11</v>
      </c>
      <c r="I33" s="3" t="s">
        <v>7</v>
      </c>
      <c r="J33" s="3" t="s">
        <v>91</v>
      </c>
      <c r="K33" s="3" t="s">
        <v>83</v>
      </c>
      <c r="L33" s="3" t="s">
        <v>93</v>
      </c>
      <c r="M33">
        <v>1</v>
      </c>
    </row>
    <row r="34" spans="1:13" x14ac:dyDescent="0.25">
      <c r="A34" s="1">
        <v>46127</v>
      </c>
      <c r="B34" s="1" t="str">
        <f ca="1">IF(Información1[[#This Row],[Fecha]]='Ajuste de fechas'!$A$2,"Día actual","Día anterior")</f>
        <v>Día actual</v>
      </c>
      <c r="C34" s="3" t="s">
        <v>39</v>
      </c>
      <c r="D34" t="s">
        <v>41</v>
      </c>
      <c r="E34" s="3" t="s">
        <v>290</v>
      </c>
      <c r="F34" s="3" t="s">
        <v>26</v>
      </c>
      <c r="G34" s="3" t="s">
        <v>289</v>
      </c>
      <c r="H34" s="3" t="s">
        <v>11</v>
      </c>
      <c r="I34" s="3" t="s">
        <v>7</v>
      </c>
      <c r="J34" s="3" t="s">
        <v>26</v>
      </c>
      <c r="K34" s="3" t="s">
        <v>83</v>
      </c>
      <c r="L34" s="3" t="s">
        <v>97</v>
      </c>
      <c r="M34">
        <v>1</v>
      </c>
    </row>
    <row r="35" spans="1:13" x14ac:dyDescent="0.25">
      <c r="A35" s="1">
        <v>46127</v>
      </c>
      <c r="B35" s="1" t="str">
        <f ca="1">IF(Información1[[#This Row],[Fecha]]='Ajuste de fechas'!$A$2,"Día actual","Día anterior")</f>
        <v>Día actual</v>
      </c>
      <c r="C35" s="3" t="s">
        <v>39</v>
      </c>
      <c r="D35" t="s">
        <v>42</v>
      </c>
      <c r="E35" s="3" t="s">
        <v>200</v>
      </c>
      <c r="F35" s="3" t="s">
        <v>23</v>
      </c>
      <c r="G35" s="3" t="s">
        <v>201</v>
      </c>
      <c r="H35" s="3" t="s">
        <v>11</v>
      </c>
      <c r="I35" s="3" t="s">
        <v>7</v>
      </c>
      <c r="J35" s="3" t="s">
        <v>96</v>
      </c>
      <c r="K35" s="3" t="s">
        <v>40</v>
      </c>
      <c r="L35" s="3" t="s">
        <v>92</v>
      </c>
      <c r="M35">
        <v>1</v>
      </c>
    </row>
    <row r="36" spans="1:13" x14ac:dyDescent="0.25">
      <c r="A36" s="1">
        <v>46127</v>
      </c>
      <c r="B36" s="1" t="str">
        <f ca="1">IF(Información1[[#This Row],[Fecha]]='Ajuste de fechas'!$A$2,"Día actual","Día anterior")</f>
        <v>Día actual</v>
      </c>
      <c r="C36" s="3" t="s">
        <v>39</v>
      </c>
      <c r="D36" t="s">
        <v>42</v>
      </c>
      <c r="E36" s="3" t="s">
        <v>291</v>
      </c>
      <c r="F36" s="3" t="s">
        <v>15</v>
      </c>
      <c r="G36" s="3" t="s">
        <v>292</v>
      </c>
      <c r="H36" s="3" t="s">
        <v>11</v>
      </c>
      <c r="I36" s="3" t="s">
        <v>7</v>
      </c>
      <c r="J36" s="3" t="s">
        <v>91</v>
      </c>
      <c r="K36" s="3" t="s">
        <v>40</v>
      </c>
      <c r="L36" s="3" t="s">
        <v>94</v>
      </c>
      <c r="M36">
        <v>1</v>
      </c>
    </row>
    <row r="37" spans="1:13" x14ac:dyDescent="0.25">
      <c r="A37" s="1">
        <v>46127</v>
      </c>
      <c r="B37" s="1" t="str">
        <f ca="1">IF(Información1[[#This Row],[Fecha]]='Ajuste de fechas'!$A$2,"Día actual","Día anterior")</f>
        <v>Día actual</v>
      </c>
      <c r="C37" s="3" t="s">
        <v>8</v>
      </c>
      <c r="D37" t="s">
        <v>10</v>
      </c>
      <c r="E37" s="3" t="s">
        <v>293</v>
      </c>
      <c r="F37" s="3" t="s">
        <v>17</v>
      </c>
      <c r="G37" s="3" t="s">
        <v>111</v>
      </c>
      <c r="H37" s="3" t="s">
        <v>11</v>
      </c>
      <c r="I37" s="3" t="s">
        <v>27</v>
      </c>
      <c r="J37" s="3" t="s">
        <v>91</v>
      </c>
      <c r="K37" s="3" t="s">
        <v>9</v>
      </c>
      <c r="L37" s="3" t="s">
        <v>93</v>
      </c>
      <c r="M37">
        <v>1</v>
      </c>
    </row>
    <row r="38" spans="1:13" x14ac:dyDescent="0.25">
      <c r="A38" s="1">
        <v>46127</v>
      </c>
      <c r="B38" s="1" t="str">
        <f ca="1">IF(Información1[[#This Row],[Fecha]]='Ajuste de fechas'!$A$2,"Día actual","Día anterior")</f>
        <v>Día actual</v>
      </c>
      <c r="C38" s="3" t="s">
        <v>39</v>
      </c>
      <c r="D38" t="s">
        <v>42</v>
      </c>
      <c r="E38" s="3" t="s">
        <v>294</v>
      </c>
      <c r="F38" s="3" t="s">
        <v>23</v>
      </c>
      <c r="G38" s="3" t="s">
        <v>295</v>
      </c>
      <c r="H38" s="3" t="s">
        <v>11</v>
      </c>
      <c r="I38" s="3" t="s">
        <v>7</v>
      </c>
      <c r="J38" s="3" t="s">
        <v>96</v>
      </c>
      <c r="K38" s="3" t="s">
        <v>40</v>
      </c>
      <c r="L38" s="3" t="s">
        <v>92</v>
      </c>
      <c r="M38">
        <v>1</v>
      </c>
    </row>
    <row r="39" spans="1:13" x14ac:dyDescent="0.25">
      <c r="A39" s="1">
        <v>46127</v>
      </c>
      <c r="B39" s="1" t="str">
        <f ca="1">IF(Información1[[#This Row],[Fecha]]='Ajuste de fechas'!$A$2,"Día actual","Día anterior")</f>
        <v>Día actual</v>
      </c>
      <c r="C39" s="3" t="s">
        <v>8</v>
      </c>
      <c r="D39" t="s">
        <v>10</v>
      </c>
      <c r="E39" s="3" t="s">
        <v>296</v>
      </c>
      <c r="F39" s="3" t="s">
        <v>19</v>
      </c>
      <c r="G39" s="3" t="s">
        <v>297</v>
      </c>
      <c r="H39" s="3" t="s">
        <v>11</v>
      </c>
      <c r="I39" s="3" t="s">
        <v>7</v>
      </c>
      <c r="J39" s="3" t="s">
        <v>95</v>
      </c>
      <c r="K39" s="3" t="s">
        <v>14</v>
      </c>
      <c r="L39" s="3" t="s">
        <v>92</v>
      </c>
      <c r="M39">
        <v>1</v>
      </c>
    </row>
    <row r="40" spans="1:13" x14ac:dyDescent="0.25">
      <c r="A40" s="1">
        <v>46127</v>
      </c>
      <c r="B40" s="1" t="str">
        <f ca="1">IF(Información1[[#This Row],[Fecha]]='Ajuste de fechas'!$A$2,"Día actual","Día anterior")</f>
        <v>Día actual</v>
      </c>
      <c r="C40" s="3" t="s">
        <v>39</v>
      </c>
      <c r="D40" t="s">
        <v>41</v>
      </c>
      <c r="E40" s="3" t="s">
        <v>299</v>
      </c>
      <c r="F40" s="3" t="s">
        <v>19</v>
      </c>
      <c r="G40" s="3" t="s">
        <v>112</v>
      </c>
      <c r="H40" s="3" t="s">
        <v>11</v>
      </c>
      <c r="I40" s="3" t="s">
        <v>27</v>
      </c>
      <c r="J40" s="3" t="s">
        <v>95</v>
      </c>
      <c r="K40" s="3" t="s">
        <v>83</v>
      </c>
      <c r="L40" s="3" t="s">
        <v>92</v>
      </c>
      <c r="M40">
        <v>1</v>
      </c>
    </row>
    <row r="41" spans="1:13" x14ac:dyDescent="0.25">
      <c r="A41" s="1">
        <v>46127</v>
      </c>
      <c r="B41" s="1" t="str">
        <f ca="1">IF(Información1[[#This Row],[Fecha]]='Ajuste de fechas'!$A$2,"Día actual","Día anterior")</f>
        <v>Día actual</v>
      </c>
      <c r="C41" s="3" t="s">
        <v>39</v>
      </c>
      <c r="D41" t="s">
        <v>42</v>
      </c>
      <c r="E41" s="3" t="s">
        <v>213</v>
      </c>
      <c r="F41" s="3" t="s">
        <v>15</v>
      </c>
      <c r="G41" s="3" t="s">
        <v>300</v>
      </c>
      <c r="H41" s="3" t="s">
        <v>11</v>
      </c>
      <c r="I41" s="3" t="s">
        <v>7</v>
      </c>
      <c r="J41" s="3" t="s">
        <v>91</v>
      </c>
      <c r="K41" s="3" t="s">
        <v>40</v>
      </c>
      <c r="L41" s="3" t="s">
        <v>92</v>
      </c>
      <c r="M41">
        <v>1</v>
      </c>
    </row>
    <row r="42" spans="1:13" x14ac:dyDescent="0.25">
      <c r="A42" s="1">
        <v>46127</v>
      </c>
      <c r="B42" s="1" t="str">
        <f ca="1">IF(Información1[[#This Row],[Fecha]]='Ajuste de fechas'!$A$2,"Día actual","Día anterior")</f>
        <v>Día actual</v>
      </c>
      <c r="C42" s="3" t="s">
        <v>59</v>
      </c>
      <c r="D42" t="s">
        <v>61</v>
      </c>
      <c r="E42" s="3" t="s">
        <v>301</v>
      </c>
      <c r="F42" s="3" t="s">
        <v>38</v>
      </c>
      <c r="G42" s="3" t="s">
        <v>302</v>
      </c>
      <c r="H42" s="3" t="s">
        <v>11</v>
      </c>
      <c r="I42" s="3" t="s">
        <v>7</v>
      </c>
      <c r="J42" s="3" t="s">
        <v>91</v>
      </c>
      <c r="K42" s="3" t="s">
        <v>60</v>
      </c>
      <c r="L42" s="3" t="s">
        <v>94</v>
      </c>
      <c r="M42">
        <v>1</v>
      </c>
    </row>
    <row r="43" spans="1:13" x14ac:dyDescent="0.25">
      <c r="A43" s="1">
        <v>46127</v>
      </c>
      <c r="B43" s="1" t="str">
        <f ca="1">IF(Información1[[#This Row],[Fecha]]='Ajuste de fechas'!$A$2,"Día actual","Día anterior")</f>
        <v>Día actual</v>
      </c>
      <c r="C43" s="3" t="s">
        <v>39</v>
      </c>
      <c r="D43" t="s">
        <v>42</v>
      </c>
      <c r="E43" s="3" t="s">
        <v>303</v>
      </c>
      <c r="F43" s="3" t="s">
        <v>38</v>
      </c>
      <c r="G43" s="3" t="s">
        <v>302</v>
      </c>
      <c r="H43" s="3" t="s">
        <v>11</v>
      </c>
      <c r="I43" s="3" t="s">
        <v>7</v>
      </c>
      <c r="J43" s="3" t="s">
        <v>91</v>
      </c>
      <c r="K43" s="3" t="s">
        <v>40</v>
      </c>
      <c r="L43" s="3" t="s">
        <v>94</v>
      </c>
      <c r="M43">
        <v>1</v>
      </c>
    </row>
    <row r="44" spans="1:13" x14ac:dyDescent="0.25">
      <c r="A44" s="1">
        <v>46127</v>
      </c>
      <c r="B44" s="1" t="str">
        <f ca="1">IF(Información1[[#This Row],[Fecha]]='Ajuste de fechas'!$A$2,"Día actual","Día anterior")</f>
        <v>Día actual</v>
      </c>
      <c r="C44" s="3" t="s">
        <v>39</v>
      </c>
      <c r="D44" t="s">
        <v>41</v>
      </c>
      <c r="E44" s="3" t="s">
        <v>304</v>
      </c>
      <c r="F44" s="3" t="s">
        <v>26</v>
      </c>
      <c r="G44" s="3" t="s">
        <v>113</v>
      </c>
      <c r="H44" s="3" t="s">
        <v>11</v>
      </c>
      <c r="I44" s="3" t="s">
        <v>7</v>
      </c>
      <c r="J44" s="3" t="s">
        <v>26</v>
      </c>
      <c r="K44" s="3" t="s">
        <v>83</v>
      </c>
      <c r="L44" s="3" t="s">
        <v>92</v>
      </c>
      <c r="M44">
        <v>1</v>
      </c>
    </row>
    <row r="45" spans="1:13" x14ac:dyDescent="0.25">
      <c r="A45" s="1">
        <v>46127</v>
      </c>
      <c r="B45" s="1" t="str">
        <f ca="1">IF(Información1[[#This Row],[Fecha]]='Ajuste de fechas'!$A$2,"Día actual","Día anterior")</f>
        <v>Día actual</v>
      </c>
      <c r="C45" s="3" t="s">
        <v>39</v>
      </c>
      <c r="D45" t="s">
        <v>41</v>
      </c>
      <c r="E45" s="3" t="s">
        <v>305</v>
      </c>
      <c r="F45" s="3" t="s">
        <v>22</v>
      </c>
      <c r="G45" s="3" t="s">
        <v>113</v>
      </c>
      <c r="H45" s="3" t="s">
        <v>11</v>
      </c>
      <c r="I45" s="3" t="s">
        <v>7</v>
      </c>
      <c r="J45" s="3" t="s">
        <v>26</v>
      </c>
      <c r="K45" s="3" t="s">
        <v>83</v>
      </c>
      <c r="L45" s="3" t="s">
        <v>92</v>
      </c>
      <c r="M45">
        <v>1</v>
      </c>
    </row>
    <row r="46" spans="1:13" x14ac:dyDescent="0.25">
      <c r="A46" s="1">
        <v>46127</v>
      </c>
      <c r="B46" s="1" t="str">
        <f ca="1">IF(Información1[[#This Row],[Fecha]]='Ajuste de fechas'!$A$2,"Día actual","Día anterior")</f>
        <v>Día actual</v>
      </c>
      <c r="C46" s="3" t="s">
        <v>39</v>
      </c>
      <c r="D46" t="s">
        <v>41</v>
      </c>
      <c r="E46" s="3" t="s">
        <v>306</v>
      </c>
      <c r="F46" s="3" t="s">
        <v>19</v>
      </c>
      <c r="G46" s="3" t="s">
        <v>113</v>
      </c>
      <c r="H46" s="3" t="s">
        <v>11</v>
      </c>
      <c r="I46" s="3" t="s">
        <v>7</v>
      </c>
      <c r="J46" s="3" t="s">
        <v>95</v>
      </c>
      <c r="K46" s="3" t="s">
        <v>83</v>
      </c>
      <c r="L46" s="3" t="s">
        <v>92</v>
      </c>
      <c r="M46">
        <v>1</v>
      </c>
    </row>
    <row r="47" spans="1:13" x14ac:dyDescent="0.25">
      <c r="A47" s="1">
        <v>46127</v>
      </c>
      <c r="B47" s="1" t="str">
        <f ca="1">IF(Información1[[#This Row],[Fecha]]='Ajuste de fechas'!$A$2,"Día actual","Día anterior")</f>
        <v>Día actual</v>
      </c>
      <c r="C47" s="3" t="s">
        <v>39</v>
      </c>
      <c r="D47" t="s">
        <v>42</v>
      </c>
      <c r="E47" s="3" t="s">
        <v>307</v>
      </c>
      <c r="F47" s="3" t="s">
        <v>22</v>
      </c>
      <c r="G47" s="3" t="s">
        <v>113</v>
      </c>
      <c r="H47" s="3" t="s">
        <v>11</v>
      </c>
      <c r="I47" s="3" t="s">
        <v>7</v>
      </c>
      <c r="J47" s="3" t="s">
        <v>26</v>
      </c>
      <c r="K47" s="3" t="s">
        <v>40</v>
      </c>
      <c r="L47" s="3" t="s">
        <v>92</v>
      </c>
      <c r="M47">
        <v>1</v>
      </c>
    </row>
    <row r="48" spans="1:13" x14ac:dyDescent="0.25">
      <c r="A48" s="1">
        <v>46127</v>
      </c>
      <c r="B48" s="1" t="str">
        <f ca="1">IF(Información1[[#This Row],[Fecha]]='Ajuste de fechas'!$A$2,"Día actual","Día anterior")</f>
        <v>Día actual</v>
      </c>
      <c r="C48" s="3" t="s">
        <v>39</v>
      </c>
      <c r="D48" t="s">
        <v>42</v>
      </c>
      <c r="E48" s="3" t="s">
        <v>308</v>
      </c>
      <c r="F48" s="3" t="s">
        <v>25</v>
      </c>
      <c r="G48" s="3" t="s">
        <v>309</v>
      </c>
      <c r="H48" s="3" t="s">
        <v>11</v>
      </c>
      <c r="I48" s="3" t="s">
        <v>7</v>
      </c>
      <c r="J48" s="3" t="s">
        <v>91</v>
      </c>
      <c r="K48" s="3" t="s">
        <v>40</v>
      </c>
      <c r="L48" s="3" t="s">
        <v>92</v>
      </c>
      <c r="M48">
        <v>1</v>
      </c>
    </row>
    <row r="49" spans="1:13" x14ac:dyDescent="0.25">
      <c r="A49" s="1">
        <v>46127</v>
      </c>
      <c r="B49" s="1" t="str">
        <f ca="1">IF(Información1[[#This Row],[Fecha]]='Ajuste de fechas'!$A$2,"Día actual","Día anterior")</f>
        <v>Día actual</v>
      </c>
      <c r="C49" s="3" t="s">
        <v>39</v>
      </c>
      <c r="D49" t="s">
        <v>42</v>
      </c>
      <c r="E49" s="3" t="s">
        <v>310</v>
      </c>
      <c r="F49" s="3" t="s">
        <v>23</v>
      </c>
      <c r="G49" s="3" t="s">
        <v>221</v>
      </c>
      <c r="H49" s="3" t="s">
        <v>11</v>
      </c>
      <c r="I49" s="3" t="s">
        <v>7</v>
      </c>
      <c r="J49" s="3" t="s">
        <v>96</v>
      </c>
      <c r="K49" s="3" t="s">
        <v>40</v>
      </c>
      <c r="L49" s="3" t="s">
        <v>92</v>
      </c>
      <c r="M49">
        <v>1</v>
      </c>
    </row>
    <row r="50" spans="1:13" x14ac:dyDescent="0.25">
      <c r="A50" s="1">
        <v>46127</v>
      </c>
      <c r="B50" s="1" t="str">
        <f ca="1">IF(Información1[[#This Row],[Fecha]]='Ajuste de fechas'!$A$2,"Día actual","Día anterior")</f>
        <v>Día actual</v>
      </c>
      <c r="C50" s="3" t="s">
        <v>55</v>
      </c>
      <c r="D50" t="s">
        <v>58</v>
      </c>
      <c r="E50" s="3" t="s">
        <v>311</v>
      </c>
      <c r="F50" s="3" t="s">
        <v>23</v>
      </c>
      <c r="G50" s="3" t="s">
        <v>259</v>
      </c>
      <c r="H50" s="3" t="s">
        <v>11</v>
      </c>
      <c r="I50" s="3" t="s">
        <v>7</v>
      </c>
      <c r="J50" s="3" t="s">
        <v>96</v>
      </c>
      <c r="K50" s="3" t="s">
        <v>56</v>
      </c>
      <c r="L50" s="3" t="s">
        <v>92</v>
      </c>
      <c r="M50">
        <v>1</v>
      </c>
    </row>
    <row r="51" spans="1:13" x14ac:dyDescent="0.25">
      <c r="A51" s="1">
        <v>46127</v>
      </c>
      <c r="B51" s="1" t="str">
        <f ca="1">IF(Información1[[#This Row],[Fecha]]='Ajuste de fechas'!$A$2,"Día actual","Día anterior")</f>
        <v>Día actual</v>
      </c>
      <c r="C51" s="3" t="s">
        <v>55</v>
      </c>
      <c r="D51" t="s">
        <v>58</v>
      </c>
      <c r="E51" s="3" t="s">
        <v>312</v>
      </c>
      <c r="F51" s="3" t="s">
        <v>19</v>
      </c>
      <c r="G51" s="3" t="s">
        <v>313</v>
      </c>
      <c r="H51" s="3" t="s">
        <v>11</v>
      </c>
      <c r="I51" s="3" t="s">
        <v>7</v>
      </c>
      <c r="J51" s="3" t="s">
        <v>95</v>
      </c>
      <c r="K51" s="3" t="s">
        <v>56</v>
      </c>
      <c r="L51" s="3" t="s">
        <v>92</v>
      </c>
      <c r="M51">
        <v>1</v>
      </c>
    </row>
    <row r="52" spans="1:13" x14ac:dyDescent="0.25">
      <c r="A52" s="1">
        <v>46127</v>
      </c>
      <c r="B52" s="1" t="str">
        <f ca="1">IF(Información1[[#This Row],[Fecha]]='Ajuste de fechas'!$A$2,"Día actual","Día anterior")</f>
        <v>Día actual</v>
      </c>
      <c r="C52" s="3" t="s">
        <v>55</v>
      </c>
      <c r="D52" t="s">
        <v>58</v>
      </c>
      <c r="E52" s="3" t="s">
        <v>314</v>
      </c>
      <c r="F52" s="3" t="s">
        <v>19</v>
      </c>
      <c r="G52" s="3" t="s">
        <v>315</v>
      </c>
      <c r="H52" s="3" t="s">
        <v>11</v>
      </c>
      <c r="I52" s="3" t="s">
        <v>7</v>
      </c>
      <c r="J52" s="3" t="s">
        <v>95</v>
      </c>
      <c r="K52" s="3" t="s">
        <v>56</v>
      </c>
      <c r="L52" s="3" t="s">
        <v>92</v>
      </c>
      <c r="M52">
        <v>1</v>
      </c>
    </row>
    <row r="53" spans="1:13" x14ac:dyDescent="0.25">
      <c r="A53" s="1">
        <v>46127</v>
      </c>
      <c r="B53" s="1" t="str">
        <f ca="1">IF(Información1[[#This Row],[Fecha]]='Ajuste de fechas'!$A$2,"Día actual","Día anterior")</f>
        <v>Día actual</v>
      </c>
      <c r="C53" s="3" t="s">
        <v>55</v>
      </c>
      <c r="D53" t="s">
        <v>58</v>
      </c>
      <c r="E53" s="3" t="s">
        <v>316</v>
      </c>
      <c r="F53" s="3" t="s">
        <v>22</v>
      </c>
      <c r="G53" s="3" t="s">
        <v>113</v>
      </c>
      <c r="H53" s="3" t="s">
        <v>11</v>
      </c>
      <c r="I53" s="3" t="s">
        <v>7</v>
      </c>
      <c r="J53" s="3" t="s">
        <v>26</v>
      </c>
      <c r="K53" s="3" t="s">
        <v>56</v>
      </c>
      <c r="L53" s="3" t="s">
        <v>92</v>
      </c>
      <c r="M53">
        <v>1</v>
      </c>
    </row>
    <row r="54" spans="1:13" x14ac:dyDescent="0.25">
      <c r="A54" s="1">
        <v>46127</v>
      </c>
      <c r="B54" s="1" t="str">
        <f ca="1">IF(Información1[[#This Row],[Fecha]]='Ajuste de fechas'!$A$2,"Día actual","Día anterior")</f>
        <v>Día actual</v>
      </c>
      <c r="C54" s="3" t="s">
        <v>55</v>
      </c>
      <c r="D54" t="s">
        <v>58</v>
      </c>
      <c r="E54" s="3" t="s">
        <v>317</v>
      </c>
      <c r="F54" s="3" t="s">
        <v>22</v>
      </c>
      <c r="G54" s="3" t="s">
        <v>113</v>
      </c>
      <c r="H54" s="3" t="s">
        <v>11</v>
      </c>
      <c r="I54" s="3" t="s">
        <v>7</v>
      </c>
      <c r="J54" s="3" t="s">
        <v>26</v>
      </c>
      <c r="K54" s="3" t="s">
        <v>56</v>
      </c>
      <c r="L54" s="3" t="s">
        <v>92</v>
      </c>
      <c r="M54">
        <v>1</v>
      </c>
    </row>
    <row r="55" spans="1:13" x14ac:dyDescent="0.25">
      <c r="A55" s="1">
        <v>46127</v>
      </c>
      <c r="B55" s="1" t="str">
        <f ca="1">IF(Información1[[#This Row],[Fecha]]='Ajuste de fechas'!$A$2,"Día actual","Día anterior")</f>
        <v>Día actual</v>
      </c>
      <c r="C55" s="3" t="s">
        <v>32</v>
      </c>
      <c r="D55" t="s">
        <v>34</v>
      </c>
      <c r="E55" s="3" t="s">
        <v>318</v>
      </c>
      <c r="F55" s="3" t="s">
        <v>23</v>
      </c>
      <c r="G55" s="3" t="s">
        <v>259</v>
      </c>
      <c r="H55" s="3" t="s">
        <v>11</v>
      </c>
      <c r="I55" s="3" t="s">
        <v>7</v>
      </c>
      <c r="J55" s="3" t="s">
        <v>96</v>
      </c>
      <c r="K55" s="3" t="s">
        <v>33</v>
      </c>
      <c r="L55" s="3" t="s">
        <v>92</v>
      </c>
      <c r="M55">
        <v>1</v>
      </c>
    </row>
    <row r="56" spans="1:13" x14ac:dyDescent="0.25">
      <c r="A56" s="1">
        <v>46127</v>
      </c>
      <c r="B56" s="1" t="str">
        <f ca="1">IF(Información1[[#This Row],[Fecha]]='Ajuste de fechas'!$A$2,"Día actual","Día anterior")</f>
        <v>Día actual</v>
      </c>
      <c r="C56" s="3" t="s">
        <v>32</v>
      </c>
      <c r="D56" t="s">
        <v>34</v>
      </c>
      <c r="E56" s="3" t="s">
        <v>319</v>
      </c>
      <c r="F56" s="3" t="s">
        <v>19</v>
      </c>
      <c r="G56" s="3" t="s">
        <v>82</v>
      </c>
      <c r="H56" s="3" t="s">
        <v>11</v>
      </c>
      <c r="I56" s="3" t="s">
        <v>7</v>
      </c>
      <c r="J56" s="3" t="s">
        <v>95</v>
      </c>
      <c r="K56" s="3" t="s">
        <v>33</v>
      </c>
      <c r="L56" s="3" t="s">
        <v>92</v>
      </c>
      <c r="M56">
        <v>1</v>
      </c>
    </row>
    <row r="57" spans="1:13" x14ac:dyDescent="0.25">
      <c r="A57" s="1">
        <v>46127</v>
      </c>
      <c r="B57" s="1" t="str">
        <f ca="1">IF(Información1[[#This Row],[Fecha]]='Ajuste de fechas'!$A$2,"Día actual","Día anterior")</f>
        <v>Día actual</v>
      </c>
      <c r="C57" s="3" t="s">
        <v>32</v>
      </c>
      <c r="D57" t="s">
        <v>34</v>
      </c>
      <c r="E57" s="3" t="s">
        <v>320</v>
      </c>
      <c r="F57" s="3" t="s">
        <v>19</v>
      </c>
      <c r="G57" s="3" t="s">
        <v>321</v>
      </c>
      <c r="H57" s="3" t="s">
        <v>11</v>
      </c>
      <c r="I57" s="3" t="s">
        <v>27</v>
      </c>
      <c r="J57" s="3" t="s">
        <v>95</v>
      </c>
      <c r="K57" s="3" t="s">
        <v>33</v>
      </c>
      <c r="L57" s="3" t="s">
        <v>92</v>
      </c>
      <c r="M57">
        <v>1</v>
      </c>
    </row>
    <row r="58" spans="1:13" x14ac:dyDescent="0.25">
      <c r="A58" s="1">
        <v>46127</v>
      </c>
      <c r="B58" s="1" t="str">
        <f ca="1">IF(Información1[[#This Row],[Fecha]]='Ajuste de fechas'!$A$2,"Día actual","Día anterior")</f>
        <v>Día actual</v>
      </c>
      <c r="C58" s="3" t="s">
        <v>32</v>
      </c>
      <c r="D58" t="s">
        <v>34</v>
      </c>
      <c r="E58" s="3" t="s">
        <v>322</v>
      </c>
      <c r="F58" s="3" t="s">
        <v>22</v>
      </c>
      <c r="G58" s="3" t="s">
        <v>323</v>
      </c>
      <c r="H58" s="3" t="s">
        <v>11</v>
      </c>
      <c r="I58" s="3" t="s">
        <v>7</v>
      </c>
      <c r="J58" s="3" t="s">
        <v>26</v>
      </c>
      <c r="K58" s="3" t="s">
        <v>33</v>
      </c>
      <c r="L58" s="3" t="s">
        <v>92</v>
      </c>
      <c r="M58">
        <v>1</v>
      </c>
    </row>
    <row r="59" spans="1:13" x14ac:dyDescent="0.25">
      <c r="A59" s="1">
        <v>46127</v>
      </c>
      <c r="B59" s="1" t="str">
        <f ca="1">IF(Información1[[#This Row],[Fecha]]='Ajuste de fechas'!$A$2,"Día actual","Día anterior")</f>
        <v>Día actual</v>
      </c>
      <c r="C59" s="3" t="s">
        <v>32</v>
      </c>
      <c r="D59" t="s">
        <v>34</v>
      </c>
      <c r="E59" s="3" t="s">
        <v>324</v>
      </c>
      <c r="F59" s="3" t="s">
        <v>62</v>
      </c>
      <c r="G59" s="3" t="s">
        <v>325</v>
      </c>
      <c r="H59" s="3" t="s">
        <v>11</v>
      </c>
      <c r="I59" s="3" t="s">
        <v>7</v>
      </c>
      <c r="J59" s="3" t="s">
        <v>91</v>
      </c>
      <c r="K59" s="3" t="s">
        <v>33</v>
      </c>
      <c r="L59" s="3" t="s">
        <v>94</v>
      </c>
      <c r="M59">
        <v>1</v>
      </c>
    </row>
    <row r="60" spans="1:13" x14ac:dyDescent="0.25">
      <c r="A60" s="1">
        <v>46127</v>
      </c>
      <c r="B60" s="1" t="str">
        <f ca="1">IF(Información1[[#This Row],[Fecha]]='Ajuste de fechas'!$A$2,"Día actual","Día anterior")</f>
        <v>Día actual</v>
      </c>
      <c r="C60" s="3" t="s">
        <v>32</v>
      </c>
      <c r="D60" t="s">
        <v>34</v>
      </c>
      <c r="E60" s="3" t="s">
        <v>269</v>
      </c>
      <c r="F60" s="3" t="s">
        <v>24</v>
      </c>
      <c r="G60" s="3" t="s">
        <v>172</v>
      </c>
      <c r="H60" s="3" t="s">
        <v>11</v>
      </c>
      <c r="I60" s="3" t="s">
        <v>7</v>
      </c>
      <c r="J60" s="3" t="s">
        <v>91</v>
      </c>
      <c r="K60" s="3" t="s">
        <v>33</v>
      </c>
      <c r="L60" s="3" t="s">
        <v>94</v>
      </c>
      <c r="M60">
        <v>1</v>
      </c>
    </row>
    <row r="61" spans="1:13" x14ac:dyDescent="0.25">
      <c r="A61" s="1">
        <v>46127</v>
      </c>
      <c r="B61" s="1" t="str">
        <f ca="1">IF(Información1[[#This Row],[Fecha]]='Ajuste de fechas'!$A$2,"Día actual","Día anterior")</f>
        <v>Día actual</v>
      </c>
      <c r="C61" s="3" t="s">
        <v>32</v>
      </c>
      <c r="D61" t="s">
        <v>34</v>
      </c>
      <c r="E61" s="3" t="s">
        <v>326</v>
      </c>
      <c r="F61" s="3" t="s">
        <v>15</v>
      </c>
      <c r="G61" s="3" t="s">
        <v>115</v>
      </c>
      <c r="H61" s="3" t="s">
        <v>11</v>
      </c>
      <c r="I61" s="3" t="s">
        <v>12</v>
      </c>
      <c r="J61" s="3" t="s">
        <v>91</v>
      </c>
      <c r="K61" s="3" t="s">
        <v>33</v>
      </c>
      <c r="L61" s="3" t="s">
        <v>203</v>
      </c>
      <c r="M61">
        <v>1</v>
      </c>
    </row>
    <row r="62" spans="1:13" x14ac:dyDescent="0.25">
      <c r="A62" s="1">
        <v>46127</v>
      </c>
      <c r="B62" s="1" t="str">
        <f ca="1">IF(Información1[[#This Row],[Fecha]]='Ajuste de fechas'!$A$2,"Día actual","Día anterior")</f>
        <v>Día actual</v>
      </c>
      <c r="C62" s="3" t="s">
        <v>32</v>
      </c>
      <c r="D62" t="s">
        <v>34</v>
      </c>
      <c r="E62" s="3" t="s">
        <v>327</v>
      </c>
      <c r="F62" s="3" t="s">
        <v>53</v>
      </c>
      <c r="G62" s="3" t="s">
        <v>255</v>
      </c>
      <c r="H62" s="3" t="s">
        <v>11</v>
      </c>
      <c r="I62" s="3" t="s">
        <v>7</v>
      </c>
      <c r="J62" s="3" t="s">
        <v>91</v>
      </c>
      <c r="K62" s="3" t="s">
        <v>33</v>
      </c>
      <c r="L62" s="3" t="s">
        <v>94</v>
      </c>
      <c r="M62">
        <v>1</v>
      </c>
    </row>
    <row r="63" spans="1:13" x14ac:dyDescent="0.25">
      <c r="A63" s="1">
        <v>46127</v>
      </c>
      <c r="B63" s="1" t="str">
        <f ca="1">IF(Información1[[#This Row],[Fecha]]='Ajuste de fechas'!$A$2,"Día actual","Día anterior")</f>
        <v>Día actual</v>
      </c>
      <c r="C63" s="3" t="s">
        <v>32</v>
      </c>
      <c r="D63" t="s">
        <v>34</v>
      </c>
      <c r="E63" s="3" t="s">
        <v>328</v>
      </c>
      <c r="F63" s="3" t="s">
        <v>28</v>
      </c>
      <c r="G63" s="3" t="s">
        <v>74</v>
      </c>
      <c r="H63" s="3" t="s">
        <v>11</v>
      </c>
      <c r="I63" s="3" t="s">
        <v>7</v>
      </c>
      <c r="J63" s="3" t="s">
        <v>91</v>
      </c>
      <c r="K63" s="3" t="s">
        <v>33</v>
      </c>
      <c r="L63" s="3" t="s">
        <v>94</v>
      </c>
      <c r="M63">
        <v>1</v>
      </c>
    </row>
    <row r="64" spans="1:13" x14ac:dyDescent="0.25">
      <c r="A64" s="1">
        <v>46127</v>
      </c>
      <c r="B64" s="1" t="str">
        <f ca="1">IF(Información1[[#This Row],[Fecha]]='Ajuste de fechas'!$A$2,"Día actual","Día anterior")</f>
        <v>Día actual</v>
      </c>
      <c r="C64" s="3" t="s">
        <v>55</v>
      </c>
      <c r="D64" t="s">
        <v>329</v>
      </c>
      <c r="E64" s="3" t="s">
        <v>330</v>
      </c>
      <c r="F64" s="3" t="s">
        <v>23</v>
      </c>
      <c r="G64" s="3" t="s">
        <v>331</v>
      </c>
      <c r="H64" s="3" t="s">
        <v>11</v>
      </c>
      <c r="I64" s="3" t="s">
        <v>7</v>
      </c>
      <c r="J64" s="3" t="s">
        <v>96</v>
      </c>
      <c r="K64" s="3" t="s">
        <v>332</v>
      </c>
      <c r="L64" s="3" t="s">
        <v>93</v>
      </c>
      <c r="M64">
        <v>1</v>
      </c>
    </row>
    <row r="65" spans="1:13" x14ac:dyDescent="0.25">
      <c r="A65" s="1">
        <v>46127</v>
      </c>
      <c r="B65" s="1" t="str">
        <f ca="1">IF(Información1[[#This Row],[Fecha]]='Ajuste de fechas'!$A$2,"Día actual","Día anterior")</f>
        <v>Día actual</v>
      </c>
      <c r="C65" s="3" t="s">
        <v>55</v>
      </c>
      <c r="D65" t="s">
        <v>329</v>
      </c>
      <c r="E65" s="3" t="s">
        <v>333</v>
      </c>
      <c r="F65" s="3" t="s">
        <v>23</v>
      </c>
      <c r="G65" s="3" t="s">
        <v>221</v>
      </c>
      <c r="H65" s="3" t="s">
        <v>11</v>
      </c>
      <c r="I65" s="3" t="s">
        <v>7</v>
      </c>
      <c r="J65" s="3" t="s">
        <v>96</v>
      </c>
      <c r="K65" s="3" t="s">
        <v>332</v>
      </c>
      <c r="L65" s="3" t="s">
        <v>93</v>
      </c>
      <c r="M65">
        <v>1</v>
      </c>
    </row>
    <row r="66" spans="1:13" x14ac:dyDescent="0.25">
      <c r="A66" s="1">
        <v>46127</v>
      </c>
      <c r="B66" s="1" t="str">
        <f ca="1">IF(Información1[[#This Row],[Fecha]]='Ajuste de fechas'!$A$2,"Día actual","Día anterior")</f>
        <v>Día actual</v>
      </c>
      <c r="C66" s="3" t="s">
        <v>55</v>
      </c>
      <c r="D66" t="s">
        <v>329</v>
      </c>
      <c r="E66" s="3" t="s">
        <v>334</v>
      </c>
      <c r="F66" s="3" t="s">
        <v>23</v>
      </c>
      <c r="G66" s="3" t="s">
        <v>335</v>
      </c>
      <c r="H66" s="3" t="s">
        <v>11</v>
      </c>
      <c r="I66" s="3" t="s">
        <v>12</v>
      </c>
      <c r="J66" s="3" t="s">
        <v>96</v>
      </c>
      <c r="K66" s="3" t="s">
        <v>332</v>
      </c>
      <c r="L66" s="3" t="s">
        <v>93</v>
      </c>
      <c r="M66">
        <v>1</v>
      </c>
    </row>
    <row r="67" spans="1:13" x14ac:dyDescent="0.25">
      <c r="A67" s="1">
        <v>46127</v>
      </c>
      <c r="B67" s="1" t="str">
        <f ca="1">IF(Información1[[#This Row],[Fecha]]='Ajuste de fechas'!$A$2,"Día actual","Día anterior")</f>
        <v>Día actual</v>
      </c>
      <c r="C67" s="3" t="s">
        <v>55</v>
      </c>
      <c r="D67" t="s">
        <v>329</v>
      </c>
      <c r="E67" s="3" t="s">
        <v>336</v>
      </c>
      <c r="F67" s="3" t="s">
        <v>19</v>
      </c>
      <c r="G67" s="3" t="s">
        <v>331</v>
      </c>
      <c r="H67" s="3" t="s">
        <v>11</v>
      </c>
      <c r="I67" s="3" t="s">
        <v>7</v>
      </c>
      <c r="J67" s="3" t="s">
        <v>95</v>
      </c>
      <c r="K67" s="3" t="s">
        <v>56</v>
      </c>
      <c r="L67" s="3" t="s">
        <v>92</v>
      </c>
      <c r="M67">
        <v>1</v>
      </c>
    </row>
    <row r="68" spans="1:13" x14ac:dyDescent="0.25">
      <c r="A68" s="1">
        <v>46127</v>
      </c>
      <c r="B68" s="1" t="str">
        <f ca="1">IF(Información1[[#This Row],[Fecha]]='Ajuste de fechas'!$A$2,"Día actual","Día anterior")</f>
        <v>Día actual</v>
      </c>
      <c r="C68" s="3" t="s">
        <v>55</v>
      </c>
      <c r="D68" t="s">
        <v>329</v>
      </c>
      <c r="E68" s="3" t="s">
        <v>337</v>
      </c>
      <c r="F68" s="3" t="s">
        <v>19</v>
      </c>
      <c r="G68" s="3" t="s">
        <v>331</v>
      </c>
      <c r="H68" s="3" t="s">
        <v>11</v>
      </c>
      <c r="I68" s="3" t="s">
        <v>27</v>
      </c>
      <c r="J68" s="3" t="s">
        <v>95</v>
      </c>
      <c r="K68" s="3" t="s">
        <v>56</v>
      </c>
      <c r="L68" s="3" t="s">
        <v>92</v>
      </c>
      <c r="M68">
        <v>1</v>
      </c>
    </row>
    <row r="69" spans="1:13" x14ac:dyDescent="0.25">
      <c r="A69" s="1">
        <v>46127</v>
      </c>
      <c r="B69" s="1" t="str">
        <f ca="1">IF(Información1[[#This Row],[Fecha]]='Ajuste de fechas'!$A$2,"Día actual","Día anterior")</f>
        <v>Día actual</v>
      </c>
      <c r="C69" s="3" t="s">
        <v>55</v>
      </c>
      <c r="D69" t="s">
        <v>329</v>
      </c>
      <c r="E69" s="3" t="s">
        <v>338</v>
      </c>
      <c r="F69" s="3" t="s">
        <v>19</v>
      </c>
      <c r="G69" s="3" t="s">
        <v>115</v>
      </c>
      <c r="H69" s="3" t="s">
        <v>11</v>
      </c>
      <c r="I69" s="3" t="s">
        <v>7</v>
      </c>
      <c r="J69" s="3" t="s">
        <v>95</v>
      </c>
      <c r="K69" s="3" t="s">
        <v>56</v>
      </c>
      <c r="L69" s="3" t="s">
        <v>92</v>
      </c>
      <c r="M69">
        <v>1</v>
      </c>
    </row>
    <row r="70" spans="1:13" x14ac:dyDescent="0.25">
      <c r="A70" s="1">
        <v>46127</v>
      </c>
      <c r="B70" s="1" t="str">
        <f ca="1">IF(Información1[[#This Row],[Fecha]]='Ajuste de fechas'!$A$2,"Día actual","Día anterior")</f>
        <v>Día actual</v>
      </c>
      <c r="C70" s="3" t="s">
        <v>55</v>
      </c>
      <c r="D70" t="s">
        <v>329</v>
      </c>
      <c r="E70" s="3" t="s">
        <v>339</v>
      </c>
      <c r="F70" s="3" t="s">
        <v>19</v>
      </c>
      <c r="G70" s="3" t="s">
        <v>172</v>
      </c>
      <c r="H70" s="3" t="s">
        <v>11</v>
      </c>
      <c r="I70" s="3" t="s">
        <v>7</v>
      </c>
      <c r="J70" s="3" t="s">
        <v>95</v>
      </c>
      <c r="K70" s="3" t="s">
        <v>44</v>
      </c>
      <c r="L70" s="3" t="s">
        <v>92</v>
      </c>
      <c r="M70">
        <v>1</v>
      </c>
    </row>
    <row r="71" spans="1:13" x14ac:dyDescent="0.25">
      <c r="A71" s="1">
        <v>46127</v>
      </c>
      <c r="B71" s="1" t="str">
        <f ca="1">IF(Información1[[#This Row],[Fecha]]='Ajuste de fechas'!$A$2,"Día actual","Día anterior")</f>
        <v>Día actual</v>
      </c>
      <c r="C71" s="3" t="s">
        <v>55</v>
      </c>
      <c r="D71" t="s">
        <v>329</v>
      </c>
      <c r="E71" s="3" t="s">
        <v>340</v>
      </c>
      <c r="F71" s="3" t="s">
        <v>21</v>
      </c>
      <c r="G71" s="3" t="s">
        <v>122</v>
      </c>
      <c r="H71" s="3" t="s">
        <v>11</v>
      </c>
      <c r="I71" s="3" t="s">
        <v>27</v>
      </c>
      <c r="J71" s="3" t="s">
        <v>91</v>
      </c>
      <c r="K71" s="3" t="s">
        <v>332</v>
      </c>
      <c r="L71" s="3" t="s">
        <v>93</v>
      </c>
      <c r="M71">
        <v>1</v>
      </c>
    </row>
    <row r="72" spans="1:13" x14ac:dyDescent="0.25">
      <c r="A72" s="1">
        <v>46127</v>
      </c>
      <c r="B72" s="1" t="str">
        <f ca="1">IF(Información1[[#This Row],[Fecha]]='Ajuste de fechas'!$A$2,"Día actual","Día anterior")</f>
        <v>Día actual</v>
      </c>
      <c r="C72" s="3" t="s">
        <v>55</v>
      </c>
      <c r="D72" t="s">
        <v>329</v>
      </c>
      <c r="E72" s="3" t="s">
        <v>326</v>
      </c>
      <c r="F72" s="3" t="s">
        <v>15</v>
      </c>
      <c r="G72" s="3" t="s">
        <v>115</v>
      </c>
      <c r="H72" s="3" t="s">
        <v>11</v>
      </c>
      <c r="I72" s="3" t="s">
        <v>12</v>
      </c>
      <c r="J72" s="3" t="s">
        <v>91</v>
      </c>
      <c r="K72" s="3" t="s">
        <v>44</v>
      </c>
      <c r="L72" s="3" t="s">
        <v>203</v>
      </c>
      <c r="M72">
        <v>1</v>
      </c>
    </row>
    <row r="73" spans="1:13" x14ac:dyDescent="0.25">
      <c r="A73" s="1">
        <v>46127</v>
      </c>
      <c r="B73" s="1" t="str">
        <f ca="1">IF(Información1[[#This Row],[Fecha]]='Ajuste de fechas'!$A$2,"Día actual","Día anterior")</f>
        <v>Día actual</v>
      </c>
      <c r="C73" s="3" t="s">
        <v>55</v>
      </c>
      <c r="D73" t="s">
        <v>329</v>
      </c>
      <c r="E73" s="3" t="s">
        <v>341</v>
      </c>
      <c r="F73" s="3" t="s">
        <v>21</v>
      </c>
      <c r="G73" s="3" t="s">
        <v>342</v>
      </c>
      <c r="H73" s="3" t="s">
        <v>11</v>
      </c>
      <c r="I73" s="3" t="s">
        <v>7</v>
      </c>
      <c r="J73" s="3" t="s">
        <v>91</v>
      </c>
      <c r="K73" s="3" t="s">
        <v>343</v>
      </c>
      <c r="L73" s="3" t="s">
        <v>93</v>
      </c>
      <c r="M73">
        <v>1</v>
      </c>
    </row>
    <row r="74" spans="1:13" x14ac:dyDescent="0.25">
      <c r="A74" s="1">
        <v>46127</v>
      </c>
      <c r="B74" s="1" t="str">
        <f ca="1">IF(Información1[[#This Row],[Fecha]]='Ajuste de fechas'!$A$2,"Día actual","Día anterior")</f>
        <v>Día actual</v>
      </c>
      <c r="C74" s="3" t="s">
        <v>55</v>
      </c>
      <c r="D74" t="s">
        <v>329</v>
      </c>
      <c r="E74" s="3" t="s">
        <v>334</v>
      </c>
      <c r="F74" s="3" t="s">
        <v>30</v>
      </c>
      <c r="G74" s="3" t="s">
        <v>335</v>
      </c>
      <c r="H74" s="3" t="s">
        <v>11</v>
      </c>
      <c r="I74" s="3" t="s">
        <v>12</v>
      </c>
      <c r="J74" s="3" t="s">
        <v>91</v>
      </c>
      <c r="K74" s="3" t="s">
        <v>332</v>
      </c>
      <c r="L74" s="3" t="s">
        <v>93</v>
      </c>
      <c r="M74">
        <v>1</v>
      </c>
    </row>
    <row r="75" spans="1:13" x14ac:dyDescent="0.25">
      <c r="A75" s="1">
        <v>46127</v>
      </c>
      <c r="B75" s="1" t="str">
        <f ca="1">IF(Información1[[#This Row],[Fecha]]='Ajuste de fechas'!$A$2,"Día actual","Día anterior")</f>
        <v>Día actual</v>
      </c>
      <c r="C75" s="3" t="s">
        <v>55</v>
      </c>
      <c r="D75" t="s">
        <v>329</v>
      </c>
      <c r="E75" s="3" t="s">
        <v>269</v>
      </c>
      <c r="F75" s="3" t="s">
        <v>24</v>
      </c>
      <c r="G75" s="3" t="s">
        <v>172</v>
      </c>
      <c r="H75" s="3" t="s">
        <v>11</v>
      </c>
      <c r="I75" s="3" t="s">
        <v>7</v>
      </c>
      <c r="J75" s="3" t="s">
        <v>91</v>
      </c>
      <c r="K75" s="3" t="s">
        <v>44</v>
      </c>
      <c r="L75" s="3" t="s">
        <v>94</v>
      </c>
      <c r="M75">
        <v>1</v>
      </c>
    </row>
    <row r="76" spans="1:13" x14ac:dyDescent="0.25">
      <c r="A76" s="1">
        <v>46127</v>
      </c>
      <c r="B76" s="1" t="str">
        <f ca="1">IF(Información1[[#This Row],[Fecha]]='Ajuste de fechas'!$A$2,"Día actual","Día anterior")</f>
        <v>Día actual</v>
      </c>
      <c r="C76" s="3" t="s">
        <v>55</v>
      </c>
      <c r="D76" t="s">
        <v>329</v>
      </c>
      <c r="E76" s="3" t="s">
        <v>301</v>
      </c>
      <c r="F76" s="3" t="s">
        <v>38</v>
      </c>
      <c r="G76" s="3" t="s">
        <v>302</v>
      </c>
      <c r="H76" s="3" t="s">
        <v>11</v>
      </c>
      <c r="I76" s="3" t="s">
        <v>7</v>
      </c>
      <c r="J76" s="3" t="s">
        <v>91</v>
      </c>
      <c r="K76" s="3" t="s">
        <v>44</v>
      </c>
      <c r="L76" s="3" t="s">
        <v>94</v>
      </c>
      <c r="M76">
        <v>1</v>
      </c>
    </row>
    <row r="77" spans="1:13" x14ac:dyDescent="0.25">
      <c r="A77" s="1">
        <v>46127</v>
      </c>
      <c r="B77" s="1" t="str">
        <f ca="1">IF(Información1[[#This Row],[Fecha]]='Ajuste de fechas'!$A$2,"Día actual","Día anterior")</f>
        <v>Día actual</v>
      </c>
      <c r="C77" s="3" t="s">
        <v>55</v>
      </c>
      <c r="D77" t="s">
        <v>329</v>
      </c>
      <c r="E77" s="3" t="s">
        <v>328</v>
      </c>
      <c r="F77" s="3" t="s">
        <v>28</v>
      </c>
      <c r="G77" s="3" t="s">
        <v>74</v>
      </c>
      <c r="H77" s="3" t="s">
        <v>11</v>
      </c>
      <c r="I77" s="3" t="s">
        <v>7</v>
      </c>
      <c r="J77" s="3" t="s">
        <v>91</v>
      </c>
      <c r="K77" s="3" t="s">
        <v>44</v>
      </c>
      <c r="L77" s="3" t="s">
        <v>94</v>
      </c>
      <c r="M77">
        <v>1</v>
      </c>
    </row>
    <row r="78" spans="1:13" x14ac:dyDescent="0.25">
      <c r="A78" s="1">
        <v>46127</v>
      </c>
      <c r="B78" s="1" t="str">
        <f ca="1">IF(Información1[[#This Row],[Fecha]]='Ajuste de fechas'!$A$2,"Día actual","Día anterior")</f>
        <v>Día actual</v>
      </c>
      <c r="C78" s="3" t="s">
        <v>344</v>
      </c>
      <c r="D78" t="s">
        <v>345</v>
      </c>
      <c r="E78" s="3" t="s">
        <v>346</v>
      </c>
      <c r="F78" s="3" t="s">
        <v>15</v>
      </c>
      <c r="G78" s="3" t="s">
        <v>115</v>
      </c>
      <c r="H78" s="3" t="s">
        <v>46</v>
      </c>
      <c r="I78" s="3" t="s">
        <v>7</v>
      </c>
      <c r="J78" s="3" t="s">
        <v>91</v>
      </c>
      <c r="K78" s="3" t="s">
        <v>347</v>
      </c>
      <c r="L78" s="3" t="s">
        <v>203</v>
      </c>
      <c r="M78">
        <v>1</v>
      </c>
    </row>
    <row r="79" spans="1:13" x14ac:dyDescent="0.25">
      <c r="A79" s="1">
        <v>46127</v>
      </c>
      <c r="B79" s="1" t="str">
        <f ca="1">IF(Información1[[#This Row],[Fecha]]='Ajuste de fechas'!$A$2,"Día actual","Día anterior")</f>
        <v>Día actual</v>
      </c>
      <c r="C79" s="3" t="s">
        <v>63</v>
      </c>
      <c r="D79" t="s">
        <v>64</v>
      </c>
      <c r="E79" s="3" t="s">
        <v>370</v>
      </c>
      <c r="F79" s="3" t="s">
        <v>19</v>
      </c>
      <c r="G79" s="3" t="s">
        <v>76</v>
      </c>
      <c r="H79" s="3" t="s">
        <v>11</v>
      </c>
      <c r="I79" s="3" t="s">
        <v>7</v>
      </c>
      <c r="J79" s="3" t="s">
        <v>95</v>
      </c>
      <c r="K79" s="3" t="s">
        <v>65</v>
      </c>
      <c r="L79" s="3" t="s">
        <v>92</v>
      </c>
      <c r="M79">
        <v>1</v>
      </c>
    </row>
    <row r="80" spans="1:13" x14ac:dyDescent="0.25">
      <c r="A80" s="1">
        <v>46127</v>
      </c>
      <c r="B80" s="1" t="str">
        <f ca="1">IF(Información1[[#This Row],[Fecha]]='Ajuste de fechas'!$A$2,"Día actual","Día anterior")</f>
        <v>Día actual</v>
      </c>
      <c r="C80" s="3" t="s">
        <v>63</v>
      </c>
      <c r="D80" t="s">
        <v>64</v>
      </c>
      <c r="E80" s="3" t="s">
        <v>360</v>
      </c>
      <c r="F80" s="3" t="s">
        <v>19</v>
      </c>
      <c r="G80" s="3" t="s">
        <v>80</v>
      </c>
      <c r="H80" s="3" t="s">
        <v>11</v>
      </c>
      <c r="I80" s="3" t="s">
        <v>7</v>
      </c>
      <c r="J80" s="3" t="s">
        <v>95</v>
      </c>
      <c r="K80" s="3" t="s">
        <v>65</v>
      </c>
      <c r="L80" s="3" t="s">
        <v>92</v>
      </c>
      <c r="M80">
        <v>1</v>
      </c>
    </row>
    <row r="81" spans="1:13" x14ac:dyDescent="0.25">
      <c r="A81" s="1">
        <v>46127</v>
      </c>
      <c r="B81" s="1" t="str">
        <f ca="1">IF(Información1[[#This Row],[Fecha]]='Ajuste de fechas'!$A$2,"Día actual","Día anterior")</f>
        <v>Día actual</v>
      </c>
      <c r="C81" s="3" t="s">
        <v>63</v>
      </c>
      <c r="D81" t="s">
        <v>64</v>
      </c>
      <c r="E81" s="3" t="s">
        <v>371</v>
      </c>
      <c r="F81" s="3" t="s">
        <v>372</v>
      </c>
      <c r="G81" s="3" t="s">
        <v>373</v>
      </c>
      <c r="H81" s="3" t="s">
        <v>11</v>
      </c>
      <c r="I81" s="3" t="s">
        <v>7</v>
      </c>
      <c r="J81" s="3" t="s">
        <v>374</v>
      </c>
      <c r="K81" s="3" t="s">
        <v>65</v>
      </c>
      <c r="L81" s="3" t="s">
        <v>92</v>
      </c>
      <c r="M81">
        <v>1</v>
      </c>
    </row>
    <row r="82" spans="1:13" x14ac:dyDescent="0.25">
      <c r="A82" s="1">
        <v>46127</v>
      </c>
      <c r="B82" s="1" t="str">
        <f ca="1">IF(Información1[[#This Row],[Fecha]]='Ajuste de fechas'!$A$2,"Día actual","Día anterior")</f>
        <v>Día actual</v>
      </c>
      <c r="C82" s="3" t="s">
        <v>63</v>
      </c>
      <c r="D82" t="s">
        <v>64</v>
      </c>
      <c r="E82" s="3" t="s">
        <v>375</v>
      </c>
      <c r="F82" s="3" t="s">
        <v>21</v>
      </c>
      <c r="G82" s="3" t="s">
        <v>376</v>
      </c>
      <c r="H82" s="3" t="s">
        <v>11</v>
      </c>
      <c r="I82" s="3" t="s">
        <v>7</v>
      </c>
      <c r="J82" s="3" t="s">
        <v>91</v>
      </c>
      <c r="K82" s="3" t="s">
        <v>65</v>
      </c>
      <c r="L82" s="3" t="s">
        <v>94</v>
      </c>
      <c r="M82">
        <v>1</v>
      </c>
    </row>
    <row r="83" spans="1:13" x14ac:dyDescent="0.25">
      <c r="A83" s="1">
        <v>46127</v>
      </c>
      <c r="B83" s="1" t="str">
        <f ca="1">IF(Información1[[#This Row],[Fecha]]='Ajuste de fechas'!$A$2,"Día actual","Día anterior")</f>
        <v>Día actual</v>
      </c>
      <c r="C83" s="3" t="s">
        <v>63</v>
      </c>
      <c r="D83" t="s">
        <v>64</v>
      </c>
      <c r="E83" s="3" t="s">
        <v>377</v>
      </c>
      <c r="F83" s="3" t="s">
        <v>19</v>
      </c>
      <c r="G83" s="3" t="s">
        <v>315</v>
      </c>
      <c r="H83" s="3" t="s">
        <v>11</v>
      </c>
      <c r="I83" s="3" t="s">
        <v>7</v>
      </c>
      <c r="J83" s="3" t="s">
        <v>95</v>
      </c>
      <c r="K83" s="3" t="s">
        <v>65</v>
      </c>
      <c r="L83" s="3" t="s">
        <v>92</v>
      </c>
      <c r="M83">
        <v>1</v>
      </c>
    </row>
    <row r="84" spans="1:13" x14ac:dyDescent="0.25">
      <c r="A84" s="1">
        <v>46127</v>
      </c>
      <c r="B84" s="1" t="str">
        <f ca="1">IF(Información1[[#This Row],[Fecha]]='Ajuste de fechas'!$A$2,"Día actual","Día anterior")</f>
        <v>Día actual</v>
      </c>
      <c r="C84" s="3" t="s">
        <v>63</v>
      </c>
      <c r="D84" t="s">
        <v>64</v>
      </c>
      <c r="E84" s="3" t="s">
        <v>378</v>
      </c>
      <c r="F84" s="3" t="s">
        <v>19</v>
      </c>
      <c r="G84" s="3" t="s">
        <v>144</v>
      </c>
      <c r="H84" s="3" t="s">
        <v>11</v>
      </c>
      <c r="I84" s="3" t="s">
        <v>7</v>
      </c>
      <c r="J84" s="3" t="s">
        <v>95</v>
      </c>
      <c r="K84" s="3" t="s">
        <v>65</v>
      </c>
      <c r="L84" s="3" t="s">
        <v>92</v>
      </c>
      <c r="M84">
        <v>1</v>
      </c>
    </row>
    <row r="85" spans="1:13" x14ac:dyDescent="0.25">
      <c r="A85" s="1">
        <v>46127</v>
      </c>
      <c r="B85" s="1" t="str">
        <f ca="1">IF(Información1[[#This Row],[Fecha]]='Ajuste de fechas'!$A$2,"Día actual","Día anterior")</f>
        <v>Día actual</v>
      </c>
      <c r="C85" s="3" t="s">
        <v>63</v>
      </c>
      <c r="D85" t="s">
        <v>64</v>
      </c>
      <c r="E85" s="3" t="s">
        <v>379</v>
      </c>
      <c r="F85" s="3" t="s">
        <v>15</v>
      </c>
      <c r="G85" s="3" t="s">
        <v>380</v>
      </c>
      <c r="H85" s="3" t="s">
        <v>11</v>
      </c>
      <c r="I85" s="3" t="s">
        <v>7</v>
      </c>
      <c r="J85" s="3" t="s">
        <v>91</v>
      </c>
      <c r="K85" s="3" t="s">
        <v>65</v>
      </c>
      <c r="L85" s="3" t="s">
        <v>92</v>
      </c>
      <c r="M85">
        <v>1</v>
      </c>
    </row>
    <row r="86" spans="1:13" x14ac:dyDescent="0.25">
      <c r="A86" s="1">
        <v>46127</v>
      </c>
      <c r="B86" s="1" t="str">
        <f ca="1">IF(Información1[[#This Row],[Fecha]]='Ajuste de fechas'!$A$2,"Día actual","Día anterior")</f>
        <v>Día actual</v>
      </c>
      <c r="C86" s="3" t="s">
        <v>63</v>
      </c>
      <c r="D86" t="s">
        <v>64</v>
      </c>
      <c r="E86" s="3" t="s">
        <v>381</v>
      </c>
      <c r="F86" s="3" t="s">
        <v>19</v>
      </c>
      <c r="G86" s="3" t="s">
        <v>302</v>
      </c>
      <c r="H86" s="3" t="s">
        <v>11</v>
      </c>
      <c r="I86" s="3" t="s">
        <v>7</v>
      </c>
      <c r="J86" s="3" t="s">
        <v>95</v>
      </c>
      <c r="K86" s="3" t="s">
        <v>65</v>
      </c>
      <c r="L86" s="3" t="s">
        <v>92</v>
      </c>
      <c r="M86">
        <v>1</v>
      </c>
    </row>
    <row r="87" spans="1:13" x14ac:dyDescent="0.25">
      <c r="A87" s="1">
        <v>46127</v>
      </c>
      <c r="B87" s="1" t="str">
        <f ca="1">IF(Información1[[#This Row],[Fecha]]='Ajuste de fechas'!$A$2,"Día actual","Día anterior")</f>
        <v>Día actual</v>
      </c>
      <c r="C87" s="3" t="s">
        <v>63</v>
      </c>
      <c r="D87" t="s">
        <v>64</v>
      </c>
      <c r="E87" s="3" t="s">
        <v>382</v>
      </c>
      <c r="F87" s="3" t="s">
        <v>383</v>
      </c>
      <c r="G87" s="3" t="s">
        <v>384</v>
      </c>
      <c r="H87" s="3" t="s">
        <v>11</v>
      </c>
      <c r="I87" s="3" t="s">
        <v>7</v>
      </c>
      <c r="J87" s="3" t="s">
        <v>91</v>
      </c>
      <c r="K87" s="3" t="s">
        <v>65</v>
      </c>
      <c r="L87" s="3" t="s">
        <v>94</v>
      </c>
      <c r="M87">
        <v>1</v>
      </c>
    </row>
    <row r="88" spans="1:13" x14ac:dyDescent="0.25">
      <c r="A88" s="1">
        <v>46127</v>
      </c>
      <c r="B88" s="1" t="str">
        <f ca="1">IF(Información1[[#This Row],[Fecha]]='Ajuste de fechas'!$A$2,"Día actual","Día anterior")</f>
        <v>Día actual</v>
      </c>
      <c r="C88" s="3" t="s">
        <v>63</v>
      </c>
      <c r="D88" t="s">
        <v>64</v>
      </c>
      <c r="E88" s="3" t="s">
        <v>385</v>
      </c>
      <c r="F88" s="3" t="s">
        <v>25</v>
      </c>
      <c r="G88" s="3" t="s">
        <v>69</v>
      </c>
      <c r="H88" s="3" t="s">
        <v>11</v>
      </c>
      <c r="I88" s="3" t="s">
        <v>7</v>
      </c>
      <c r="J88" s="3" t="s">
        <v>91</v>
      </c>
      <c r="K88" s="3" t="s">
        <v>65</v>
      </c>
      <c r="L88" s="3" t="s">
        <v>92</v>
      </c>
      <c r="M88">
        <v>1</v>
      </c>
    </row>
    <row r="89" spans="1:13" x14ac:dyDescent="0.25">
      <c r="A89" s="1">
        <v>46127</v>
      </c>
      <c r="B89" s="1" t="str">
        <f ca="1">IF(Información1[[#This Row],[Fecha]]='Ajuste de fechas'!$A$2,"Día actual","Día anterior")</f>
        <v>Día actual</v>
      </c>
      <c r="C89" s="3" t="s">
        <v>63</v>
      </c>
      <c r="D89" t="s">
        <v>64</v>
      </c>
      <c r="E89" s="3" t="s">
        <v>386</v>
      </c>
      <c r="F89" s="3" t="s">
        <v>26</v>
      </c>
      <c r="G89" s="3" t="s">
        <v>387</v>
      </c>
      <c r="H89" s="3" t="s">
        <v>11</v>
      </c>
      <c r="I89" s="3" t="s">
        <v>7</v>
      </c>
      <c r="J89" s="3" t="s">
        <v>26</v>
      </c>
      <c r="K89" s="3" t="s">
        <v>65</v>
      </c>
      <c r="L89" s="3" t="s">
        <v>92</v>
      </c>
      <c r="M89">
        <v>1</v>
      </c>
    </row>
    <row r="90" spans="1:13" x14ac:dyDescent="0.25">
      <c r="A90" s="1">
        <v>46127</v>
      </c>
      <c r="B90" s="1" t="str">
        <f ca="1">IF(Información1[[#This Row],[Fecha]]='Ajuste de fechas'!$A$2,"Día actual","Día anterior")</f>
        <v>Día actual</v>
      </c>
      <c r="C90" s="3" t="s">
        <v>63</v>
      </c>
      <c r="D90" t="s">
        <v>64</v>
      </c>
      <c r="E90" s="3" t="s">
        <v>388</v>
      </c>
      <c r="F90" s="3" t="s">
        <v>38</v>
      </c>
      <c r="G90" s="3" t="s">
        <v>302</v>
      </c>
      <c r="H90" s="3" t="s">
        <v>11</v>
      </c>
      <c r="I90" s="3" t="s">
        <v>7</v>
      </c>
      <c r="J90" s="3" t="s">
        <v>91</v>
      </c>
      <c r="K90" s="3" t="s">
        <v>65</v>
      </c>
      <c r="L90" s="3" t="s">
        <v>92</v>
      </c>
      <c r="M90">
        <v>1</v>
      </c>
    </row>
    <row r="91" spans="1:13" x14ac:dyDescent="0.25">
      <c r="A91" s="1">
        <v>46127</v>
      </c>
      <c r="B91" s="1" t="str">
        <f ca="1">IF(Información1[[#This Row],[Fecha]]='Ajuste de fechas'!$A$2,"Día actual","Día anterior")</f>
        <v>Día actual</v>
      </c>
      <c r="C91" s="3" t="s">
        <v>63</v>
      </c>
      <c r="D91" t="s">
        <v>64</v>
      </c>
      <c r="E91" s="3" t="s">
        <v>389</v>
      </c>
      <c r="F91" s="3" t="s">
        <v>19</v>
      </c>
      <c r="G91" s="3" t="s">
        <v>331</v>
      </c>
      <c r="H91" s="3" t="s">
        <v>11</v>
      </c>
      <c r="I91" s="3" t="s">
        <v>7</v>
      </c>
      <c r="J91" s="3" t="s">
        <v>95</v>
      </c>
      <c r="K91" s="3" t="s">
        <v>65</v>
      </c>
      <c r="L91" s="3" t="s">
        <v>97</v>
      </c>
      <c r="M91">
        <v>1</v>
      </c>
    </row>
    <row r="92" spans="1:13" x14ac:dyDescent="0.25">
      <c r="A92" s="1">
        <v>46127</v>
      </c>
      <c r="B92" s="1" t="str">
        <f ca="1">IF(Información1[[#This Row],[Fecha]]='Ajuste de fechas'!$A$2,"Día actual","Día anterior")</f>
        <v>Día actual</v>
      </c>
      <c r="C92" s="3" t="s">
        <v>63</v>
      </c>
      <c r="D92" t="s">
        <v>64</v>
      </c>
      <c r="E92" s="3" t="s">
        <v>390</v>
      </c>
      <c r="F92" s="3" t="s">
        <v>19</v>
      </c>
      <c r="G92" s="3" t="s">
        <v>47</v>
      </c>
      <c r="H92" s="3" t="s">
        <v>11</v>
      </c>
      <c r="I92" s="3" t="s">
        <v>7</v>
      </c>
      <c r="J92" s="3" t="s">
        <v>95</v>
      </c>
      <c r="K92" s="3" t="s">
        <v>65</v>
      </c>
      <c r="L92" s="3" t="s">
        <v>92</v>
      </c>
      <c r="M92">
        <v>1</v>
      </c>
    </row>
    <row r="93" spans="1:13" x14ac:dyDescent="0.25">
      <c r="A93" s="1">
        <v>46127</v>
      </c>
      <c r="B93" s="1" t="str">
        <f ca="1">IF(Información1[[#This Row],[Fecha]]='Ajuste de fechas'!$A$2,"Día actual","Día anterior")</f>
        <v>Día actual</v>
      </c>
      <c r="C93" s="3" t="s">
        <v>63</v>
      </c>
      <c r="D93" t="s">
        <v>64</v>
      </c>
      <c r="E93" s="3" t="s">
        <v>391</v>
      </c>
      <c r="F93" s="3" t="s">
        <v>48</v>
      </c>
      <c r="G93" s="3" t="s">
        <v>392</v>
      </c>
      <c r="H93" s="3" t="s">
        <v>11</v>
      </c>
      <c r="I93" s="3" t="s">
        <v>7</v>
      </c>
      <c r="J93" s="3" t="s">
        <v>91</v>
      </c>
      <c r="K93" s="3" t="s">
        <v>65</v>
      </c>
      <c r="L93" s="3" t="s">
        <v>92</v>
      </c>
      <c r="M93">
        <v>1</v>
      </c>
    </row>
    <row r="94" spans="1:13" x14ac:dyDescent="0.25">
      <c r="A94" s="1">
        <v>46127</v>
      </c>
      <c r="B94" s="1" t="str">
        <f ca="1">IF(Información1[[#This Row],[Fecha]]='Ajuste de fechas'!$A$2,"Día actual","Día anterior")</f>
        <v>Día actual</v>
      </c>
      <c r="C94" s="3" t="s">
        <v>63</v>
      </c>
      <c r="D94" t="s">
        <v>64</v>
      </c>
      <c r="E94" s="3" t="s">
        <v>393</v>
      </c>
      <c r="F94" s="3" t="s">
        <v>19</v>
      </c>
      <c r="G94" s="3" t="s">
        <v>78</v>
      </c>
      <c r="H94" s="3" t="s">
        <v>11</v>
      </c>
      <c r="I94" s="3" t="s">
        <v>27</v>
      </c>
      <c r="J94" s="3" t="s">
        <v>95</v>
      </c>
      <c r="K94" s="3" t="s">
        <v>65</v>
      </c>
      <c r="L94" s="3" t="s">
        <v>92</v>
      </c>
      <c r="M94">
        <v>1</v>
      </c>
    </row>
    <row r="95" spans="1:13" x14ac:dyDescent="0.25">
      <c r="A95" s="1">
        <v>46127</v>
      </c>
      <c r="B95" s="1" t="str">
        <f ca="1">IF(Información1[[#This Row],[Fecha]]='Ajuste de fechas'!$A$2,"Día actual","Día anterior")</f>
        <v>Día actual</v>
      </c>
      <c r="C95" s="3" t="s">
        <v>63</v>
      </c>
      <c r="D95" t="s">
        <v>64</v>
      </c>
      <c r="E95" s="3" t="s">
        <v>394</v>
      </c>
      <c r="F95" s="3" t="s">
        <v>48</v>
      </c>
      <c r="G95" s="3" t="s">
        <v>276</v>
      </c>
      <c r="H95" s="3" t="s">
        <v>11</v>
      </c>
      <c r="I95" s="3" t="s">
        <v>27</v>
      </c>
      <c r="J95" s="3" t="s">
        <v>91</v>
      </c>
      <c r="K95" s="3" t="s">
        <v>65</v>
      </c>
      <c r="L95" s="3" t="s">
        <v>92</v>
      </c>
      <c r="M95">
        <v>1</v>
      </c>
    </row>
    <row r="96" spans="1:13" x14ac:dyDescent="0.25">
      <c r="A96" s="1">
        <v>46127</v>
      </c>
      <c r="B96" s="1" t="str">
        <f ca="1">IF(Información1[[#This Row],[Fecha]]='Ajuste de fechas'!$A$2,"Día actual","Día anterior")</f>
        <v>Día actual</v>
      </c>
      <c r="C96" s="3" t="s">
        <v>63</v>
      </c>
      <c r="D96" t="s">
        <v>64</v>
      </c>
      <c r="E96" s="3" t="s">
        <v>395</v>
      </c>
      <c r="F96" s="3" t="s">
        <v>26</v>
      </c>
      <c r="G96" s="3" t="s">
        <v>113</v>
      </c>
      <c r="H96" s="3" t="s">
        <v>11</v>
      </c>
      <c r="I96" s="3" t="s">
        <v>7</v>
      </c>
      <c r="J96" s="3" t="s">
        <v>26</v>
      </c>
      <c r="K96" s="3" t="s">
        <v>65</v>
      </c>
      <c r="L96" s="3" t="s">
        <v>92</v>
      </c>
      <c r="M96">
        <v>1</v>
      </c>
    </row>
    <row r="97" spans="1:13" x14ac:dyDescent="0.25">
      <c r="A97" s="1">
        <v>46127</v>
      </c>
      <c r="B97" s="1" t="str">
        <f ca="1">IF(Información1[[#This Row],[Fecha]]='Ajuste de fechas'!$A$2,"Día actual","Día anterior")</f>
        <v>Día actual</v>
      </c>
      <c r="C97" s="3" t="s">
        <v>63</v>
      </c>
      <c r="D97" t="s">
        <v>64</v>
      </c>
      <c r="E97" s="3" t="s">
        <v>396</v>
      </c>
      <c r="F97" s="3" t="s">
        <v>28</v>
      </c>
      <c r="G97" s="3" t="s">
        <v>366</v>
      </c>
      <c r="H97" s="3" t="s">
        <v>11</v>
      </c>
      <c r="I97" s="3" t="s">
        <v>7</v>
      </c>
      <c r="J97" s="3" t="s">
        <v>91</v>
      </c>
      <c r="K97" s="3" t="s">
        <v>65</v>
      </c>
      <c r="L97" s="3" t="s">
        <v>92</v>
      </c>
      <c r="M97">
        <v>1</v>
      </c>
    </row>
    <row r="98" spans="1:13" x14ac:dyDescent="0.25">
      <c r="A98" s="1">
        <v>46127</v>
      </c>
      <c r="B98" s="1" t="str">
        <f ca="1">IF(Información1[[#This Row],[Fecha]]='Ajuste de fechas'!$A$2,"Día actual","Día anterior")</f>
        <v>Día actual</v>
      </c>
      <c r="C98" s="3" t="s">
        <v>63</v>
      </c>
      <c r="D98" t="s">
        <v>64</v>
      </c>
      <c r="E98" s="3" t="s">
        <v>397</v>
      </c>
      <c r="F98" s="3" t="s">
        <v>19</v>
      </c>
      <c r="G98" s="3" t="s">
        <v>398</v>
      </c>
      <c r="H98" s="3" t="s">
        <v>11</v>
      </c>
      <c r="I98" s="3" t="s">
        <v>7</v>
      </c>
      <c r="J98" s="3" t="s">
        <v>95</v>
      </c>
      <c r="K98" s="3" t="s">
        <v>65</v>
      </c>
      <c r="L98" s="3" t="s">
        <v>92</v>
      </c>
      <c r="M98">
        <v>1</v>
      </c>
    </row>
    <row r="99" spans="1:13" x14ac:dyDescent="0.25">
      <c r="A99" s="1">
        <v>46127</v>
      </c>
      <c r="B99" s="1" t="str">
        <f ca="1">IF(Información1[[#This Row],[Fecha]]='Ajuste de fechas'!$A$2,"Día actual","Día anterior")</f>
        <v>Día actual</v>
      </c>
      <c r="C99" s="3" t="s">
        <v>50</v>
      </c>
      <c r="D99" t="s">
        <v>51</v>
      </c>
      <c r="E99" s="3" t="s">
        <v>399</v>
      </c>
      <c r="F99" s="3" t="s">
        <v>19</v>
      </c>
      <c r="G99" s="3" t="s">
        <v>400</v>
      </c>
      <c r="H99" s="3" t="s">
        <v>46</v>
      </c>
      <c r="I99" s="3" t="s">
        <v>7</v>
      </c>
      <c r="J99" s="3" t="s">
        <v>95</v>
      </c>
      <c r="K99" s="3" t="s">
        <v>31</v>
      </c>
      <c r="L99" s="3" t="s">
        <v>92</v>
      </c>
      <c r="M99">
        <v>1</v>
      </c>
    </row>
    <row r="100" spans="1:13" x14ac:dyDescent="0.25">
      <c r="A100" s="1">
        <v>46127</v>
      </c>
      <c r="B100" s="1" t="str">
        <f ca="1">IF(Información1[[#This Row],[Fecha]]='Ajuste de fechas'!$A$2,"Día actual","Día anterior")</f>
        <v>Día actual</v>
      </c>
      <c r="C100" s="3" t="s">
        <v>50</v>
      </c>
      <c r="D100" t="s">
        <v>51</v>
      </c>
      <c r="E100" s="3" t="s">
        <v>266</v>
      </c>
      <c r="F100" s="3" t="s">
        <v>28</v>
      </c>
      <c r="G100" s="3" t="s">
        <v>226</v>
      </c>
      <c r="H100" s="3" t="s">
        <v>46</v>
      </c>
      <c r="I100" s="3" t="s">
        <v>7</v>
      </c>
      <c r="J100" s="3" t="s">
        <v>91</v>
      </c>
      <c r="K100" s="3" t="s">
        <v>31</v>
      </c>
      <c r="L100" s="3" t="s">
        <v>92</v>
      </c>
      <c r="M100">
        <v>1</v>
      </c>
    </row>
    <row r="101" spans="1:13" x14ac:dyDescent="0.25">
      <c r="A101" s="1">
        <v>46127</v>
      </c>
      <c r="B101" s="1" t="str">
        <f ca="1">IF(Información1[[#This Row],[Fecha]]='Ajuste de fechas'!$A$2,"Día actual","Día anterior")</f>
        <v>Día actual</v>
      </c>
      <c r="C101" s="3" t="s">
        <v>50</v>
      </c>
      <c r="D101" t="s">
        <v>51</v>
      </c>
      <c r="E101" s="3" t="s">
        <v>401</v>
      </c>
      <c r="F101" s="3" t="s">
        <v>19</v>
      </c>
      <c r="G101" s="3" t="s">
        <v>402</v>
      </c>
      <c r="H101" s="3" t="s">
        <v>46</v>
      </c>
      <c r="I101" s="3" t="s">
        <v>7</v>
      </c>
      <c r="J101" s="3" t="s">
        <v>95</v>
      </c>
      <c r="K101" s="3" t="s">
        <v>31</v>
      </c>
      <c r="L101" s="3" t="s">
        <v>92</v>
      </c>
      <c r="M101">
        <v>1</v>
      </c>
    </row>
    <row r="102" spans="1:13" x14ac:dyDescent="0.25">
      <c r="A102" s="1">
        <v>46127</v>
      </c>
      <c r="B102" s="1" t="str">
        <f ca="1">IF(Información1[[#This Row],[Fecha]]='Ajuste de fechas'!$A$2,"Día actual","Día anterior")</f>
        <v>Día actual</v>
      </c>
      <c r="C102" s="3" t="s">
        <v>50</v>
      </c>
      <c r="D102" t="s">
        <v>51</v>
      </c>
      <c r="E102" s="3" t="s">
        <v>403</v>
      </c>
      <c r="F102" s="3" t="s">
        <v>19</v>
      </c>
      <c r="G102" s="3" t="s">
        <v>404</v>
      </c>
      <c r="H102" s="3" t="s">
        <v>46</v>
      </c>
      <c r="I102" s="3" t="s">
        <v>7</v>
      </c>
      <c r="J102" s="3" t="s">
        <v>95</v>
      </c>
      <c r="K102" s="3" t="s">
        <v>31</v>
      </c>
      <c r="L102" s="3" t="s">
        <v>92</v>
      </c>
      <c r="M102">
        <v>1</v>
      </c>
    </row>
    <row r="103" spans="1:13" x14ac:dyDescent="0.25">
      <c r="A103" s="1">
        <v>46127</v>
      </c>
      <c r="B103" s="1" t="str">
        <f ca="1">IF(Información1[[#This Row],[Fecha]]='Ajuste de fechas'!$A$2,"Día actual","Día anterior")</f>
        <v>Día actual</v>
      </c>
      <c r="C103" s="3" t="s">
        <v>50</v>
      </c>
      <c r="D103" t="s">
        <v>51</v>
      </c>
      <c r="E103" s="3" t="s">
        <v>405</v>
      </c>
      <c r="F103" s="3" t="s">
        <v>21</v>
      </c>
      <c r="G103" s="3" t="s">
        <v>352</v>
      </c>
      <c r="H103" s="3" t="s">
        <v>46</v>
      </c>
      <c r="I103" s="3" t="s">
        <v>7</v>
      </c>
      <c r="J103" s="3" t="s">
        <v>91</v>
      </c>
      <c r="K103" s="3" t="s">
        <v>31</v>
      </c>
      <c r="L103" s="3" t="s">
        <v>92</v>
      </c>
      <c r="M103">
        <v>1</v>
      </c>
    </row>
    <row r="104" spans="1:13" x14ac:dyDescent="0.25">
      <c r="A104" s="1">
        <v>46127</v>
      </c>
      <c r="B104" s="1" t="str">
        <f ca="1">IF(Información1[[#This Row],[Fecha]]='Ajuste de fechas'!$A$2,"Día actual","Día anterior")</f>
        <v>Día actual</v>
      </c>
      <c r="C104" s="3" t="s">
        <v>50</v>
      </c>
      <c r="D104" t="s">
        <v>51</v>
      </c>
      <c r="E104" s="3" t="s">
        <v>406</v>
      </c>
      <c r="F104" s="3" t="s">
        <v>23</v>
      </c>
      <c r="G104" s="3" t="s">
        <v>407</v>
      </c>
      <c r="H104" s="3" t="s">
        <v>46</v>
      </c>
      <c r="I104" s="3" t="s">
        <v>7</v>
      </c>
      <c r="J104" s="3" t="s">
        <v>96</v>
      </c>
      <c r="K104" s="3" t="s">
        <v>31</v>
      </c>
      <c r="L104" s="3" t="s">
        <v>92</v>
      </c>
      <c r="M104">
        <v>1</v>
      </c>
    </row>
    <row r="105" spans="1:13" x14ac:dyDescent="0.25">
      <c r="A105" s="1">
        <v>46127</v>
      </c>
      <c r="B105" s="1" t="str">
        <f ca="1">IF(Información1[[#This Row],[Fecha]]='Ajuste de fechas'!$A$2,"Día actual","Día anterior")</f>
        <v>Día actual</v>
      </c>
      <c r="C105" s="3" t="s">
        <v>50</v>
      </c>
      <c r="D105" t="s">
        <v>51</v>
      </c>
      <c r="E105" s="3" t="s">
        <v>408</v>
      </c>
      <c r="F105" s="3" t="s">
        <v>19</v>
      </c>
      <c r="G105" s="3" t="s">
        <v>402</v>
      </c>
      <c r="H105" s="3" t="s">
        <v>46</v>
      </c>
      <c r="I105" s="3" t="s">
        <v>7</v>
      </c>
      <c r="J105" s="3" t="s">
        <v>95</v>
      </c>
      <c r="K105" s="3" t="s">
        <v>31</v>
      </c>
      <c r="L105" s="3" t="s">
        <v>92</v>
      </c>
      <c r="M105">
        <v>1</v>
      </c>
    </row>
    <row r="106" spans="1:13" x14ac:dyDescent="0.25">
      <c r="A106" s="1">
        <v>46127</v>
      </c>
      <c r="B106" s="1" t="str">
        <f ca="1">IF(Información1[[#This Row],[Fecha]]='Ajuste de fechas'!$A$2,"Día actual","Día anterior")</f>
        <v>Día actual</v>
      </c>
      <c r="C106" s="3" t="s">
        <v>50</v>
      </c>
      <c r="D106" t="s">
        <v>51</v>
      </c>
      <c r="E106" s="3" t="s">
        <v>409</v>
      </c>
      <c r="F106" s="3" t="s">
        <v>19</v>
      </c>
      <c r="G106" s="3" t="s">
        <v>47</v>
      </c>
      <c r="H106" s="3" t="s">
        <v>46</v>
      </c>
      <c r="I106" s="3" t="s">
        <v>7</v>
      </c>
      <c r="J106" s="3" t="s">
        <v>95</v>
      </c>
      <c r="K106" s="3" t="s">
        <v>31</v>
      </c>
      <c r="L106" s="3" t="s">
        <v>92</v>
      </c>
      <c r="M106">
        <v>1</v>
      </c>
    </row>
    <row r="107" spans="1:13" x14ac:dyDescent="0.25">
      <c r="A107" s="1">
        <v>46127</v>
      </c>
      <c r="B107" s="1" t="str">
        <f ca="1">IF(Información1[[#This Row],[Fecha]]='Ajuste de fechas'!$A$2,"Día actual","Día anterior")</f>
        <v>Día actual</v>
      </c>
      <c r="C107" s="3" t="s">
        <v>50</v>
      </c>
      <c r="D107" t="s">
        <v>51</v>
      </c>
      <c r="E107" s="3" t="s">
        <v>359</v>
      </c>
      <c r="F107" s="3" t="s">
        <v>19</v>
      </c>
      <c r="G107" s="3" t="s">
        <v>268</v>
      </c>
      <c r="H107" s="3" t="s">
        <v>46</v>
      </c>
      <c r="I107" s="3" t="s">
        <v>7</v>
      </c>
      <c r="J107" s="3" t="s">
        <v>95</v>
      </c>
      <c r="K107" s="3" t="s">
        <v>31</v>
      </c>
      <c r="L107" s="3" t="s">
        <v>92</v>
      </c>
      <c r="M107">
        <v>1</v>
      </c>
    </row>
    <row r="108" spans="1:13" x14ac:dyDescent="0.25">
      <c r="A108" s="1">
        <v>46127</v>
      </c>
      <c r="B108" s="1" t="str">
        <f ca="1">IF(Información1[[#This Row],[Fecha]]='Ajuste de fechas'!$A$2,"Día actual","Día anterior")</f>
        <v>Día actual</v>
      </c>
      <c r="C108" s="3" t="s">
        <v>50</v>
      </c>
      <c r="D108" t="s">
        <v>51</v>
      </c>
      <c r="E108" s="3" t="s">
        <v>410</v>
      </c>
      <c r="F108" s="3" t="s">
        <v>19</v>
      </c>
      <c r="G108" s="3" t="s">
        <v>411</v>
      </c>
      <c r="H108" s="3" t="s">
        <v>46</v>
      </c>
      <c r="I108" s="3" t="s">
        <v>7</v>
      </c>
      <c r="J108" s="3" t="s">
        <v>95</v>
      </c>
      <c r="K108" s="3" t="s">
        <v>31</v>
      </c>
      <c r="L108" s="3" t="s">
        <v>92</v>
      </c>
      <c r="M108">
        <v>1</v>
      </c>
    </row>
    <row r="109" spans="1:13" x14ac:dyDescent="0.25">
      <c r="A109" s="1">
        <v>46127</v>
      </c>
      <c r="B109" s="1" t="str">
        <f ca="1">IF(Información1[[#This Row],[Fecha]]='Ajuste de fechas'!$A$2,"Día actual","Día anterior")</f>
        <v>Día actual</v>
      </c>
      <c r="C109" s="3" t="s">
        <v>50</v>
      </c>
      <c r="D109" t="s">
        <v>51</v>
      </c>
      <c r="E109" s="3" t="s">
        <v>412</v>
      </c>
      <c r="F109" s="3" t="s">
        <v>19</v>
      </c>
      <c r="G109" s="3" t="s">
        <v>297</v>
      </c>
      <c r="H109" s="3" t="s">
        <v>46</v>
      </c>
      <c r="I109" s="3" t="s">
        <v>7</v>
      </c>
      <c r="J109" s="3" t="s">
        <v>95</v>
      </c>
      <c r="K109" s="3" t="s">
        <v>31</v>
      </c>
      <c r="L109" s="3" t="s">
        <v>92</v>
      </c>
      <c r="M109">
        <v>1</v>
      </c>
    </row>
    <row r="110" spans="1:13" x14ac:dyDescent="0.25">
      <c r="A110" s="1">
        <v>46127</v>
      </c>
      <c r="B110" s="1" t="str">
        <f ca="1">IF(Información1[[#This Row],[Fecha]]='Ajuste de fechas'!$A$2,"Día actual","Día anterior")</f>
        <v>Día actual</v>
      </c>
      <c r="C110" s="3" t="s">
        <v>50</v>
      </c>
      <c r="D110" t="s">
        <v>51</v>
      </c>
      <c r="E110" s="3" t="s">
        <v>413</v>
      </c>
      <c r="F110" s="3" t="s">
        <v>22</v>
      </c>
      <c r="G110" s="3" t="s">
        <v>414</v>
      </c>
      <c r="H110" s="3" t="s">
        <v>46</v>
      </c>
      <c r="I110" s="3" t="s">
        <v>7</v>
      </c>
      <c r="J110" s="3" t="s">
        <v>26</v>
      </c>
      <c r="K110" s="3" t="s">
        <v>31</v>
      </c>
      <c r="L110" s="3" t="s">
        <v>92</v>
      </c>
      <c r="M110">
        <v>1</v>
      </c>
    </row>
    <row r="111" spans="1:13" x14ac:dyDescent="0.25">
      <c r="A111" s="1">
        <v>46127</v>
      </c>
      <c r="B111" s="1" t="str">
        <f ca="1">IF(Información1[[#This Row],[Fecha]]='Ajuste de fechas'!$A$2,"Día actual","Día anterior")</f>
        <v>Día actual</v>
      </c>
      <c r="C111" s="3" t="s">
        <v>50</v>
      </c>
      <c r="D111" t="s">
        <v>51</v>
      </c>
      <c r="E111" s="3" t="s">
        <v>415</v>
      </c>
      <c r="F111" s="3" t="s">
        <v>22</v>
      </c>
      <c r="G111" s="3" t="s">
        <v>73</v>
      </c>
      <c r="H111" s="3" t="s">
        <v>46</v>
      </c>
      <c r="I111" s="3" t="s">
        <v>7</v>
      </c>
      <c r="J111" s="3" t="s">
        <v>26</v>
      </c>
      <c r="K111" s="3" t="s">
        <v>31</v>
      </c>
      <c r="L111" s="3" t="s">
        <v>92</v>
      </c>
      <c r="M111">
        <v>1</v>
      </c>
    </row>
    <row r="112" spans="1:13" x14ac:dyDescent="0.25">
      <c r="A112" s="1">
        <v>46127</v>
      </c>
      <c r="B112" s="1" t="str">
        <f ca="1">IF(Información1[[#This Row],[Fecha]]='Ajuste de fechas'!$A$2,"Día actual","Día anterior")</f>
        <v>Día actual</v>
      </c>
      <c r="C112" s="3" t="s">
        <v>50</v>
      </c>
      <c r="D112" t="s">
        <v>51</v>
      </c>
      <c r="E112" s="3" t="s">
        <v>416</v>
      </c>
      <c r="F112" s="3" t="s">
        <v>28</v>
      </c>
      <c r="G112" s="3" t="s">
        <v>74</v>
      </c>
      <c r="H112" s="3" t="s">
        <v>46</v>
      </c>
      <c r="I112" s="3" t="s">
        <v>7</v>
      </c>
      <c r="J112" s="3" t="s">
        <v>91</v>
      </c>
      <c r="K112" s="3" t="s">
        <v>31</v>
      </c>
      <c r="L112" s="3" t="s">
        <v>94</v>
      </c>
      <c r="M112">
        <v>1</v>
      </c>
    </row>
    <row r="113" spans="1:13" x14ac:dyDescent="0.25">
      <c r="A113" s="1">
        <v>46126</v>
      </c>
      <c r="B113" s="1" t="str">
        <f ca="1">IF(Información1[[#This Row],[Fecha]]='Ajuste de fechas'!$A$2,"Día actual","Día anterior")</f>
        <v>Día anterior</v>
      </c>
      <c r="C113" s="3" t="s">
        <v>50</v>
      </c>
      <c r="D113" t="s">
        <v>51</v>
      </c>
      <c r="E113" s="3" t="s">
        <v>117</v>
      </c>
      <c r="F113" s="3" t="s">
        <v>28</v>
      </c>
      <c r="G113" s="3" t="s">
        <v>74</v>
      </c>
      <c r="H113" s="3" t="s">
        <v>46</v>
      </c>
      <c r="I113" s="3" t="s">
        <v>7</v>
      </c>
      <c r="J113" s="3" t="s">
        <v>91</v>
      </c>
      <c r="K113" s="3" t="s">
        <v>31</v>
      </c>
      <c r="L113" s="3" t="s">
        <v>92</v>
      </c>
      <c r="M113">
        <v>1</v>
      </c>
    </row>
    <row r="114" spans="1:13" x14ac:dyDescent="0.25">
      <c r="A114" s="1">
        <v>46126</v>
      </c>
      <c r="B114" s="1" t="str">
        <f ca="1">IF(Información1[[#This Row],[Fecha]]='Ajuste de fechas'!$A$2,"Día actual","Día anterior")</f>
        <v>Día anterior</v>
      </c>
      <c r="C114" s="3" t="s">
        <v>63</v>
      </c>
      <c r="D114" t="s">
        <v>64</v>
      </c>
      <c r="E114" s="3" t="s">
        <v>118</v>
      </c>
      <c r="F114" s="3" t="s">
        <v>119</v>
      </c>
      <c r="G114" s="3" t="s">
        <v>67</v>
      </c>
      <c r="H114" s="3" t="s">
        <v>11</v>
      </c>
      <c r="I114" s="3" t="s">
        <v>7</v>
      </c>
      <c r="J114" s="3" t="s">
        <v>91</v>
      </c>
      <c r="K114" s="3" t="s">
        <v>65</v>
      </c>
      <c r="L114" s="3" t="s">
        <v>94</v>
      </c>
      <c r="M114">
        <v>1</v>
      </c>
    </row>
    <row r="115" spans="1:13" x14ac:dyDescent="0.25">
      <c r="A115" s="1">
        <v>46126</v>
      </c>
      <c r="B115" s="1" t="str">
        <f ca="1">IF(Información1[[#This Row],[Fecha]]='Ajuste de fechas'!$A$2,"Día actual","Día anterior")</f>
        <v>Día anterior</v>
      </c>
      <c r="C115" s="3" t="s">
        <v>63</v>
      </c>
      <c r="D115" t="s">
        <v>64</v>
      </c>
      <c r="E115" s="3" t="s">
        <v>120</v>
      </c>
      <c r="F115" s="3" t="s">
        <v>121</v>
      </c>
      <c r="G115" s="3" t="s">
        <v>122</v>
      </c>
      <c r="H115" s="3" t="s">
        <v>11</v>
      </c>
      <c r="I115" s="3" t="s">
        <v>7</v>
      </c>
      <c r="J115" s="3" t="s">
        <v>26</v>
      </c>
      <c r="K115" s="3" t="s">
        <v>65</v>
      </c>
      <c r="L115" s="3" t="s">
        <v>92</v>
      </c>
      <c r="M115">
        <v>1</v>
      </c>
    </row>
    <row r="116" spans="1:13" x14ac:dyDescent="0.25">
      <c r="A116" s="1">
        <v>46126</v>
      </c>
      <c r="B116" s="1" t="str">
        <f ca="1">IF(Información1[[#This Row],[Fecha]]='Ajuste de fechas'!$A$2,"Día actual","Día anterior")</f>
        <v>Día anterior</v>
      </c>
      <c r="C116" s="3" t="s">
        <v>63</v>
      </c>
      <c r="D116" t="s">
        <v>64</v>
      </c>
      <c r="E116" s="3" t="s">
        <v>123</v>
      </c>
      <c r="F116" s="3" t="s">
        <v>19</v>
      </c>
      <c r="G116" s="3" t="s">
        <v>105</v>
      </c>
      <c r="H116" s="3" t="s">
        <v>11</v>
      </c>
      <c r="I116" s="3" t="s">
        <v>7</v>
      </c>
      <c r="J116" s="3" t="s">
        <v>95</v>
      </c>
      <c r="K116" s="3" t="s">
        <v>65</v>
      </c>
      <c r="L116" s="3" t="s">
        <v>92</v>
      </c>
      <c r="M116">
        <v>1</v>
      </c>
    </row>
    <row r="117" spans="1:13" x14ac:dyDescent="0.25">
      <c r="A117" s="1">
        <v>46126</v>
      </c>
      <c r="B117" s="1" t="str">
        <f ca="1">IF(Información1[[#This Row],[Fecha]]='Ajuste de fechas'!$A$2,"Día actual","Día anterior")</f>
        <v>Día anterior</v>
      </c>
      <c r="C117" s="3" t="s">
        <v>63</v>
      </c>
      <c r="D117" t="s">
        <v>64</v>
      </c>
      <c r="E117" s="3" t="s">
        <v>124</v>
      </c>
      <c r="F117" s="3" t="s">
        <v>24</v>
      </c>
      <c r="G117" s="3" t="s">
        <v>68</v>
      </c>
      <c r="H117" s="3" t="s">
        <v>11</v>
      </c>
      <c r="I117" s="3" t="s">
        <v>7</v>
      </c>
      <c r="J117" s="3" t="s">
        <v>91</v>
      </c>
      <c r="K117" s="3" t="s">
        <v>65</v>
      </c>
      <c r="L117" s="3" t="s">
        <v>92</v>
      </c>
      <c r="M117">
        <v>1</v>
      </c>
    </row>
    <row r="118" spans="1:13" x14ac:dyDescent="0.25">
      <c r="A118" s="1">
        <v>46126</v>
      </c>
      <c r="B118" s="1" t="str">
        <f ca="1">IF(Información1[[#This Row],[Fecha]]='Ajuste de fechas'!$A$2,"Día actual","Día anterior")</f>
        <v>Día anterior</v>
      </c>
      <c r="C118" s="3" t="s">
        <v>63</v>
      </c>
      <c r="D118" t="s">
        <v>64</v>
      </c>
      <c r="E118" s="3" t="s">
        <v>125</v>
      </c>
      <c r="F118" s="3" t="s">
        <v>52</v>
      </c>
      <c r="G118" s="3" t="s">
        <v>126</v>
      </c>
      <c r="H118" s="3" t="s">
        <v>11</v>
      </c>
      <c r="I118" s="3" t="s">
        <v>27</v>
      </c>
      <c r="J118" s="3" t="s">
        <v>91</v>
      </c>
      <c r="K118" s="3" t="s">
        <v>9</v>
      </c>
      <c r="L118" s="3" t="s">
        <v>93</v>
      </c>
      <c r="M118">
        <v>1</v>
      </c>
    </row>
    <row r="119" spans="1:13" x14ac:dyDescent="0.25">
      <c r="A119" s="1">
        <v>46126</v>
      </c>
      <c r="B119" s="1" t="str">
        <f ca="1">IF(Información1[[#This Row],[Fecha]]='Ajuste de fechas'!$A$2,"Día actual","Día anterior")</f>
        <v>Día anterior</v>
      </c>
      <c r="C119" s="3" t="s">
        <v>63</v>
      </c>
      <c r="D119" t="s">
        <v>64</v>
      </c>
      <c r="E119" s="3" t="s">
        <v>127</v>
      </c>
      <c r="F119" s="3" t="s">
        <v>38</v>
      </c>
      <c r="G119" s="3" t="s">
        <v>113</v>
      </c>
      <c r="H119" s="3" t="s">
        <v>11</v>
      </c>
      <c r="I119" s="3" t="s">
        <v>27</v>
      </c>
      <c r="J119" s="3" t="s">
        <v>91</v>
      </c>
      <c r="K119" s="3" t="s">
        <v>65</v>
      </c>
      <c r="L119" s="3" t="s">
        <v>92</v>
      </c>
      <c r="M119">
        <v>1</v>
      </c>
    </row>
    <row r="120" spans="1:13" x14ac:dyDescent="0.25">
      <c r="A120" s="1">
        <v>46126</v>
      </c>
      <c r="B120" s="1" t="str">
        <f ca="1">IF(Información1[[#This Row],[Fecha]]='Ajuste de fechas'!$A$2,"Día actual","Día anterior")</f>
        <v>Día anterior</v>
      </c>
      <c r="C120" s="3" t="s">
        <v>63</v>
      </c>
      <c r="D120" t="s">
        <v>64</v>
      </c>
      <c r="E120" s="3" t="s">
        <v>128</v>
      </c>
      <c r="F120" s="3" t="s">
        <v>19</v>
      </c>
      <c r="G120" s="3" t="s">
        <v>116</v>
      </c>
      <c r="H120" s="3" t="s">
        <v>11</v>
      </c>
      <c r="I120" s="3" t="s">
        <v>27</v>
      </c>
      <c r="J120" s="3" t="s">
        <v>95</v>
      </c>
      <c r="K120" s="3" t="s">
        <v>65</v>
      </c>
      <c r="L120" s="3" t="s">
        <v>92</v>
      </c>
      <c r="M120">
        <v>2</v>
      </c>
    </row>
    <row r="121" spans="1:13" x14ac:dyDescent="0.25">
      <c r="A121" s="1">
        <v>46126</v>
      </c>
      <c r="B121" s="1" t="str">
        <f ca="1">IF(Información1[[#This Row],[Fecha]]='Ajuste de fechas'!$A$2,"Día actual","Día anterior")</f>
        <v>Día anterior</v>
      </c>
      <c r="C121" s="3" t="s">
        <v>63</v>
      </c>
      <c r="D121" t="s">
        <v>64</v>
      </c>
      <c r="E121" s="3" t="s">
        <v>129</v>
      </c>
      <c r="F121" s="3" t="s">
        <v>25</v>
      </c>
      <c r="G121" s="3" t="s">
        <v>130</v>
      </c>
      <c r="H121" s="3" t="s">
        <v>11</v>
      </c>
      <c r="I121" s="3" t="s">
        <v>7</v>
      </c>
      <c r="J121" s="3" t="s">
        <v>91</v>
      </c>
      <c r="K121" s="3" t="s">
        <v>65</v>
      </c>
      <c r="L121" s="3" t="s">
        <v>92</v>
      </c>
      <c r="M121">
        <v>1</v>
      </c>
    </row>
    <row r="122" spans="1:13" x14ac:dyDescent="0.25">
      <c r="A122" s="1">
        <v>46126</v>
      </c>
      <c r="B122" s="1" t="str">
        <f ca="1">IF(Información1[[#This Row],[Fecha]]='Ajuste de fechas'!$A$2,"Día actual","Día anterior")</f>
        <v>Día anterior</v>
      </c>
      <c r="C122" s="3" t="s">
        <v>63</v>
      </c>
      <c r="D122" t="s">
        <v>64</v>
      </c>
      <c r="E122" s="3" t="s">
        <v>131</v>
      </c>
      <c r="F122" s="3" t="s">
        <v>21</v>
      </c>
      <c r="G122" s="3" t="s">
        <v>106</v>
      </c>
      <c r="H122" s="3" t="s">
        <v>11</v>
      </c>
      <c r="I122" s="3" t="s">
        <v>7</v>
      </c>
      <c r="J122" s="3" t="s">
        <v>91</v>
      </c>
      <c r="K122" s="3" t="s">
        <v>65</v>
      </c>
      <c r="L122" s="3" t="s">
        <v>92</v>
      </c>
      <c r="M122">
        <v>1</v>
      </c>
    </row>
    <row r="123" spans="1:13" x14ac:dyDescent="0.25">
      <c r="A123" s="1">
        <v>46126</v>
      </c>
      <c r="B123" s="1" t="str">
        <f ca="1">IF(Información1[[#This Row],[Fecha]]='Ajuste de fechas'!$A$2,"Día actual","Día anterior")</f>
        <v>Día anterior</v>
      </c>
      <c r="C123" s="3" t="s">
        <v>63</v>
      </c>
      <c r="D123" t="s">
        <v>64</v>
      </c>
      <c r="E123" s="3" t="s">
        <v>132</v>
      </c>
      <c r="F123" s="3" t="s">
        <v>52</v>
      </c>
      <c r="G123" s="3" t="s">
        <v>133</v>
      </c>
      <c r="H123" s="3" t="s">
        <v>11</v>
      </c>
      <c r="I123" s="3" t="s">
        <v>27</v>
      </c>
      <c r="J123" s="3" t="s">
        <v>91</v>
      </c>
      <c r="K123" s="3" t="s">
        <v>9</v>
      </c>
      <c r="L123" s="3" t="s">
        <v>93</v>
      </c>
      <c r="M123">
        <v>1</v>
      </c>
    </row>
    <row r="124" spans="1:13" x14ac:dyDescent="0.25">
      <c r="A124" s="1">
        <v>46126</v>
      </c>
      <c r="B124" s="1" t="str">
        <f ca="1">IF(Información1[[#This Row],[Fecha]]='Ajuste de fechas'!$A$2,"Día actual","Día anterior")</f>
        <v>Día anterior</v>
      </c>
      <c r="C124" s="3" t="s">
        <v>63</v>
      </c>
      <c r="D124" t="s">
        <v>64</v>
      </c>
      <c r="E124" s="3" t="s">
        <v>134</v>
      </c>
      <c r="F124" s="3" t="s">
        <v>19</v>
      </c>
      <c r="G124" s="3" t="s">
        <v>135</v>
      </c>
      <c r="H124" s="3" t="s">
        <v>11</v>
      </c>
      <c r="I124" s="3" t="s">
        <v>27</v>
      </c>
      <c r="J124" s="3" t="s">
        <v>95</v>
      </c>
      <c r="K124" s="3" t="s">
        <v>65</v>
      </c>
      <c r="L124" s="3" t="s">
        <v>92</v>
      </c>
      <c r="M124">
        <v>1</v>
      </c>
    </row>
    <row r="125" spans="1:13" x14ac:dyDescent="0.25">
      <c r="A125" s="1">
        <v>46126</v>
      </c>
      <c r="B125" s="1" t="str">
        <f ca="1">IF(Información1[[#This Row],[Fecha]]='Ajuste de fechas'!$A$2,"Día actual","Día anterior")</f>
        <v>Día anterior</v>
      </c>
      <c r="C125" s="3" t="s">
        <v>63</v>
      </c>
      <c r="D125" t="s">
        <v>64</v>
      </c>
      <c r="E125" s="3" t="s">
        <v>136</v>
      </c>
      <c r="F125" s="3" t="s">
        <v>19</v>
      </c>
      <c r="G125" s="3" t="s">
        <v>47</v>
      </c>
      <c r="H125" s="3" t="s">
        <v>11</v>
      </c>
      <c r="I125" s="3" t="s">
        <v>7</v>
      </c>
      <c r="J125" s="3" t="s">
        <v>95</v>
      </c>
      <c r="K125" s="3" t="s">
        <v>65</v>
      </c>
      <c r="L125" s="3" t="s">
        <v>92</v>
      </c>
      <c r="M125">
        <v>1</v>
      </c>
    </row>
    <row r="126" spans="1:13" x14ac:dyDescent="0.25">
      <c r="A126" s="1">
        <v>46126</v>
      </c>
      <c r="B126" s="1" t="str">
        <f ca="1">IF(Información1[[#This Row],[Fecha]]='Ajuste de fechas'!$A$2,"Día actual","Día anterior")</f>
        <v>Día anterior</v>
      </c>
      <c r="C126" s="3" t="s">
        <v>63</v>
      </c>
      <c r="D126" t="s">
        <v>64</v>
      </c>
      <c r="E126" s="3" t="s">
        <v>137</v>
      </c>
      <c r="F126" s="3" t="s">
        <v>19</v>
      </c>
      <c r="G126" s="3" t="s">
        <v>138</v>
      </c>
      <c r="H126" s="3" t="s">
        <v>11</v>
      </c>
      <c r="I126" s="3" t="s">
        <v>7</v>
      </c>
      <c r="J126" s="3" t="s">
        <v>95</v>
      </c>
      <c r="K126" s="3" t="s">
        <v>65</v>
      </c>
      <c r="L126" s="3" t="s">
        <v>92</v>
      </c>
      <c r="M126">
        <v>1</v>
      </c>
    </row>
    <row r="127" spans="1:13" x14ac:dyDescent="0.25">
      <c r="A127" s="1">
        <v>46126</v>
      </c>
      <c r="B127" s="1" t="str">
        <f ca="1">IF(Información1[[#This Row],[Fecha]]='Ajuste de fechas'!$A$2,"Día actual","Día anterior")</f>
        <v>Día anterior</v>
      </c>
      <c r="C127" s="3" t="s">
        <v>63</v>
      </c>
      <c r="D127" t="s">
        <v>64</v>
      </c>
      <c r="E127" s="3" t="s">
        <v>139</v>
      </c>
      <c r="F127" s="3" t="s">
        <v>23</v>
      </c>
      <c r="G127" s="3" t="s">
        <v>102</v>
      </c>
      <c r="H127" s="3" t="s">
        <v>11</v>
      </c>
      <c r="I127" s="3" t="s">
        <v>7</v>
      </c>
      <c r="J127" s="3" t="s">
        <v>96</v>
      </c>
      <c r="K127" s="3" t="s">
        <v>65</v>
      </c>
      <c r="L127" s="3" t="s">
        <v>92</v>
      </c>
      <c r="M127">
        <v>1</v>
      </c>
    </row>
    <row r="128" spans="1:13" x14ac:dyDescent="0.25">
      <c r="A128" s="1">
        <v>46126</v>
      </c>
      <c r="B128" s="1" t="str">
        <f ca="1">IF(Información1[[#This Row],[Fecha]]='Ajuste de fechas'!$A$2,"Día actual","Día anterior")</f>
        <v>Día anterior</v>
      </c>
      <c r="C128" s="3" t="s">
        <v>63</v>
      </c>
      <c r="D128" t="s">
        <v>64</v>
      </c>
      <c r="E128" s="3" t="s">
        <v>140</v>
      </c>
      <c r="F128" s="3" t="s">
        <v>110</v>
      </c>
      <c r="G128" s="3" t="s">
        <v>141</v>
      </c>
      <c r="H128" s="3" t="s">
        <v>11</v>
      </c>
      <c r="I128" s="3" t="s">
        <v>7</v>
      </c>
      <c r="J128" s="3" t="s">
        <v>91</v>
      </c>
      <c r="K128" s="3" t="s">
        <v>65</v>
      </c>
      <c r="L128" s="3" t="s">
        <v>92</v>
      </c>
      <c r="M128">
        <v>1</v>
      </c>
    </row>
    <row r="129" spans="1:13" x14ac:dyDescent="0.25">
      <c r="A129" s="1">
        <v>46126</v>
      </c>
      <c r="B129" s="1" t="str">
        <f ca="1">IF(Información1[[#This Row],[Fecha]]='Ajuste de fechas'!$A$2,"Día actual","Día anterior")</f>
        <v>Día anterior</v>
      </c>
      <c r="C129" s="3" t="s">
        <v>63</v>
      </c>
      <c r="D129" t="s">
        <v>64</v>
      </c>
      <c r="E129" s="3" t="s">
        <v>142</v>
      </c>
      <c r="F129" s="3" t="s">
        <v>30</v>
      </c>
      <c r="G129" s="3" t="s">
        <v>77</v>
      </c>
      <c r="H129" s="3" t="s">
        <v>11</v>
      </c>
      <c r="I129" s="3" t="s">
        <v>27</v>
      </c>
      <c r="J129" s="3" t="s">
        <v>91</v>
      </c>
      <c r="K129" s="3" t="s">
        <v>65</v>
      </c>
      <c r="L129" s="3" t="s">
        <v>92</v>
      </c>
      <c r="M129">
        <v>1</v>
      </c>
    </row>
    <row r="130" spans="1:13" x14ac:dyDescent="0.25">
      <c r="A130" s="1">
        <v>46126</v>
      </c>
      <c r="B130" s="1" t="str">
        <f ca="1">IF(Información1[[#This Row],[Fecha]]='Ajuste de fechas'!$A$2,"Día actual","Día anterior")</f>
        <v>Día anterior</v>
      </c>
      <c r="C130" s="3" t="s">
        <v>50</v>
      </c>
      <c r="D130" t="s">
        <v>51</v>
      </c>
      <c r="E130" s="3" t="s">
        <v>143</v>
      </c>
      <c r="F130" s="3" t="s">
        <v>19</v>
      </c>
      <c r="G130" s="3" t="s">
        <v>144</v>
      </c>
      <c r="H130" s="3" t="s">
        <v>46</v>
      </c>
      <c r="I130" s="3" t="s">
        <v>7</v>
      </c>
      <c r="J130" s="3" t="s">
        <v>95</v>
      </c>
      <c r="K130" s="3" t="s">
        <v>31</v>
      </c>
      <c r="L130" s="3" t="s">
        <v>92</v>
      </c>
      <c r="M130">
        <v>1</v>
      </c>
    </row>
    <row r="131" spans="1:13" x14ac:dyDescent="0.25">
      <c r="A131" s="1">
        <v>46126</v>
      </c>
      <c r="B131" s="1" t="str">
        <f ca="1">IF(Información1[[#This Row],[Fecha]]='Ajuste de fechas'!$A$2,"Día actual","Día anterior")</f>
        <v>Día anterior</v>
      </c>
      <c r="C131" s="3" t="s">
        <v>50</v>
      </c>
      <c r="D131" t="s">
        <v>51</v>
      </c>
      <c r="E131" s="3" t="s">
        <v>145</v>
      </c>
      <c r="F131" s="3" t="s">
        <v>6</v>
      </c>
      <c r="G131" s="3" t="s">
        <v>146</v>
      </c>
      <c r="H131" s="3" t="s">
        <v>46</v>
      </c>
      <c r="I131" s="3" t="s">
        <v>27</v>
      </c>
      <c r="J131" s="3" t="s">
        <v>91</v>
      </c>
      <c r="K131" s="3" t="s">
        <v>31</v>
      </c>
      <c r="L131" s="3" t="s">
        <v>93</v>
      </c>
      <c r="M131">
        <v>1</v>
      </c>
    </row>
    <row r="132" spans="1:13" x14ac:dyDescent="0.25">
      <c r="A132" s="1">
        <v>46126</v>
      </c>
      <c r="B132" s="1" t="str">
        <f ca="1">IF(Información1[[#This Row],[Fecha]]='Ajuste de fechas'!$A$2,"Día actual","Día anterior")</f>
        <v>Día anterior</v>
      </c>
      <c r="C132" s="3" t="s">
        <v>50</v>
      </c>
      <c r="D132" t="s">
        <v>51</v>
      </c>
      <c r="E132" s="3" t="s">
        <v>147</v>
      </c>
      <c r="F132" s="3" t="s">
        <v>6</v>
      </c>
      <c r="G132" s="3" t="s">
        <v>148</v>
      </c>
      <c r="H132" s="3" t="s">
        <v>46</v>
      </c>
      <c r="I132" s="3" t="s">
        <v>27</v>
      </c>
      <c r="J132" s="3" t="s">
        <v>91</v>
      </c>
      <c r="K132" s="3" t="s">
        <v>9</v>
      </c>
      <c r="L132" s="3" t="s">
        <v>93</v>
      </c>
      <c r="M132">
        <v>1</v>
      </c>
    </row>
    <row r="133" spans="1:13" x14ac:dyDescent="0.25">
      <c r="A133" s="1">
        <v>46126</v>
      </c>
      <c r="B133" s="1" t="str">
        <f ca="1">IF(Información1[[#This Row],[Fecha]]='Ajuste de fechas'!$A$2,"Día actual","Día anterior")</f>
        <v>Día anterior</v>
      </c>
      <c r="C133" s="3" t="s">
        <v>50</v>
      </c>
      <c r="D133" t="s">
        <v>51</v>
      </c>
      <c r="E133" s="3" t="s">
        <v>149</v>
      </c>
      <c r="F133" s="3" t="s">
        <v>22</v>
      </c>
      <c r="G133" s="3" t="s">
        <v>54</v>
      </c>
      <c r="H133" s="3" t="s">
        <v>46</v>
      </c>
      <c r="I133" s="3" t="s">
        <v>7</v>
      </c>
      <c r="J133" s="3" t="s">
        <v>26</v>
      </c>
      <c r="K133" s="3" t="s">
        <v>31</v>
      </c>
      <c r="L133" s="3" t="s">
        <v>92</v>
      </c>
      <c r="M133">
        <v>1</v>
      </c>
    </row>
    <row r="134" spans="1:13" x14ac:dyDescent="0.25">
      <c r="A134" s="1">
        <v>46126</v>
      </c>
      <c r="B134" s="1" t="str">
        <f ca="1">IF(Información1[[#This Row],[Fecha]]='Ajuste de fechas'!$A$2,"Día actual","Día anterior")</f>
        <v>Día anterior</v>
      </c>
      <c r="C134" s="3" t="s">
        <v>50</v>
      </c>
      <c r="D134" t="s">
        <v>51</v>
      </c>
      <c r="E134" s="3" t="s">
        <v>150</v>
      </c>
      <c r="F134" s="3" t="s">
        <v>26</v>
      </c>
      <c r="G134" s="3" t="s">
        <v>151</v>
      </c>
      <c r="H134" s="3" t="s">
        <v>46</v>
      </c>
      <c r="I134" s="3" t="s">
        <v>7</v>
      </c>
      <c r="J134" s="3" t="s">
        <v>26</v>
      </c>
      <c r="K134" s="3" t="s">
        <v>152</v>
      </c>
      <c r="L134" s="3" t="s">
        <v>93</v>
      </c>
      <c r="M134">
        <v>1</v>
      </c>
    </row>
    <row r="135" spans="1:13" x14ac:dyDescent="0.25">
      <c r="A135" s="1">
        <v>46126</v>
      </c>
      <c r="B135" s="1" t="str">
        <f ca="1">IF(Información1[[#This Row],[Fecha]]='Ajuste de fechas'!$A$2,"Día actual","Día anterior")</f>
        <v>Día anterior</v>
      </c>
      <c r="C135" s="3" t="s">
        <v>50</v>
      </c>
      <c r="D135" t="s">
        <v>51</v>
      </c>
      <c r="E135" s="3" t="s">
        <v>153</v>
      </c>
      <c r="F135" s="3" t="s">
        <v>22</v>
      </c>
      <c r="G135" s="3" t="s">
        <v>154</v>
      </c>
      <c r="H135" s="3" t="s">
        <v>46</v>
      </c>
      <c r="I135" s="3" t="s">
        <v>7</v>
      </c>
      <c r="J135" s="3" t="s">
        <v>26</v>
      </c>
      <c r="K135" s="3" t="s">
        <v>31</v>
      </c>
      <c r="L135" s="3" t="s">
        <v>92</v>
      </c>
      <c r="M135">
        <v>1</v>
      </c>
    </row>
    <row r="136" spans="1:13" x14ac:dyDescent="0.25">
      <c r="A136" s="1">
        <v>46126</v>
      </c>
      <c r="B136" s="1" t="str">
        <f ca="1">IF(Información1[[#This Row],[Fecha]]='Ajuste de fechas'!$A$2,"Día actual","Día anterior")</f>
        <v>Día anterior</v>
      </c>
      <c r="C136" s="3" t="s">
        <v>50</v>
      </c>
      <c r="D136" t="s">
        <v>51</v>
      </c>
      <c r="E136" s="3" t="s">
        <v>155</v>
      </c>
      <c r="F136" s="3" t="s">
        <v>21</v>
      </c>
      <c r="G136" s="3" t="s">
        <v>156</v>
      </c>
      <c r="H136" s="3" t="s">
        <v>46</v>
      </c>
      <c r="I136" s="3" t="s">
        <v>7</v>
      </c>
      <c r="J136" s="3" t="s">
        <v>91</v>
      </c>
      <c r="K136" s="3" t="s">
        <v>31</v>
      </c>
      <c r="L136" s="3" t="s">
        <v>93</v>
      </c>
      <c r="M136">
        <v>1</v>
      </c>
    </row>
    <row r="137" spans="1:13" x14ac:dyDescent="0.25">
      <c r="A137" s="1">
        <v>46126</v>
      </c>
      <c r="B137" s="1" t="str">
        <f ca="1">IF(Información1[[#This Row],[Fecha]]='Ajuste de fechas'!$A$2,"Día actual","Día anterior")</f>
        <v>Día anterior</v>
      </c>
      <c r="C137" s="3" t="s">
        <v>50</v>
      </c>
      <c r="D137" t="s">
        <v>51</v>
      </c>
      <c r="E137" s="3" t="s">
        <v>157</v>
      </c>
      <c r="F137" s="3" t="s">
        <v>62</v>
      </c>
      <c r="G137" s="3" t="s">
        <v>144</v>
      </c>
      <c r="H137" s="3" t="s">
        <v>46</v>
      </c>
      <c r="I137" s="3" t="s">
        <v>7</v>
      </c>
      <c r="J137" s="3" t="s">
        <v>91</v>
      </c>
      <c r="K137" s="3" t="s">
        <v>31</v>
      </c>
      <c r="L137" s="3" t="s">
        <v>94</v>
      </c>
      <c r="M137">
        <v>1</v>
      </c>
    </row>
    <row r="138" spans="1:13" x14ac:dyDescent="0.25">
      <c r="A138" s="1">
        <v>46126</v>
      </c>
      <c r="B138" s="1" t="str">
        <f ca="1">IF(Información1[[#This Row],[Fecha]]='Ajuste de fechas'!$A$2,"Día actual","Día anterior")</f>
        <v>Día anterior</v>
      </c>
      <c r="C138" s="3" t="s">
        <v>50</v>
      </c>
      <c r="D138" t="s">
        <v>51</v>
      </c>
      <c r="E138" s="3" t="s">
        <v>158</v>
      </c>
      <c r="F138" s="3" t="s">
        <v>17</v>
      </c>
      <c r="G138" s="3" t="s">
        <v>109</v>
      </c>
      <c r="H138" s="3" t="s">
        <v>46</v>
      </c>
      <c r="I138" s="3" t="s">
        <v>7</v>
      </c>
      <c r="J138" s="3" t="s">
        <v>91</v>
      </c>
      <c r="K138" s="3" t="s">
        <v>31</v>
      </c>
      <c r="L138" s="3" t="s">
        <v>94</v>
      </c>
      <c r="M138">
        <v>1</v>
      </c>
    </row>
    <row r="139" spans="1:13" x14ac:dyDescent="0.25">
      <c r="A139" s="1">
        <v>46126</v>
      </c>
      <c r="B139" s="1" t="str">
        <f ca="1">IF(Información1[[#This Row],[Fecha]]='Ajuste de fechas'!$A$2,"Día actual","Día anterior")</f>
        <v>Día anterior</v>
      </c>
      <c r="C139" s="3" t="s">
        <v>50</v>
      </c>
      <c r="D139" t="s">
        <v>51</v>
      </c>
      <c r="E139" s="3" t="s">
        <v>159</v>
      </c>
      <c r="F139" s="3" t="s">
        <v>28</v>
      </c>
      <c r="G139" s="3" t="s">
        <v>160</v>
      </c>
      <c r="H139" s="3" t="s">
        <v>46</v>
      </c>
      <c r="I139" s="3" t="s">
        <v>7</v>
      </c>
      <c r="J139" s="3" t="s">
        <v>91</v>
      </c>
      <c r="K139" s="3" t="s">
        <v>31</v>
      </c>
      <c r="L139" s="3" t="s">
        <v>94</v>
      </c>
      <c r="M139">
        <v>1</v>
      </c>
    </row>
    <row r="140" spans="1:13" x14ac:dyDescent="0.25">
      <c r="A140" s="1">
        <v>46126</v>
      </c>
      <c r="B140" s="1" t="str">
        <f ca="1">IF(Información1[[#This Row],[Fecha]]='Ajuste de fechas'!$A$2,"Día actual","Día anterior")</f>
        <v>Día anterior</v>
      </c>
      <c r="C140" s="3" t="s">
        <v>50</v>
      </c>
      <c r="D140" t="s">
        <v>51</v>
      </c>
      <c r="E140" s="3" t="s">
        <v>161</v>
      </c>
      <c r="F140" s="3" t="s">
        <v>24</v>
      </c>
      <c r="G140" s="3" t="s">
        <v>47</v>
      </c>
      <c r="H140" s="3" t="s">
        <v>46</v>
      </c>
      <c r="I140" s="3" t="s">
        <v>7</v>
      </c>
      <c r="J140" s="3" t="s">
        <v>91</v>
      </c>
      <c r="K140" s="3" t="s">
        <v>31</v>
      </c>
      <c r="L140" s="3" t="s">
        <v>92</v>
      </c>
      <c r="M140">
        <v>1</v>
      </c>
    </row>
    <row r="141" spans="1:13" x14ac:dyDescent="0.25">
      <c r="A141" s="1">
        <v>46126</v>
      </c>
      <c r="B141" s="1" t="str">
        <f ca="1">IF(Información1[[#This Row],[Fecha]]='Ajuste de fechas'!$A$2,"Día actual","Día anterior")</f>
        <v>Día anterior</v>
      </c>
      <c r="C141" s="3" t="s">
        <v>8</v>
      </c>
      <c r="D141" t="s">
        <v>10</v>
      </c>
      <c r="E141" s="3" t="s">
        <v>162</v>
      </c>
      <c r="F141" s="3" t="s">
        <v>6</v>
      </c>
      <c r="G141" s="3" t="s">
        <v>78</v>
      </c>
      <c r="H141" s="3" t="s">
        <v>11</v>
      </c>
      <c r="I141" s="3" t="s">
        <v>27</v>
      </c>
      <c r="J141" s="3" t="s">
        <v>91</v>
      </c>
      <c r="K141" s="3" t="s">
        <v>9</v>
      </c>
      <c r="L141" s="3" t="s">
        <v>93</v>
      </c>
      <c r="M141">
        <v>1</v>
      </c>
    </row>
    <row r="142" spans="1:13" x14ac:dyDescent="0.25">
      <c r="A142" s="1">
        <v>46126</v>
      </c>
      <c r="B142" s="1" t="str">
        <f ca="1">IF(Información1[[#This Row],[Fecha]]='Ajuste de fechas'!$A$2,"Día actual","Día anterior")</f>
        <v>Día anterior</v>
      </c>
      <c r="C142" s="3" t="s">
        <v>8</v>
      </c>
      <c r="D142" t="s">
        <v>10</v>
      </c>
      <c r="E142" s="3" t="s">
        <v>163</v>
      </c>
      <c r="F142" s="3" t="s">
        <v>26</v>
      </c>
      <c r="G142" s="3" t="s">
        <v>164</v>
      </c>
      <c r="H142" s="3" t="s">
        <v>11</v>
      </c>
      <c r="I142" s="3" t="s">
        <v>7</v>
      </c>
      <c r="J142" s="3" t="s">
        <v>26</v>
      </c>
      <c r="K142" s="3" t="s">
        <v>14</v>
      </c>
      <c r="L142" s="3" t="s">
        <v>92</v>
      </c>
      <c r="M142">
        <v>1</v>
      </c>
    </row>
    <row r="143" spans="1:13" x14ac:dyDescent="0.25">
      <c r="A143" s="1">
        <v>46126</v>
      </c>
      <c r="B143" s="1" t="str">
        <f ca="1">IF(Información1[[#This Row],[Fecha]]='Ajuste de fechas'!$A$2,"Día actual","Día anterior")</f>
        <v>Día anterior</v>
      </c>
      <c r="C143" s="3" t="s">
        <v>8</v>
      </c>
      <c r="D143" t="s">
        <v>10</v>
      </c>
      <c r="E143" s="3" t="s">
        <v>165</v>
      </c>
      <c r="F143" s="3" t="s">
        <v>6</v>
      </c>
      <c r="G143" s="3" t="s">
        <v>166</v>
      </c>
      <c r="H143" s="3" t="s">
        <v>11</v>
      </c>
      <c r="I143" s="3" t="s">
        <v>27</v>
      </c>
      <c r="J143" s="3" t="s">
        <v>91</v>
      </c>
      <c r="K143" s="3" t="s">
        <v>9</v>
      </c>
      <c r="L143" s="3" t="s">
        <v>93</v>
      </c>
      <c r="M143">
        <v>1</v>
      </c>
    </row>
    <row r="144" spans="1:13" x14ac:dyDescent="0.25">
      <c r="A144" s="1">
        <v>46126</v>
      </c>
      <c r="B144" s="1" t="str">
        <f ca="1">IF(Información1[[#This Row],[Fecha]]='Ajuste de fechas'!$A$2,"Día actual","Día anterior")</f>
        <v>Día anterior</v>
      </c>
      <c r="C144" s="3" t="s">
        <v>8</v>
      </c>
      <c r="D144" t="s">
        <v>10</v>
      </c>
      <c r="E144" s="3" t="s">
        <v>20</v>
      </c>
      <c r="F144" s="3" t="s">
        <v>19</v>
      </c>
      <c r="G144" s="3" t="s">
        <v>81</v>
      </c>
      <c r="H144" s="3" t="s">
        <v>11</v>
      </c>
      <c r="I144" s="3" t="s">
        <v>12</v>
      </c>
      <c r="J144" s="3" t="s">
        <v>95</v>
      </c>
      <c r="K144" s="3" t="s">
        <v>14</v>
      </c>
      <c r="L144" s="3" t="s">
        <v>93</v>
      </c>
      <c r="M144">
        <v>1</v>
      </c>
    </row>
    <row r="145" spans="1:13" x14ac:dyDescent="0.25">
      <c r="A145" s="1">
        <v>46126</v>
      </c>
      <c r="B145" s="1" t="str">
        <f ca="1">IF(Información1[[#This Row],[Fecha]]='Ajuste de fechas'!$A$2,"Día actual","Día anterior")</f>
        <v>Día anterior</v>
      </c>
      <c r="C145" s="3" t="s">
        <v>8</v>
      </c>
      <c r="D145" t="s">
        <v>10</v>
      </c>
      <c r="E145" s="3" t="s">
        <v>18</v>
      </c>
      <c r="F145" s="3" t="s">
        <v>19</v>
      </c>
      <c r="G145" s="3" t="s">
        <v>81</v>
      </c>
      <c r="H145" s="3" t="s">
        <v>11</v>
      </c>
      <c r="I145" s="3" t="s">
        <v>12</v>
      </c>
      <c r="J145" s="3" t="s">
        <v>95</v>
      </c>
      <c r="K145" s="3" t="s">
        <v>14</v>
      </c>
      <c r="L145" s="3" t="s">
        <v>93</v>
      </c>
      <c r="M145">
        <v>1</v>
      </c>
    </row>
    <row r="146" spans="1:13" x14ac:dyDescent="0.25">
      <c r="A146" s="1">
        <v>46126</v>
      </c>
      <c r="B146" s="1" t="str">
        <f ca="1">IF(Información1[[#This Row],[Fecha]]='Ajuste de fechas'!$A$2,"Día actual","Día anterior")</f>
        <v>Día anterior</v>
      </c>
      <c r="C146" s="3" t="s">
        <v>8</v>
      </c>
      <c r="D146" t="s">
        <v>10</v>
      </c>
      <c r="E146" s="3" t="s">
        <v>72</v>
      </c>
      <c r="F146" s="3" t="s">
        <v>22</v>
      </c>
      <c r="G146" s="3" t="s">
        <v>81</v>
      </c>
      <c r="H146" s="3" t="s">
        <v>11</v>
      </c>
      <c r="I146" s="3" t="s">
        <v>12</v>
      </c>
      <c r="J146" s="3" t="s">
        <v>26</v>
      </c>
      <c r="K146" s="3" t="s">
        <v>14</v>
      </c>
      <c r="L146" s="3" t="s">
        <v>93</v>
      </c>
      <c r="M146">
        <v>1</v>
      </c>
    </row>
    <row r="147" spans="1:13" x14ac:dyDescent="0.25">
      <c r="A147" s="1">
        <v>46126</v>
      </c>
      <c r="B147" s="1" t="str">
        <f ca="1">IF(Información1[[#This Row],[Fecha]]='Ajuste de fechas'!$A$2,"Día actual","Día anterior")</f>
        <v>Día anterior</v>
      </c>
      <c r="C147" s="3" t="s">
        <v>8</v>
      </c>
      <c r="D147" t="s">
        <v>10</v>
      </c>
      <c r="E147" s="3" t="s">
        <v>101</v>
      </c>
      <c r="F147" s="3" t="s">
        <v>21</v>
      </c>
      <c r="G147" s="3" t="s">
        <v>81</v>
      </c>
      <c r="H147" s="3" t="s">
        <v>11</v>
      </c>
      <c r="I147" s="3" t="s">
        <v>12</v>
      </c>
      <c r="J147" s="3" t="s">
        <v>91</v>
      </c>
      <c r="K147" s="3" t="s">
        <v>14</v>
      </c>
      <c r="L147" s="3" t="s">
        <v>93</v>
      </c>
      <c r="M147">
        <v>1</v>
      </c>
    </row>
    <row r="148" spans="1:13" x14ac:dyDescent="0.25">
      <c r="A148" s="1">
        <v>46126</v>
      </c>
      <c r="B148" s="1" t="str">
        <f ca="1">IF(Información1[[#This Row],[Fecha]]='Ajuste de fechas'!$A$2,"Día actual","Día anterior")</f>
        <v>Día anterior</v>
      </c>
      <c r="C148" s="3" t="s">
        <v>8</v>
      </c>
      <c r="D148" t="s">
        <v>10</v>
      </c>
      <c r="E148" s="3" t="s">
        <v>13</v>
      </c>
      <c r="F148" s="3" t="s">
        <v>15</v>
      </c>
      <c r="G148" s="3" t="s">
        <v>81</v>
      </c>
      <c r="H148" s="3" t="s">
        <v>11</v>
      </c>
      <c r="I148" s="3" t="s">
        <v>12</v>
      </c>
      <c r="J148" s="3" t="s">
        <v>91</v>
      </c>
      <c r="K148" s="3" t="s">
        <v>14</v>
      </c>
      <c r="L148" s="3" t="s">
        <v>93</v>
      </c>
      <c r="M148">
        <v>1</v>
      </c>
    </row>
    <row r="149" spans="1:13" x14ac:dyDescent="0.25">
      <c r="A149" s="1">
        <v>46126</v>
      </c>
      <c r="B149" s="1" t="str">
        <f ca="1">IF(Información1[[#This Row],[Fecha]]='Ajuste de fechas'!$A$2,"Día actual","Día anterior")</f>
        <v>Día anterior</v>
      </c>
      <c r="C149" s="3" t="s">
        <v>8</v>
      </c>
      <c r="D149" t="s">
        <v>10</v>
      </c>
      <c r="E149" s="3" t="s">
        <v>16</v>
      </c>
      <c r="F149" s="3" t="s">
        <v>17</v>
      </c>
      <c r="G149" s="3" t="s">
        <v>81</v>
      </c>
      <c r="H149" s="3" t="s">
        <v>11</v>
      </c>
      <c r="I149" s="3" t="s">
        <v>12</v>
      </c>
      <c r="J149" s="3" t="s">
        <v>91</v>
      </c>
      <c r="K149" s="3" t="s">
        <v>14</v>
      </c>
      <c r="L149" s="3" t="s">
        <v>93</v>
      </c>
      <c r="M149">
        <v>1</v>
      </c>
    </row>
    <row r="150" spans="1:13" x14ac:dyDescent="0.25">
      <c r="A150" s="1">
        <v>46126</v>
      </c>
      <c r="B150" s="1" t="str">
        <f ca="1">IF(Información1[[#This Row],[Fecha]]='Ajuste de fechas'!$A$2,"Día actual","Día anterior")</f>
        <v>Día anterior</v>
      </c>
      <c r="C150" s="3" t="s">
        <v>8</v>
      </c>
      <c r="D150" t="s">
        <v>10</v>
      </c>
      <c r="E150" s="3" t="s">
        <v>84</v>
      </c>
      <c r="F150" s="3" t="s">
        <v>6</v>
      </c>
      <c r="G150" s="3" t="s">
        <v>81</v>
      </c>
      <c r="H150" s="3" t="s">
        <v>11</v>
      </c>
      <c r="I150" s="3" t="s">
        <v>12</v>
      </c>
      <c r="J150" s="3" t="s">
        <v>91</v>
      </c>
      <c r="K150" s="3" t="s">
        <v>14</v>
      </c>
      <c r="L150" s="3" t="s">
        <v>93</v>
      </c>
      <c r="M150">
        <v>1</v>
      </c>
    </row>
    <row r="151" spans="1:13" x14ac:dyDescent="0.25">
      <c r="A151" s="1">
        <v>46126</v>
      </c>
      <c r="B151" s="1" t="str">
        <f ca="1">IF(Información1[[#This Row],[Fecha]]='Ajuste de fechas'!$A$2,"Día actual","Día anterior")</f>
        <v>Día anterior</v>
      </c>
      <c r="C151" s="3" t="s">
        <v>39</v>
      </c>
      <c r="D151" t="s">
        <v>42</v>
      </c>
      <c r="E151" s="3" t="s">
        <v>167</v>
      </c>
      <c r="F151" s="3" t="s">
        <v>23</v>
      </c>
      <c r="G151" s="3" t="s">
        <v>102</v>
      </c>
      <c r="H151" s="3" t="s">
        <v>11</v>
      </c>
      <c r="I151" s="3" t="s">
        <v>7</v>
      </c>
      <c r="J151" s="3" t="s">
        <v>96</v>
      </c>
      <c r="K151" s="3" t="s">
        <v>40</v>
      </c>
      <c r="L151" s="3" t="s">
        <v>92</v>
      </c>
      <c r="M151">
        <v>1</v>
      </c>
    </row>
    <row r="152" spans="1:13" x14ac:dyDescent="0.25">
      <c r="A152" s="1">
        <v>46126</v>
      </c>
      <c r="B152" s="1" t="str">
        <f ca="1">IF(Información1[[#This Row],[Fecha]]='Ajuste de fechas'!$A$2,"Día actual","Día anterior")</f>
        <v>Día anterior</v>
      </c>
      <c r="C152" s="3" t="s">
        <v>8</v>
      </c>
      <c r="D152" t="s">
        <v>10</v>
      </c>
      <c r="E152" s="3" t="s">
        <v>168</v>
      </c>
      <c r="F152" s="3" t="s">
        <v>19</v>
      </c>
      <c r="G152" s="3" t="s">
        <v>103</v>
      </c>
      <c r="H152" s="3" t="s">
        <v>11</v>
      </c>
      <c r="I152" s="3" t="s">
        <v>27</v>
      </c>
      <c r="J152" s="3" t="s">
        <v>95</v>
      </c>
      <c r="K152" s="3" t="s">
        <v>9</v>
      </c>
      <c r="L152" s="3" t="s">
        <v>93</v>
      </c>
      <c r="M152">
        <v>1</v>
      </c>
    </row>
    <row r="153" spans="1:13" x14ac:dyDescent="0.25">
      <c r="A153" s="1">
        <v>46126</v>
      </c>
      <c r="B153" s="1" t="str">
        <f ca="1">IF(Información1[[#This Row],[Fecha]]='Ajuste de fechas'!$A$2,"Día actual","Día anterior")</f>
        <v>Día anterior</v>
      </c>
      <c r="C153" s="3" t="s">
        <v>39</v>
      </c>
      <c r="D153" t="s">
        <v>42</v>
      </c>
      <c r="E153" s="3" t="s">
        <v>169</v>
      </c>
      <c r="F153" s="3" t="s">
        <v>23</v>
      </c>
      <c r="G153" s="3" t="s">
        <v>170</v>
      </c>
      <c r="H153" s="3" t="s">
        <v>11</v>
      </c>
      <c r="I153" s="3" t="s">
        <v>7</v>
      </c>
      <c r="J153" s="3" t="s">
        <v>96</v>
      </c>
      <c r="K153" s="3" t="s">
        <v>40</v>
      </c>
      <c r="L153" s="3" t="s">
        <v>92</v>
      </c>
      <c r="M153">
        <v>1</v>
      </c>
    </row>
    <row r="154" spans="1:13" x14ac:dyDescent="0.25">
      <c r="A154" s="1">
        <v>46126</v>
      </c>
      <c r="B154" s="1" t="str">
        <f ca="1">IF(Información1[[#This Row],[Fecha]]='Ajuste de fechas'!$A$2,"Día actual","Día anterior")</f>
        <v>Día anterior</v>
      </c>
      <c r="C154" s="3" t="s">
        <v>39</v>
      </c>
      <c r="D154" t="s">
        <v>41</v>
      </c>
      <c r="E154" s="3" t="s">
        <v>171</v>
      </c>
      <c r="F154" s="3" t="s">
        <v>24</v>
      </c>
      <c r="G154" s="3" t="s">
        <v>172</v>
      </c>
      <c r="H154" s="3" t="s">
        <v>11</v>
      </c>
      <c r="I154" s="3" t="s">
        <v>12</v>
      </c>
      <c r="J154" s="3" t="s">
        <v>91</v>
      </c>
      <c r="K154" s="3" t="s">
        <v>83</v>
      </c>
      <c r="L154" s="3" t="s">
        <v>93</v>
      </c>
      <c r="M154">
        <v>1</v>
      </c>
    </row>
    <row r="155" spans="1:13" x14ac:dyDescent="0.25">
      <c r="A155" s="1">
        <v>46126</v>
      </c>
      <c r="B155" s="1" t="str">
        <f ca="1">IF(Información1[[#This Row],[Fecha]]='Ajuste de fechas'!$A$2,"Día actual","Día anterior")</f>
        <v>Día anterior</v>
      </c>
      <c r="C155" s="3" t="s">
        <v>39</v>
      </c>
      <c r="D155" t="s">
        <v>41</v>
      </c>
      <c r="E155" s="3" t="s">
        <v>173</v>
      </c>
      <c r="F155" s="3" t="s">
        <v>24</v>
      </c>
      <c r="G155" s="3" t="s">
        <v>172</v>
      </c>
      <c r="H155" s="3" t="s">
        <v>11</v>
      </c>
      <c r="I155" s="3" t="s">
        <v>7</v>
      </c>
      <c r="J155" s="3" t="s">
        <v>91</v>
      </c>
      <c r="K155" s="3" t="s">
        <v>83</v>
      </c>
      <c r="L155" s="3" t="s">
        <v>94</v>
      </c>
      <c r="M155">
        <v>1</v>
      </c>
    </row>
    <row r="156" spans="1:13" x14ac:dyDescent="0.25">
      <c r="A156" s="1">
        <v>46126</v>
      </c>
      <c r="B156" s="1" t="str">
        <f ca="1">IF(Información1[[#This Row],[Fecha]]='Ajuste de fechas'!$A$2,"Día actual","Día anterior")</f>
        <v>Día anterior</v>
      </c>
      <c r="C156" s="3" t="s">
        <v>39</v>
      </c>
      <c r="D156" t="s">
        <v>41</v>
      </c>
      <c r="E156" s="3" t="s">
        <v>174</v>
      </c>
      <c r="F156" s="3" t="s">
        <v>24</v>
      </c>
      <c r="G156" s="3" t="s">
        <v>172</v>
      </c>
      <c r="H156" s="3" t="s">
        <v>11</v>
      </c>
      <c r="I156" s="3" t="s">
        <v>7</v>
      </c>
      <c r="J156" s="3" t="s">
        <v>91</v>
      </c>
      <c r="K156" s="3" t="s">
        <v>83</v>
      </c>
      <c r="L156" s="3" t="s">
        <v>94</v>
      </c>
      <c r="M156">
        <v>1</v>
      </c>
    </row>
    <row r="157" spans="1:13" x14ac:dyDescent="0.25">
      <c r="A157" s="1">
        <v>46126</v>
      </c>
      <c r="B157" s="1" t="str">
        <f ca="1">IF(Información1[[#This Row],[Fecha]]='Ajuste de fechas'!$A$2,"Día actual","Día anterior")</f>
        <v>Día anterior</v>
      </c>
      <c r="C157" s="3" t="s">
        <v>39</v>
      </c>
      <c r="D157" t="s">
        <v>42</v>
      </c>
      <c r="E157" s="3" t="s">
        <v>174</v>
      </c>
      <c r="F157" s="3" t="s">
        <v>24</v>
      </c>
      <c r="G157" s="3" t="s">
        <v>172</v>
      </c>
      <c r="H157" s="3" t="s">
        <v>11</v>
      </c>
      <c r="I157" s="3" t="s">
        <v>7</v>
      </c>
      <c r="J157" s="3" t="s">
        <v>91</v>
      </c>
      <c r="K157" s="3" t="s">
        <v>40</v>
      </c>
      <c r="L157" s="3" t="s">
        <v>94</v>
      </c>
      <c r="M157">
        <v>1</v>
      </c>
    </row>
    <row r="158" spans="1:13" x14ac:dyDescent="0.25">
      <c r="A158" s="1">
        <v>46126</v>
      </c>
      <c r="B158" s="1" t="str">
        <f ca="1">IF(Información1[[#This Row],[Fecha]]='Ajuste de fechas'!$A$2,"Día actual","Día anterior")</f>
        <v>Día anterior</v>
      </c>
      <c r="C158" s="3" t="s">
        <v>39</v>
      </c>
      <c r="D158" t="s">
        <v>42</v>
      </c>
      <c r="E158" s="3" t="s">
        <v>173</v>
      </c>
      <c r="F158" s="3" t="s">
        <v>24</v>
      </c>
      <c r="G158" s="3" t="s">
        <v>172</v>
      </c>
      <c r="H158" s="3" t="s">
        <v>11</v>
      </c>
      <c r="I158" s="3" t="s">
        <v>7</v>
      </c>
      <c r="J158" s="3" t="s">
        <v>91</v>
      </c>
      <c r="K158" s="3" t="s">
        <v>40</v>
      </c>
      <c r="L158" s="3" t="s">
        <v>94</v>
      </c>
      <c r="M158">
        <v>1</v>
      </c>
    </row>
    <row r="159" spans="1:13" x14ac:dyDescent="0.25">
      <c r="A159" s="1">
        <v>46126</v>
      </c>
      <c r="B159" s="1" t="str">
        <f ca="1">IF(Información1[[#This Row],[Fecha]]='Ajuste de fechas'!$A$2,"Día actual","Día anterior")</f>
        <v>Día anterior</v>
      </c>
      <c r="C159" s="3" t="s">
        <v>39</v>
      </c>
      <c r="D159" t="s">
        <v>42</v>
      </c>
      <c r="E159" s="3" t="s">
        <v>175</v>
      </c>
      <c r="F159" s="3" t="s">
        <v>48</v>
      </c>
      <c r="G159" s="3" t="s">
        <v>172</v>
      </c>
      <c r="H159" s="3" t="s">
        <v>11</v>
      </c>
      <c r="I159" s="3" t="s">
        <v>7</v>
      </c>
      <c r="J159" s="3" t="s">
        <v>91</v>
      </c>
      <c r="K159" s="3" t="s">
        <v>40</v>
      </c>
      <c r="L159" s="3" t="s">
        <v>92</v>
      </c>
      <c r="M159">
        <v>1</v>
      </c>
    </row>
    <row r="160" spans="1:13" x14ac:dyDescent="0.25">
      <c r="A160" s="1">
        <v>46126</v>
      </c>
      <c r="B160" s="1" t="str">
        <f ca="1">IF(Información1[[#This Row],[Fecha]]='Ajuste de fechas'!$A$2,"Día actual","Día anterior")</f>
        <v>Día anterior</v>
      </c>
      <c r="C160" s="3" t="s">
        <v>39</v>
      </c>
      <c r="D160" t="s">
        <v>42</v>
      </c>
      <c r="E160" s="3" t="s">
        <v>176</v>
      </c>
      <c r="F160" s="3" t="s">
        <v>23</v>
      </c>
      <c r="G160" s="3" t="s">
        <v>177</v>
      </c>
      <c r="H160" s="3" t="s">
        <v>11</v>
      </c>
      <c r="I160" s="3" t="s">
        <v>7</v>
      </c>
      <c r="J160" s="3" t="s">
        <v>96</v>
      </c>
      <c r="K160" s="3" t="s">
        <v>40</v>
      </c>
      <c r="L160" s="3" t="s">
        <v>92</v>
      </c>
      <c r="M160">
        <v>1</v>
      </c>
    </row>
    <row r="161" spans="1:13" x14ac:dyDescent="0.25">
      <c r="A161" s="1">
        <v>46126</v>
      </c>
      <c r="B161" s="1" t="str">
        <f ca="1">IF(Información1[[#This Row],[Fecha]]='Ajuste de fechas'!$A$2,"Día actual","Día anterior")</f>
        <v>Día anterior</v>
      </c>
      <c r="C161" s="3" t="s">
        <v>8</v>
      </c>
      <c r="D161" t="s">
        <v>10</v>
      </c>
      <c r="E161" s="3" t="s">
        <v>178</v>
      </c>
      <c r="F161" s="3" t="s">
        <v>62</v>
      </c>
      <c r="G161" s="3" t="s">
        <v>144</v>
      </c>
      <c r="H161" s="3" t="s">
        <v>11</v>
      </c>
      <c r="I161" s="3" t="s">
        <v>7</v>
      </c>
      <c r="J161" s="3" t="s">
        <v>91</v>
      </c>
      <c r="K161" s="3" t="s">
        <v>14</v>
      </c>
      <c r="L161" s="3" t="s">
        <v>94</v>
      </c>
      <c r="M161">
        <v>1</v>
      </c>
    </row>
    <row r="162" spans="1:13" x14ac:dyDescent="0.25">
      <c r="A162" s="1">
        <v>46126</v>
      </c>
      <c r="B162" s="1" t="str">
        <f ca="1">IF(Información1[[#This Row],[Fecha]]='Ajuste de fechas'!$A$2,"Día actual","Día anterior")</f>
        <v>Día anterior</v>
      </c>
      <c r="C162" s="3" t="s">
        <v>39</v>
      </c>
      <c r="D162" t="s">
        <v>42</v>
      </c>
      <c r="E162" s="3" t="s">
        <v>179</v>
      </c>
      <c r="F162" s="3" t="s">
        <v>15</v>
      </c>
      <c r="G162" s="3" t="s">
        <v>114</v>
      </c>
      <c r="H162" s="3" t="s">
        <v>11</v>
      </c>
      <c r="I162" s="3" t="s">
        <v>7</v>
      </c>
      <c r="J162" s="3" t="s">
        <v>91</v>
      </c>
      <c r="K162" s="3" t="s">
        <v>40</v>
      </c>
      <c r="L162" s="3" t="s">
        <v>94</v>
      </c>
      <c r="M162">
        <v>1</v>
      </c>
    </row>
    <row r="163" spans="1:13" x14ac:dyDescent="0.25">
      <c r="A163" s="1">
        <v>46126</v>
      </c>
      <c r="B163" s="1" t="str">
        <f ca="1">IF(Información1[[#This Row],[Fecha]]='Ajuste de fechas'!$A$2,"Día actual","Día anterior")</f>
        <v>Día anterior</v>
      </c>
      <c r="C163" s="3" t="s">
        <v>8</v>
      </c>
      <c r="D163" t="s">
        <v>10</v>
      </c>
      <c r="E163" s="3" t="s">
        <v>179</v>
      </c>
      <c r="F163" s="3" t="s">
        <v>15</v>
      </c>
      <c r="G163" s="3" t="s">
        <v>114</v>
      </c>
      <c r="H163" s="3" t="s">
        <v>11</v>
      </c>
      <c r="I163" s="3" t="s">
        <v>7</v>
      </c>
      <c r="J163" s="3" t="s">
        <v>91</v>
      </c>
      <c r="K163" s="3" t="s">
        <v>14</v>
      </c>
      <c r="L163" s="3" t="s">
        <v>94</v>
      </c>
      <c r="M163">
        <v>1</v>
      </c>
    </row>
    <row r="164" spans="1:13" x14ac:dyDescent="0.25">
      <c r="A164" s="1">
        <v>46126</v>
      </c>
      <c r="B164" s="1" t="str">
        <f ca="1">IF(Información1[[#This Row],[Fecha]]='Ajuste de fechas'!$A$2,"Día actual","Día anterior")</f>
        <v>Día anterior</v>
      </c>
      <c r="C164" s="3" t="s">
        <v>8</v>
      </c>
      <c r="D164" t="s">
        <v>10</v>
      </c>
      <c r="E164" s="3" t="s">
        <v>180</v>
      </c>
      <c r="F164" s="3" t="s">
        <v>6</v>
      </c>
      <c r="G164" s="3" t="s">
        <v>104</v>
      </c>
      <c r="H164" s="3" t="s">
        <v>11</v>
      </c>
      <c r="I164" s="3" t="s">
        <v>27</v>
      </c>
      <c r="J164" s="3" t="s">
        <v>91</v>
      </c>
      <c r="K164" s="3" t="s">
        <v>9</v>
      </c>
      <c r="L164" s="3" t="s">
        <v>93</v>
      </c>
      <c r="M164">
        <v>1</v>
      </c>
    </row>
    <row r="165" spans="1:13" x14ac:dyDescent="0.25">
      <c r="A165" s="1">
        <v>46126</v>
      </c>
      <c r="B165" s="1" t="str">
        <f ca="1">IF(Información1[[#This Row],[Fecha]]='Ajuste de fechas'!$A$2,"Día actual","Día anterior")</f>
        <v>Día anterior</v>
      </c>
      <c r="C165" s="3" t="s">
        <v>8</v>
      </c>
      <c r="D165" t="s">
        <v>10</v>
      </c>
      <c r="E165" s="3" t="s">
        <v>181</v>
      </c>
      <c r="F165" s="3" t="s">
        <v>22</v>
      </c>
      <c r="G165" s="3" t="s">
        <v>182</v>
      </c>
      <c r="H165" s="3" t="s">
        <v>11</v>
      </c>
      <c r="I165" s="3" t="s">
        <v>7</v>
      </c>
      <c r="J165" s="3" t="s">
        <v>26</v>
      </c>
      <c r="K165" s="3" t="s">
        <v>14</v>
      </c>
      <c r="L165" s="3" t="s">
        <v>92</v>
      </c>
      <c r="M165">
        <v>1</v>
      </c>
    </row>
    <row r="166" spans="1:13" x14ac:dyDescent="0.25">
      <c r="A166" s="1">
        <v>46126</v>
      </c>
      <c r="B166" s="1" t="str">
        <f ca="1">IF(Información1[[#This Row],[Fecha]]='Ajuste de fechas'!$A$2,"Día actual","Día anterior")</f>
        <v>Día anterior</v>
      </c>
      <c r="C166" s="3" t="s">
        <v>8</v>
      </c>
      <c r="D166" t="s">
        <v>10</v>
      </c>
      <c r="E166" s="3" t="s">
        <v>183</v>
      </c>
      <c r="F166" s="3" t="s">
        <v>6</v>
      </c>
      <c r="G166" s="3" t="s">
        <v>79</v>
      </c>
      <c r="H166" s="3" t="s">
        <v>11</v>
      </c>
      <c r="I166" s="3" t="s">
        <v>27</v>
      </c>
      <c r="J166" s="3" t="s">
        <v>91</v>
      </c>
      <c r="K166" s="3" t="s">
        <v>9</v>
      </c>
      <c r="L166" s="3" t="s">
        <v>93</v>
      </c>
      <c r="M166">
        <v>1</v>
      </c>
    </row>
    <row r="167" spans="1:13" x14ac:dyDescent="0.25">
      <c r="A167" s="1">
        <v>46126</v>
      </c>
      <c r="B167" s="1" t="str">
        <f ca="1">IF(Información1[[#This Row],[Fecha]]='Ajuste de fechas'!$A$2,"Día actual","Día anterior")</f>
        <v>Día anterior</v>
      </c>
      <c r="C167" s="3" t="s">
        <v>39</v>
      </c>
      <c r="D167" t="s">
        <v>41</v>
      </c>
      <c r="E167" s="3" t="s">
        <v>184</v>
      </c>
      <c r="F167" s="3" t="s">
        <v>23</v>
      </c>
      <c r="G167" s="3" t="s">
        <v>185</v>
      </c>
      <c r="H167" s="3" t="s">
        <v>11</v>
      </c>
      <c r="I167" s="3" t="s">
        <v>7</v>
      </c>
      <c r="J167" s="3" t="s">
        <v>96</v>
      </c>
      <c r="K167" s="3" t="s">
        <v>83</v>
      </c>
      <c r="L167" s="3" t="s">
        <v>92</v>
      </c>
      <c r="M167">
        <v>1</v>
      </c>
    </row>
    <row r="168" spans="1:13" x14ac:dyDescent="0.25">
      <c r="A168" s="1">
        <v>46126</v>
      </c>
      <c r="B168" s="1" t="str">
        <f ca="1">IF(Información1[[#This Row],[Fecha]]='Ajuste de fechas'!$A$2,"Día actual","Día anterior")</f>
        <v>Día anterior</v>
      </c>
      <c r="C168" s="3" t="s">
        <v>35</v>
      </c>
      <c r="D168" t="s">
        <v>37</v>
      </c>
      <c r="E168" s="3" t="s">
        <v>186</v>
      </c>
      <c r="F168" s="3" t="s">
        <v>110</v>
      </c>
      <c r="G168" s="3" t="s">
        <v>187</v>
      </c>
      <c r="H168" s="3" t="s">
        <v>11</v>
      </c>
      <c r="I168" s="3" t="s">
        <v>7</v>
      </c>
      <c r="J168" s="3" t="s">
        <v>91</v>
      </c>
      <c r="K168" s="3" t="s">
        <v>36</v>
      </c>
      <c r="L168" s="3" t="s">
        <v>94</v>
      </c>
      <c r="M168">
        <v>1</v>
      </c>
    </row>
    <row r="169" spans="1:13" x14ac:dyDescent="0.25">
      <c r="A169" s="1">
        <v>46126</v>
      </c>
      <c r="B169" s="1" t="str">
        <f ca="1">IF(Información1[[#This Row],[Fecha]]='Ajuste de fechas'!$A$2,"Día actual","Día anterior")</f>
        <v>Día anterior</v>
      </c>
      <c r="C169" s="3" t="s">
        <v>39</v>
      </c>
      <c r="D169" t="s">
        <v>42</v>
      </c>
      <c r="E169" s="3" t="s">
        <v>188</v>
      </c>
      <c r="F169" s="3" t="s">
        <v>38</v>
      </c>
      <c r="G169" s="3" t="s">
        <v>189</v>
      </c>
      <c r="H169" s="3" t="s">
        <v>11</v>
      </c>
      <c r="I169" s="3" t="s">
        <v>7</v>
      </c>
      <c r="J169" s="3" t="s">
        <v>91</v>
      </c>
      <c r="K169" s="3" t="s">
        <v>40</v>
      </c>
      <c r="L169" s="3" t="s">
        <v>92</v>
      </c>
      <c r="M169">
        <v>1</v>
      </c>
    </row>
    <row r="170" spans="1:13" x14ac:dyDescent="0.25">
      <c r="A170" s="1">
        <v>46126</v>
      </c>
      <c r="B170" s="1" t="str">
        <f ca="1">IF(Información1[[#This Row],[Fecha]]='Ajuste de fechas'!$A$2,"Día actual","Día anterior")</f>
        <v>Día anterior</v>
      </c>
      <c r="C170" s="3" t="s">
        <v>8</v>
      </c>
      <c r="D170" t="s">
        <v>10</v>
      </c>
      <c r="E170" s="3" t="s">
        <v>190</v>
      </c>
      <c r="F170" s="3" t="s">
        <v>19</v>
      </c>
      <c r="G170" s="3" t="s">
        <v>29</v>
      </c>
      <c r="H170" s="3" t="s">
        <v>11</v>
      </c>
      <c r="I170" s="3" t="s">
        <v>27</v>
      </c>
      <c r="J170" s="3" t="s">
        <v>95</v>
      </c>
      <c r="K170" s="3" t="s">
        <v>9</v>
      </c>
      <c r="L170" s="3" t="s">
        <v>93</v>
      </c>
      <c r="M170">
        <v>1</v>
      </c>
    </row>
    <row r="171" spans="1:13" x14ac:dyDescent="0.25">
      <c r="A171" s="1">
        <v>46126</v>
      </c>
      <c r="B171" s="1" t="str">
        <f ca="1">IF(Información1[[#This Row],[Fecha]]='Ajuste de fechas'!$A$2,"Día actual","Día anterior")</f>
        <v>Día anterior</v>
      </c>
      <c r="C171" s="3" t="s">
        <v>39</v>
      </c>
      <c r="D171" t="s">
        <v>42</v>
      </c>
      <c r="E171" s="3" t="s">
        <v>191</v>
      </c>
      <c r="F171" s="3" t="s">
        <v>19</v>
      </c>
      <c r="G171" s="3" t="s">
        <v>105</v>
      </c>
      <c r="H171" s="3" t="s">
        <v>11</v>
      </c>
      <c r="I171" s="3" t="s">
        <v>7</v>
      </c>
      <c r="J171" s="3" t="s">
        <v>95</v>
      </c>
      <c r="K171" s="3" t="s">
        <v>40</v>
      </c>
      <c r="L171" s="3" t="s">
        <v>92</v>
      </c>
      <c r="M171">
        <v>1</v>
      </c>
    </row>
    <row r="172" spans="1:13" x14ac:dyDescent="0.25">
      <c r="A172" s="1">
        <v>46126</v>
      </c>
      <c r="B172" s="1" t="str">
        <f ca="1">IF(Información1[[#This Row],[Fecha]]='Ajuste de fechas'!$A$2,"Día actual","Día anterior")</f>
        <v>Día anterior</v>
      </c>
      <c r="C172" s="3" t="s">
        <v>35</v>
      </c>
      <c r="D172" t="s">
        <v>37</v>
      </c>
      <c r="E172" s="3" t="s">
        <v>192</v>
      </c>
      <c r="F172" s="3" t="s">
        <v>21</v>
      </c>
      <c r="G172" s="3" t="s">
        <v>106</v>
      </c>
      <c r="H172" s="3" t="s">
        <v>11</v>
      </c>
      <c r="I172" s="3" t="s">
        <v>7</v>
      </c>
      <c r="J172" s="3" t="s">
        <v>91</v>
      </c>
      <c r="K172" s="3" t="s">
        <v>36</v>
      </c>
      <c r="L172" s="3" t="s">
        <v>94</v>
      </c>
      <c r="M172">
        <v>1</v>
      </c>
    </row>
    <row r="173" spans="1:13" x14ac:dyDescent="0.25">
      <c r="A173" s="1">
        <v>46126</v>
      </c>
      <c r="B173" s="1" t="str">
        <f ca="1">IF(Información1[[#This Row],[Fecha]]='Ajuste de fechas'!$A$2,"Día actual","Día anterior")</f>
        <v>Día anterior</v>
      </c>
      <c r="C173" s="3" t="s">
        <v>59</v>
      </c>
      <c r="D173" t="s">
        <v>61</v>
      </c>
      <c r="E173" s="3" t="s">
        <v>192</v>
      </c>
      <c r="F173" s="3" t="s">
        <v>21</v>
      </c>
      <c r="G173" s="3" t="s">
        <v>106</v>
      </c>
      <c r="H173" s="3" t="s">
        <v>11</v>
      </c>
      <c r="I173" s="3" t="s">
        <v>7</v>
      </c>
      <c r="J173" s="3" t="s">
        <v>91</v>
      </c>
      <c r="K173" s="3" t="s">
        <v>60</v>
      </c>
      <c r="L173" s="3" t="s">
        <v>94</v>
      </c>
      <c r="M173">
        <v>1</v>
      </c>
    </row>
    <row r="174" spans="1:13" x14ac:dyDescent="0.25">
      <c r="A174" s="1">
        <v>46126</v>
      </c>
      <c r="B174" s="1" t="str">
        <f ca="1">IF(Información1[[#This Row],[Fecha]]='Ajuste de fechas'!$A$2,"Día actual","Día anterior")</f>
        <v>Día anterior</v>
      </c>
      <c r="C174" s="3" t="s">
        <v>39</v>
      </c>
      <c r="D174" t="s">
        <v>42</v>
      </c>
      <c r="E174" s="3" t="s">
        <v>193</v>
      </c>
      <c r="F174" s="3" t="s">
        <v>21</v>
      </c>
      <c r="G174" s="3" t="s">
        <v>106</v>
      </c>
      <c r="H174" s="3" t="s">
        <v>11</v>
      </c>
      <c r="I174" s="3" t="s">
        <v>7</v>
      </c>
      <c r="J174" s="3" t="s">
        <v>91</v>
      </c>
      <c r="K174" s="3" t="s">
        <v>40</v>
      </c>
      <c r="L174" s="3" t="s">
        <v>92</v>
      </c>
      <c r="M174">
        <v>1</v>
      </c>
    </row>
    <row r="175" spans="1:13" x14ac:dyDescent="0.25">
      <c r="A175" s="1">
        <v>46126</v>
      </c>
      <c r="B175" s="1" t="str">
        <f ca="1">IF(Información1[[#This Row],[Fecha]]='Ajuste de fechas'!$A$2,"Día actual","Día anterior")</f>
        <v>Día anterior</v>
      </c>
      <c r="C175" s="3" t="s">
        <v>39</v>
      </c>
      <c r="D175" t="s">
        <v>42</v>
      </c>
      <c r="E175" s="3" t="s">
        <v>194</v>
      </c>
      <c r="F175" s="3" t="s">
        <v>110</v>
      </c>
      <c r="G175" s="3" t="s">
        <v>106</v>
      </c>
      <c r="H175" s="3" t="s">
        <v>11</v>
      </c>
      <c r="I175" s="3" t="s">
        <v>7</v>
      </c>
      <c r="J175" s="3" t="s">
        <v>91</v>
      </c>
      <c r="K175" s="3" t="s">
        <v>40</v>
      </c>
      <c r="L175" s="3" t="s">
        <v>94</v>
      </c>
      <c r="M175">
        <v>1</v>
      </c>
    </row>
    <row r="176" spans="1:13" x14ac:dyDescent="0.25">
      <c r="A176" s="1">
        <v>46126</v>
      </c>
      <c r="B176" s="1" t="str">
        <f ca="1">IF(Información1[[#This Row],[Fecha]]='Ajuste de fechas'!$A$2,"Día actual","Día anterior")</f>
        <v>Día anterior</v>
      </c>
      <c r="C176" s="3" t="s">
        <v>8</v>
      </c>
      <c r="D176" t="s">
        <v>10</v>
      </c>
      <c r="E176" s="3" t="s">
        <v>107</v>
      </c>
      <c r="F176" s="3" t="s">
        <v>25</v>
      </c>
      <c r="G176" s="3" t="s">
        <v>106</v>
      </c>
      <c r="H176" s="3" t="s">
        <v>11</v>
      </c>
      <c r="I176" s="3" t="s">
        <v>7</v>
      </c>
      <c r="J176" s="3" t="s">
        <v>91</v>
      </c>
      <c r="K176" s="3" t="s">
        <v>14</v>
      </c>
      <c r="L176" s="3" t="s">
        <v>92</v>
      </c>
      <c r="M176">
        <v>1</v>
      </c>
    </row>
    <row r="177" spans="1:13" x14ac:dyDescent="0.25">
      <c r="A177" s="1">
        <v>46126</v>
      </c>
      <c r="B177" s="1" t="str">
        <f ca="1">IF(Información1[[#This Row],[Fecha]]='Ajuste de fechas'!$A$2,"Día actual","Día anterior")</f>
        <v>Día anterior</v>
      </c>
      <c r="C177" s="3" t="s">
        <v>8</v>
      </c>
      <c r="D177" t="s">
        <v>10</v>
      </c>
      <c r="E177" s="3" t="s">
        <v>108</v>
      </c>
      <c r="F177" s="3" t="s">
        <v>21</v>
      </c>
      <c r="G177" s="3" t="s">
        <v>106</v>
      </c>
      <c r="H177" s="3" t="s">
        <v>11</v>
      </c>
      <c r="I177" s="3" t="s">
        <v>7</v>
      </c>
      <c r="J177" s="3" t="s">
        <v>91</v>
      </c>
      <c r="K177" s="3" t="s">
        <v>14</v>
      </c>
      <c r="L177" s="3" t="s">
        <v>92</v>
      </c>
      <c r="M177">
        <v>1</v>
      </c>
    </row>
    <row r="178" spans="1:13" x14ac:dyDescent="0.25">
      <c r="A178" s="1">
        <v>46126</v>
      </c>
      <c r="B178" s="1" t="str">
        <f ca="1">IF(Información1[[#This Row],[Fecha]]='Ajuste de fechas'!$A$2,"Día actual","Día anterior")</f>
        <v>Día anterior</v>
      </c>
      <c r="C178" s="3" t="s">
        <v>39</v>
      </c>
      <c r="D178" t="s">
        <v>41</v>
      </c>
      <c r="E178" s="3" t="s">
        <v>195</v>
      </c>
      <c r="F178" s="3" t="s">
        <v>52</v>
      </c>
      <c r="G178" s="3" t="s">
        <v>196</v>
      </c>
      <c r="H178" s="3" t="s">
        <v>11</v>
      </c>
      <c r="I178" s="3" t="s">
        <v>7</v>
      </c>
      <c r="J178" s="3" t="s">
        <v>91</v>
      </c>
      <c r="K178" s="3" t="s">
        <v>83</v>
      </c>
      <c r="L178" s="3" t="s">
        <v>92</v>
      </c>
      <c r="M178">
        <v>1</v>
      </c>
    </row>
    <row r="179" spans="1:13" x14ac:dyDescent="0.25">
      <c r="A179" s="1">
        <v>46126</v>
      </c>
      <c r="B179" s="1" t="str">
        <f ca="1">IF(Información1[[#This Row],[Fecha]]='Ajuste de fechas'!$A$2,"Día actual","Día anterior")</f>
        <v>Día anterior</v>
      </c>
      <c r="C179" s="3" t="s">
        <v>35</v>
      </c>
      <c r="D179" t="s">
        <v>37</v>
      </c>
      <c r="E179" s="3" t="s">
        <v>197</v>
      </c>
      <c r="F179" s="3" t="s">
        <v>17</v>
      </c>
      <c r="G179" s="3" t="s">
        <v>109</v>
      </c>
      <c r="H179" s="3" t="s">
        <v>11</v>
      </c>
      <c r="I179" s="3" t="s">
        <v>7</v>
      </c>
      <c r="J179" s="3" t="s">
        <v>91</v>
      </c>
      <c r="K179" s="3" t="s">
        <v>36</v>
      </c>
      <c r="L179" s="3" t="s">
        <v>94</v>
      </c>
      <c r="M179">
        <v>1</v>
      </c>
    </row>
    <row r="180" spans="1:13" x14ac:dyDescent="0.25">
      <c r="A180" s="1">
        <v>46126</v>
      </c>
      <c r="B180" s="1" t="str">
        <f ca="1">IF(Información1[[#This Row],[Fecha]]='Ajuste de fechas'!$A$2,"Día actual","Día anterior")</f>
        <v>Día anterior</v>
      </c>
      <c r="C180" s="3" t="s">
        <v>8</v>
      </c>
      <c r="D180" t="s">
        <v>10</v>
      </c>
      <c r="E180" s="3" t="s">
        <v>198</v>
      </c>
      <c r="F180" s="3" t="s">
        <v>6</v>
      </c>
      <c r="G180" s="3" t="s">
        <v>199</v>
      </c>
      <c r="H180" s="3" t="s">
        <v>11</v>
      </c>
      <c r="I180" s="3" t="s">
        <v>27</v>
      </c>
      <c r="J180" s="3" t="s">
        <v>91</v>
      </c>
      <c r="K180" s="3" t="s">
        <v>9</v>
      </c>
      <c r="L180" s="3" t="s">
        <v>93</v>
      </c>
      <c r="M180">
        <v>1</v>
      </c>
    </row>
    <row r="181" spans="1:13" x14ac:dyDescent="0.25">
      <c r="A181" s="1">
        <v>46126</v>
      </c>
      <c r="B181" s="1" t="str">
        <f ca="1">IF(Información1[[#This Row],[Fecha]]='Ajuste de fechas'!$A$2,"Día actual","Día anterior")</f>
        <v>Día anterior</v>
      </c>
      <c r="C181" s="3" t="s">
        <v>39</v>
      </c>
      <c r="D181" t="s">
        <v>41</v>
      </c>
      <c r="E181" s="3" t="s">
        <v>200</v>
      </c>
      <c r="F181" s="3" t="s">
        <v>23</v>
      </c>
      <c r="G181" s="3" t="s">
        <v>201</v>
      </c>
      <c r="H181" s="3" t="s">
        <v>11</v>
      </c>
      <c r="I181" s="3" t="s">
        <v>7</v>
      </c>
      <c r="J181" s="3" t="s">
        <v>96</v>
      </c>
      <c r="K181" s="3" t="s">
        <v>83</v>
      </c>
      <c r="L181" s="3" t="s">
        <v>92</v>
      </c>
      <c r="M181">
        <v>1</v>
      </c>
    </row>
    <row r="182" spans="1:13" x14ac:dyDescent="0.25">
      <c r="A182" s="1">
        <v>46126</v>
      </c>
      <c r="B182" s="1" t="str">
        <f ca="1">IF(Información1[[#This Row],[Fecha]]='Ajuste de fechas'!$A$2,"Día actual","Día anterior")</f>
        <v>Día anterior</v>
      </c>
      <c r="C182" s="3" t="s">
        <v>39</v>
      </c>
      <c r="D182" t="s">
        <v>41</v>
      </c>
      <c r="E182" s="3" t="s">
        <v>202</v>
      </c>
      <c r="F182" s="3" t="s">
        <v>15</v>
      </c>
      <c r="G182" s="3" t="s">
        <v>115</v>
      </c>
      <c r="H182" s="3" t="s">
        <v>11</v>
      </c>
      <c r="I182" s="3" t="s">
        <v>12</v>
      </c>
      <c r="J182" s="3" t="s">
        <v>91</v>
      </c>
      <c r="K182" s="3" t="s">
        <v>83</v>
      </c>
      <c r="L182" s="3" t="s">
        <v>203</v>
      </c>
      <c r="M182">
        <v>1</v>
      </c>
    </row>
    <row r="183" spans="1:13" x14ac:dyDescent="0.25">
      <c r="A183" s="1">
        <v>46126</v>
      </c>
      <c r="B183" s="1" t="str">
        <f ca="1">IF(Información1[[#This Row],[Fecha]]='Ajuste de fechas'!$A$2,"Día actual","Día anterior")</f>
        <v>Día anterior</v>
      </c>
      <c r="C183" s="3" t="s">
        <v>35</v>
      </c>
      <c r="D183" t="s">
        <v>37</v>
      </c>
      <c r="E183" s="3" t="s">
        <v>204</v>
      </c>
      <c r="F183" s="3" t="s">
        <v>15</v>
      </c>
      <c r="G183" s="3" t="s">
        <v>115</v>
      </c>
      <c r="H183" s="3" t="s">
        <v>11</v>
      </c>
      <c r="I183" s="3" t="s">
        <v>12</v>
      </c>
      <c r="J183" s="3" t="s">
        <v>91</v>
      </c>
      <c r="K183" s="3" t="s">
        <v>36</v>
      </c>
      <c r="L183" s="3" t="s">
        <v>203</v>
      </c>
      <c r="M183">
        <v>1</v>
      </c>
    </row>
    <row r="184" spans="1:13" x14ac:dyDescent="0.25">
      <c r="A184" s="1">
        <v>46126</v>
      </c>
      <c r="B184" s="1" t="str">
        <f ca="1">IF(Información1[[#This Row],[Fecha]]='Ajuste de fechas'!$A$2,"Día actual","Día anterior")</f>
        <v>Día anterior</v>
      </c>
      <c r="C184" s="3" t="s">
        <v>39</v>
      </c>
      <c r="D184" t="s">
        <v>41</v>
      </c>
      <c r="E184" s="3" t="s">
        <v>205</v>
      </c>
      <c r="F184" s="3" t="s">
        <v>19</v>
      </c>
      <c r="G184" s="3" t="s">
        <v>206</v>
      </c>
      <c r="H184" s="3" t="s">
        <v>11</v>
      </c>
      <c r="I184" s="3" t="s">
        <v>7</v>
      </c>
      <c r="J184" s="3" t="s">
        <v>95</v>
      </c>
      <c r="K184" s="3" t="s">
        <v>83</v>
      </c>
      <c r="L184" s="3" t="s">
        <v>92</v>
      </c>
      <c r="M184">
        <v>1</v>
      </c>
    </row>
    <row r="185" spans="1:13" x14ac:dyDescent="0.25">
      <c r="A185" s="1">
        <v>46126</v>
      </c>
      <c r="B185" s="1" t="str">
        <f ca="1">IF(Información1[[#This Row],[Fecha]]='Ajuste de fechas'!$A$2,"Día actual","Día anterior")</f>
        <v>Día anterior</v>
      </c>
      <c r="C185" s="3" t="s">
        <v>8</v>
      </c>
      <c r="D185" t="s">
        <v>10</v>
      </c>
      <c r="E185" s="3" t="s">
        <v>207</v>
      </c>
      <c r="F185" s="3" t="s">
        <v>6</v>
      </c>
      <c r="G185" s="3" t="s">
        <v>208</v>
      </c>
      <c r="H185" s="3" t="s">
        <v>11</v>
      </c>
      <c r="I185" s="3" t="s">
        <v>27</v>
      </c>
      <c r="J185" s="3" t="s">
        <v>91</v>
      </c>
      <c r="K185" s="3" t="s">
        <v>9</v>
      </c>
      <c r="L185" s="3" t="s">
        <v>93</v>
      </c>
      <c r="M185">
        <v>1</v>
      </c>
    </row>
    <row r="186" spans="1:13" x14ac:dyDescent="0.25">
      <c r="A186" s="1">
        <v>46126</v>
      </c>
      <c r="B186" s="1" t="str">
        <f ca="1">IF(Información1[[#This Row],[Fecha]]='Ajuste de fechas'!$A$2,"Día actual","Día anterior")</f>
        <v>Día anterior</v>
      </c>
      <c r="C186" s="3" t="s">
        <v>39</v>
      </c>
      <c r="D186" t="s">
        <v>42</v>
      </c>
      <c r="E186" s="3" t="s">
        <v>209</v>
      </c>
      <c r="F186" s="3" t="s">
        <v>28</v>
      </c>
      <c r="G186" s="3" t="s">
        <v>160</v>
      </c>
      <c r="H186" s="3" t="s">
        <v>11</v>
      </c>
      <c r="I186" s="3" t="s">
        <v>7</v>
      </c>
      <c r="J186" s="3" t="s">
        <v>91</v>
      </c>
      <c r="K186" s="3" t="s">
        <v>40</v>
      </c>
      <c r="L186" s="3" t="s">
        <v>94</v>
      </c>
      <c r="M186">
        <v>1</v>
      </c>
    </row>
    <row r="187" spans="1:13" x14ac:dyDescent="0.25">
      <c r="A187" s="1">
        <v>46126</v>
      </c>
      <c r="B187" s="1" t="str">
        <f ca="1">IF(Información1[[#This Row],[Fecha]]='Ajuste de fechas'!$A$2,"Día actual","Día anterior")</f>
        <v>Día anterior</v>
      </c>
      <c r="C187" s="3" t="s">
        <v>8</v>
      </c>
      <c r="D187" t="s">
        <v>10</v>
      </c>
      <c r="E187" s="3" t="s">
        <v>210</v>
      </c>
      <c r="F187" s="3" t="s">
        <v>28</v>
      </c>
      <c r="G187" s="3" t="s">
        <v>160</v>
      </c>
      <c r="H187" s="3" t="s">
        <v>11</v>
      </c>
      <c r="I187" s="3" t="s">
        <v>7</v>
      </c>
      <c r="J187" s="3" t="s">
        <v>91</v>
      </c>
      <c r="K187" s="3" t="s">
        <v>14</v>
      </c>
      <c r="L187" s="3" t="s">
        <v>92</v>
      </c>
      <c r="M187">
        <v>1</v>
      </c>
    </row>
    <row r="188" spans="1:13" x14ac:dyDescent="0.25">
      <c r="A188" s="1">
        <v>46126</v>
      </c>
      <c r="B188" s="1" t="str">
        <f ca="1">IF(Información1[[#This Row],[Fecha]]='Ajuste de fechas'!$A$2,"Día actual","Día anterior")</f>
        <v>Día anterior</v>
      </c>
      <c r="C188" s="3" t="s">
        <v>8</v>
      </c>
      <c r="D188" t="s">
        <v>10</v>
      </c>
      <c r="E188" s="3" t="s">
        <v>211</v>
      </c>
      <c r="F188" s="3" t="s">
        <v>19</v>
      </c>
      <c r="G188" s="3" t="s">
        <v>212</v>
      </c>
      <c r="H188" s="3" t="s">
        <v>11</v>
      </c>
      <c r="I188" s="3" t="s">
        <v>27</v>
      </c>
      <c r="J188" s="3" t="s">
        <v>95</v>
      </c>
      <c r="K188" s="3" t="s">
        <v>9</v>
      </c>
      <c r="L188" s="3" t="s">
        <v>93</v>
      </c>
      <c r="M188">
        <v>1</v>
      </c>
    </row>
    <row r="189" spans="1:13" x14ac:dyDescent="0.25">
      <c r="A189" s="1">
        <v>46126</v>
      </c>
      <c r="B189" s="1" t="str">
        <f ca="1">IF(Información1[[#This Row],[Fecha]]='Ajuste de fechas'!$A$2,"Día actual","Día anterior")</f>
        <v>Día anterior</v>
      </c>
      <c r="C189" s="3" t="s">
        <v>39</v>
      </c>
      <c r="D189" t="s">
        <v>41</v>
      </c>
      <c r="E189" s="3" t="s">
        <v>213</v>
      </c>
      <c r="F189" s="3" t="s">
        <v>15</v>
      </c>
      <c r="G189" s="3" t="s">
        <v>214</v>
      </c>
      <c r="H189" s="3" t="s">
        <v>11</v>
      </c>
      <c r="I189" s="3" t="s">
        <v>7</v>
      </c>
      <c r="J189" s="3" t="s">
        <v>91</v>
      </c>
      <c r="K189" s="3" t="s">
        <v>83</v>
      </c>
      <c r="L189" s="3" t="s">
        <v>92</v>
      </c>
      <c r="M189">
        <v>1</v>
      </c>
    </row>
    <row r="190" spans="1:13" x14ac:dyDescent="0.25">
      <c r="A190" s="1">
        <v>46126</v>
      </c>
      <c r="B190" s="1" t="str">
        <f ca="1">IF(Información1[[#This Row],[Fecha]]='Ajuste de fechas'!$A$2,"Día actual","Día anterior")</f>
        <v>Día anterior</v>
      </c>
      <c r="C190" s="3" t="s">
        <v>39</v>
      </c>
      <c r="D190" t="s">
        <v>41</v>
      </c>
      <c r="E190" s="3" t="s">
        <v>215</v>
      </c>
      <c r="F190" s="3" t="s">
        <v>26</v>
      </c>
      <c r="G190" s="3" t="s">
        <v>113</v>
      </c>
      <c r="H190" s="3" t="s">
        <v>11</v>
      </c>
      <c r="I190" s="3" t="s">
        <v>7</v>
      </c>
      <c r="J190" s="3" t="s">
        <v>26</v>
      </c>
      <c r="K190" s="3" t="s">
        <v>83</v>
      </c>
      <c r="L190" s="3" t="s">
        <v>92</v>
      </c>
      <c r="M190">
        <v>1</v>
      </c>
    </row>
    <row r="191" spans="1:13" x14ac:dyDescent="0.25">
      <c r="A191" s="1">
        <v>46126</v>
      </c>
      <c r="B191" s="1" t="str">
        <f ca="1">IF(Información1[[#This Row],[Fecha]]='Ajuste de fechas'!$A$2,"Día actual","Día anterior")</f>
        <v>Día anterior</v>
      </c>
      <c r="C191" s="3" t="s">
        <v>39</v>
      </c>
      <c r="D191" t="s">
        <v>41</v>
      </c>
      <c r="E191" s="3" t="s">
        <v>216</v>
      </c>
      <c r="F191" s="3" t="s">
        <v>23</v>
      </c>
      <c r="G191" s="3" t="s">
        <v>217</v>
      </c>
      <c r="H191" s="3" t="s">
        <v>11</v>
      </c>
      <c r="I191" s="3" t="s">
        <v>27</v>
      </c>
      <c r="J191" s="3" t="s">
        <v>96</v>
      </c>
      <c r="K191" s="3" t="s">
        <v>83</v>
      </c>
      <c r="L191" s="3" t="s">
        <v>92</v>
      </c>
      <c r="M191">
        <v>1</v>
      </c>
    </row>
    <row r="192" spans="1:13" x14ac:dyDescent="0.25">
      <c r="A192" s="1">
        <v>46126</v>
      </c>
      <c r="B192" s="1" t="str">
        <f ca="1">IF(Información1[[#This Row],[Fecha]]='Ajuste de fechas'!$A$2,"Día actual","Día anterior")</f>
        <v>Día anterior</v>
      </c>
      <c r="C192" s="3" t="s">
        <v>8</v>
      </c>
      <c r="D192" t="s">
        <v>10</v>
      </c>
      <c r="E192" s="3" t="s">
        <v>218</v>
      </c>
      <c r="F192" s="3" t="s">
        <v>19</v>
      </c>
      <c r="G192" s="3" t="s">
        <v>219</v>
      </c>
      <c r="H192" s="3" t="s">
        <v>11</v>
      </c>
      <c r="I192" s="3" t="s">
        <v>7</v>
      </c>
      <c r="J192" s="3" t="s">
        <v>95</v>
      </c>
      <c r="K192" s="3" t="s">
        <v>14</v>
      </c>
      <c r="L192" s="3" t="s">
        <v>92</v>
      </c>
      <c r="M192">
        <v>1</v>
      </c>
    </row>
    <row r="193" spans="1:13" x14ac:dyDescent="0.25">
      <c r="A193" s="1">
        <v>46126</v>
      </c>
      <c r="B193" s="1" t="str">
        <f ca="1">IF(Información1[[#This Row],[Fecha]]='Ajuste de fechas'!$A$2,"Día actual","Día anterior")</f>
        <v>Día anterior</v>
      </c>
      <c r="C193" s="3" t="s">
        <v>39</v>
      </c>
      <c r="D193" t="s">
        <v>41</v>
      </c>
      <c r="E193" s="3" t="s">
        <v>220</v>
      </c>
      <c r="F193" s="3" t="s">
        <v>23</v>
      </c>
      <c r="G193" s="3" t="s">
        <v>221</v>
      </c>
      <c r="H193" s="3" t="s">
        <v>11</v>
      </c>
      <c r="I193" s="3" t="s">
        <v>7</v>
      </c>
      <c r="J193" s="3" t="s">
        <v>96</v>
      </c>
      <c r="K193" s="3" t="s">
        <v>83</v>
      </c>
      <c r="L193" s="3" t="s">
        <v>92</v>
      </c>
      <c r="M193">
        <v>1</v>
      </c>
    </row>
    <row r="194" spans="1:13" x14ac:dyDescent="0.25">
      <c r="A194" s="1">
        <v>46126</v>
      </c>
      <c r="B194" s="1" t="str">
        <f ca="1">IF(Información1[[#This Row],[Fecha]]='Ajuste de fechas'!$A$2,"Día actual","Día anterior")</f>
        <v>Día anterior</v>
      </c>
      <c r="C194" s="3" t="s">
        <v>55</v>
      </c>
      <c r="D194" t="s">
        <v>58</v>
      </c>
      <c r="E194" s="3" t="s">
        <v>222</v>
      </c>
      <c r="F194" s="3" t="s">
        <v>23</v>
      </c>
      <c r="G194" s="3" t="s">
        <v>75</v>
      </c>
      <c r="H194" s="3" t="s">
        <v>11</v>
      </c>
      <c r="I194" s="3" t="s">
        <v>7</v>
      </c>
      <c r="J194" s="3" t="s">
        <v>96</v>
      </c>
      <c r="K194" s="3" t="s">
        <v>56</v>
      </c>
      <c r="L194" s="3" t="s">
        <v>92</v>
      </c>
      <c r="M194">
        <v>1</v>
      </c>
    </row>
    <row r="195" spans="1:13" x14ac:dyDescent="0.25">
      <c r="A195" s="1">
        <v>46126</v>
      </c>
      <c r="B195" s="1" t="str">
        <f ca="1">IF(Información1[[#This Row],[Fecha]]='Ajuste de fechas'!$A$2,"Día actual","Día anterior")</f>
        <v>Día anterior</v>
      </c>
      <c r="C195" s="3" t="s">
        <v>55</v>
      </c>
      <c r="D195" t="s">
        <v>58</v>
      </c>
      <c r="E195" s="3" t="s">
        <v>223</v>
      </c>
      <c r="F195" s="3" t="s">
        <v>19</v>
      </c>
      <c r="G195" s="3" t="s">
        <v>224</v>
      </c>
      <c r="H195" s="3" t="s">
        <v>11</v>
      </c>
      <c r="I195" s="3" t="s">
        <v>7</v>
      </c>
      <c r="J195" s="3" t="s">
        <v>95</v>
      </c>
      <c r="K195" s="3" t="s">
        <v>56</v>
      </c>
      <c r="L195" s="3" t="s">
        <v>92</v>
      </c>
      <c r="M195">
        <v>1</v>
      </c>
    </row>
    <row r="196" spans="1:13" x14ac:dyDescent="0.25">
      <c r="A196" s="1">
        <v>46126</v>
      </c>
      <c r="B196" s="1" t="str">
        <f ca="1">IF(Información1[[#This Row],[Fecha]]='Ajuste de fechas'!$A$2,"Día actual","Día anterior")</f>
        <v>Día anterior</v>
      </c>
      <c r="C196" s="3" t="s">
        <v>55</v>
      </c>
      <c r="D196" t="s">
        <v>58</v>
      </c>
      <c r="E196" s="3" t="s">
        <v>225</v>
      </c>
      <c r="F196" s="3" t="s">
        <v>17</v>
      </c>
      <c r="G196" s="3" t="s">
        <v>226</v>
      </c>
      <c r="H196" s="3" t="s">
        <v>11</v>
      </c>
      <c r="I196" s="3" t="s">
        <v>27</v>
      </c>
      <c r="J196" s="3" t="s">
        <v>91</v>
      </c>
      <c r="K196" s="3" t="s">
        <v>9</v>
      </c>
      <c r="L196" s="3" t="s">
        <v>93</v>
      </c>
      <c r="M196">
        <v>1</v>
      </c>
    </row>
    <row r="197" spans="1:13" x14ac:dyDescent="0.25">
      <c r="A197" s="1">
        <v>46126</v>
      </c>
      <c r="B197" s="1" t="str">
        <f ca="1">IF(Información1[[#This Row],[Fecha]]='Ajuste de fechas'!$A$2,"Día actual","Día anterior")</f>
        <v>Día anterior</v>
      </c>
      <c r="C197" s="3" t="s">
        <v>55</v>
      </c>
      <c r="D197" t="s">
        <v>58</v>
      </c>
      <c r="E197" s="3" t="s">
        <v>227</v>
      </c>
      <c r="F197" s="3" t="s">
        <v>52</v>
      </c>
      <c r="G197" s="3" t="s">
        <v>126</v>
      </c>
      <c r="H197" s="3" t="s">
        <v>11</v>
      </c>
      <c r="I197" s="3" t="s">
        <v>27</v>
      </c>
      <c r="J197" s="3" t="s">
        <v>91</v>
      </c>
      <c r="K197" s="3" t="s">
        <v>9</v>
      </c>
      <c r="L197" s="3" t="s">
        <v>93</v>
      </c>
      <c r="M197">
        <v>1</v>
      </c>
    </row>
    <row r="198" spans="1:13" x14ac:dyDescent="0.25">
      <c r="A198" s="1">
        <v>46126</v>
      </c>
      <c r="B198" s="1" t="str">
        <f ca="1">IF(Información1[[#This Row],[Fecha]]='Ajuste de fechas'!$A$2,"Día actual","Día anterior")</f>
        <v>Día anterior</v>
      </c>
      <c r="C198" s="3" t="s">
        <v>55</v>
      </c>
      <c r="D198" t="s">
        <v>58</v>
      </c>
      <c r="E198" s="3" t="s">
        <v>228</v>
      </c>
      <c r="F198" s="3" t="s">
        <v>28</v>
      </c>
      <c r="G198" s="3" t="s">
        <v>226</v>
      </c>
      <c r="H198" s="3" t="s">
        <v>11</v>
      </c>
      <c r="I198" s="3" t="s">
        <v>7</v>
      </c>
      <c r="J198" s="3" t="s">
        <v>91</v>
      </c>
      <c r="K198" s="3" t="s">
        <v>56</v>
      </c>
      <c r="L198" s="3" t="s">
        <v>92</v>
      </c>
      <c r="M198">
        <v>1</v>
      </c>
    </row>
    <row r="199" spans="1:13" x14ac:dyDescent="0.25">
      <c r="A199" s="1">
        <v>46126</v>
      </c>
      <c r="B199" s="1" t="str">
        <f ca="1">IF(Información1[[#This Row],[Fecha]]='Ajuste de fechas'!$A$2,"Día actual","Día anterior")</f>
        <v>Día anterior</v>
      </c>
      <c r="C199" s="3" t="s">
        <v>32</v>
      </c>
      <c r="D199" t="s">
        <v>34</v>
      </c>
      <c r="E199" s="3" t="s">
        <v>229</v>
      </c>
      <c r="F199" s="3" t="s">
        <v>23</v>
      </c>
      <c r="G199" s="3" t="s">
        <v>230</v>
      </c>
      <c r="H199" s="3" t="s">
        <v>11</v>
      </c>
      <c r="I199" s="3" t="s">
        <v>7</v>
      </c>
      <c r="J199" s="3" t="s">
        <v>96</v>
      </c>
      <c r="K199" s="3" t="s">
        <v>33</v>
      </c>
      <c r="L199" s="3" t="s">
        <v>92</v>
      </c>
      <c r="M199">
        <v>1</v>
      </c>
    </row>
    <row r="200" spans="1:13" x14ac:dyDescent="0.25">
      <c r="A200" s="1">
        <v>46126</v>
      </c>
      <c r="B200" s="1" t="str">
        <f ca="1">IF(Información1[[#This Row],[Fecha]]='Ajuste de fechas'!$A$2,"Día actual","Día anterior")</f>
        <v>Día anterior</v>
      </c>
      <c r="C200" s="3" t="s">
        <v>32</v>
      </c>
      <c r="D200" t="s">
        <v>34</v>
      </c>
      <c r="E200" s="3" t="s">
        <v>231</v>
      </c>
      <c r="F200" s="3" t="s">
        <v>23</v>
      </c>
      <c r="G200" s="3" t="s">
        <v>232</v>
      </c>
      <c r="H200" s="3" t="s">
        <v>11</v>
      </c>
      <c r="I200" s="3" t="s">
        <v>7</v>
      </c>
      <c r="J200" s="3" t="s">
        <v>96</v>
      </c>
      <c r="K200" s="3" t="s">
        <v>33</v>
      </c>
      <c r="L200" s="3" t="s">
        <v>92</v>
      </c>
      <c r="M200">
        <v>1</v>
      </c>
    </row>
    <row r="201" spans="1:13" x14ac:dyDescent="0.25">
      <c r="A201" s="1">
        <v>46126</v>
      </c>
      <c r="B201" s="1" t="str">
        <f ca="1">IF(Información1[[#This Row],[Fecha]]='Ajuste de fechas'!$A$2,"Día actual","Día anterior")</f>
        <v>Día anterior</v>
      </c>
      <c r="C201" s="3" t="s">
        <v>32</v>
      </c>
      <c r="D201" t="s">
        <v>34</v>
      </c>
      <c r="E201" s="3" t="s">
        <v>233</v>
      </c>
      <c r="F201" s="3" t="s">
        <v>23</v>
      </c>
      <c r="G201" s="3" t="s">
        <v>234</v>
      </c>
      <c r="H201" s="3" t="s">
        <v>11</v>
      </c>
      <c r="I201" s="3" t="s">
        <v>7</v>
      </c>
      <c r="J201" s="3" t="s">
        <v>96</v>
      </c>
      <c r="K201" s="3" t="s">
        <v>33</v>
      </c>
      <c r="L201" s="3" t="s">
        <v>92</v>
      </c>
      <c r="M201">
        <v>1</v>
      </c>
    </row>
    <row r="202" spans="1:13" x14ac:dyDescent="0.25">
      <c r="A202" s="1">
        <v>46126</v>
      </c>
      <c r="B202" s="1" t="str">
        <f ca="1">IF(Información1[[#This Row],[Fecha]]='Ajuste de fechas'!$A$2,"Día actual","Día anterior")</f>
        <v>Día anterior</v>
      </c>
      <c r="C202" s="3" t="s">
        <v>32</v>
      </c>
      <c r="D202" t="s">
        <v>34</v>
      </c>
      <c r="E202" s="3" t="s">
        <v>235</v>
      </c>
      <c r="F202" s="3" t="s">
        <v>19</v>
      </c>
      <c r="G202" s="3" t="s">
        <v>236</v>
      </c>
      <c r="H202" s="3" t="s">
        <v>11</v>
      </c>
      <c r="I202" s="3" t="s">
        <v>7</v>
      </c>
      <c r="J202" s="3" t="s">
        <v>95</v>
      </c>
      <c r="K202" s="3" t="s">
        <v>33</v>
      </c>
      <c r="L202" s="3" t="s">
        <v>92</v>
      </c>
      <c r="M202">
        <v>1</v>
      </c>
    </row>
    <row r="203" spans="1:13" x14ac:dyDescent="0.25">
      <c r="A203" s="1">
        <v>46126</v>
      </c>
      <c r="B203" s="1" t="str">
        <f ca="1">IF(Información1[[#This Row],[Fecha]]='Ajuste de fechas'!$A$2,"Día actual","Día anterior")</f>
        <v>Día anterior</v>
      </c>
      <c r="C203" s="3" t="s">
        <v>32</v>
      </c>
      <c r="D203" t="s">
        <v>34</v>
      </c>
      <c r="E203" s="3" t="s">
        <v>237</v>
      </c>
      <c r="F203" s="3" t="s">
        <v>52</v>
      </c>
      <c r="G203" s="3" t="s">
        <v>196</v>
      </c>
      <c r="H203" s="3" t="s">
        <v>11</v>
      </c>
      <c r="I203" s="3" t="s">
        <v>7</v>
      </c>
      <c r="J203" s="3" t="s">
        <v>91</v>
      </c>
      <c r="K203" s="3" t="s">
        <v>33</v>
      </c>
      <c r="L203" s="3" t="s">
        <v>92</v>
      </c>
      <c r="M203">
        <v>1</v>
      </c>
    </row>
    <row r="204" spans="1:13" x14ac:dyDescent="0.25">
      <c r="A204" s="1">
        <v>46126</v>
      </c>
      <c r="B204" s="1" t="str">
        <f ca="1">IF(Información1[[#This Row],[Fecha]]='Ajuste de fechas'!$A$2,"Día actual","Día anterior")</f>
        <v>Día anterior</v>
      </c>
      <c r="C204" s="3" t="s">
        <v>32</v>
      </c>
      <c r="D204" t="s">
        <v>34</v>
      </c>
      <c r="E204" s="3" t="s">
        <v>238</v>
      </c>
      <c r="F204" s="3" t="s">
        <v>62</v>
      </c>
      <c r="G204" s="3" t="s">
        <v>239</v>
      </c>
      <c r="H204" s="3" t="s">
        <v>11</v>
      </c>
      <c r="I204" s="3" t="s">
        <v>7</v>
      </c>
      <c r="J204" s="3" t="s">
        <v>91</v>
      </c>
      <c r="K204" s="3" t="s">
        <v>33</v>
      </c>
      <c r="L204" s="3" t="s">
        <v>94</v>
      </c>
      <c r="M204">
        <v>1</v>
      </c>
    </row>
    <row r="205" spans="1:13" x14ac:dyDescent="0.25">
      <c r="A205" s="1">
        <v>46126</v>
      </c>
      <c r="B205" s="1" t="str">
        <f ca="1">IF(Información1[[#This Row],[Fecha]]='Ajuste de fechas'!$A$2,"Día actual","Día anterior")</f>
        <v>Día anterior</v>
      </c>
      <c r="C205" s="3" t="s">
        <v>32</v>
      </c>
      <c r="D205" t="s">
        <v>34</v>
      </c>
      <c r="E205" s="3" t="s">
        <v>240</v>
      </c>
      <c r="F205" s="3" t="s">
        <v>71</v>
      </c>
      <c r="G205" s="3" t="s">
        <v>74</v>
      </c>
      <c r="H205" s="3" t="s">
        <v>11</v>
      </c>
      <c r="I205" s="3" t="s">
        <v>7</v>
      </c>
      <c r="J205" s="3" t="s">
        <v>91</v>
      </c>
      <c r="K205" s="3" t="s">
        <v>33</v>
      </c>
      <c r="L205" s="3" t="s">
        <v>92</v>
      </c>
      <c r="M205">
        <v>1</v>
      </c>
    </row>
    <row r="206" spans="1:13" x14ac:dyDescent="0.25">
      <c r="A206" s="1">
        <v>46126</v>
      </c>
      <c r="B206" s="1" t="str">
        <f ca="1">IF(Información1[[#This Row],[Fecha]]='Ajuste de fechas'!$A$2,"Día actual","Día anterior")</f>
        <v>Día anterior</v>
      </c>
      <c r="C206" s="3" t="s">
        <v>32</v>
      </c>
      <c r="D206" t="s">
        <v>34</v>
      </c>
      <c r="E206" s="3" t="s">
        <v>178</v>
      </c>
      <c r="F206" s="3" t="s">
        <v>62</v>
      </c>
      <c r="G206" s="3" t="s">
        <v>144</v>
      </c>
      <c r="H206" s="3" t="s">
        <v>11</v>
      </c>
      <c r="I206" s="3" t="s">
        <v>7</v>
      </c>
      <c r="J206" s="3" t="s">
        <v>91</v>
      </c>
      <c r="K206" s="3" t="s">
        <v>33</v>
      </c>
      <c r="L206" s="3" t="s">
        <v>94</v>
      </c>
      <c r="M206">
        <v>1</v>
      </c>
    </row>
    <row r="207" spans="1:13" x14ac:dyDescent="0.25">
      <c r="A207" s="1">
        <v>46126</v>
      </c>
      <c r="B207" s="1" t="str">
        <f ca="1">IF(Información1[[#This Row],[Fecha]]='Ajuste de fechas'!$A$2,"Día actual","Día anterior")</f>
        <v>Día anterior</v>
      </c>
      <c r="C207" s="3" t="s">
        <v>32</v>
      </c>
      <c r="D207" t="s">
        <v>34</v>
      </c>
      <c r="E207" s="3" t="s">
        <v>241</v>
      </c>
      <c r="F207" s="3" t="s">
        <v>49</v>
      </c>
      <c r="G207" s="3" t="s">
        <v>242</v>
      </c>
      <c r="H207" s="3" t="s">
        <v>11</v>
      </c>
      <c r="I207" s="3" t="s">
        <v>7</v>
      </c>
      <c r="J207" s="3" t="s">
        <v>91</v>
      </c>
      <c r="K207" s="3" t="s">
        <v>33</v>
      </c>
      <c r="L207" s="3" t="s">
        <v>94</v>
      </c>
      <c r="M207">
        <v>1</v>
      </c>
    </row>
    <row r="208" spans="1:13" x14ac:dyDescent="0.25">
      <c r="A208" s="1">
        <v>46126</v>
      </c>
      <c r="B208" s="1" t="str">
        <f ca="1">IF(Información1[[#This Row],[Fecha]]='Ajuste de fechas'!$A$2,"Día actual","Día anterior")</f>
        <v>Día anterior</v>
      </c>
      <c r="C208" s="3" t="s">
        <v>32</v>
      </c>
      <c r="D208" t="s">
        <v>34</v>
      </c>
      <c r="E208" s="3" t="s">
        <v>173</v>
      </c>
      <c r="F208" s="3" t="s">
        <v>24</v>
      </c>
      <c r="G208" s="3" t="s">
        <v>172</v>
      </c>
      <c r="H208" s="3" t="s">
        <v>11</v>
      </c>
      <c r="I208" s="3" t="s">
        <v>7</v>
      </c>
      <c r="J208" s="3" t="s">
        <v>91</v>
      </c>
      <c r="K208" s="3" t="s">
        <v>33</v>
      </c>
      <c r="L208" s="3" t="s">
        <v>94</v>
      </c>
      <c r="M208">
        <v>1</v>
      </c>
    </row>
    <row r="209" spans="1:13" x14ac:dyDescent="0.25">
      <c r="A209" s="1">
        <v>46126</v>
      </c>
      <c r="B209" s="1" t="str">
        <f ca="1">IF(Información1[[#This Row],[Fecha]]='Ajuste de fechas'!$A$2,"Día actual","Día anterior")</f>
        <v>Día anterior</v>
      </c>
      <c r="C209" s="3" t="s">
        <v>32</v>
      </c>
      <c r="D209" t="s">
        <v>34</v>
      </c>
      <c r="E209" s="3" t="s">
        <v>174</v>
      </c>
      <c r="F209" s="3" t="s">
        <v>24</v>
      </c>
      <c r="G209" s="3" t="s">
        <v>172</v>
      </c>
      <c r="H209" s="3" t="s">
        <v>11</v>
      </c>
      <c r="I209" s="3" t="s">
        <v>7</v>
      </c>
      <c r="J209" s="3" t="s">
        <v>91</v>
      </c>
      <c r="K209" s="3" t="s">
        <v>33</v>
      </c>
      <c r="L209" s="3" t="s">
        <v>94</v>
      </c>
      <c r="M209">
        <v>1</v>
      </c>
    </row>
    <row r="210" spans="1:13" x14ac:dyDescent="0.25">
      <c r="A210" s="1">
        <v>46126</v>
      </c>
      <c r="B210" s="1" t="str">
        <f ca="1">IF(Información1[[#This Row],[Fecha]]='Ajuste de fechas'!$A$2,"Día actual","Día anterior")</f>
        <v>Día anterior</v>
      </c>
      <c r="C210" s="3" t="s">
        <v>32</v>
      </c>
      <c r="D210" t="s">
        <v>34</v>
      </c>
      <c r="E210" s="3" t="s">
        <v>209</v>
      </c>
      <c r="F210" s="3" t="s">
        <v>28</v>
      </c>
      <c r="G210" s="3" t="s">
        <v>160</v>
      </c>
      <c r="H210" s="3" t="s">
        <v>11</v>
      </c>
      <c r="I210" s="3" t="s">
        <v>7</v>
      </c>
      <c r="J210" s="3" t="s">
        <v>91</v>
      </c>
      <c r="K210" s="3" t="s">
        <v>33</v>
      </c>
      <c r="L210" s="3" t="s">
        <v>94</v>
      </c>
      <c r="M210">
        <v>1</v>
      </c>
    </row>
    <row r="211" spans="1:13" x14ac:dyDescent="0.25">
      <c r="A211" s="1">
        <v>46126</v>
      </c>
      <c r="B211" s="1" t="str">
        <f ca="1">IF(Información1[[#This Row],[Fecha]]='Ajuste de fechas'!$A$2,"Día actual","Día anterior")</f>
        <v>Día anterior</v>
      </c>
      <c r="C211" s="3" t="s">
        <v>55</v>
      </c>
      <c r="D211" t="s">
        <v>57</v>
      </c>
      <c r="E211" s="3" t="s">
        <v>243</v>
      </c>
      <c r="F211" s="3" t="s">
        <v>19</v>
      </c>
      <c r="G211" s="3" t="s">
        <v>244</v>
      </c>
      <c r="H211" s="3" t="s">
        <v>11</v>
      </c>
      <c r="I211" s="3" t="s">
        <v>7</v>
      </c>
      <c r="J211" s="3" t="s">
        <v>95</v>
      </c>
      <c r="K211" s="3" t="s">
        <v>56</v>
      </c>
      <c r="L211" s="3" t="s">
        <v>92</v>
      </c>
      <c r="M211">
        <v>1</v>
      </c>
    </row>
    <row r="212" spans="1:13" x14ac:dyDescent="0.25">
      <c r="A212" s="1">
        <v>46126</v>
      </c>
      <c r="B212" s="1" t="str">
        <f ca="1">IF(Información1[[#This Row],[Fecha]]='Ajuste de fechas'!$A$2,"Día actual","Día anterior")</f>
        <v>Día anterior</v>
      </c>
      <c r="C212" s="3" t="s">
        <v>55</v>
      </c>
      <c r="D212" t="s">
        <v>57</v>
      </c>
      <c r="E212" s="3" t="s">
        <v>245</v>
      </c>
      <c r="F212" s="3" t="s">
        <v>19</v>
      </c>
      <c r="G212" s="3" t="s">
        <v>246</v>
      </c>
      <c r="H212" s="3" t="s">
        <v>11</v>
      </c>
      <c r="I212" s="3" t="s">
        <v>7</v>
      </c>
      <c r="J212" s="3" t="s">
        <v>95</v>
      </c>
      <c r="K212" s="3" t="s">
        <v>56</v>
      </c>
      <c r="L212" s="3" t="s">
        <v>92</v>
      </c>
      <c r="M212">
        <v>1</v>
      </c>
    </row>
    <row r="213" spans="1:13" x14ac:dyDescent="0.25">
      <c r="A213" s="1">
        <v>46126</v>
      </c>
      <c r="B213" s="1" t="str">
        <f ca="1">IF(Información1[[#This Row],[Fecha]]='Ajuste de fechas'!$A$2,"Día actual","Día anterior")</f>
        <v>Día anterior</v>
      </c>
      <c r="C213" s="3" t="s">
        <v>55</v>
      </c>
      <c r="D213" t="s">
        <v>57</v>
      </c>
      <c r="E213" s="3" t="s">
        <v>247</v>
      </c>
      <c r="F213" s="3" t="s">
        <v>21</v>
      </c>
      <c r="G213" s="3" t="s">
        <v>248</v>
      </c>
      <c r="H213" s="3" t="s">
        <v>11</v>
      </c>
      <c r="I213" s="3" t="s">
        <v>7</v>
      </c>
      <c r="J213" s="3" t="s">
        <v>91</v>
      </c>
      <c r="K213" s="3" t="s">
        <v>44</v>
      </c>
      <c r="L213" s="3" t="s">
        <v>97</v>
      </c>
      <c r="M213">
        <v>1</v>
      </c>
    </row>
    <row r="214" spans="1:13" x14ac:dyDescent="0.25">
      <c r="A214" s="1">
        <v>46126</v>
      </c>
      <c r="B214" s="1" t="str">
        <f ca="1">IF(Información1[[#This Row],[Fecha]]='Ajuste de fechas'!$A$2,"Día actual","Día anterior")</f>
        <v>Día anterior</v>
      </c>
      <c r="C214" s="3" t="s">
        <v>55</v>
      </c>
      <c r="D214" t="s">
        <v>57</v>
      </c>
      <c r="E214" s="3" t="s">
        <v>249</v>
      </c>
      <c r="F214" s="3" t="s">
        <v>25</v>
      </c>
      <c r="G214" s="3" t="s">
        <v>130</v>
      </c>
      <c r="H214" s="3" t="s">
        <v>11</v>
      </c>
      <c r="I214" s="3" t="s">
        <v>7</v>
      </c>
      <c r="J214" s="3" t="s">
        <v>91</v>
      </c>
      <c r="K214" s="3" t="s">
        <v>56</v>
      </c>
      <c r="L214" s="3" t="s">
        <v>92</v>
      </c>
      <c r="M214">
        <v>1</v>
      </c>
    </row>
    <row r="215" spans="1:13" x14ac:dyDescent="0.25">
      <c r="A215" s="1">
        <v>46126</v>
      </c>
      <c r="B215" s="1" t="str">
        <f ca="1">IF(Información1[[#This Row],[Fecha]]='Ajuste de fechas'!$A$2,"Día actual","Día anterior")</f>
        <v>Día anterior</v>
      </c>
      <c r="C215" s="3" t="s">
        <v>55</v>
      </c>
      <c r="D215" t="s">
        <v>57</v>
      </c>
      <c r="E215" s="3" t="s">
        <v>250</v>
      </c>
      <c r="F215" s="3" t="s">
        <v>38</v>
      </c>
      <c r="G215" s="3" t="s">
        <v>251</v>
      </c>
      <c r="H215" s="3" t="s">
        <v>11</v>
      </c>
      <c r="I215" s="3" t="s">
        <v>7</v>
      </c>
      <c r="J215" s="3" t="s">
        <v>91</v>
      </c>
      <c r="K215" s="3" t="s">
        <v>44</v>
      </c>
      <c r="L215" s="3" t="s">
        <v>94</v>
      </c>
      <c r="M215">
        <v>1</v>
      </c>
    </row>
    <row r="216" spans="1:13" x14ac:dyDescent="0.25">
      <c r="A216" s="1">
        <v>46126</v>
      </c>
      <c r="B216" s="1" t="str">
        <f ca="1">IF(Información1[[#This Row],[Fecha]]='Ajuste de fechas'!$A$2,"Día actual","Día anterior")</f>
        <v>Día anterior</v>
      </c>
      <c r="C216" s="3" t="s">
        <v>55</v>
      </c>
      <c r="D216" t="s">
        <v>57</v>
      </c>
      <c r="E216" s="3" t="s">
        <v>252</v>
      </c>
      <c r="F216" s="3" t="s">
        <v>66</v>
      </c>
      <c r="G216" s="3" t="s">
        <v>253</v>
      </c>
      <c r="H216" s="3" t="s">
        <v>11</v>
      </c>
      <c r="I216" s="3" t="s">
        <v>7</v>
      </c>
      <c r="J216" s="3" t="s">
        <v>91</v>
      </c>
      <c r="K216" s="3" t="s">
        <v>44</v>
      </c>
      <c r="L216" s="3" t="s">
        <v>94</v>
      </c>
      <c r="M216">
        <v>1</v>
      </c>
    </row>
    <row r="217" spans="1:13" x14ac:dyDescent="0.25">
      <c r="A217" s="1">
        <v>46126</v>
      </c>
      <c r="B217" s="1" t="str">
        <f ca="1">IF(Información1[[#This Row],[Fecha]]='Ajuste de fechas'!$A$2,"Día actual","Día anterior")</f>
        <v>Día anterior</v>
      </c>
      <c r="C217" s="3" t="s">
        <v>55</v>
      </c>
      <c r="D217" t="s">
        <v>57</v>
      </c>
      <c r="E217" s="3" t="s">
        <v>254</v>
      </c>
      <c r="F217" s="3" t="s">
        <v>53</v>
      </c>
      <c r="G217" s="3" t="s">
        <v>255</v>
      </c>
      <c r="H217" s="3" t="s">
        <v>11</v>
      </c>
      <c r="I217" s="3" t="s">
        <v>7</v>
      </c>
      <c r="J217" s="3" t="s">
        <v>91</v>
      </c>
      <c r="K217" s="3" t="s">
        <v>44</v>
      </c>
      <c r="L217" s="3" t="s">
        <v>94</v>
      </c>
      <c r="M217">
        <v>1</v>
      </c>
    </row>
    <row r="218" spans="1:13" x14ac:dyDescent="0.25">
      <c r="A218" s="1">
        <v>46126</v>
      </c>
      <c r="B218" s="1" t="str">
        <f ca="1">IF(Información1[[#This Row],[Fecha]]='Ajuste de fechas'!$A$2,"Día actual","Día anterior")</f>
        <v>Día anterior</v>
      </c>
      <c r="C218" s="3" t="s">
        <v>55</v>
      </c>
      <c r="D218" t="s">
        <v>57</v>
      </c>
      <c r="E218" s="3" t="s">
        <v>174</v>
      </c>
      <c r="F218" s="3" t="s">
        <v>24</v>
      </c>
      <c r="G218" s="3" t="s">
        <v>70</v>
      </c>
      <c r="H218" s="3" t="s">
        <v>11</v>
      </c>
      <c r="I218" s="3" t="s">
        <v>7</v>
      </c>
      <c r="J218" s="3" t="s">
        <v>91</v>
      </c>
      <c r="K218" s="3" t="s">
        <v>44</v>
      </c>
      <c r="L218" s="3" t="s">
        <v>94</v>
      </c>
      <c r="M218">
        <v>1</v>
      </c>
    </row>
    <row r="219" spans="1:13" x14ac:dyDescent="0.25">
      <c r="A219" s="1">
        <v>46126</v>
      </c>
      <c r="B219" s="1" t="str">
        <f ca="1">IF(Información1[[#This Row],[Fecha]]='Ajuste de fechas'!$A$2,"Día actual","Día anterior")</f>
        <v>Día anterior</v>
      </c>
      <c r="C219" s="3" t="s">
        <v>55</v>
      </c>
      <c r="D219" t="s">
        <v>57</v>
      </c>
      <c r="E219" s="3" t="s">
        <v>209</v>
      </c>
      <c r="F219" s="3" t="s">
        <v>28</v>
      </c>
      <c r="G219" s="3" t="s">
        <v>160</v>
      </c>
      <c r="H219" s="3" t="s">
        <v>11</v>
      </c>
      <c r="I219" s="3" t="s">
        <v>7</v>
      </c>
      <c r="J219" s="3" t="s">
        <v>91</v>
      </c>
      <c r="K219" s="3" t="s">
        <v>44</v>
      </c>
      <c r="L219" s="3" t="s">
        <v>94</v>
      </c>
      <c r="M219">
        <v>1</v>
      </c>
    </row>
    <row r="220" spans="1:13" x14ac:dyDescent="0.25">
      <c r="A220" s="1">
        <v>46126</v>
      </c>
      <c r="B220" s="1" t="str">
        <f ca="1">IF(Información1[[#This Row],[Fecha]]='Ajuste de fechas'!$A$2,"Día actual","Día anterior")</f>
        <v>Día anterior</v>
      </c>
      <c r="C220" s="3" t="s">
        <v>35</v>
      </c>
      <c r="D220" t="s">
        <v>277</v>
      </c>
      <c r="E220" s="3" t="s">
        <v>278</v>
      </c>
      <c r="F220" s="3" t="s">
        <v>119</v>
      </c>
      <c r="G220" s="3" t="s">
        <v>67</v>
      </c>
      <c r="H220" s="3" t="s">
        <v>11</v>
      </c>
      <c r="I220" s="3" t="s">
        <v>7</v>
      </c>
      <c r="J220" s="3" t="s">
        <v>91</v>
      </c>
      <c r="K220" s="3" t="s">
        <v>279</v>
      </c>
      <c r="L220" s="3" t="s">
        <v>94</v>
      </c>
      <c r="M220">
        <v>1</v>
      </c>
    </row>
    <row r="221" spans="1:13" x14ac:dyDescent="0.25">
      <c r="A221" s="1">
        <v>46126</v>
      </c>
      <c r="B221" s="1" t="str">
        <f ca="1">IF(Información1[[#This Row],[Fecha]]='Ajuste de fechas'!$A$2,"Día actual","Día anterior")</f>
        <v>Día anterior</v>
      </c>
      <c r="C221" s="3" t="s">
        <v>35</v>
      </c>
      <c r="D221" t="s">
        <v>277</v>
      </c>
      <c r="E221" s="3" t="s">
        <v>254</v>
      </c>
      <c r="F221" s="3" t="s">
        <v>53</v>
      </c>
      <c r="G221" s="3" t="s">
        <v>298</v>
      </c>
      <c r="H221" s="3" t="s">
        <v>11</v>
      </c>
      <c r="I221" s="3" t="s">
        <v>7</v>
      </c>
      <c r="J221" s="3" t="s">
        <v>91</v>
      </c>
      <c r="K221" s="3" t="s">
        <v>279</v>
      </c>
      <c r="L221" s="3" t="s">
        <v>94</v>
      </c>
      <c r="M221">
        <v>1</v>
      </c>
    </row>
    <row r="222" spans="1:13" x14ac:dyDescent="0.25">
      <c r="A222" s="1">
        <v>46126</v>
      </c>
      <c r="B222" s="1" t="str">
        <f ca="1">IF(Información1[[#This Row],[Fecha]]='Ajuste de fechas'!$A$2,"Día actual","Día anterior")</f>
        <v>Día anterior</v>
      </c>
      <c r="C222" s="3" t="s">
        <v>35</v>
      </c>
      <c r="D222" t="s">
        <v>277</v>
      </c>
      <c r="E222" s="3" t="s">
        <v>209</v>
      </c>
      <c r="F222" s="3" t="s">
        <v>28</v>
      </c>
      <c r="G222" s="3" t="s">
        <v>160</v>
      </c>
      <c r="H222" s="3" t="s">
        <v>11</v>
      </c>
      <c r="I222" s="3" t="s">
        <v>7</v>
      </c>
      <c r="J222" s="3" t="s">
        <v>91</v>
      </c>
      <c r="K222" s="3" t="s">
        <v>279</v>
      </c>
      <c r="L222" s="3" t="s">
        <v>94</v>
      </c>
      <c r="M222">
        <v>1</v>
      </c>
    </row>
    <row r="223" spans="1:13" x14ac:dyDescent="0.25">
      <c r="A223" s="1">
        <v>46126</v>
      </c>
      <c r="B223" s="1" t="str">
        <f ca="1">IF(Información1[[#This Row],[Fecha]]='Ajuste de fechas'!$A$2,"Día actual","Día anterior")</f>
        <v>Día anterior</v>
      </c>
      <c r="C223" s="3" t="s">
        <v>348</v>
      </c>
      <c r="D223" t="s">
        <v>349</v>
      </c>
      <c r="E223" s="3" t="s">
        <v>346</v>
      </c>
      <c r="F223" s="3" t="s">
        <v>15</v>
      </c>
      <c r="G223" s="3" t="s">
        <v>115</v>
      </c>
      <c r="H223" s="3" t="s">
        <v>46</v>
      </c>
      <c r="I223" s="3" t="s">
        <v>7</v>
      </c>
      <c r="J223" s="3" t="s">
        <v>91</v>
      </c>
      <c r="K223" s="3" t="s">
        <v>350</v>
      </c>
      <c r="L223" s="3" t="s">
        <v>203</v>
      </c>
      <c r="M223">
        <v>1</v>
      </c>
    </row>
    <row r="224" spans="1:13" x14ac:dyDescent="0.25">
      <c r="A224" s="1">
        <v>46126</v>
      </c>
      <c r="B224" s="1" t="str">
        <f ca="1">IF(Información1[[#This Row],[Fecha]]='Ajuste de fechas'!$A$2,"Día actual","Día anterior")</f>
        <v>Día anterior</v>
      </c>
      <c r="C224" s="3" t="s">
        <v>43</v>
      </c>
      <c r="D224" t="s">
        <v>45</v>
      </c>
      <c r="E224" s="3" t="s">
        <v>351</v>
      </c>
      <c r="F224" s="3" t="s">
        <v>21</v>
      </c>
      <c r="G224" s="3" t="s">
        <v>352</v>
      </c>
      <c r="H224" s="3" t="s">
        <v>46</v>
      </c>
      <c r="I224" s="3" t="s">
        <v>7</v>
      </c>
      <c r="J224" s="3" t="s">
        <v>91</v>
      </c>
      <c r="K224" s="3" t="s">
        <v>44</v>
      </c>
      <c r="L224" s="3" t="s">
        <v>92</v>
      </c>
      <c r="M224">
        <v>1</v>
      </c>
    </row>
    <row r="225" spans="1:13" x14ac:dyDescent="0.25">
      <c r="A225" s="1">
        <v>46126</v>
      </c>
      <c r="B225" s="1" t="str">
        <f ca="1">IF(Información1[[#This Row],[Fecha]]='Ajuste de fechas'!$A$2,"Día actual","Día anterior")</f>
        <v>Día anterior</v>
      </c>
      <c r="C225" s="3" t="s">
        <v>43</v>
      </c>
      <c r="D225" t="s">
        <v>45</v>
      </c>
      <c r="E225" s="3" t="s">
        <v>353</v>
      </c>
      <c r="F225" s="3" t="s">
        <v>24</v>
      </c>
      <c r="G225" s="3" t="s">
        <v>172</v>
      </c>
      <c r="H225" s="3" t="s">
        <v>46</v>
      </c>
      <c r="I225" s="3" t="s">
        <v>7</v>
      </c>
      <c r="J225" s="3" t="s">
        <v>91</v>
      </c>
      <c r="K225" s="3" t="s">
        <v>44</v>
      </c>
      <c r="L225" s="3" t="s">
        <v>94</v>
      </c>
      <c r="M225">
        <v>1</v>
      </c>
    </row>
    <row r="226" spans="1:13" x14ac:dyDescent="0.25">
      <c r="A226" s="1">
        <v>46126</v>
      </c>
      <c r="B226" s="1" t="str">
        <f ca="1">IF(Información1[[#This Row],[Fecha]]='Ajuste de fechas'!$A$2,"Día actual","Día anterior")</f>
        <v>Día anterior</v>
      </c>
      <c r="C226" s="3" t="s">
        <v>43</v>
      </c>
      <c r="D226" t="s">
        <v>45</v>
      </c>
      <c r="E226" s="3" t="s">
        <v>354</v>
      </c>
      <c r="F226" s="3" t="s">
        <v>24</v>
      </c>
      <c r="G226" s="3" t="s">
        <v>172</v>
      </c>
      <c r="H226" s="3" t="s">
        <v>46</v>
      </c>
      <c r="I226" s="3" t="s">
        <v>7</v>
      </c>
      <c r="J226" s="3" t="s">
        <v>91</v>
      </c>
      <c r="K226" s="3" t="s">
        <v>44</v>
      </c>
      <c r="L226" s="3" t="s">
        <v>94</v>
      </c>
      <c r="M226">
        <v>1</v>
      </c>
    </row>
    <row r="227" spans="1:13" x14ac:dyDescent="0.25">
      <c r="A227" s="1">
        <v>46126</v>
      </c>
      <c r="B227" s="1" t="str">
        <f ca="1">IF(Información1[[#This Row],[Fecha]]='Ajuste de fechas'!$A$2,"Día actual","Día anterior")</f>
        <v>Día anterior</v>
      </c>
      <c r="C227" s="3" t="s">
        <v>43</v>
      </c>
      <c r="D227" t="s">
        <v>45</v>
      </c>
      <c r="E227" s="3" t="s">
        <v>355</v>
      </c>
      <c r="F227" s="3" t="s">
        <v>49</v>
      </c>
      <c r="G227" s="3" t="s">
        <v>242</v>
      </c>
      <c r="H227" s="3" t="s">
        <v>46</v>
      </c>
      <c r="I227" s="3" t="s">
        <v>7</v>
      </c>
      <c r="J227" s="3" t="s">
        <v>91</v>
      </c>
      <c r="K227" s="3" t="s">
        <v>44</v>
      </c>
      <c r="L227" s="3" t="s">
        <v>94</v>
      </c>
      <c r="M227">
        <v>1</v>
      </c>
    </row>
    <row r="228" spans="1:13" x14ac:dyDescent="0.25">
      <c r="A228" s="1">
        <v>46126</v>
      </c>
      <c r="B228" s="1" t="str">
        <f ca="1">IF(Información1[[#This Row],[Fecha]]='Ajuste de fechas'!$A$2,"Día actual","Día anterior")</f>
        <v>Día anterior</v>
      </c>
      <c r="C228" s="3" t="s">
        <v>43</v>
      </c>
      <c r="D228" t="s">
        <v>45</v>
      </c>
      <c r="E228" s="3" t="s">
        <v>356</v>
      </c>
      <c r="F228" s="3" t="s">
        <v>66</v>
      </c>
      <c r="G228" s="3" t="s">
        <v>253</v>
      </c>
      <c r="H228" s="3" t="s">
        <v>46</v>
      </c>
      <c r="I228" s="3" t="s">
        <v>7</v>
      </c>
      <c r="J228" s="3" t="s">
        <v>91</v>
      </c>
      <c r="K228" s="3" t="s">
        <v>44</v>
      </c>
      <c r="L228" s="3" t="s">
        <v>94</v>
      </c>
      <c r="M228">
        <v>1</v>
      </c>
    </row>
    <row r="229" spans="1:13" x14ac:dyDescent="0.25">
      <c r="A229" s="1">
        <v>46126</v>
      </c>
      <c r="B229" s="1" t="str">
        <f ca="1">IF(Información1[[#This Row],[Fecha]]='Ajuste de fechas'!$A$2,"Día actual","Día anterior")</f>
        <v>Día anterior</v>
      </c>
      <c r="C229" s="3" t="s">
        <v>43</v>
      </c>
      <c r="D229" t="s">
        <v>45</v>
      </c>
      <c r="E229" s="3" t="s">
        <v>157</v>
      </c>
      <c r="F229" s="3" t="s">
        <v>62</v>
      </c>
      <c r="G229" s="3" t="s">
        <v>144</v>
      </c>
      <c r="H229" s="3" t="s">
        <v>46</v>
      </c>
      <c r="I229" s="3" t="s">
        <v>7</v>
      </c>
      <c r="J229" s="3" t="s">
        <v>91</v>
      </c>
      <c r="K229" s="3" t="s">
        <v>44</v>
      </c>
      <c r="L229" s="3" t="s">
        <v>94</v>
      </c>
      <c r="M229">
        <v>1</v>
      </c>
    </row>
    <row r="230" spans="1:13" x14ac:dyDescent="0.25">
      <c r="A230" s="1">
        <v>46126</v>
      </c>
      <c r="B230" s="1" t="str">
        <f ca="1">IF(Información1[[#This Row],[Fecha]]='Ajuste de fechas'!$A$2,"Día actual","Día anterior")</f>
        <v>Día anterior</v>
      </c>
      <c r="C230" s="3" t="s">
        <v>43</v>
      </c>
      <c r="D230" t="s">
        <v>45</v>
      </c>
      <c r="E230" s="3" t="s">
        <v>357</v>
      </c>
      <c r="F230" s="3" t="s">
        <v>53</v>
      </c>
      <c r="G230" s="3" t="s">
        <v>255</v>
      </c>
      <c r="H230" s="3" t="s">
        <v>46</v>
      </c>
      <c r="I230" s="3" t="s">
        <v>7</v>
      </c>
      <c r="J230" s="3" t="s">
        <v>91</v>
      </c>
      <c r="K230" s="3" t="s">
        <v>44</v>
      </c>
      <c r="L230" s="3" t="s">
        <v>94</v>
      </c>
      <c r="M230">
        <v>1</v>
      </c>
    </row>
    <row r="231" spans="1:13" x14ac:dyDescent="0.25">
      <c r="A231" s="1">
        <v>46126</v>
      </c>
      <c r="B231" s="1" t="str">
        <f ca="1">IF(Información1[[#This Row],[Fecha]]='Ajuste de fechas'!$A$2,"Día actual","Día anterior")</f>
        <v>Día anterior</v>
      </c>
      <c r="C231" s="3" t="s">
        <v>43</v>
      </c>
      <c r="D231" t="s">
        <v>45</v>
      </c>
      <c r="E231" s="3" t="s">
        <v>358</v>
      </c>
      <c r="F231" s="3" t="s">
        <v>17</v>
      </c>
      <c r="G231" s="3" t="s">
        <v>109</v>
      </c>
      <c r="H231" s="3" t="s">
        <v>46</v>
      </c>
      <c r="I231" s="3" t="s">
        <v>7</v>
      </c>
      <c r="J231" s="3" t="s">
        <v>91</v>
      </c>
      <c r="K231" s="3" t="s">
        <v>44</v>
      </c>
      <c r="L231" s="3" t="s">
        <v>94</v>
      </c>
      <c r="M231">
        <v>1</v>
      </c>
    </row>
    <row r="232" spans="1:13" x14ac:dyDescent="0.25">
      <c r="A232" s="1">
        <v>46126</v>
      </c>
      <c r="B232" s="1" t="str">
        <f ca="1">IF(Información1[[#This Row],[Fecha]]='Ajuste de fechas'!$A$2,"Día actual","Día anterior")</f>
        <v>Día anterior</v>
      </c>
      <c r="C232" s="3" t="s">
        <v>43</v>
      </c>
      <c r="D232" t="s">
        <v>45</v>
      </c>
      <c r="E232" s="3" t="s">
        <v>118</v>
      </c>
      <c r="F232" s="3" t="s">
        <v>119</v>
      </c>
      <c r="G232" s="3" t="s">
        <v>67</v>
      </c>
      <c r="H232" s="3" t="s">
        <v>46</v>
      </c>
      <c r="I232" s="3" t="s">
        <v>7</v>
      </c>
      <c r="J232" s="3" t="s">
        <v>91</v>
      </c>
      <c r="K232" s="3" t="s">
        <v>44</v>
      </c>
      <c r="L232" s="3" t="s">
        <v>94</v>
      </c>
      <c r="M232">
        <v>1</v>
      </c>
    </row>
    <row r="233" spans="1:13" x14ac:dyDescent="0.25">
      <c r="A233" s="1">
        <v>46126</v>
      </c>
      <c r="B233" s="1" t="str">
        <f ca="1">IF(Información1[[#This Row],[Fecha]]='Ajuste de fechas'!$A$2,"Día actual","Día anterior")</f>
        <v>Día anterior</v>
      </c>
      <c r="C233" s="3" t="s">
        <v>43</v>
      </c>
      <c r="D233" t="s">
        <v>45</v>
      </c>
      <c r="E233" s="3" t="s">
        <v>359</v>
      </c>
      <c r="F233" s="3" t="s">
        <v>19</v>
      </c>
      <c r="G233" s="3" t="s">
        <v>268</v>
      </c>
      <c r="H233" s="3" t="s">
        <v>46</v>
      </c>
      <c r="I233" s="3" t="s">
        <v>7</v>
      </c>
      <c r="J233" s="3" t="s">
        <v>95</v>
      </c>
      <c r="K233" s="3" t="s">
        <v>44</v>
      </c>
      <c r="L233" s="3" t="s">
        <v>92</v>
      </c>
      <c r="M233">
        <v>1</v>
      </c>
    </row>
    <row r="234" spans="1:13" x14ac:dyDescent="0.25">
      <c r="A234" s="1">
        <v>46126</v>
      </c>
      <c r="B234" s="1" t="str">
        <f ca="1">IF(Información1[[#This Row],[Fecha]]='Ajuste de fechas'!$A$2,"Día actual","Día anterior")</f>
        <v>Día anterior</v>
      </c>
      <c r="C234" s="3" t="s">
        <v>43</v>
      </c>
      <c r="D234" t="s">
        <v>45</v>
      </c>
      <c r="E234" s="3" t="s">
        <v>161</v>
      </c>
      <c r="F234" s="3" t="s">
        <v>24</v>
      </c>
      <c r="G234" s="3" t="s">
        <v>47</v>
      </c>
      <c r="H234" s="3" t="s">
        <v>46</v>
      </c>
      <c r="I234" s="3" t="s">
        <v>7</v>
      </c>
      <c r="J234" s="3" t="s">
        <v>91</v>
      </c>
      <c r="K234" s="3" t="s">
        <v>44</v>
      </c>
      <c r="L234" s="3" t="s">
        <v>92</v>
      </c>
      <c r="M234">
        <v>1</v>
      </c>
    </row>
    <row r="235" spans="1:13" x14ac:dyDescent="0.25">
      <c r="A235" s="1">
        <v>46126</v>
      </c>
      <c r="B235" s="1" t="str">
        <f ca="1">IF(Información1[[#This Row],[Fecha]]='Ajuste de fechas'!$A$2,"Día actual","Día anterior")</f>
        <v>Día anterior</v>
      </c>
      <c r="C235" s="3" t="s">
        <v>43</v>
      </c>
      <c r="D235" t="s">
        <v>45</v>
      </c>
      <c r="E235" s="3" t="s">
        <v>360</v>
      </c>
      <c r="F235" s="3" t="s">
        <v>19</v>
      </c>
      <c r="G235" s="3" t="s">
        <v>80</v>
      </c>
      <c r="H235" s="3" t="s">
        <v>46</v>
      </c>
      <c r="I235" s="3" t="s">
        <v>7</v>
      </c>
      <c r="J235" s="3" t="s">
        <v>95</v>
      </c>
      <c r="K235" s="3" t="s">
        <v>44</v>
      </c>
      <c r="L235" s="3" t="s">
        <v>92</v>
      </c>
      <c r="M235">
        <v>1</v>
      </c>
    </row>
    <row r="236" spans="1:13" x14ac:dyDescent="0.25">
      <c r="A236" s="1">
        <v>46126</v>
      </c>
      <c r="B236" s="1" t="str">
        <f ca="1">IF(Información1[[#This Row],[Fecha]]='Ajuste de fechas'!$A$2,"Día actual","Día anterior")</f>
        <v>Día anterior</v>
      </c>
      <c r="C236" s="3" t="s">
        <v>43</v>
      </c>
      <c r="D236" t="s">
        <v>45</v>
      </c>
      <c r="E236" s="3" t="s">
        <v>361</v>
      </c>
      <c r="F236" s="3" t="s">
        <v>38</v>
      </c>
      <c r="G236" s="3" t="s">
        <v>251</v>
      </c>
      <c r="H236" s="3" t="s">
        <v>46</v>
      </c>
      <c r="I236" s="3" t="s">
        <v>7</v>
      </c>
      <c r="J236" s="3" t="s">
        <v>91</v>
      </c>
      <c r="K236" s="3" t="s">
        <v>44</v>
      </c>
      <c r="L236" s="3" t="s">
        <v>94</v>
      </c>
      <c r="M236">
        <v>1</v>
      </c>
    </row>
    <row r="237" spans="1:13" x14ac:dyDescent="0.25">
      <c r="A237" s="1">
        <v>46126</v>
      </c>
      <c r="B237" s="1" t="str">
        <f ca="1">IF(Información1[[#This Row],[Fecha]]='Ajuste de fechas'!$A$2,"Día actual","Día anterior")</f>
        <v>Día anterior</v>
      </c>
      <c r="C237" s="3" t="s">
        <v>43</v>
      </c>
      <c r="D237" t="s">
        <v>45</v>
      </c>
      <c r="E237" s="3" t="s">
        <v>362</v>
      </c>
      <c r="F237" s="3" t="s">
        <v>19</v>
      </c>
      <c r="G237" s="3" t="s">
        <v>363</v>
      </c>
      <c r="H237" s="3" t="s">
        <v>46</v>
      </c>
      <c r="I237" s="3" t="s">
        <v>7</v>
      </c>
      <c r="J237" s="3" t="s">
        <v>95</v>
      </c>
      <c r="K237" s="3" t="s">
        <v>44</v>
      </c>
      <c r="L237" s="3" t="s">
        <v>92</v>
      </c>
      <c r="M237">
        <v>1</v>
      </c>
    </row>
    <row r="238" spans="1:13" x14ac:dyDescent="0.25">
      <c r="A238" s="1">
        <v>46126</v>
      </c>
      <c r="B238" s="1" t="str">
        <f ca="1">IF(Información1[[#This Row],[Fecha]]='Ajuste de fechas'!$A$2,"Día actual","Día anterior")</f>
        <v>Día anterior</v>
      </c>
      <c r="C238" s="3" t="s">
        <v>43</v>
      </c>
      <c r="D238" t="s">
        <v>45</v>
      </c>
      <c r="E238" s="3" t="s">
        <v>364</v>
      </c>
      <c r="F238" s="3" t="s">
        <v>21</v>
      </c>
      <c r="G238" s="3" t="s">
        <v>106</v>
      </c>
      <c r="H238" s="3" t="s">
        <v>46</v>
      </c>
      <c r="I238" s="3" t="s">
        <v>7</v>
      </c>
      <c r="J238" s="3" t="s">
        <v>91</v>
      </c>
      <c r="K238" s="3" t="s">
        <v>44</v>
      </c>
      <c r="L238" s="3" t="s">
        <v>92</v>
      </c>
      <c r="M238">
        <v>1</v>
      </c>
    </row>
    <row r="239" spans="1:13" x14ac:dyDescent="0.25">
      <c r="A239" s="1">
        <v>46126</v>
      </c>
      <c r="B239" s="1" t="str">
        <f ca="1">IF(Información1[[#This Row],[Fecha]]='Ajuste de fechas'!$A$2,"Día actual","Día anterior")</f>
        <v>Día anterior</v>
      </c>
      <c r="C239" s="3" t="s">
        <v>43</v>
      </c>
      <c r="D239" t="s">
        <v>45</v>
      </c>
      <c r="E239" s="3" t="s">
        <v>365</v>
      </c>
      <c r="F239" s="3" t="s">
        <v>28</v>
      </c>
      <c r="G239" s="3" t="s">
        <v>366</v>
      </c>
      <c r="H239" s="3" t="s">
        <v>46</v>
      </c>
      <c r="I239" s="3" t="s">
        <v>7</v>
      </c>
      <c r="J239" s="3" t="s">
        <v>91</v>
      </c>
      <c r="K239" s="3" t="s">
        <v>44</v>
      </c>
      <c r="L239" s="3" t="s">
        <v>92</v>
      </c>
      <c r="M239">
        <v>1</v>
      </c>
    </row>
    <row r="240" spans="1:13" x14ac:dyDescent="0.25">
      <c r="A240" s="1">
        <v>46126</v>
      </c>
      <c r="B240" s="1" t="str">
        <f ca="1">IF(Información1[[#This Row],[Fecha]]='Ajuste de fechas'!$A$2,"Día actual","Día anterior")</f>
        <v>Día anterior</v>
      </c>
      <c r="C240" s="3" t="s">
        <v>43</v>
      </c>
      <c r="D240" t="s">
        <v>45</v>
      </c>
      <c r="E240" s="3" t="s">
        <v>367</v>
      </c>
      <c r="F240" s="3" t="s">
        <v>28</v>
      </c>
      <c r="G240" s="3" t="s">
        <v>368</v>
      </c>
      <c r="H240" s="3" t="s">
        <v>46</v>
      </c>
      <c r="I240" s="3" t="s">
        <v>7</v>
      </c>
      <c r="J240" s="3" t="s">
        <v>91</v>
      </c>
      <c r="K240" s="3" t="s">
        <v>44</v>
      </c>
      <c r="L240" s="3" t="s">
        <v>92</v>
      </c>
      <c r="M240">
        <v>1</v>
      </c>
    </row>
    <row r="241" spans="1:13" x14ac:dyDescent="0.25">
      <c r="A241" s="1">
        <v>46126</v>
      </c>
      <c r="B241" s="1" t="str">
        <f ca="1">IF(Información1[[#This Row],[Fecha]]='Ajuste de fechas'!$A$2,"Día actual","Día anterior")</f>
        <v>Día anterior</v>
      </c>
      <c r="C241" s="3" t="s">
        <v>43</v>
      </c>
      <c r="D241" t="s">
        <v>45</v>
      </c>
      <c r="E241" s="3" t="s">
        <v>369</v>
      </c>
      <c r="F241" s="3" t="s">
        <v>28</v>
      </c>
      <c r="G241" s="3" t="s">
        <v>74</v>
      </c>
      <c r="H241" s="3" t="s">
        <v>46</v>
      </c>
      <c r="I241" s="3" t="s">
        <v>7</v>
      </c>
      <c r="J241" s="3" t="s">
        <v>91</v>
      </c>
      <c r="K241" s="3" t="s">
        <v>44</v>
      </c>
      <c r="L241" s="3" t="s">
        <v>92</v>
      </c>
      <c r="M24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99</v>
      </c>
      <c r="B1" t="s">
        <v>100</v>
      </c>
    </row>
    <row r="2" spans="1:2" x14ac:dyDescent="0.25">
      <c r="A2" s="2">
        <f ca="1">TODAY()</f>
        <v>46127</v>
      </c>
      <c r="B2" s="2">
        <f ca="1">A2-1</f>
        <v>46126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2026-04-15T23:34:35Z</dcterms:modified>
</cp:coreProperties>
</file>