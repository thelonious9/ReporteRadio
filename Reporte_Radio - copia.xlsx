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312CFA24-7A2E-4A4C-956B-E9EFB7A8CFFB}"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63" i="2"/>
  <c r="B96" i="2"/>
  <c r="B99" i="2"/>
  <c r="B101" i="2"/>
  <c r="B104" i="2"/>
  <c r="B107" i="2"/>
  <c r="B108" i="2"/>
  <c r="B111" i="2"/>
  <c r="B114" i="2"/>
  <c r="B116" i="2"/>
  <c r="B118" i="2"/>
  <c r="B120" i="2"/>
  <c r="B122" i="2"/>
  <c r="B124" i="2"/>
  <c r="B126"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4" i="2"/>
  <c r="B97" i="2"/>
  <c r="B102" i="2"/>
  <c r="B106" i="2"/>
  <c r="B109" i="2"/>
  <c r="B112" i="2"/>
  <c r="B115" i="2"/>
  <c r="B117" i="2"/>
  <c r="B119" i="2"/>
  <c r="B121" i="2"/>
  <c r="B123" i="2"/>
  <c r="B125"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8" i="2"/>
  <c r="B100" i="2"/>
  <c r="B103" i="2"/>
  <c r="B105" i="2"/>
  <c r="B110" i="2"/>
  <c r="B11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<sst xmlns="http://schemas.openxmlformats.org/spreadsheetml/2006/main" count="1262" uniqueCount="245">
  <si>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</si>
  <si>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</si>
  <si>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</si>
  <si>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</si>
  <si>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</si>
  <si>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</si>
  <si>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</si>
  <si>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</si>
  <si>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</si>
  <si>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</si>
  <si>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</si>
  <si>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</si>
  <si>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</si>
  <si>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</si>
  <si>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</si>
  <si>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</si>
  <si>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</si>
  <si>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</si>
  <si>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</si>
  <si>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</si>
  <si>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</si>
  <si>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</si>
  <si>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</si>
  <si>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</si>
  <si>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</si>
  <si>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</si>
  <si>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</si>
  <si>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</si>
  <si>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</si>
  <si>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</si>
  <si>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Matutino</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</si>
  <si>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</si>
  <si>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</si>
  <si>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</si>
  <si>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</si>
  <si>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</si>
  <si>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</si>
  <si>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</si>
  <si>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</si>
  <si>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</si>
  <si>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</si>
  <si>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</si>
  <si>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</si>
  <si>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</si>
  <si>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</si>
  <si>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</si>
  <si>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</si>
  <si>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</si>
  <si>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</si>
  <si>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</si>
  <si>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</si>
  <si>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</si>
  <si>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</si>
  <si>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</si>
  <si>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</si>
  <si>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</si>
  <si>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</si>
  <si>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</si>
  <si>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</si>
  <si>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Turismo</t>
  </si>
  <si>
    <t>Congreso</t>
  </si>
  <si>
    <t>Combate Al Narcomenudeo</t>
  </si>
  <si>
    <t>SSH</t>
  </si>
  <si>
    <t>Fuga De Agua</t>
  </si>
  <si>
    <t>Vialidad En Mal Estado</t>
  </si>
  <si>
    <t>Entrevista</t>
  </si>
  <si>
    <t>Ataque Armado</t>
  </si>
  <si>
    <t>Enlace Hidalgo2</t>
  </si>
  <si>
    <t>Saderh</t>
  </si>
  <si>
    <t>Eulalio Larrieta agradece a Carlos Gamiño por estar al pendiente de temas</t>
  </si>
  <si>
    <t>Combate a la delincuencia</t>
  </si>
  <si>
    <t>Gusano barrenador</t>
  </si>
  <si>
    <t>Irving Sánchez</t>
  </si>
  <si>
    <t>Atención médica</t>
  </si>
  <si>
    <t>Auxilio a la ciudadanía</t>
  </si>
  <si>
    <t>TV local</t>
  </si>
  <si>
    <t>Accidente Vial</t>
  </si>
  <si>
    <t>Modernización Tuzobús</t>
  </si>
  <si>
    <t>Fortalecimiento educativo</t>
  </si>
  <si>
    <t>Radiodifusoras</t>
  </si>
  <si>
    <t>Declaración patrimonial</t>
  </si>
  <si>
    <t>DIFH</t>
  </si>
  <si>
    <t>Ultra 102.9 FM</t>
  </si>
  <si>
    <t>Ultra Noticias1</t>
  </si>
  <si>
    <t>Daniel Martínez</t>
  </si>
  <si>
    <t>Vía telefónica el reporte de Bombero y Protección Civil con Abner Yáñez informa de las diversas emergencias reportadas por la ciudadanía y que fueron atendidas.</t>
  </si>
  <si>
    <t>Inseguridad</t>
  </si>
  <si>
    <t>Protección del menor</t>
  </si>
  <si>
    <t>IEEH</t>
  </si>
  <si>
    <t>Multas Partidos</t>
  </si>
  <si>
    <t>OCSAD</t>
  </si>
  <si>
    <t>Sedeco</t>
  </si>
  <si>
    <t>Exigen seguridad</t>
  </si>
  <si>
    <t>Semaforización</t>
  </si>
  <si>
    <t>En cabina Alberto González comenta el evento de la presidenta Claudia Sheinbaum ayer en la Plaza Juárez y comenta que hay muchas cosas que se vienen arrastrando y no se resuelven con solo decir "cumplimos 2 años del triunfo. Nos están atacando nuestra soberanía", porque no están atacando la soberanía, simplemente un gobierno está haciendo lo que tiene qué hacer: exhibir a quienes deben. Y, si se tiene las pruebas, estas se exhiben en un juicio no en una extradición.</t>
  </si>
  <si>
    <t>Aniversario de la transformación</t>
  </si>
  <si>
    <t>Andrés Torres comenta que el Senador Cuauhtémoc Ochoa iba de muy mal talante y torciendo la boca a todos ayer en el evento de la presidenta Claudia Sheinbaum.</t>
  </si>
  <si>
    <t>Aspirantes</t>
  </si>
  <si>
    <t>Sucesión gubernamental</t>
  </si>
  <si>
    <t>Hoy inician operación las nuevas unidades del Tuzobús, ya se pueden ver las unidades circulando.</t>
  </si>
  <si>
    <t>Un aparatoso accidente se registró este domingo en la comunidad de El Alberto, en Ixmiquilpan, donde un vehículo cayó a una barranca de aproximadamente 100 metros de profundidad y quedó a escasos metros del río Tula. Autoridades correspondientes iniciaron las investigaciones para determinar las causas que originaron este percance; mientras que personal de la Policía municipal solicitaron la presencia de una grúa para el retiro de la unidad.</t>
  </si>
  <si>
    <t>Accidente Carretero</t>
  </si>
  <si>
    <t>Una mujer falleció luego de ser atropellada sobre la carretera Alfajayucan-Ixmiquilpan, a la altura de la entrada a la comunidad de Anoxtey, en el municipio de Alfajayucan. El hecho generó una movilización de cuerpos de emergencia y corporaciones de seguridad.</t>
  </si>
  <si>
    <t>Radioescucha comenta que ya andan circulando las nuevas unidades del Tuzobús.</t>
  </si>
  <si>
    <t>En sesión ordinaria, diputadas y diputados integrantes de la LXVI Legislatura aprobaron con 26 votos a favor, tres en contra y cero abstenciones el dictamen que reforma y adiciona diversas disposiciones de la Constitución Política del Estado de Hidalgo, en materia de austeridad presupuestaria y administrativa, igualdad sustantiva y paridad de género. La diputada Lizbeth Irais Ordaz Islas (Morena) presentó el fundamento de las iniciativas que pretenden incorporar los principios de austeridad y racionalidad en el ejercicio de los recursos públicos inherentes al presupuesto del Poder Legislativo estatal y a los límites de las remuneraciones asignadas a personas funcionarias en materia electoral, así como efectuar ajustes en la integración máxima de los ayuntamientos y fortalecer los principios de igualdad sustantiva y paridad de género en el Congreso del Estado. La legisladora explicó que el ordenamiento jurídico busca evitar que mediante mecanismos administrativos o ampliaciones presupuestales se generen incrementos discrecionales que rebasen el porcentaje constitucionalmente permitido.</t>
  </si>
  <si>
    <t>Paridad de género</t>
  </si>
  <si>
    <t>Andrés Torres comenta que siguen sin señal el en el 1010 de AM El Vocero Huasteco y están en en espera de que les den una solución: si les dan diesel para las plantas de energía o si reparan los aparatos eléctricos. Pide una disculpa a los hablantes del náhuatl, por no poderlos informar a través de esta estación bilingue.</t>
  </si>
  <si>
    <t>Menchaca refrenda respaldo de Hidalgo a la presidenta Sheinbaum</t>
  </si>
  <si>
    <t>Muere motociclista al chocar con un vehículo de la Guardia Nacional en Hidalgo. Accidente vial en Hidalgo deja muerto a joven de 25 años, tras percance entre una motocicleta y una unidad de la Guardia Nacional en la carretera San Juan Tecocomulco–El Aserradero, dentro de municipio de Cuautepec de Hinojosa.</t>
  </si>
  <si>
    <t>Un automovilista intentó ganarle el paso a una locomotora en la comunidad de San Jerónimo Tlamaco, municipios de Atitalaquia pero no logró completar la maniobra y su vehículo fue alcanzado. Afortunadamente, el conductor solo presentó lesiones menores, aunque los daños materiales fueron considerables.</t>
  </si>
  <si>
    <t>Accidente de tren</t>
  </si>
  <si>
    <t>El cuerpo de una mujer fue localizado en la localidad de El Frontón, dentro del municipio de Progreso de Obregón, la tarde del viernes 29 de mayo. Vecinos de la zona reportaron a la corporación de seguridad pública haber escuchado lo que al parecer eran detonaciones por arma de fuego. Al realizar recorrido, los uniformados localizaron el cuerpo de la mujer; paramédicos de la corporación de Protección Civil confirmaron que ya no contaba con signos vitales, señalando que presentaba una lesión provocada por impacto con arma de fuego. La víctima fue identificada como G.P.N.; se realizó operativo para la localización del agresor o agresores, sin que hasta el momento se haya reportado detención alguna relacionada con el caso. La calle Gómez Farías, donde fue localizada la mujer, quedó resguardada en tanto que personal de la Procuraduría General de Justicia del Estado de Hidalgo inició con el levantamiento de pruebas y la investigación del caso.</t>
  </si>
  <si>
    <t>Feminicidio</t>
  </si>
  <si>
    <t>Elementos de la Policía Municipal de Tulancingo detuvieron a dos masculinos en posesión de aproximadamente 250 gramos de presuntas sustancias prohibidas, entre ellas una sustancia con características similares al “cristal”. La acción se realizó como parte de los recorridos permanentes de prevención, disuasión y vigilancia implementados por el Mando Coordinado de Tulancingo. Tras la inspección, los detenidos y las sustancias aseguradas fueron puestos a disposición de la Procuraduría General de Justicia del Estado de Hidalgo (PGJEH), instancia encargada de llevar a cabo las investigaciones correspondientes y definir la situación legal de los implicados.</t>
  </si>
  <si>
    <t>SSPH recupera más de 1 millón de pesos robados a cuentahabiente en Pachuca: asegura a responsables</t>
  </si>
  <si>
    <t>La presidenta municipal de Tulancingo, Lorena García Cázares, encabezó la segunda sesión ordinaria del Comité de Control y Desempeño Institucional (COCODI), reafirmando su compromiso con la transparencia, la eficiencia y la ética en la gestión pública. En este encuentro, que contó con la participación de 16 integrantes del COCODI, se revisaron los logros del ejercicio 2025 y del primer trimestre de 2026, donde casi 100 unidades administrativas alcanzaron un 97 por ciento de cumplimiento en los objetivos establecidos, alineados con los acuerdos estratégicos del Plan Municipal de Desarrollo 2024-2027, mismo que será actualizado conforme a los lineamientos de la Unidad de Planeación y Prospectiva del Gobierno del Estado de Hidalgo. Dentro de los temas abordados, la presidenta del Comité de Ética y Prevención de Conflictos de Interés, Guadalupe Rodríguez Uribe, presentó un informe sobre las actividades realizadas durante 2025, destacando el distintivo de desempeño institucional que se implementará por segunda ocasión este año, con la inscripción de 46 unidades administrativas.</t>
  </si>
  <si>
    <t>Evaluación de desempeño</t>
  </si>
  <si>
    <t>Inaugura Natividad Castrejón la LXV Sesión Ordinaria de CUPIA</t>
  </si>
  <si>
    <t>El IMSS Bienestar en Hidalgo reactivó la Clínica de Manejo Avanzado de Heridas y Estomas del Hospital General de Alta Especialidad de Pachuca, tras cinco años de permanecer inactivo este servicio especializado de atención a la salud. La clínica ofrece atención especializada a pacientes con pie diabético, lesiones por presión, heridas traumáticas, quemaduras, heridas quirúrgicas complejas y otros padecimientos que requieren vigilancia médica y manejo multidisciplinario.</t>
  </si>
  <si>
    <t>Vía telefónica la madre de un alumno de quinto año de la escuela primaria “Nicolás Flores”, de la comunidad de El Susto, en el municipio de Singuilucan, informa que el martes de la semana pasada su hijo fue víctima de abuso sexual por parte de un grupo de alumnos de sexto grado y acusa que la directora del plantel le dijo que no dijera ni hiciera nada. ante esta situación señala que el día de hoy ella y un grupo de padres de familia se encuentran manifestándose afuera de la escuela porque la directora no ha actuado y temen por la integridad de oros alumnos. La mujer señaló que, tras conocer el relato de su hijo, acudió de inmediato a presentar la denuncia correspondiente ante las autoridades. El jefe de sector de la SEP sostiene una reunión con la directora de la escuela, mientras ellos permanecen a las afueras del plantel en espera de información y de una respuesta por parte de las autoridades educativas. La carpeta de investigación relacionada con este caso quedó registrada bajo el número 18-2026-02381. Pide a la PGJEH y la SEPH los atiendan lo antes posible.</t>
  </si>
  <si>
    <t>Abuso Sexual</t>
  </si>
  <si>
    <t>Tres partidos políticos con registro en el Estado de Hidalgo fueron sancionados por un monto global de 9 millones 743 mil 825.38 pesos, derivado de sanciones administrativas, irregularidades detectadas en campañas electorales y ejercicios ordinarios de financiamiento. El Consejo General del Instituto Estatal Electoral (IEEH) aprobó durante la primera sesión ordinaria del mes de mayo el proyecto mediante el cual se ejecutaron las sanciones a los partidos Nueva Alianza Hidalgo, Revolucionario Institucional y del Trabajo. El primero mencionado es el que tiene la sanción más alta, con 9 millones 387 mil 296 pesos; el monto mensual reducido será de 962 mil 348.93 pesos durante nueve meses. Mientras que el Partido Revolucionario Institucional obtuvo una sanción de 309 mil 553.12 pesos, con una reducción mensual de 196 mil 645.75 pesos. En tanto que el Partido del Trabajo deberá cubrir una multa por 46 mil 976.26 pesos. Las multas derivan de los Procedimientos Administrativos Sancionadores INE/P-COF-UTF/34/2021, INE/P-COF-UTF/19/2021 e INE/P-COF-UTF/80/2020. El consejero electoral Alfredo Alcalá Montaño señaló que entre las principales causas por las que los partidos políticos fueron acreedores a multas, están la falta de comprobación de gastos.</t>
  </si>
  <si>
    <t>La Procuraduría General de Justicia del Estado de Hidalgo (PGJEH) inició una investigación interna tras la difusión de una denuncia y un video en los que se observa una presunta celebración realizada al interior de las instalaciones de la Unidad Especializada en Combate al Secuestro. El encargado del despacho de la dependencia, Francisco Fernández Hasbun, calificó los hechos como una conducta inapropiada y advirtió que, en caso de comprobarse irregularidades, podrían aplicarse sanciones a los servidores públicos involucrados. Informó que el caso ya es analizado por el Órgano Interno de Control, instancia encargada de determinar si existieron responsabilidades administrativas derivadas de los hechos denunciados. Mientras se desarrolla la investigación, el titular de la unidad señalada permanece en funciones. Fernández Hasbun explicó que se recabará información y se realizarán entrevistas a las personas presuntamente involucradas para esclarecer lo ocurrido, así como establecer la fecha en que se habría llevado a cabo la reunión. De acuerdo con la denuncia difundida, en el encuentro habrían participado diversos funcionarios adscritos a la procuraduría, entre ellos agentes de investigación, peritos, ministerios públicos y personal administrativo. Además, se señala que presuntamente se consumieron bebidas alcohólicas dentro de las oficinas de la dependencia.</t>
  </si>
  <si>
    <t>Fiesta en oficina pública</t>
  </si>
  <si>
    <t>La Procuraduría General de Justicia del Estado de Hidalgo (PGJEH) mantiene vigentes 37 fichas rojas internacionales y cuatro alertas migratorias relacionadas con personas buscadas por diversos delitos. Lo anterior fue informado por el encargado de despacho de la dependencia estatal, Francisco Fernández Hasbun. Precisó que de las 37 fichas rojas acumuladas, once se han cumplido y 26 permanecen activas, en donde las personas imputadas son buscadas por delitos como abuso sexual, amenazas, desaparición cometida por particulares. Así como, fraude, homicidio, lesiones calificadas, robo, sustracción de menores, violación, y violencia familiar. También, mencionó que han emitido 4 alertas migratorias, todas por incumplimiento de obligaciones alimentarias. El funcionario explicó que las fichas rojas no se tramitan de manera bilateral con Estados Unidos, sino a través de los mecanismos internacionales de la Organización Internacional de Policía Criminal, Interpol. La PGJEH remite la información a la representación de Interpol en México, ubicada en la Ciudad de México, desde donde se canalizan las solicitudes a las oficinas regionales y centrales de la organización.</t>
  </si>
  <si>
    <t>Ficha roja</t>
  </si>
  <si>
    <t>Dentro del Estado de Hidalgo no operan agentes de seguridad de ninguna corporación o institución extranjera, particularmente de los Estados Unidos, afirmó Francisco Fernández Hasbun, encargado de despacho de la Procuraduría General de Justicia del estado (PGJEH). La declaración fue realizada tras señalamientos realizados incluso en el Congreso de la Unión respecto a la participación de cuerpos de seguridad o investigación en entidades de nuestro país. “Hemos tenido colaboraciones institucionales, no operativas. Quiero aclarar: en Hidalgo no hay operación de ninguna agencia de Estados Unidos, como la CIA, FBI o DEA; simplemente es intercambio de información”, señaló. Fernández Hasbun aseguró que la colaboración que mantiene la institución con autoridades de Estados Unidos se limita al intercambio de información y herramientas tecnológicas, sin que exista participación operativa de agencias extranjeras en territorio hidalguense. Explicó que la cooperación se ha centrado en el acceso a sistemas especializados para el fortalecimiento de las investigaciones, con objetivo de fortalecer los sistemas al respecto, ello para garantizar la seguridad. Entre ellos mencionó el sistema E-Trace, relacionado con análisis balístico, y la plataforma i2, utilizada para la construcción de redes de vínculos entre personas y eventos dentro de las indagatorias. “Simplemente se trata de intercambio de información y apoyo en algunos sistemas”, insistió el funcionario estatal.</t>
  </si>
  <si>
    <t>Intervención extranjera</t>
  </si>
  <si>
    <t>Daniel Martínez comenta que el viernes usó el Tuzobús y en la parada de Plaza Juárez él y otros usuarios vieron pasar 5 unidades muy llenas y no pudieron abordar. La gente le comentó que eso es de todos los días. esperó 1 hora con 7 minutos para abordar un Tuzobús y con problema tremendo en el sistema de frenos porque se escuchaba como resoplaba la unidad y para remate, dos o tres estaciones antes de llegar a su destino, se tenia que empujar la puesta para que se abriera. El Día de hoy se tiene programado que el gobierno estatal entregue las nuevas unidades de Tuzobús y cualquier unidad que entre va a ser mejor que esas "latitas" que lo que están padeciendo en este momento los usuarios de lo que se manejaba como la mejor opción. No es así, no hay manera de que te puedas mover en Pachuca.</t>
  </si>
  <si>
    <t>Deficiencias Tuzobús</t>
  </si>
  <si>
    <t>Radioescucha: no puede ser que la carretera Metepec- Agua Blanca a ala altura de Tortugas a unos meses de haber sido reparada ya tiene hoyos ¿de qué calidad estamos hablando?</t>
  </si>
  <si>
    <t>Calidad de obra</t>
  </si>
  <si>
    <t>Radioescucha pide que se aumenten los rondines de vigilancia en Napateco porque hay mucha inseguridad en las calles con personas sospechosas.</t>
  </si>
  <si>
    <t>Hasta la fecha, Hidalgo acumula 94 perros y 2 gatos afectados por el gusano barrenador, cuatro casos se registraron en Mineral de la Reforma, que se ubica entre los municipios con más reportes junto con Huautla, Chapulhuacán, Cuautepec, La Misión y Tenango de Doria. De acuerdo con el informe del Servicio Nacional de Sanidad, Inocuidad y Calidad Agroalimentaria (Senasica) con corte al 27 de mayo, la entidad acumula 630 casos de barrenador reportados en 70 municipios, de los cuales 89 son activos distribuidos en 39 demarcaciones. En marzo pasado la Secretaría de Salud de Hidalgo (SSH) alertó sobre el riesgo para mascotas, ya que ese padecimiento no solo causa afectaciones en el ganado sino en animales domésticos, principalmente en los de situación de calle. Al cierre de marzo la entidad registró 10 casos de gusano barrenador en caninos, por lo que en dos meses la incidencia aumentó considerablemente, ya que en el reciente corte de mayo del Senasica reportaron 94 acumulados en perros y 2 en gatos. Sólo 26 están activos en caninos. Los municipios con más casos acumulados de gusano barrenador en perros son Huautla con 7, Mineral de la Reforma, Chapulhuacán, Cuautepec, La Misión y Tenango de Doria, con 4 caninos. En Huehuetla y Huejutla se reportaron los 2 felinos infectados.</t>
  </si>
  <si>
    <t>Gobierno de Hidalgo consolida protección efectiva y real para niñas, niños y adolescentes</t>
  </si>
  <si>
    <t>Personal médico de la Clínica Hospital de Huejutla activó los protocolos de atención y gestionó el traslado de un derechohabiente de 76 años de edad, a una unidad de alta especialidad debido a la gravedad de su estado de salud. El Instituto de Seguridad y Servicios Sociales de los Trabajadores del Estado (ISSSTE) en Hidalgo coordinó el traslado aeromédico de la mujer originaria del municipio de Huautla, quien presentó quemaduras de tercer grado en 80 por ciento de la superficie corporal. La paciente ingresó a la Clínica Hospital Daniel Salazar Fernández, ubicada en el municipio de Huejutla de Reyes, donde personal médico activó de inmediato los protocolos de atención para pacientes con quemaduras graves. En la sala de choque recibió maniobras de reanimación hídrica y lograron estabilizarla para su traslado. El personal directivo realizó las gestiones institucionales correspondientes ante oficinas centrales y con el Gobierno de Hidalgo para concretar el apoyo logístico requerido. Derivado de estas acciones, la paciente fue aceptada para su atención en el Centro Médico Nacional “20 de Noviembre”, en la Ciudad de México, para ser atendida por especialistas del servicio de Cirugía Plástica y Reconstructiva y permanecerá bajo vigilancia en la Unidad de Cuidados Intensivos para Adultos. El traslado se realizó mediante un helicóptero equipado como ambulancia de terapia intensiva, que despegó desde el helipuerto de la Unidad de Servicios Estatales de Huejutla (USEH), con el objetivo de reducir los tiempos de traslado y garantizar el soporte médico continuo durante el trayecto.</t>
  </si>
  <si>
    <t>Puente aéreo</t>
  </si>
  <si>
    <t>Exhorta DIF Hidalgo a los 84 municipios a crear sus procuradurías de Protección de Niñas, Niños y Adolescentes. Siete municipios del Estado de Hidalgo aún tienen pendiente la conformación de sus respectivas Procuradurías de Protección de Niñas, Niños y Adolescentes, mientras que 65 ya las tienen consolidadas y 12 restantes están en su proceso de integración. El dato fue ofrecido por la presidenta del Patronato del Sistema DIF Hidalgo, Edda Vite Ramos, durante la instalación del Comité técnico para el acompañamiento y seguimiento de la implementación de estas procuradurías municipales. No ofreció datos de los municipios que aún no realiza la conformación de dicho espacio de atención legal, señalando que se trata principalmente de localidades alejadas donde existen mayores dificultades para conformar las estructuras necesarias. Sin embargo, señaló que la falta de recursos económicos no puede ser utilizada como argumento para incumplir con esta obligación, ya que los gobiernos municipales cuentan con un techo presupuestal que puede destinarse a la asistencia social. Tras la aprobación por parte del Congreso del Estado de Hidalgo de las Procuradurías de Protección de Niñas, Niños y Adolescentes, existe un plazo de 180 días para conformarlas en cada uno de los 84 municipios de la entidad, el cual comenzó a correr el 13 de abril de este año. Cada una de estas instancias municipales deberán contar con abogado, psicólogo y trabajador social para dar atención y seguimiento a los casos que se presenten dentro de los municipios; Son 12 los municipios a los que les falta alguno de los profesionales y hay siete que no registran ningún avance al respecto.</t>
  </si>
  <si>
    <t>Guillermo “Billy” Álvarez, expresidente de la Cooperativa Cruz Azul y exdirectivo del club cementero, murió este sábado 30 de mayo. Su fallecimiento ocurrió una semana después de que Cruz Azul conquistó su décimo título de Liga MX. Al momento de su muerte, Álvarez se encontraba internado en un hospital en Toluca, en el Estado de México; sin embargo, estuvo en el penal del Altiplano, donde permanecía desde su detención en enero de 2025.</t>
  </si>
  <si>
    <t>Cruz Azul</t>
  </si>
  <si>
    <t>La presidenta de México Claudia Sheinbaum acusó el Departamento de Justicia de EU pretende convertirse en 'principal elector' en México mediante solicitudes de extradición contra autoridades mexicanas, sin presentar pruebas, al menos de manera pública. La mandataria sostuvo que la solicitud urgente presentada por una oficina de esa institución para detener con fines de extradición a 10 mexicanos, entre ellos a un gobernador, un alcalde y un senador en funciones sin presentar públicamente pruebas constituye un hecho sin precedente en la relación bilateral y también dijo que esto abre la puerta a una intervenión política en asuntos internos.</t>
  </si>
  <si>
    <t>La Ciudad de México tiene calles cerradas este 1 de junio, debido a la marcha de maestros de la CNTE (Coordinadora Nacional de Trabajadores de la Educación). Luego de no alcanzar acuerdos con la Secretaría de Educación Pública (SEP), los maestros participan en una marcha masiva, con el objetivo de que atiendan sus demandas, que van desde incrementos salariales hasta la abrogación de la Ley del ISSSTE de 2007.</t>
  </si>
  <si>
    <t>Ley del ISSSTE</t>
  </si>
  <si>
    <t>La secretaria de Gobernación, Rosa Icela Rodríguez, mantiene mesas de diálogo con la Coordinadora Nacional de Trabajadores de la Educación (CNTE), exhortándolos a privilegiar la vía institucional sobre las confrontaciones y evitar afectaciones a los ciudadanos en la Ciudad de México y otros estados.</t>
  </si>
  <si>
    <t>Una mujer de 29 años de edad, originaria de Colombia, fue rescatada por elementos de la Secretaría de Seguridad Pública de Hidalgo (SSPH) luego de que presuntamente fuera privada de la libertad por un grupo de sujetos cuando circulaba a bordo de una motocicleta en la colonia San Antonio, en la capital hidalguense. De acuerdo con los primeros reportes, la víctima habría sido interceptada por varios individuos, quienes la obligaron a subir a una camioneta gris; posteriormente, los presuntos responsables habrían exigido la cantidad de 150 mil pesos a cambio de liberarla. Tras recibir el reporte de los hechos, las autoridades estatales desplegaron un operativo de búsqueda y localización que permitió ubicar la unidad involucrada minutos después sobre el bulevar de acceso a Acayuca, en el municipio de Zapotlán de Juárez.</t>
  </si>
  <si>
    <t>Combate Al Secuestro</t>
  </si>
  <si>
    <t>Camioneta se pasa el alto e impacta al Tuzobús</t>
  </si>
  <si>
    <t>Accidente Tuzobús</t>
  </si>
  <si>
    <t>Elementos de la Secretaría de Seguridad Pública, Tránsito y Vialidad de Pachuca concluyeron una capacitación especializada en Identificación y Clonación de Vehículos, con el objetivo de fortalecer sus capacidades técnicas y operativas en labores de prevención, vigilancia y detección. La formación fue impartida por el National Insurance Crime Bureau y contó con la participación de alrededor de 100 elementos de la corporación municipal. Como parte del proceso, las y los participantes realizaron prácticas de campo enfocadas en la identificación, inspección y verificación de vehículos, además de ejercicios para detectar alteraciones y posibles indicios relacionados con unidades clonadas. La capacitación permitió reforzar herramientas técnicas y metodológicas que apoyarán el trabajo operativo del personal, especialmente en tareas de prevención, detección e investigación de posibles hechos relacionados con este tipo de irregularidades. De acuerdo con la corporación, estas acciones forman parte de la estrategia permanente de profesionalización de la Secretaría de Seguridad Pública, Tránsito y Vialidad de Pachuca, orientada a contar con elementos mejor preparados y con mayor capacidad de respuesta. Con este tipo de formación, la institución busca fortalecer la seguridad y proteger el patrimonio de las y los pachuqueños, mediante personal capacitado para actuar con mayor eficacia ante situaciones vinculadas con la identificación de vehículos.</t>
  </si>
  <si>
    <t>Capacitación policial</t>
  </si>
  <si>
    <t>Se venció el plazo de declaraciones patrimoniales</t>
  </si>
  <si>
    <t>Contraloría</t>
  </si>
  <si>
    <t>En vivo desde la conferencia matutina, Juan Carlos Santamaría informa que, durante su participación, Humberto Cabrera Román, director del Sistema Integrado de Transporte Masivo quien anunció que, a partir del próximo mes se estará encargado en su totalidad de la operación de este nuevo Sistema de Transporte Metropolitano. Asimismo, destacó la importancia de las nuevas unidades de alto desempeño, dijo, son unidades que podría circular en cualquier parte del mundo, en razón de que cumplen con regulaciones en diferentes ámbitos, entre ellas, las regulaciones ambientales, dijo que, las vagonetas que se integran el próximo mes, tendrán una disposición diferente de los asientos para mayor seguridad y comodidad de los usuarios, también contarán con cámara de monitoreo para el conductor y cámaras de seguridad para los usuarios. Explicó que, con estas nuevas unidades se reducirán los tiempos de espera, lo que hará más eficiente este transporte.</t>
  </si>
  <si>
    <t>En vivo desde la conferencia matutina, Juan Carlos Santamaría informa que, hace unos minutos, la secretaria de Movilidad y Transporte, Lizbeth Robles Gutiérrez ha dicho que la prioridad en esta modernización del Sistema de Transporte Masivo, ha sido, sentar las bases para una transformación de este sistema para hacerlos viable y eficiente financieramente. El Tuzobús se traslada a ser Sistema de Transporte Metropolitano entregándose en la primera etapa 80 unidades de allá tecnología, 42 para 80 pasajeros y 38 más para 50 pasajeros; en julio próximo, se estarán integrando 60 vagonetas. También habló acerca de la capacitación para conductores, así como una mejora en estaciones, puentes y paraderos. (AUDIO LRG).</t>
  </si>
  <si>
    <t>Inicia conferencia matutina semanal desde la Sala del Pueblo en Palacio de Gobierno, el coordinador general de Comunicación Gubernamental, Edmundo Pineda López da la bienvenida, informando que esta conferencia será relativa sobre la entrega de las nuevas unidades para el Tuzobús, estas unidades que ya estas dispuestas en Plaza Juárez.</t>
  </si>
  <si>
    <t>Locutor Juan Carlos Santamaría informó que, en la agenda de hoy, se realizará la entrega de las nuevas unidades del Tuzobús, mismas que, impactarán directamente en los habitantes de la zona metropolitana. Además de ser más modernos y adecuados para personas con discapacidad, estas nuevas unidades cuentan con elementos de infraestructura representativos de la capital y de municipios cómo Zempoala con los Arcos del Padre Tembleque. Dicho evento será encabezado por el gobernador Julio Menchaca.</t>
  </si>
  <si>
    <t>Un hombre de 31 años de edad fue lesionado por arma blanca la tarde de este domingo en el municipio de Alfajayucan, luego de ser atacado por una persona que logró huir del lugar. Ya se implementó un operativo, lamentablemente pues no se pudo detener al presunto responsable.</t>
  </si>
  <si>
    <t>Una persona perdió la vida la tarde del sábado luego de ser atacada con disparos de arma de fuego mientras circulaba a bordo de una motocicleta en la comunidad de Santa María Nativitas en el municipio de Tezontepec de Aldama.De acuerdo con información oficial, los hechos ocurrieron sobre la calle Melchor Campo, donde elementos de seguridad pública y tránsito municipal acudieron tras recibir un reporte de incidente vial. Al llegar al lugar, los agentes localizaron a un hombre tendido sobre la carpeta báltica con lesiones producidas por proyectil de arma de fuego. En el sitio también se encontraba una motocicleta de color negro con huellas de accidente.Durante la inspección de la zona, las autoridades localizaron un arma de fuego a varios metros del cuerpo.</t>
  </si>
  <si>
    <t>Autoridades sanitarias confirmaron el primer caso de gusano barrenador en el cerro del municipio de Acaxochitlán, situación que activó mediante medidas de vigilancia y prevención para evitar la propagación de esta infestación parasitaria. En acuerdo con los reportes, el animal fue diagnosticado tras presentar heridas con presencia de larvas, por lo que recibió atención especializada para controlar la afección y reducir riesgos sanitarios.Esto fue la semana pasada, de lo cual, pues digo, fue un cachorrito que andaba ahí caminando. Se da el aviso, en este caso llega Protección Civil, llega Sector Salud y de lo cual pues se hace el protocolo que se tiene que hacer y se le da el acompañamiento. Se está trabajando en conjunto con el Sector Salud, se están mandando las muestras, se está haciendo todo el protocolo que se tiene que hacer.</t>
  </si>
  <si>
    <t>Al inicio de este espacio que es tiempo ya, mire, ya es tiempo electoral y hay algunos actores políticos que aprovechan cualquier cosa para salir en la foto, para entregar, entre comillas, resultados. Es el caso de Mineral de la Reforma, mire, antes del fraccionamiento Cipreses en ese municipio, difundieron un video en el que expresan su inconformidad por la presencia del regidor de Movimiento Ciudadano, Víctor Juárez, durante la atención de una solicitud relacionada con el mejoramiento de una viabilidad en la zona.De acuerdo con los medios, las gestiones para atender la problemática fueron impulsadas directamente por los habitantes del fraccionamiento mediante diversas solicitudes realizadas durante varias semanas, pero el regidor, Víctor Juárez, quería saludar con sombrero ajeno. En su mensaje señalaron que el inmigrante del Cabildo no participó en el proceso, ni acompañó las peticiones presentadas por la comunidad ante las autoridades correspondientes. Solamente quería salir en la foto cuando yo hubiera resultados.</t>
  </si>
  <si>
    <t>Pavimentación</t>
  </si>
  <si>
    <t>En otros temas representantes de la comunidad de San Juan en el municipio de Tecozautla anunciaron que entregarán tres cartas dirigidas a autoridades de los distintos órdenes de gobierno para expresar su rechazo al proyecto fotovoltaico se pretende desarrollar en la zona de acuerdo con la información de la vocera de la comunidad.La documentación reúne firmas de habitantes que manifestó su postura respecto al proyecto denominado FV Tecozautla. El 9 de mayo la comunidad de San Juan Tecozautla en el estado de Hidalgo fue declarada por su asamblea pública como libre de explotación minera, hidrocarburos, generaciones de energía hidroeléctrica, así como de megaproyectos eólicos y solares que impliquen cambio de uso de suelo sin el consentimiento expreso de la comunidad. Mediante tres actas firmadas, una de una comunitaria, una digital, y una infantil juvenil rechazan el proyecto denominado FV Tecozautla de la empresa Green Park Energy. AUDIO DE APOYO COMUNITARIO.</t>
  </si>
  <si>
    <t>Parque Fotovoltaico</t>
  </si>
  <si>
    <t>En otros temas, la Procuraduría General de Justicia de Hidalgo inició un procedimiento ante el órgano interno de control para investigar la conducta del director general de la unidad especializada en el combate al secuestro, Manuel García Guzmán, luego de la difusión de un video en el que aparece participando en una celebración dentro de las instalaciones de la dependencia. Al ser cuestionado sobre el caso, el encargado del despacho de la Procuraduría de Hidalgo, Francisco Fernández Hasbún, confirmó que la investigación ya está en curso y advirtió que habrá consecuencias derivadas de la resolución que emita la instancia correspondiente. AUDIO DE APOYO</t>
  </si>
  <si>
    <t>Vamos, otra información, no fue película, no fue grabación de Netflix, no fue una telenovela, fue algo real, la rápida acción de los protocolos de videovigilancia y seguimiento permitió la detención de dos personas presuntamente relacionadas con el robo a un cuentahabiente ocurrido el pasado viernes 29 de mayo en Pachuca. De acuerdo con los reportes, la víctima había realizado retiros en sucursales bancarias ubicadas en una plaza comercial del capital hidalguense. Minutos después, mientras permanecía en un estacionamiento, fue interceptada por dos hombres que la despojaron de manera violenta del retirado. Tras la denuncia, al 911, personal de monitoreo del C5I identificó a los presuntos responsables cuando huían a bordo del vehículo Volkswagen Vento Gris, lo que derivó en un operativo de búsqueda en distintos puntos de la zona metropolitana. Esto sin duda afectó la circulación vial, era viernes, era quincena, imagínense usted todo el caos que generó este operativo importante de seguridad en varias salidas de la capital del estado. Las autoridades detectaron posteriormente que ambos descendieron de la unidad de este auto cerca de la central de autobuses de Pachuca para intentar abandonar la ciudad por separado,</t>
  </si>
  <si>
    <t>Hidalgo alista la apertura de una nueva ciudad deportiva de alto rendimiento, buscará concentrar en un mismo espacio entrenadores, asociaciones deportivas y atletas para fortalecer la preparación de talentos en la entidad. Hay que recordar que hace mucho no se atendía tanto, hoy se está atendiendo, hoy estamos buscando talento, estamos buscando talento para poder incorporar.Bien lo dice el director del instituto Oscar Pérez, tenía años que el deporte y la cultura era un tema secundario en las administraciones estatales y ahora eso ha cambiado. AUDIO DE APOYO</t>
  </si>
  <si>
    <t>Ciudad deportiva</t>
  </si>
  <si>
    <t>Parte del mensaje que se escuchó ayer en Plaza Juárez, aquí en Hidalgo, en la capital hidalguense, por parte de la doctora Claudia Sheinbaum. Y donde el gobernador de Hidalgo, Julio Menchaca Salazar, encabezó una concentración en la que reiteró el respaldo de la entidad a la presidenta de México, Claudia Sheinbaum, con motivo del mensaje que la mandataria federal ofreció al cumplir dos años de su triunfo electoral. De acuerdo con el gobierno estatal, 15 mil hidalguenses participaron en el acto realizado de manera simultánea. De acuerdo con el gobierno estatal, 15 mil hidalguenses participaron en el acto realizado de manera simultánea. El mandatario estatal también señaló que Hidalgo mantiene expectativas altas de desarrollo vinculadas a proyectos estratégicos impulsados por la federación, entre ellos, ya lo conoce usted, el tren de pasajeros AIFA en Pachuca, los polos de desarrollo para el bienestar y los programas de modernización sector agrícola. AUDIOS DE APYO CSP – JMS,</t>
  </si>
  <si>
    <t>Aniversario de la Transformación</t>
  </si>
  <si>
    <t>Como ya le mencionaba, el sistema del transporte masivo Tuzobús entrará en una nueva fase a partir de este lunes, con la incorporación de nuevas unidades y el inicio de la operación directa por parte del gobierno de Hidalgo. El gobernador Julio Machaca Salazar informó que el proyecto contempla una reingeniería integral del sistema orientada a mejorar las condiciones de servicio para las y los usuarios. Entre las acciones anunciadas se encuentra la renovación de autobuses, la modernización de estaciones y la rehabilitación de infraestructura que presenta deterioro acumulado desde hace varios años. AUDIO APOYO ENTREVISTA JMS</t>
  </si>
  <si>
    <t>Radioescucha Sr. Fidel reporta que en Piracantos, tienen más baches que habitantes</t>
  </si>
  <si>
    <t>Radioescucha reporta que la calle en donde está el velatorio del IMSS está en muy mal estado y tiene un bache muy grande</t>
  </si>
  <si>
    <t>Radioescucha comenta que todas las calles en Pachuca estan en mal estado, ojala puedan darle esa información al presidente municipal de Pachuca</t>
  </si>
  <si>
    <t>Radioescucha reporta que siguen sin arreglar los semáforos que están rumbo a Tulipanes por Chedraui, no funciona</t>
  </si>
  <si>
    <t>Radioescucha que en Bosques del Peñar, ya no solo batallamos por las calles en mal estado, tambien estamos batallando en la seguridad, la noche de ayer un tipo trato de abrir mi auto</t>
  </si>
  <si>
    <t>Radioescucha falta de agua en Valle del Palmar no cae con presión</t>
  </si>
  <si>
    <t>Radioescucha reporta en Venta Prieta calle 1ero de Mayo</t>
  </si>
  <si>
    <t>Elementos de protección civil y bomberos de Atitalaquia, en coordinación con policía y tránsito municipal,atendieron un accidente en las vías del tren de la entrada al parque industrial, donde un vehículo compacto fue impactado por la locomotora.De acuerdo con los hechos, el conductor del vehículo intentó ganarle el paso al tren, lo que provocó el impacto. Afortunadamente, no se reportaron personas lesionadas, solo daños materiales.Protección civil y bomberos recuerda a la ciudadanía la importancia de extremar medidas de seguridad al transitar por zonas aledañas a las vías del tren.</t>
  </si>
  <si>
    <t>- La presidenta Claudia Sheinbaum cumple dos años de su victoria en las elecciones presidenciales asegurando que en México no hay crisis a la vista, presume inversión extranjera histórica, avances en la reducción de delitos, la batería más grande de apoyos económicos para los más necesitados, y una lucha por la defensa de la soberanía</t>
  </si>
  <si>
    <t>Todo se encuentra listo en la Plaza Juárez para el arranque oficial de operaciones de las nuevas unidades que se incorporarán al Sistema de Transporte Metropolitano Tuzobús que será a las 11:00 AM, con el objetivo de fortalecer el servicio de movilidad en la zona metropolitana de Pachuca.</t>
  </si>
  <si>
    <t>En este momento reporta un accidente vial en Boulevard Felipe Ángeles, a la altura de las agencias de automóviles; confirman que fue un automóvil particular y un taxi. El accidente está invadiendo el carril del Tuzobús.</t>
  </si>
  <si>
    <t>El Instituto Mexicano del Seguro Social (IMSS) en Hidalgo, a través del Voluntariado hizo entrega e 36 kits con prótesis de mama artesanales a mujeres que han sido sometidas a un proceso de mastectomía, debido a que cursaron con diagnóstico de cáncer de mama.Esta entrega tiene como objetivo favorecer el bienestar físico, social y emocional de las mujeres, así como apoyar en su proceso de recuperación y fortalecimiento de la autoestima, el uso de estas prótesis ayuda a prevenir dolores cervicales y lumbares provocados por el desbalance de peso tras una mastectomía.</t>
  </si>
  <si>
    <t>Cáncer De Mama</t>
  </si>
  <si>
    <t>Como parte del Programa Nacional de Tecnificación de Riego impulsado por el Gobierno de México, la Comisión Nacional del Agua (Conagua) informó que en Hidalgo ya fueron revestidos cerca de 200 kilómetros de infraestructura hidráulica en la región del Valle del Mezquital.De acuerdo con la dependencia federal, la longitud intervenida equivale aproximadamente a recorrer por carretera la distancia entre Pachuca y Huejutla, una referencia utilizada para dimensionar el alcance de las obras ejecutadas en la entidad.</t>
  </si>
  <si>
    <t>Tecnificación De Riego</t>
  </si>
  <si>
    <t>La Primera Comisión Permanente de Legislación y Puntos Constitucionales del Congreso de Hidalgo aprobó este viernes 29 de mayo, por mayoría de votos, un dictamen que contempla diversas reformas y adiciones a la Constitución Política del Estado de Hidalgo en materia de austeridad presupuestaria y administrativa, igualdad sustantiva y paridad de género.</t>
  </si>
  <si>
    <t>Procuraduría municipal del menor</t>
  </si>
  <si>
    <t>Sin muertes por miasis en Hidalgo</t>
  </si>
  <si>
    <t>En la comunidad de El Susto en Singuilucan, hay feria patronal y el síndico Donato de Jesús, quien además es candidato de Morena a la presidencia municipal se puso "hasta las manitas" y empezó a proferir amenazas de muerte en contra de las personas con la que convivía. Hay muchas denuncias en contra de Donato de Jesús por sus constantes francachelas y desatinos y le llaman "El mala copa". En redes sociales hay un video donde se le escucha Chillar, gritar, totalmente fuera de sí y amenazar vaya saber a quién. en Singuilucan se tiene un deuda enorme por demandas laborales por ex trabajadores municipales y ahora este personaje va a dar al traste con la administración municipal.</t>
  </si>
  <si>
    <t>Radioescucha, Roberto Pérez Serrano: un llamado a la Conagua, a la CEA y gobierno del estado para que el municipio ponga en funcionamiento la nueva línea de conducción de agua potable, pues no podemos dejar inoperante la inversión de 60 millones de pesos, por lo que considero debe privilegiarse el derecho al vital líquido.</t>
  </si>
  <si>
    <t>Infraestructura Hidráulica</t>
  </si>
  <si>
    <t>Radioescucha, Rod Mendoza: ayer me dí a la tarea de usar el Tuzobús. No hay cambios en la frecuencia ( esperé casi media hora), creo que además de las unidades hace falta un cambio en ampliación de horarios, frecuencia t mejorar los tiempos de traslado, Las Unidades bonitas, pero no sentí un cambio real.</t>
  </si>
  <si>
    <t>Radioescucha, Liz Valdespino: qué lastima que el director de Radio y Televisión de Hidalgo no tenga los conocimientos y la sensibilidad de apoyar la radio en las diversas zonas del estado. La ignorancia de este personaje es evidente, pero dirían por ahi: no es culpa del indio, sino del que lo hace compadre.</t>
  </si>
  <si>
    <t>Mal Desempeño</t>
  </si>
  <si>
    <t>El gobernador en sus redes comparte: Evaluamos resultados y coordinamos acciones firmes para garantizar la paz y el orden en todo Hidalgo. El compromiso con la seguridad del pueblo es permanente.</t>
  </si>
  <si>
    <t>Reunión Gabinete De Seguridad</t>
  </si>
  <si>
    <t>El gobernador comparte en sus redes sociales: El Sistema de Transporte Metropolitano arranca una nueva etapa, y lo hace con buen rumbo: incorporamos 140 nuevas unidades para que esperes menos tiempo y tus traslados en la zona metropolitana sean más cómodos y seguros. De septiembre del 2022 a diciembre de 2025, el Sistema de Transporte Metropolitano movilizó a 70.6 millones de personas usuarias en la zona metropolitana de Pachuca.</t>
  </si>
  <si>
    <t>Resultados en seguridad: frustran tres robos en Hidalgo</t>
  </si>
  <si>
    <t>Desafortunadamente en el primer día de operaciones del sistema de transporte del Tuzobus, inició con accidentes viales y dos unidades descompuestas y es algo no se puede ocultar. Minutos después de que el gobernador Julio Menchaca, diera el banderazo de inició, una unidad alimentadora se vio involucrada en un percance, esto sobre la avenida Juárez. Horas más tarde se empezaron a reportar la avería de unidades, una en la avenida Revolución, Colosio y Felipe Ángeles, en donde la unidad se quedó sin gasolina.</t>
  </si>
  <si>
    <t>Julio Menchaca transforma el Sistema de Transporte Metropolitano</t>
  </si>
  <si>
    <t>Andrés Torres cometa que siguen sin señal en la estación 1010 de AM El Vocero Huasteco, esto ya desde hace casi 2 meses, pero no les hacen caso, les dicen que la estación espere y como a las autoridades administrativas de Radio y Televisión no les importa piden a la población seguirlos por redes sociales donde les avisarán de cualquier condición importante. Esto en tanto alguien les haga caso y decida regresar al aire esta estación bilingüe, insignia y que fue la primera que se logó recuperar después de perder 11 estaciones en la administración pasada, pero ahora por las pifias y desconocimiento y sobre todo por la ignorancia de ciertas personas no está al aire. Por un capricho, nada más porque no quieren, ya no se puede hacer más. Asevera que el pasado domingo el gobernador le preguntó por la estación y le dijo que no está al aire, que siguen enojados diciendo que no la van a prender.</t>
  </si>
  <si>
    <t>Amplían oferta académica de UPT con Ingeniería en Diseño Textil y Moda. La Universidad Politécnica de Tulancingo (UPT) incorporó a su oferta académica la Ingeniería en Diseño Textil y Moda, un nuevo programa educativo orientado a la formación de profesionistas con competencias creativas, tecnológicas e industriales para atender las necesidades actuales del sector productivo. El rector de la UPT, Felipe Olimpo Durán Rocha, informó que las personas interesadas en ingresar a este programa podrán realizar su proceso de admisión a través del portal www.sigae.upt.edu.mx, con fecha límite al 12 de agosto. El costo de la ficha es de 320 pesos, la prueba diagnóstica de admisión se aplicará en línea el 13 de agosto y el cuatrimestre iniciará en el periodo septiembre-diciembre. Asimismo, destacó que el programa contempla una formación integral basada en competencias profesionales, científicas y tecnológicas, orientadas a responder a las necesidades actuales de la industria textil y de la moda.</t>
  </si>
  <si>
    <t>Oferta académica</t>
  </si>
  <si>
    <t>En un ambiente de cercanía y diálogo directo, la presidenta municipal, Lorena García Cázares, convivió con más de 500 vecinas y vecinos de la colonia El Paraíso durante la entrega de la obra de guarniciones y banquetas. La obra, que mejora la movilidad, la seguridad peatonal y la imagen urbana del sector, contempló la construcción de 1,482.80 metros lineales de guarniciones y 1,260.38 metros cuadrados de banquetas de concreto hidráulico en las calles José Madrid, Borja Vivanco, Huejutla de Reyes y Fernando Barragán, con una inversión de $1,596,240.42 pesos. Cabe mencionar que, en días anteriores, la presidenta Lorena García Cázares también estuvo en la colonia El Paraíso haciendo entrega de beneficios, y ahora se suma una obra más que transforma directamente la vida diaria de las familias. Durante la visita, la alcaldesa saludó personalmente a las familias beneficiadas y constató que estos espacios ahora son más seguros, accesibles y funcionales para niñas, niños, jóvenes, personas adultas mayores y para quienes transitan diariamente por estas vialidades.</t>
  </si>
  <si>
    <t>Obras De Infraestructura</t>
  </si>
  <si>
    <t>Un fuerte accidente vehicular, registrado la noche del pasado domingo, sobre la carretera Jorobas-Tula, a la altura del acceso al Parque Industrial de Atitalaquia, movilizó a corporaciones de emergencia de la región, quienes brindaron atención a varias personas que resultaron heridas. De acuerdo con información oficial, el accidente, en el que participaron varias unidades, dejó un saldo de 10 personas lesionadas, entre ellas siete adultos y tres menores de edad.</t>
  </si>
  <si>
    <t>Tecnología aérea de la SSPH permite ubicar hidrocarburo robado en Cuautepec</t>
  </si>
  <si>
    <t>Combate Al Huachicol</t>
  </si>
  <si>
    <t>SSPH desmantela en Tulancingo almacén de vehículos robados</t>
  </si>
  <si>
    <t>Mientras se encontraba en un puesto de comida, un hombre fue atacado con arma punzocortante, lo que derivó que fuera trasladado para recibir atención médica debido a que la lesión fue importante. El ataque ocurrió sobre la carretera estatal Alfajayucan-Chapantongo, dentro de la localidad de El Calvario Tercera Manzana, dentro del municipio de Alfajayucan. Se conoció que el atacante llegó con el rostro cubierto, dirigiéndose a su víctima, a quien lesionó en una pierna con un arma punzocortante, para huir de inmediato a bordo de una motocicleta tras concretar el ataque. Al sitio acudieron elementos policiacos y de Protección Civil; estos últimos revisaron al lesionado, tras lo cual se determinó trasladarlo para que recibiera atención médica especializada a su lesión. Los uniformados realizaron operativo para la búsqueda y eventual localización del agresor, pero hasta el momento no se ha registrado detención alguna relacionada con el caso. Personal de la Procuraduría General de Justicia del Estado de Hidalgo acudió para iniciar las investigaciones respectivas al caso.</t>
  </si>
  <si>
    <t>Dos hombres resultaron lesionados por disparos de arma de fuego en un camino vecinal de la comunidad de Xochitlán de las Flores, en el municipio de Tula de Allende, luego de ser víctimas de un ataque con armas de fuego. Uno de los lesionados presentaba heridas de gravedad, debido a que recibió varios impactos en distintas partes del cuerpo ocasionando que su estado de salud sea delicado. El segundo hombre también fue atendido por las lesiones que presentaba, aunque no se precisó si su condición era de la misma gravedad. Testigos señalaron que, después de disparar contra los dos hombres, los agresores se habrían apoderado de una camioneta propiedad de los afectados, vehículo que fue usado para realizar la huida. Tras conocer estos datos, corporaciones de seguridad desplegaron un operativo en carreteras, caminos vecinales y comunidades cercanas con el objetivo de localizar tanto el vehículo como a los presuntos responsables del ataque. Como parte de estas acciones, la camioneta fue localizada posteriormente; sin embargo, hasta el momento no se ha informado sobre personas detenidas relacionadas con la agresión.</t>
  </si>
  <si>
    <t>Gabinete de Seguridad de Hidalgo frustra robo al transporte de carga</t>
  </si>
  <si>
    <t>SSPH frustra intento de secuestro en Zona Metropolitana de Pachuca</t>
  </si>
  <si>
    <t>CEDSPI continúa llevando atención visual gratuita a las familias hidalguenses con la campaña “¡A ver… a ver!”</t>
  </si>
  <si>
    <t>Salud Visual</t>
  </si>
  <si>
    <t>Ante el próximo inicio de la primera fase de implementación del Polo de Desarrollo para el Bienestar en Zapotlán, hasta la fecha el ayuntamiento no tiene proyectos de obras o adecuaciones complementarias, y no ha otorgado ningún permiso para nuevas empresas aún, informó la alcaldesa Cynthia Arellano Martínez. La presidenta municipal indicó que no cuentan con planes sobre obras municipales en torno al Polo de Desarrollo en su jurisdicción, ya que la administración estatal es el enlace directo con el gobierno federal, que son los directamente involucrados en el proyecto. “Nos vamos a sumar a todas las indicaciones y a cumplir con la normativa que se nos pida para dar las condiciones. Este polo aparte del beneficio que se tendrá en el municipio, a nivel estado es muy importante, entonces trabajamos municipio, estado y federación para que las cosas se hagan de la manera correcta”, refirió. De acuerdo con la edil, Zapotlán no ha emitido ningún permiso a nuevas empresas que se vayan a instalar en el municipio, y las compañías que ya se encuentran establecidas cumplen la normativa, y a las que aún no, las invitó a regularizarse. Después del anuncio sobre la nueva inversión de 2 mil millones de dólares para una farmacéutica que llegará de Canadá a establecer una plana en Hidalgo, en el Polo de Desarrollo de Zapotlán, la alcaldesa expuso que no está en el plan municipal, pero cuando el gobierno estatal lo concrete, su administración hará lo que le compete.</t>
  </si>
  <si>
    <t>Polos del Bienestar</t>
  </si>
  <si>
    <t>El nuevo Parque Industrial de Ciudad Sahagún ya tiene disponibles 10 lotes para vender, de los cuales, cuatro fueron apartados por empresas del rubro logístico y manufactura ligera, informó Carlos Henkel Escorza, secretario de Desarrollo Económico (Sedeco) en Hidalgo. Este complejo contempla una extensión de 50 hectáreas para la primera etapa, incluso, al inicio de este año el gobierno estatal planteó postularlo como un Polo de Desarrollo Económico para el Bienestar (Podecobi). Henkel Escorza explicó que los primeros 10 lotes representan el 20 por ciento de la superficie total del complejo. De este grupo inicial, cuatro predios ya los solicitaron las compañías, pero omitió los nombres de las empresas debido a que los contratos correspondientes están en proceso de cierre. El recurso de la venta de los lugares se reinvertirá para continuar con el desarrollo del parque y las obras relativas a la urbanización, esto a través de la Corporación de Fomento de Infraestructura Industrial (Cofoin), organismo que en la entidad coordina la comercialización de espacios con vocación industrial. Además de este parque, en el Polo de Zapotlán que se desarrollará en 900 hectáreas, se requerirá de servicios e infraestructura de accesos, por lo que uno de los proyectos es la construcción de un puente que estaría a cargo de la Secretaría de Infraestructura, Comunicaciones y Transportes (SICT).</t>
  </si>
  <si>
    <t>Parque industrial</t>
  </si>
  <si>
    <t>Inició nueva etapa del Tuzobús con 80 unidades renovadas bajo control estatal. Este lunes 1 de junio, el Sistema Tuzobús inició una nueva etapa de operación con la incorporación de 80 autobuses para la ruta troncal, los cuales comenzaron a brindar servicio tras el arranque oficial encabezado por el gobernador de Hidalgo, Julio Menchaca Salazar. Con esta renovación concluyó el esquema de concesión a una empresa privada y la administración del servicio pasó a una nueva modalidad coordinada por el gobierno estatal. Las autoridades señalaron que la sustitución total de las unidades permitirá mejorar la experiencia de viaje de las personas usuarias y evaluar nuevas acciones para optimizar el funcionamiento del sistema. Además de la modernización del parque vehicular, el Ejecutivo estatal informó que contempla trabajos de rehabilitación en diversas estaciones, incluyendo la reparación de elevadores y la recuperación de sanitarios que permanecían fuera de servicio debido a la falta de mantenimiento. Durante el evento, el mandatario destacó que uno de los objetivos es fomentar el uso del transporte público en Pachuca y municipios de la zona metropolitana, con la intención de disminuir la dependencia del automóvil particular y contribuir a una movilidad más eficiente. También adelantó que el proyecto podría complementarse en el futuro con la llegada del tren AIFA-Pachuca, cuya conexión con el Tuzobús permitiría fortalecer la red de transporte para miles de usuarios. En esta primera etapa entraron en operación exclusivamente las 80 unidades destinadas a la troncal: 42 autobuses con capacidad para 80 pasajeros y 38 con espacio para 50 personas. Las unidades para las rutas alimentadoras permanecen pendientes de entrega. De acuerdo con lo previsto, la empresa Hidalmotors S.A. de C.V. deberá suministrar 60 vagonetas con capacidad para 14 pasajeros, las cuales forman parte de la renovación integral del sistema. La incorporación de los nuevos autobuses representa una inversión de arrendamiento superior a los 662 millones de pesos, mientras que las unidades alimentadoras implican un monto adicional de más de 60 millones de pesos.</t>
  </si>
  <si>
    <t>Como parte de las acciones permanentes de vigilancia y prevención que realiza el Mando Coordinado de Tulancingo, el pasado sábado fue asegurada una persona por la comisión de una falta administrativa. Posteriormente, al realizar el cruce de información y verificación de antecedentes con la Procuraduría General de Justicia del Estado de Hidalgo (PGJEH), se confirmó que la persona contaba con una orden de reaprehensión vigente. Derivado de la coordinación interinstitucional entre las áreas de procuración de justicia, personal de la Policía Investigadora llevó a cabo el cumplimiento del mandamiento judicial correspondiente.</t>
  </si>
  <si>
    <t>Detención</t>
  </si>
  <si>
    <t>Daniel Martínez e Izza Hernández respecto al Servicio Universal de Salud comentan que esperan que el personal médico y la infraestructura alcancen y no sea un paso solo para saturar el sistema de slaud.</t>
  </si>
  <si>
    <t>Salud universal</t>
  </si>
  <si>
    <t>En primera etapa, inició el programa de registro y credencialización del Servicio Universal de Salud en la delegación regional Tulancingo la Secretaría del Bienestar federal. El objetivo es que la población, esté o no afiliada a algún servicio de salud pública, puedan ser atendidos en cualquiera de las instituciones, como IMSS, ISSSTE, IMSS Bienestar o servicios de salud a cargo de Petróleos Mexicanos. Al contar con expediente unificado, el personal de atención a salud podrá atender a la persona que así lo requiera. En esta primera etapa, el registro se realiza a personas con discapacidad de 18 a 64 años de edad, así como adultos mayores de 65 años de edad, sean o no derechohabientes de alguno de los servicios de salud pública. Lo anterior fue informado por el personal de la delegación regional de la Secretaría del Bienestar en Tulancingo, señalando que los solicitantes deben presentarse con credencial de elector, CURP certificada ante el Registro Civil y comprobante de domicilio. Aunque en un principio se había señalado que el registro y credencialización en el Estado de Hidalgo iniciaría en el municipio de Pachuca, con personas mayores de 85 años de edad, ya se está otorgando el trámite en toda la entidad.</t>
  </si>
  <si>
    <t>Van 148 ollas de captación de agua pluvial en el Estado de Hidalgo. 148 ollas de captación de agua pluvial están instaladas en buena parte de los municipios del Estado de Hidalgo con objetivo de que los productores agrícolas cuenten con el recurso hídrico que les sea necesario. Lo anterior fue asegurado por Napoleón González Pérez, titular de la Secretaría de Agricultura y Desarrollo Rural del Estado de Hidalgo (Saderh), respecto a la disponibilidad de agua para riego en base a este tipo de instalaciones. Señaló que cada olla tiene capacidad que va de los dos a 5 millones de litros cúbicos, por lo que resultan muy útiles para contar con el recurso hídrico, sobre todo en temporada de estiaje. González Pérez aseguró que en varios puntos de la entidad se cuenta con ollas de captación de agua pluvial; por ejemplo, en San Bartolo Tutotepec, existen dos y en Singuilucan hay una más instalada. En breve será entregada una más en la zona de San Vidal, dentro del municipio de Tulancingo, con el mismo objetivo de contar con agua almacenada para ser usada en diversas temporadas de siembra agrícola. La inversión para cada olla de captación pluvial va de los 2.2 a los 2.5 millones de pesos, siendo instaladas en terrenos de uso comunitario, para garantizar que el servicio sea para los productores que lo requieran.</t>
  </si>
  <si>
    <t>Captación De Agua</t>
  </si>
  <si>
    <t>Confirman nueve casos de miasis por gusano barrenador en Hidalgo; no hay defunciones atribuidas a la enfermedad. La Secretaría de Salud de Hidalgo informó que, con corte al 25 de mayo de 2026, se han confirmado nueve casos de miasis causada por Cochliomyia hominivorax, conocida como gusano barrenador del ganado, en personas residentes de distintos municipios de la entidad. De acuerdo con la dependencia, seis de los pacientes ya fueron dados de alta, dos permanecen en tratamiento y seguimiento médico, mientras que una persona falleció por causas ajenas a esta enfermedad, por lo que hasta el momento no se registra ninguna defunción atribuible a la miasis en Hidalgo. Los casos confirmados corresponden a habitantes de los municipios de Tenango de Doria, con dos casos; Tlaxcoapan, Tlanchinol, Huehuetla, Tianguistengo, Pisaflores, Calnali y Zapotlán de Juárez, con un caso cada uno. La Secretaría de Salud detalló que los dos casos registrados en Tenango de Doria, así como los de Tlaxcoapan, Tlanchinol, Huehuetla y Tianguistengo, ya recibieron alta médica. En Pisaflores se reportó el fallecimiento de un paciente por causas no relacionadas con la miasis, mientras que los casos de Calnali y Zapotlán de Juárez continúan bajo tratamiento.</t>
  </si>
  <si>
    <t>Colocar una reja en la entrada principal de la Zona de Monumentos Arqueológicos de Huapalcalco, en Tulancingo, es aislarlo de la población en general, y por tanto, se limita la integración social y cultural. La apreciación fue realizada a través de un comunicado oficial por la Asociación Civil Niebla y Tiempo, una de las organizaciones de la sociedad civil que más han impulsado el reconocimiento de Huapalcalco precisamente como Zona de Monumentos Arqueológicos. En el comunicado señaló que las personas que han dañado la zona ingresan por otros caminos, insistiendo que la colocación de la malla es una forma de aislamiento social y cultural. “Para Niebla y Tiempo A. C., quienes hemos puesto en valor Huapalcalco, dando recorridos guiados gratuitos durante veinte años, cerrar la entrada principal, entorpece la dinámica de llegada de las escuelas, porque los horarios de los recorridos comienzan a las ocho del mañana, pero el horario el INAH comienza hasta las nueve, o más tarde”, se agrega en el escrito. Señalaron que la política del Instituto Nacional de Antropología e Historia (INAH) es cerrar para cobrar el ingreso a las zonas arqueológicas, por lo que consideraron que la colocación de la malla es el primer paso para ello. “La población no debería pagar por entrar a su lugar de origen, esas prácticas del INAH siempre son excluyentes para la población. Y nosotros que hemos estado veinte años sensibilizando a la población, sabemos lo difícil que es que las personas se identifiquen con sus lugares de origen”.</t>
  </si>
  <si>
    <t>Zona Arqueológica</t>
  </si>
  <si>
    <t>El día de hoy suspenden clases en la la escuela primaria “Nicolás Flores” de la comunidad de El Susto, en el municipio de Singuilucan derivado de los sucedido con un alumno (presunto abuso sexual). Al parecer fue de manera unilateral y sorpresiva, pues no hubo aviso alguno. El jefe de sector de la SEP sostuvo ayer una reunión con la directora de la escuela.</t>
  </si>
  <si>
    <t>En la comunidad de El Susto en Singuilucan, hay feria patronal y el síndico Donato de Jesús, quien además es candidato de Morena a la presidencia municipal se puso "hasta las manitas" y empezó a proferir amenazas de muerte en contra de las personas con la que convivía. Hay muchas denuncias en contra de Donato de Jesús por sus constantes francachelas y desatinos y le llaman "El mala copa". En redes sociales hay un video donde se le escucha Chillar, gritar, totalmente fuera de sí y amenazar vaya saber a quién. en Singuilucan se tiene una deuda enorme por demandas laborales por ex trabajadores municipales y ahora este personaje va a dar al traste con la administración municipal.</t>
  </si>
  <si>
    <t>Radioescucha, Rod Mendoza: ayer me di a la tarea de usar el Tuzobús. No hay cambios en la frecuencia (esperé casi media hora), creo que además de las unidades hace falta un cambio en ampliación de horarios, frecuencia t mejorar los tiempos de traslado, Las Unidades bonitas, pero no sentí un cambio real.</t>
  </si>
  <si>
    <t>Radioescucha, Liz Valdespino: qué lástima que el director de Radio y Televisión de Hidalgo no tenga los conocimientos y la sensibilidad de apoyar la radio en las diversas zonas del estado. La ignorancia de este personaje es evidente, pero dirían por ahí: no es culpa del indio, sino del que lo hace compadre.</t>
  </si>
  <si>
    <t>El pasado sábado el estadio Hidalgo fue sede del duelo de leyendas de la Sudamericana del Pachuca contra las leyendas del América donde la gente llegaba poco a poco al recinto a pesar del intenso calor que azotaba la tarde. El recinto se preparaba para recibir el encuentro, la banda de marcha Guerreros Azules de Mixcahuala de Juárez amenizaba la previa del partido. El primero en salir al terreno de juego, sería el ex jugador y entrenador Enrique Meza, quien fungiría como el estratega del equipo de leyendas del Pachuca. Tiempo después salieron todos los jugadores de ambos equipos, por parte del América destacaba el número 10, Cuauhtémoc Blanco, quien fue uno de los más ovacionados al entrar a la cancha. Se llevó a cabo los honores a la bandera, así como la entonación del himno nacional mexicano, ambos equipos se tomaron una foto grupal para el recuerdo, posteriormente comenzaron con la sesión de calentamiento.</t>
  </si>
  <si>
    <t>Crónica</t>
  </si>
  <si>
    <t>A través de una denuncia enviada a nuestra página, un ciudadano reportó un incidente vial en el que presuntamente una unidad del Tuzobús impactó a un motociclista que se encontraba detenido. De acuerdo con el testimonio del afectado y las imágenes, tras el golpe, el operador de la unidad no habría asumido responsabilidad por los daños ocasionados y se habría retirado del sitio. El video compartido muestra el momento del incidente, por lo que se solicita el apoyo a las autoridades para identificar esta unidad involucrada y aportar información que ayude a ubicar al conductor y que se haga responsable de este de este incidente que por fortuna y como se puede ver en las imágenes pues no ocurrió algo mayor ya que el conductor pierde completamente de vista la unidad eh la motocicleta y por este motivo arroya y lo deja ahí a su suerte.</t>
  </si>
  <si>
    <t>Erick Iván Martínez</t>
  </si>
  <si>
    <t>TV Cable hidalguense Canal 6</t>
  </si>
  <si>
    <t>Contigo Noticias</t>
  </si>
  <si>
    <t>En entrevista, el gobernador Julio Menchaca reconoció que fue uno de los críticos del Tuzo Bus, pero afirmó que ahora corresponde aprovechar la infraestructura existente, fortalecer el servicio y mejorar las condiciones laborales de las y los operadores para beneficio de la ciudadanía.</t>
  </si>
  <si>
    <t>El día de hoy en Plaza Juárez se llevó a cabo la entrega de unidades del nuevo sistema de transporte metropolitano. Evento encabezado por el gobernador Julio Menchaca Salazar. Durante esta ceremonia fueron entregadas 42 unidades de ruta troncal, 38 unidades para rutas alimentadoras y 60 vagonetas que fortalecerán la movilidad en la zona metropolitana. Por su parte, la Secretaria de Movilidad y Transporte reconoció que el Tuzobús surgió entre diversas críticas, por lo que aseguró que hoy trabaja para revertir esta percepción mediante acciones que fortalezcan y mejoren el servicio para las y los usuarios. Posteriormente se realizó la entrega simbólica de las llaves de las nuevas unidades a las y los operadores del Tuzobus, acto con el que se formalizó la incorporación de los vehículos al servicio de transporte metropolitano. Finalmente, el gobernador Julio Menchaca expresó su satisfacción por la entrega de estas nuevas unidades y reconoció el esfuerzo realizado para fortalecer el sistema de transporte público, con el objetivo de ofrecer un servicio cada vez más eficiente, seguro y digno para la población.</t>
  </si>
  <si>
    <t>El día de hoy, durante la conferencia semanal del Gobierno de Hidalgo, autoridades estatales dieron a conocer los avances y proyectos contemplados para la renovación del sistema Tuzobús. Por su parte, Humberto Cabrera Román, Director General del Sistema Integrado de Transporte Masivo de Hidalgo, dio a conocer las características de las nuevas unidades entregadas este día, destacando que cuentan con tecnología más moderna, mayor capacidad y equipamiento orientado a brindar un servicio más seguro, cómodo y eficiente para las y los usuarios del sistema Tuzobús. Finalmente, Orlando Ángeles Pérez, oficial mayor del estado, informó sobre la inversión destinada al arrendamiento de las nuevas unidades que se integran al sistema Tuzobus, además de destacar los ahorros obtenidos durante el proceso de contratación, mismos que contribuirán a una mejor administración de los recursos públicos.</t>
  </si>
  <si>
    <t>En entrevista, el gobernador Menchaca Salazar afirmó que hoy Hidalgo vive un momento distinto en su relación con la federación, pues dijo como nunca la entidad ha sido tomada en cuenta con consideración, Recordó además que la propia presidenta reconoció que existe una deuda histórica con el Estado, misma que, aseguró, comienza a saldarse a través de los distintos proyectos de infraestructura, movilidad y desarrollo que se ejecutan y se tienen contemplados para Hidalgo.</t>
  </si>
  <si>
    <t>Plaza Juárez se convirtió este domingo en el punto de encuentro de cientos de hidalguenses que arribaron desde diferentes regiones del estado para presenciar la transmisión nacional del informe de los primeros dos años de gobierno. En medio de un ambiente festivo acompañado de música, actividades y muestras de apoyo, los asistentes siguieron el mensaje de la presidenta de México, en una jornada que reunió a ciudadanos, servidores públicos y representantes de diversos sectores. Antes de la transmisión nacional en la rendición de cuentas de dos años del triunfo, el gobernador de Hidalgo, Julio Menchaga Salazar, envió un mensaje a la presidenta de México, Claudia Sheinbaum Pardo, en el que reconoció el trabajo realizado durante este periodo y refrendó el respaldo de las y los hidalguenses al proyecto de transformación que encabeza.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</si>
</sst>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6" tableType="queryTable" totalsRowShown="0">
  <autoFilter ref="A1:M126"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6"/>
  <sheetViews>
    <sheetView tabSelected="1" topLeftCell="A91" workbookViewId="0">
      <selection activeCell="B126" sqref="B126"/>
    </sheetView>
  </sheetViews>
  <sheetFormatPr baseColWidth="10" defaultRowHeight="15" x14ac:dyDescent="0.25"/>
  <cols>
    <col min="1" max="1" width="8.5703125" bestFit="1" customWidth="1"/>
    <col min="2" max="2" width="11.42578125" bestFit="1" customWidth="1"/>
    <col min="3" max="3" width="27.28515625" bestFit="1" customWidth="1"/>
    <col min="4" max="4" width="29.42578125" bestFit="1" customWidth="1"/>
    <col min="5" max="5" width="81.140625" bestFit="1" customWidth="1"/>
    <col min="6" max="6" width="15.28515625" bestFit="1" customWidth="1"/>
    <col min="7" max="7" width="45.71093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35</v>
      </c>
      <c r="C1" t="s">
        <v>36</v>
      </c>
      <c r="D1" t="s">
        <v>37</v>
      </c>
      <c r="E1" t="s">
        <v>1</v>
      </c>
      <c r="F1" t="s">
        <v>2</v>
      </c>
      <c r="G1" t="s">
        <v>4</v>
      </c>
      <c r="H1" t="s">
        <v>3</v>
      </c>
      <c r="I1" t="s">
        <v>5</v>
      </c>
      <c r="J1" t="s">
        <v>38</v>
      </c>
      <c r="K1" t="s">
        <v>39</v>
      </c>
      <c r="L1" t="s">
        <v>40</v>
      </c>
      <c r="M1" t="s">
        <v>47</v>
      </c>
    </row>
    <row r="2" spans="1:13" x14ac:dyDescent="0.25">
      <c r="A2" s="2">
        <v>46174</v>
      </c>
      <c r="B2" s="1" t="str">
        <f ca="1">IF(Información1[[#This Row],[Fecha]]='Ajuste de fechas'!$A$2,"Día actual","Día anterior")</f>
        <v>Día anterior</v>
      </c>
      <c r="C2" t="s">
        <v>31</v>
      </c>
      <c r="D2" t="s">
        <v>32</v>
      </c>
      <c r="E2" t="s">
        <v>94</v>
      </c>
      <c r="F2" t="s">
        <v>22</v>
      </c>
      <c r="G2" t="s">
        <v>95</v>
      </c>
      <c r="H2" t="s">
        <v>75</v>
      </c>
      <c r="I2" t="s">
        <v>25</v>
      </c>
      <c r="J2" t="s">
        <v>46</v>
      </c>
      <c r="K2" t="s">
        <v>27</v>
      </c>
      <c r="L2" t="s">
        <v>43</v>
      </c>
      <c r="M2">
        <v>2</v>
      </c>
    </row>
    <row r="3" spans="1:13" x14ac:dyDescent="0.25">
      <c r="A3" s="2">
        <v>46174</v>
      </c>
      <c r="B3" s="1" t="str">
        <f ca="1">IF(Información1[[#This Row],[Fecha]]='Ajuste de fechas'!$A$2,"Día actual","Día anterior")</f>
        <v>Día anterior</v>
      </c>
      <c r="C3" t="s">
        <v>31</v>
      </c>
      <c r="D3" t="s">
        <v>32</v>
      </c>
      <c r="E3" t="s">
        <v>96</v>
      </c>
      <c r="F3" t="s">
        <v>97</v>
      </c>
      <c r="G3" t="s">
        <v>95</v>
      </c>
      <c r="H3" t="s">
        <v>75</v>
      </c>
      <c r="I3" t="s">
        <v>7</v>
      </c>
      <c r="J3" t="s">
        <v>98</v>
      </c>
      <c r="K3" t="s">
        <v>27</v>
      </c>
      <c r="L3" t="s">
        <v>43</v>
      </c>
      <c r="M3">
        <v>2</v>
      </c>
    </row>
    <row r="4" spans="1:13" x14ac:dyDescent="0.25">
      <c r="A4" s="2">
        <v>46174</v>
      </c>
      <c r="B4" s="1" t="str">
        <f ca="1">IF(Información1[[#This Row],[Fecha]]='Ajuste de fechas'!$A$2,"Día actual","Día anterior")</f>
        <v>Día anterior</v>
      </c>
      <c r="C4" t="s">
        <v>31</v>
      </c>
      <c r="D4" t="s">
        <v>32</v>
      </c>
      <c r="E4" t="s">
        <v>99</v>
      </c>
      <c r="F4" t="s">
        <v>17</v>
      </c>
      <c r="G4" t="s">
        <v>77</v>
      </c>
      <c r="H4" t="s">
        <v>75</v>
      </c>
      <c r="I4" t="s">
        <v>7</v>
      </c>
      <c r="J4" t="s">
        <v>41</v>
      </c>
      <c r="K4" t="s">
        <v>27</v>
      </c>
      <c r="L4" t="s">
        <v>42</v>
      </c>
      <c r="M4">
        <v>2</v>
      </c>
    </row>
    <row r="5" spans="1:13" x14ac:dyDescent="0.25">
      <c r="A5" s="2">
        <v>46174</v>
      </c>
      <c r="B5" s="1" t="str">
        <f ca="1">IF(Información1[[#This Row],[Fecha]]='Ajuste de fechas'!$A$2,"Día actual","Día anterior")</f>
        <v>Día anterior</v>
      </c>
      <c r="C5" t="s">
        <v>31</v>
      </c>
      <c r="D5" t="s">
        <v>32</v>
      </c>
      <c r="E5" t="s">
        <v>100</v>
      </c>
      <c r="F5" t="s">
        <v>51</v>
      </c>
      <c r="G5" t="s">
        <v>101</v>
      </c>
      <c r="H5" t="s">
        <v>75</v>
      </c>
      <c r="I5" t="s">
        <v>7</v>
      </c>
      <c r="J5" t="s">
        <v>41</v>
      </c>
      <c r="K5" t="s">
        <v>27</v>
      </c>
      <c r="L5" t="s">
        <v>42</v>
      </c>
      <c r="M5">
        <v>2</v>
      </c>
    </row>
    <row r="6" spans="1:13" x14ac:dyDescent="0.25">
      <c r="A6" s="2">
        <v>46174</v>
      </c>
      <c r="B6" s="1" t="str">
        <f ca="1">IF(Información1[[#This Row],[Fecha]]='Ajuste de fechas'!$A$2,"Día actual","Día anterior")</f>
        <v>Día anterior</v>
      </c>
      <c r="C6" t="s">
        <v>31</v>
      </c>
      <c r="D6" t="s">
        <v>32</v>
      </c>
      <c r="E6" t="s">
        <v>102</v>
      </c>
      <c r="F6" t="s">
        <v>19</v>
      </c>
      <c r="G6" t="s">
        <v>74</v>
      </c>
      <c r="H6" t="s">
        <v>75</v>
      </c>
      <c r="I6" t="s">
        <v>7</v>
      </c>
      <c r="J6" t="s">
        <v>45</v>
      </c>
      <c r="K6" t="s">
        <v>27</v>
      </c>
      <c r="L6" t="s">
        <v>42</v>
      </c>
      <c r="M6">
        <v>2</v>
      </c>
    </row>
    <row r="7" spans="1:13" x14ac:dyDescent="0.25">
      <c r="A7" s="2">
        <v>46174</v>
      </c>
      <c r="B7" s="1" t="str">
        <f ca="1">IF(Información1[[#This Row],[Fecha]]='Ajuste de fechas'!$A$2,"Día actual","Día anterior")</f>
        <v>Día anterior</v>
      </c>
      <c r="C7" t="s">
        <v>31</v>
      </c>
      <c r="D7" t="s">
        <v>32</v>
      </c>
      <c r="E7" t="s">
        <v>103</v>
      </c>
      <c r="F7" t="s">
        <v>17</v>
      </c>
      <c r="G7" t="s">
        <v>77</v>
      </c>
      <c r="H7" t="s">
        <v>75</v>
      </c>
      <c r="I7" t="s">
        <v>7</v>
      </c>
      <c r="J7" t="s">
        <v>41</v>
      </c>
      <c r="K7" t="s">
        <v>9</v>
      </c>
      <c r="L7" t="s">
        <v>43</v>
      </c>
      <c r="M7">
        <v>2</v>
      </c>
    </row>
    <row r="8" spans="1:13" x14ac:dyDescent="0.25">
      <c r="A8" s="2">
        <v>46174</v>
      </c>
      <c r="B8" s="1" t="str">
        <f ca="1">IF(Información1[[#This Row],[Fecha]]='Ajuste de fechas'!$A$2,"Día actual","Día anterior")</f>
        <v>Día anterior</v>
      </c>
      <c r="C8" t="s">
        <v>31</v>
      </c>
      <c r="D8" t="s">
        <v>32</v>
      </c>
      <c r="E8" t="s">
        <v>104</v>
      </c>
      <c r="F8" t="s">
        <v>60</v>
      </c>
      <c r="G8" t="s">
        <v>105</v>
      </c>
      <c r="H8" t="s">
        <v>75</v>
      </c>
      <c r="I8" t="s">
        <v>7</v>
      </c>
      <c r="J8" t="s">
        <v>24</v>
      </c>
      <c r="K8" t="s">
        <v>27</v>
      </c>
      <c r="L8" t="s">
        <v>42</v>
      </c>
      <c r="M8">
        <v>2</v>
      </c>
    </row>
    <row r="9" spans="1:13" x14ac:dyDescent="0.25">
      <c r="A9" s="2">
        <v>46174</v>
      </c>
      <c r="B9" s="1" t="str">
        <f ca="1">IF(Información1[[#This Row],[Fecha]]='Ajuste de fechas'!$A$2,"Día actual","Día anterior")</f>
        <v>Día anterior</v>
      </c>
      <c r="C9" t="s">
        <v>31</v>
      </c>
      <c r="D9" t="s">
        <v>32</v>
      </c>
      <c r="E9" t="s">
        <v>106</v>
      </c>
      <c r="F9" t="s">
        <v>15</v>
      </c>
      <c r="G9" t="s">
        <v>79</v>
      </c>
      <c r="H9" t="s">
        <v>75</v>
      </c>
      <c r="I9" t="s">
        <v>25</v>
      </c>
      <c r="J9" t="s">
        <v>41</v>
      </c>
      <c r="K9" t="s">
        <v>27</v>
      </c>
      <c r="L9" t="s">
        <v>43</v>
      </c>
      <c r="M9">
        <v>2</v>
      </c>
    </row>
    <row r="10" spans="1:13" x14ac:dyDescent="0.25">
      <c r="A10" s="2">
        <v>46174</v>
      </c>
      <c r="B10" s="1" t="str">
        <f ca="1">IF(Información1[[#This Row],[Fecha]]='Ajuste de fechas'!$A$2,"Día actual","Día anterior")</f>
        <v>Día anterior</v>
      </c>
      <c r="C10" t="s">
        <v>82</v>
      </c>
      <c r="D10" t="s">
        <v>83</v>
      </c>
      <c r="E10" t="s">
        <v>108</v>
      </c>
      <c r="F10" t="s">
        <v>22</v>
      </c>
      <c r="G10" t="s">
        <v>76</v>
      </c>
      <c r="H10" t="s">
        <v>11</v>
      </c>
      <c r="I10" t="s">
        <v>7</v>
      </c>
      <c r="J10" t="s">
        <v>46</v>
      </c>
      <c r="K10" t="s">
        <v>84</v>
      </c>
      <c r="L10" t="s">
        <v>42</v>
      </c>
      <c r="M10">
        <v>1</v>
      </c>
    </row>
    <row r="11" spans="1:13" x14ac:dyDescent="0.25">
      <c r="A11" s="2">
        <v>46174</v>
      </c>
      <c r="B11" s="1" t="str">
        <f ca="1">IF(Información1[[#This Row],[Fecha]]='Ajuste de fechas'!$A$2,"Día actual","Día anterior")</f>
        <v>Día anterior</v>
      </c>
      <c r="C11" t="s">
        <v>82</v>
      </c>
      <c r="D11" t="s">
        <v>83</v>
      </c>
      <c r="E11" t="s">
        <v>109</v>
      </c>
      <c r="F11" t="s">
        <v>19</v>
      </c>
      <c r="G11" t="s">
        <v>110</v>
      </c>
      <c r="H11" t="s">
        <v>11</v>
      </c>
      <c r="I11" t="s">
        <v>7</v>
      </c>
      <c r="J11" t="s">
        <v>45</v>
      </c>
      <c r="K11" t="s">
        <v>84</v>
      </c>
      <c r="L11" t="s">
        <v>42</v>
      </c>
      <c r="M11">
        <v>1</v>
      </c>
    </row>
    <row r="12" spans="1:13" x14ac:dyDescent="0.25">
      <c r="A12" s="2">
        <v>46174</v>
      </c>
      <c r="B12" s="1" t="str">
        <f ca="1">IF(Información1[[#This Row],[Fecha]]='Ajuste de fechas'!$A$2,"Día actual","Día anterior")</f>
        <v>Día anterior</v>
      </c>
      <c r="C12" t="s">
        <v>82</v>
      </c>
      <c r="D12" t="s">
        <v>83</v>
      </c>
      <c r="E12" t="s">
        <v>111</v>
      </c>
      <c r="F12" t="s">
        <v>51</v>
      </c>
      <c r="G12" t="s">
        <v>112</v>
      </c>
      <c r="H12" t="s">
        <v>11</v>
      </c>
      <c r="I12" t="s">
        <v>7</v>
      </c>
      <c r="J12" t="s">
        <v>41</v>
      </c>
      <c r="K12" t="s">
        <v>84</v>
      </c>
      <c r="L12" t="s">
        <v>42</v>
      </c>
      <c r="M12">
        <v>1</v>
      </c>
    </row>
    <row r="13" spans="1:13" x14ac:dyDescent="0.25">
      <c r="A13" s="2">
        <v>46174</v>
      </c>
      <c r="B13" s="1" t="str">
        <f ca="1">IF(Información1[[#This Row],[Fecha]]='Ajuste de fechas'!$A$2,"Día actual","Día anterior")</f>
        <v>Día anterior</v>
      </c>
      <c r="C13" t="s">
        <v>82</v>
      </c>
      <c r="D13" t="s">
        <v>83</v>
      </c>
      <c r="E13" t="s">
        <v>113</v>
      </c>
      <c r="F13" t="s">
        <v>19</v>
      </c>
      <c r="G13" t="s">
        <v>61</v>
      </c>
      <c r="H13" t="s">
        <v>11</v>
      </c>
      <c r="I13" t="s">
        <v>7</v>
      </c>
      <c r="J13" t="s">
        <v>45</v>
      </c>
      <c r="K13" t="s">
        <v>84</v>
      </c>
      <c r="L13" t="s">
        <v>42</v>
      </c>
      <c r="M13">
        <v>1</v>
      </c>
    </row>
    <row r="14" spans="1:13" x14ac:dyDescent="0.25">
      <c r="A14" s="2">
        <v>46174</v>
      </c>
      <c r="B14" s="1" t="str">
        <f ca="1">IF(Información1[[#This Row],[Fecha]]='Ajuste de fechas'!$A$2,"Día actual","Día anterior")</f>
        <v>Día anterior</v>
      </c>
      <c r="C14" t="s">
        <v>82</v>
      </c>
      <c r="D14" t="s">
        <v>83</v>
      </c>
      <c r="E14" t="s">
        <v>114</v>
      </c>
      <c r="F14" t="s">
        <v>23</v>
      </c>
      <c r="G14" t="s">
        <v>70</v>
      </c>
      <c r="H14" t="s">
        <v>11</v>
      </c>
      <c r="I14" t="s">
        <v>7</v>
      </c>
      <c r="J14" t="s">
        <v>41</v>
      </c>
      <c r="K14" t="s">
        <v>84</v>
      </c>
      <c r="L14" t="s">
        <v>44</v>
      </c>
      <c r="M14">
        <v>1</v>
      </c>
    </row>
    <row r="15" spans="1:13" x14ac:dyDescent="0.25">
      <c r="A15" s="2">
        <v>46174</v>
      </c>
      <c r="B15" s="1" t="str">
        <f ca="1">IF(Información1[[#This Row],[Fecha]]='Ajuste de fechas'!$A$2,"Día actual","Día anterior")</f>
        <v>Día anterior</v>
      </c>
      <c r="C15" t="s">
        <v>82</v>
      </c>
      <c r="D15" t="s">
        <v>83</v>
      </c>
      <c r="E15" t="s">
        <v>115</v>
      </c>
      <c r="F15" t="s">
        <v>19</v>
      </c>
      <c r="G15" t="s">
        <v>116</v>
      </c>
      <c r="H15" t="s">
        <v>11</v>
      </c>
      <c r="I15" t="s">
        <v>7</v>
      </c>
      <c r="J15" t="s">
        <v>45</v>
      </c>
      <c r="K15" t="s">
        <v>84</v>
      </c>
      <c r="L15" t="s">
        <v>42</v>
      </c>
      <c r="M15">
        <v>1</v>
      </c>
    </row>
    <row r="16" spans="1:13" x14ac:dyDescent="0.25">
      <c r="A16" s="2">
        <v>46174</v>
      </c>
      <c r="B16" s="1" t="str">
        <f ca="1">IF(Información1[[#This Row],[Fecha]]='Ajuste de fechas'!$A$2,"Día actual","Día anterior")</f>
        <v>Día anterior</v>
      </c>
      <c r="C16" t="s">
        <v>82</v>
      </c>
      <c r="D16" t="s">
        <v>83</v>
      </c>
      <c r="E16" t="s">
        <v>117</v>
      </c>
      <c r="F16" t="s">
        <v>21</v>
      </c>
      <c r="G16" t="s">
        <v>78</v>
      </c>
      <c r="H16" t="s">
        <v>11</v>
      </c>
      <c r="I16" t="s">
        <v>7</v>
      </c>
      <c r="J16" t="s">
        <v>41</v>
      </c>
      <c r="K16" t="s">
        <v>84</v>
      </c>
      <c r="L16" t="s">
        <v>44</v>
      </c>
      <c r="M16">
        <v>1</v>
      </c>
    </row>
    <row r="17" spans="1:13" x14ac:dyDescent="0.25">
      <c r="A17" s="2">
        <v>46174</v>
      </c>
      <c r="B17" s="1" t="str">
        <f ca="1">IF(Información1[[#This Row],[Fecha]]='Ajuste de fechas'!$A$2,"Día actual","Día anterior")</f>
        <v>Día anterior</v>
      </c>
      <c r="C17" t="s">
        <v>82</v>
      </c>
      <c r="D17" t="s">
        <v>83</v>
      </c>
      <c r="E17" t="s">
        <v>118</v>
      </c>
      <c r="F17" t="s">
        <v>22</v>
      </c>
      <c r="G17" t="s">
        <v>73</v>
      </c>
      <c r="H17" t="s">
        <v>11</v>
      </c>
      <c r="I17" t="s">
        <v>7</v>
      </c>
      <c r="J17" t="s">
        <v>46</v>
      </c>
      <c r="K17" t="s">
        <v>84</v>
      </c>
      <c r="L17" t="s">
        <v>42</v>
      </c>
      <c r="M17">
        <v>1</v>
      </c>
    </row>
    <row r="18" spans="1:13" x14ac:dyDescent="0.25">
      <c r="A18" s="2">
        <v>46174</v>
      </c>
      <c r="B18" s="1" t="str">
        <f ca="1">IF(Información1[[#This Row],[Fecha]]='Ajuste de fechas'!$A$2,"Día actual","Día anterior")</f>
        <v>Día anterior</v>
      </c>
      <c r="C18" t="s">
        <v>82</v>
      </c>
      <c r="D18" t="s">
        <v>83</v>
      </c>
      <c r="E18" t="s">
        <v>119</v>
      </c>
      <c r="F18" t="s">
        <v>21</v>
      </c>
      <c r="G18" t="s">
        <v>120</v>
      </c>
      <c r="H18" t="s">
        <v>11</v>
      </c>
      <c r="I18" t="s">
        <v>7</v>
      </c>
      <c r="J18" t="s">
        <v>41</v>
      </c>
      <c r="K18" t="s">
        <v>84</v>
      </c>
      <c r="L18" t="s">
        <v>65</v>
      </c>
      <c r="M18">
        <v>1</v>
      </c>
    </row>
    <row r="19" spans="1:13" x14ac:dyDescent="0.25">
      <c r="A19" s="2">
        <v>46174</v>
      </c>
      <c r="B19" s="1" t="str">
        <f ca="1">IF(Información1[[#This Row],[Fecha]]='Ajuste de fechas'!$A$2,"Día actual","Día anterior")</f>
        <v>Día anterior</v>
      </c>
      <c r="C19" t="s">
        <v>82</v>
      </c>
      <c r="D19" t="s">
        <v>83</v>
      </c>
      <c r="E19" t="s">
        <v>121</v>
      </c>
      <c r="F19" t="s">
        <v>88</v>
      </c>
      <c r="G19" t="s">
        <v>89</v>
      </c>
      <c r="H19" t="s">
        <v>11</v>
      </c>
      <c r="I19" t="s">
        <v>7</v>
      </c>
      <c r="J19" t="s">
        <v>24</v>
      </c>
      <c r="K19" t="s">
        <v>84</v>
      </c>
      <c r="L19" t="s">
        <v>42</v>
      </c>
      <c r="M19">
        <v>1</v>
      </c>
    </row>
    <row r="20" spans="1:13" x14ac:dyDescent="0.25">
      <c r="A20" s="2">
        <v>46174</v>
      </c>
      <c r="B20" s="1" t="str">
        <f ca="1">IF(Información1[[#This Row],[Fecha]]='Ajuste de fechas'!$A$2,"Día actual","Día anterior")</f>
        <v>Día anterior</v>
      </c>
      <c r="C20" t="s">
        <v>82</v>
      </c>
      <c r="D20" t="s">
        <v>83</v>
      </c>
      <c r="E20" t="s">
        <v>122</v>
      </c>
      <c r="F20" t="s">
        <v>51</v>
      </c>
      <c r="G20" t="s">
        <v>123</v>
      </c>
      <c r="H20" t="s">
        <v>11</v>
      </c>
      <c r="I20" t="s">
        <v>7</v>
      </c>
      <c r="J20" t="s">
        <v>41</v>
      </c>
      <c r="K20" t="s">
        <v>84</v>
      </c>
      <c r="L20" t="s">
        <v>42</v>
      </c>
      <c r="M20">
        <v>1</v>
      </c>
    </row>
    <row r="21" spans="1:13" x14ac:dyDescent="0.25">
      <c r="A21" s="2">
        <v>46174</v>
      </c>
      <c r="B21" s="1" t="str">
        <f ca="1">IF(Información1[[#This Row],[Fecha]]='Ajuste de fechas'!$A$2,"Día actual","Día anterior")</f>
        <v>Día anterior</v>
      </c>
      <c r="C21" t="s">
        <v>82</v>
      </c>
      <c r="D21" t="s">
        <v>83</v>
      </c>
      <c r="E21" t="s">
        <v>124</v>
      </c>
      <c r="F21" t="s">
        <v>51</v>
      </c>
      <c r="G21" t="s">
        <v>125</v>
      </c>
      <c r="H21" t="s">
        <v>11</v>
      </c>
      <c r="I21" t="s">
        <v>7</v>
      </c>
      <c r="J21" t="s">
        <v>41</v>
      </c>
      <c r="K21" t="s">
        <v>84</v>
      </c>
      <c r="L21" t="s">
        <v>42</v>
      </c>
      <c r="M21">
        <v>1</v>
      </c>
    </row>
    <row r="22" spans="1:13" x14ac:dyDescent="0.25">
      <c r="A22" s="2">
        <v>46174</v>
      </c>
      <c r="B22" s="1" t="str">
        <f ca="1">IF(Información1[[#This Row],[Fecha]]='Ajuste de fechas'!$A$2,"Día actual","Día anterior")</f>
        <v>Día anterior</v>
      </c>
      <c r="C22" t="s">
        <v>82</v>
      </c>
      <c r="D22" t="s">
        <v>83</v>
      </c>
      <c r="E22" t="s">
        <v>126</v>
      </c>
      <c r="F22" t="s">
        <v>51</v>
      </c>
      <c r="G22" t="s">
        <v>127</v>
      </c>
      <c r="H22" t="s">
        <v>11</v>
      </c>
      <c r="I22" t="s">
        <v>7</v>
      </c>
      <c r="J22" t="s">
        <v>41</v>
      </c>
      <c r="K22" t="s">
        <v>84</v>
      </c>
      <c r="L22" t="s">
        <v>42</v>
      </c>
      <c r="M22">
        <v>1</v>
      </c>
    </row>
    <row r="23" spans="1:13" x14ac:dyDescent="0.25">
      <c r="A23" s="2">
        <v>46174</v>
      </c>
      <c r="B23" s="1" t="str">
        <f ca="1">IF(Información1[[#This Row],[Fecha]]='Ajuste de fechas'!$A$2,"Día actual","Día anterior")</f>
        <v>Día anterior</v>
      </c>
      <c r="C23" t="s">
        <v>82</v>
      </c>
      <c r="D23" t="s">
        <v>83</v>
      </c>
      <c r="E23" t="s">
        <v>128</v>
      </c>
      <c r="F23" t="s">
        <v>17</v>
      </c>
      <c r="G23" t="s">
        <v>129</v>
      </c>
      <c r="H23" t="s">
        <v>11</v>
      </c>
      <c r="I23" t="s">
        <v>7</v>
      </c>
      <c r="J23" t="s">
        <v>41</v>
      </c>
      <c r="K23" t="s">
        <v>84</v>
      </c>
      <c r="L23" t="s">
        <v>43</v>
      </c>
      <c r="M23">
        <v>1</v>
      </c>
    </row>
    <row r="24" spans="1:13" x14ac:dyDescent="0.25">
      <c r="A24" s="2">
        <v>46174</v>
      </c>
      <c r="B24" s="1" t="str">
        <f ca="1">IF(Información1[[#This Row],[Fecha]]='Ajuste de fechas'!$A$2,"Día actual","Día anterior")</f>
        <v>Día anterior</v>
      </c>
      <c r="C24" t="s">
        <v>82</v>
      </c>
      <c r="D24" t="s">
        <v>83</v>
      </c>
      <c r="E24" t="s">
        <v>130</v>
      </c>
      <c r="F24" t="s">
        <v>6</v>
      </c>
      <c r="G24" t="s">
        <v>131</v>
      </c>
      <c r="H24" t="s">
        <v>11</v>
      </c>
      <c r="I24" t="s">
        <v>25</v>
      </c>
      <c r="J24" t="s">
        <v>41</v>
      </c>
      <c r="K24" t="s">
        <v>9</v>
      </c>
      <c r="L24" t="s">
        <v>43</v>
      </c>
      <c r="M24">
        <v>1</v>
      </c>
    </row>
    <row r="25" spans="1:13" x14ac:dyDescent="0.25">
      <c r="A25" s="2">
        <v>46174</v>
      </c>
      <c r="B25" s="1" t="str">
        <f ca="1">IF(Información1[[#This Row],[Fecha]]='Ajuste de fechas'!$A$2,"Día actual","Día anterior")</f>
        <v>Día anterior</v>
      </c>
      <c r="C25" t="s">
        <v>82</v>
      </c>
      <c r="D25" t="s">
        <v>83</v>
      </c>
      <c r="E25" t="s">
        <v>132</v>
      </c>
      <c r="F25" t="s">
        <v>19</v>
      </c>
      <c r="G25" t="s">
        <v>92</v>
      </c>
      <c r="H25" t="s">
        <v>11</v>
      </c>
      <c r="I25" t="s">
        <v>25</v>
      </c>
      <c r="J25" t="s">
        <v>45</v>
      </c>
      <c r="K25" t="s">
        <v>9</v>
      </c>
      <c r="L25" t="s">
        <v>43</v>
      </c>
      <c r="M25">
        <v>1</v>
      </c>
    </row>
    <row r="26" spans="1:13" x14ac:dyDescent="0.25">
      <c r="A26" s="2">
        <v>46174</v>
      </c>
      <c r="B26" s="1" t="str">
        <f ca="1">IF(Información1[[#This Row],[Fecha]]='Ajuste de fechas'!$A$2,"Día actual","Día anterior")</f>
        <v>Día anterior</v>
      </c>
      <c r="C26" t="s">
        <v>82</v>
      </c>
      <c r="D26" t="s">
        <v>83</v>
      </c>
      <c r="E26" t="s">
        <v>133</v>
      </c>
      <c r="F26" t="s">
        <v>62</v>
      </c>
      <c r="G26" t="s">
        <v>71</v>
      </c>
      <c r="H26" t="s">
        <v>11</v>
      </c>
      <c r="I26" t="s">
        <v>25</v>
      </c>
      <c r="J26" t="s">
        <v>41</v>
      </c>
      <c r="K26" t="s">
        <v>84</v>
      </c>
      <c r="L26" t="s">
        <v>42</v>
      </c>
      <c r="M26">
        <v>1</v>
      </c>
    </row>
    <row r="27" spans="1:13" x14ac:dyDescent="0.25">
      <c r="A27" s="2">
        <v>46174</v>
      </c>
      <c r="B27" s="1" t="str">
        <f ca="1">IF(Información1[[#This Row],[Fecha]]='Ajuste de fechas'!$A$2,"Día actual","Día anterior")</f>
        <v>Día anterior</v>
      </c>
      <c r="C27" t="s">
        <v>82</v>
      </c>
      <c r="D27" t="s">
        <v>83</v>
      </c>
      <c r="E27" t="s">
        <v>134</v>
      </c>
      <c r="F27" t="s">
        <v>26</v>
      </c>
      <c r="G27" t="s">
        <v>87</v>
      </c>
      <c r="H27" t="s">
        <v>11</v>
      </c>
      <c r="I27" t="s">
        <v>7</v>
      </c>
      <c r="J27" t="s">
        <v>41</v>
      </c>
      <c r="K27" t="s">
        <v>84</v>
      </c>
      <c r="L27" t="s">
        <v>44</v>
      </c>
      <c r="M27">
        <v>1</v>
      </c>
    </row>
    <row r="28" spans="1:13" x14ac:dyDescent="0.25">
      <c r="A28" s="2">
        <v>46174</v>
      </c>
      <c r="B28" s="1" t="str">
        <f ca="1">IF(Información1[[#This Row],[Fecha]]='Ajuste de fechas'!$A$2,"Día actual","Día anterior")</f>
        <v>Día anterior</v>
      </c>
      <c r="C28" t="s">
        <v>82</v>
      </c>
      <c r="D28" t="s">
        <v>83</v>
      </c>
      <c r="E28" t="s">
        <v>135</v>
      </c>
      <c r="F28" t="s">
        <v>22</v>
      </c>
      <c r="G28" t="s">
        <v>136</v>
      </c>
      <c r="H28" t="s">
        <v>11</v>
      </c>
      <c r="I28" t="s">
        <v>7</v>
      </c>
      <c r="J28" t="s">
        <v>46</v>
      </c>
      <c r="K28" t="s">
        <v>84</v>
      </c>
      <c r="L28" t="s">
        <v>42</v>
      </c>
      <c r="M28">
        <v>1</v>
      </c>
    </row>
    <row r="29" spans="1:13" x14ac:dyDescent="0.25">
      <c r="A29" s="2">
        <v>46174</v>
      </c>
      <c r="B29" s="1" t="str">
        <f ca="1">IF(Información1[[#This Row],[Fecha]]='Ajuste de fechas'!$A$2,"Día actual","Día anterior")</f>
        <v>Día anterior</v>
      </c>
      <c r="C29" t="s">
        <v>82</v>
      </c>
      <c r="D29" t="s">
        <v>83</v>
      </c>
      <c r="E29" t="s">
        <v>85</v>
      </c>
      <c r="F29" t="s">
        <v>19</v>
      </c>
      <c r="G29" t="s">
        <v>74</v>
      </c>
      <c r="H29" t="s">
        <v>11</v>
      </c>
      <c r="I29" t="s">
        <v>7</v>
      </c>
      <c r="J29" t="s">
        <v>45</v>
      </c>
      <c r="K29" t="s">
        <v>84</v>
      </c>
      <c r="L29" t="s">
        <v>42</v>
      </c>
      <c r="M29">
        <v>1</v>
      </c>
    </row>
    <row r="30" spans="1:13" x14ac:dyDescent="0.25">
      <c r="A30" s="2">
        <v>46174</v>
      </c>
      <c r="B30" s="1" t="str">
        <f ca="1">IF(Información1[[#This Row],[Fecha]]='Ajuste de fechas'!$A$2,"Día actual","Día anterior")</f>
        <v>Día anterior</v>
      </c>
      <c r="C30" t="s">
        <v>82</v>
      </c>
      <c r="D30" t="s">
        <v>83</v>
      </c>
      <c r="E30" t="s">
        <v>137</v>
      </c>
      <c r="F30" t="s">
        <v>81</v>
      </c>
      <c r="G30" t="s">
        <v>186</v>
      </c>
      <c r="H30" t="s">
        <v>11</v>
      </c>
      <c r="I30" t="s">
        <v>7</v>
      </c>
      <c r="J30" t="s">
        <v>41</v>
      </c>
      <c r="K30" t="s">
        <v>84</v>
      </c>
      <c r="L30" t="s">
        <v>42</v>
      </c>
      <c r="M30">
        <v>1</v>
      </c>
    </row>
    <row r="31" spans="1:13" x14ac:dyDescent="0.25">
      <c r="A31" s="2">
        <v>46174</v>
      </c>
      <c r="B31" s="1" t="str">
        <f ca="1">IF(Información1[[#This Row],[Fecha]]='Ajuste de fechas'!$A$2,"Día actual","Día anterior")</f>
        <v>Día anterior</v>
      </c>
      <c r="C31" t="s">
        <v>82</v>
      </c>
      <c r="D31" t="s">
        <v>83</v>
      </c>
      <c r="E31" t="s">
        <v>138</v>
      </c>
      <c r="F31" t="s">
        <v>24</v>
      </c>
      <c r="G31" t="s">
        <v>139</v>
      </c>
      <c r="H31" t="s">
        <v>11</v>
      </c>
      <c r="I31" t="s">
        <v>7</v>
      </c>
      <c r="J31" t="s">
        <v>24</v>
      </c>
      <c r="K31" t="s">
        <v>84</v>
      </c>
      <c r="L31" t="s">
        <v>42</v>
      </c>
      <c r="M31">
        <v>1</v>
      </c>
    </row>
    <row r="32" spans="1:13" x14ac:dyDescent="0.25">
      <c r="A32" s="2">
        <v>46174</v>
      </c>
      <c r="B32" s="1" t="str">
        <f ca="1">IF(Información1[[#This Row],[Fecha]]='Ajuste de fechas'!$A$2,"Día actual","Día anterior")</f>
        <v>Día anterior</v>
      </c>
      <c r="C32" t="s">
        <v>82</v>
      </c>
      <c r="D32" t="s">
        <v>83</v>
      </c>
      <c r="E32" t="s">
        <v>140</v>
      </c>
      <c r="F32" t="s">
        <v>22</v>
      </c>
      <c r="H32" t="s">
        <v>11</v>
      </c>
      <c r="I32" t="s">
        <v>7</v>
      </c>
      <c r="J32" t="s">
        <v>46</v>
      </c>
      <c r="K32" t="s">
        <v>84</v>
      </c>
      <c r="L32" t="s">
        <v>42</v>
      </c>
      <c r="M32">
        <v>1</v>
      </c>
    </row>
    <row r="33" spans="1:13" x14ac:dyDescent="0.25">
      <c r="A33" s="2">
        <v>46174</v>
      </c>
      <c r="B33" s="1" t="str">
        <f ca="1">IF(Información1[[#This Row],[Fecha]]='Ajuste de fechas'!$A$2,"Día actual","Día anterior")</f>
        <v>Día anterior</v>
      </c>
      <c r="C33" t="s">
        <v>31</v>
      </c>
      <c r="D33" t="s">
        <v>32</v>
      </c>
      <c r="E33" t="s">
        <v>107</v>
      </c>
      <c r="F33" t="s">
        <v>26</v>
      </c>
      <c r="G33" t="s">
        <v>95</v>
      </c>
      <c r="H33" t="s">
        <v>75</v>
      </c>
      <c r="I33" t="s">
        <v>7</v>
      </c>
      <c r="J33" t="s">
        <v>41</v>
      </c>
      <c r="K33" t="s">
        <v>27</v>
      </c>
      <c r="L33" t="s">
        <v>44</v>
      </c>
      <c r="M33">
        <v>1</v>
      </c>
    </row>
    <row r="34" spans="1:13" x14ac:dyDescent="0.25">
      <c r="A34" s="2">
        <v>46174</v>
      </c>
      <c r="B34" s="1" t="str">
        <f ca="1">IF(Información1[[#This Row],[Fecha]]='Ajuste de fechas'!$A$2,"Día actual","Día anterior")</f>
        <v>Día anterior</v>
      </c>
      <c r="C34" t="s">
        <v>53</v>
      </c>
      <c r="D34" t="s">
        <v>67</v>
      </c>
      <c r="E34" t="s">
        <v>141</v>
      </c>
      <c r="F34" t="s">
        <v>22</v>
      </c>
      <c r="G34" t="s">
        <v>142</v>
      </c>
      <c r="H34" t="s">
        <v>11</v>
      </c>
      <c r="I34" t="s">
        <v>7</v>
      </c>
      <c r="J34" t="s">
        <v>46</v>
      </c>
      <c r="K34" t="s">
        <v>72</v>
      </c>
      <c r="L34" t="s">
        <v>42</v>
      </c>
      <c r="M34">
        <v>1</v>
      </c>
    </row>
    <row r="35" spans="1:13" x14ac:dyDescent="0.25">
      <c r="A35" s="2">
        <v>46174</v>
      </c>
      <c r="B35" s="1" t="str">
        <f ca="1">IF(Información1[[#This Row],[Fecha]]='Ajuste de fechas'!$A$2,"Día actual","Día anterior")</f>
        <v>Día anterior</v>
      </c>
      <c r="C35" t="s">
        <v>53</v>
      </c>
      <c r="D35" t="s">
        <v>67</v>
      </c>
      <c r="E35" t="s">
        <v>143</v>
      </c>
      <c r="F35" t="s">
        <v>22</v>
      </c>
      <c r="G35" t="s">
        <v>142</v>
      </c>
      <c r="H35" t="s">
        <v>11</v>
      </c>
      <c r="I35" t="s">
        <v>7</v>
      </c>
      <c r="J35" t="s">
        <v>46</v>
      </c>
      <c r="K35" t="s">
        <v>54</v>
      </c>
      <c r="L35" t="s">
        <v>42</v>
      </c>
      <c r="M35">
        <v>1</v>
      </c>
    </row>
    <row r="36" spans="1:13" x14ac:dyDescent="0.25">
      <c r="A36" s="2">
        <v>46174</v>
      </c>
      <c r="B36" s="1" t="str">
        <f ca="1">IF(Información1[[#This Row],[Fecha]]='Ajuste de fechas'!$A$2,"Día actual","Día anterior")</f>
        <v>Día anterior</v>
      </c>
      <c r="C36" t="s">
        <v>53</v>
      </c>
      <c r="D36" t="s">
        <v>67</v>
      </c>
      <c r="E36" t="s">
        <v>144</v>
      </c>
      <c r="F36" t="s">
        <v>23</v>
      </c>
      <c r="G36" t="s">
        <v>145</v>
      </c>
      <c r="H36" t="s">
        <v>11</v>
      </c>
      <c r="I36" t="s">
        <v>7</v>
      </c>
      <c r="J36" t="s">
        <v>41</v>
      </c>
      <c r="K36" t="s">
        <v>54</v>
      </c>
      <c r="L36" t="s">
        <v>42</v>
      </c>
      <c r="M36">
        <v>1</v>
      </c>
    </row>
    <row r="37" spans="1:13" x14ac:dyDescent="0.25">
      <c r="A37" s="2">
        <v>46174</v>
      </c>
      <c r="B37" s="1" t="str">
        <f ca="1">IF(Información1[[#This Row],[Fecha]]='Ajuste de fechas'!$A$2,"Día actual","Día anterior")</f>
        <v>Día anterior</v>
      </c>
      <c r="C37" t="s">
        <v>53</v>
      </c>
      <c r="D37" t="s">
        <v>67</v>
      </c>
      <c r="E37" t="s">
        <v>146</v>
      </c>
      <c r="F37" t="s">
        <v>17</v>
      </c>
      <c r="G37" t="s">
        <v>147</v>
      </c>
      <c r="H37" t="s">
        <v>11</v>
      </c>
      <c r="I37" t="s">
        <v>7</v>
      </c>
      <c r="J37" t="s">
        <v>41</v>
      </c>
      <c r="K37" t="s">
        <v>54</v>
      </c>
      <c r="L37" t="s">
        <v>42</v>
      </c>
      <c r="M37">
        <v>1</v>
      </c>
    </row>
    <row r="38" spans="1:13" x14ac:dyDescent="0.25">
      <c r="A38" s="2">
        <v>46174</v>
      </c>
      <c r="B38" s="1" t="str">
        <f ca="1">IF(Información1[[#This Row],[Fecha]]='Ajuste de fechas'!$A$2,"Día actual","Día anterior")</f>
        <v>Día anterior</v>
      </c>
      <c r="C38" t="s">
        <v>53</v>
      </c>
      <c r="D38" t="s">
        <v>55</v>
      </c>
      <c r="E38" t="s">
        <v>148</v>
      </c>
      <c r="F38" t="s">
        <v>19</v>
      </c>
      <c r="G38" t="s">
        <v>149</v>
      </c>
      <c r="H38" t="s">
        <v>11</v>
      </c>
      <c r="I38" t="s">
        <v>7</v>
      </c>
      <c r="J38" t="s">
        <v>45</v>
      </c>
      <c r="K38" t="s">
        <v>52</v>
      </c>
      <c r="L38" t="s">
        <v>42</v>
      </c>
      <c r="M38">
        <v>1</v>
      </c>
    </row>
    <row r="39" spans="1:13" x14ac:dyDescent="0.25">
      <c r="A39" s="2">
        <v>46174</v>
      </c>
      <c r="B39" s="1" t="str">
        <f ca="1">IF(Información1[[#This Row],[Fecha]]='Ajuste de fechas'!$A$2,"Día actual","Día anterior")</f>
        <v>Día anterior</v>
      </c>
      <c r="C39" t="s">
        <v>53</v>
      </c>
      <c r="D39" t="s">
        <v>55</v>
      </c>
      <c r="E39" t="s">
        <v>150</v>
      </c>
      <c r="F39" t="s">
        <v>151</v>
      </c>
      <c r="G39" t="s">
        <v>80</v>
      </c>
      <c r="H39" t="s">
        <v>11</v>
      </c>
      <c r="I39" t="s">
        <v>7</v>
      </c>
      <c r="J39" t="s">
        <v>41</v>
      </c>
      <c r="K39" t="s">
        <v>52</v>
      </c>
      <c r="L39" t="s">
        <v>44</v>
      </c>
      <c r="M39">
        <v>1</v>
      </c>
    </row>
    <row r="40" spans="1:13" x14ac:dyDescent="0.25">
      <c r="A40" s="2">
        <v>46174</v>
      </c>
      <c r="B40" s="1" t="str">
        <f ca="1">IF(Información1[[#This Row],[Fecha]]='Ajuste de fechas'!$A$2,"Día actual","Día anterior")</f>
        <v>Día anterior</v>
      </c>
      <c r="C40" t="s">
        <v>53</v>
      </c>
      <c r="D40" t="s">
        <v>55</v>
      </c>
      <c r="E40" t="s">
        <v>152</v>
      </c>
      <c r="F40" t="s">
        <v>17</v>
      </c>
      <c r="G40" t="s">
        <v>77</v>
      </c>
      <c r="H40" t="s">
        <v>11</v>
      </c>
      <c r="I40" t="s">
        <v>7</v>
      </c>
      <c r="J40" t="s">
        <v>41</v>
      </c>
      <c r="K40" t="s">
        <v>52</v>
      </c>
      <c r="L40" t="s">
        <v>42</v>
      </c>
      <c r="M40">
        <v>1</v>
      </c>
    </row>
    <row r="41" spans="1:13" x14ac:dyDescent="0.25">
      <c r="A41" s="2">
        <v>46174</v>
      </c>
      <c r="B41" s="1" t="str">
        <f ca="1">IF(Información1[[#This Row],[Fecha]]='Ajuste de fechas'!$A$2,"Día actual","Día anterior")</f>
        <v>Día anterior</v>
      </c>
      <c r="C41" t="s">
        <v>53</v>
      </c>
      <c r="D41" t="s">
        <v>55</v>
      </c>
      <c r="E41" t="s">
        <v>153</v>
      </c>
      <c r="F41" t="s">
        <v>17</v>
      </c>
      <c r="G41" t="s">
        <v>77</v>
      </c>
      <c r="H41" t="s">
        <v>11</v>
      </c>
      <c r="I41" t="s">
        <v>7</v>
      </c>
      <c r="J41" t="s">
        <v>41</v>
      </c>
      <c r="K41" t="s">
        <v>52</v>
      </c>
      <c r="L41" t="s">
        <v>42</v>
      </c>
      <c r="M41">
        <v>1</v>
      </c>
    </row>
    <row r="42" spans="1:13" x14ac:dyDescent="0.25">
      <c r="A42" s="2">
        <v>46174</v>
      </c>
      <c r="B42" s="1" t="str">
        <f ca="1">IF(Información1[[#This Row],[Fecha]]='Ajuste de fechas'!$A$2,"Día actual","Día anterior")</f>
        <v>Día anterior</v>
      </c>
      <c r="C42" t="s">
        <v>53</v>
      </c>
      <c r="D42" t="s">
        <v>55</v>
      </c>
      <c r="E42" t="s">
        <v>154</v>
      </c>
      <c r="F42" t="s">
        <v>90</v>
      </c>
      <c r="G42" t="s">
        <v>77</v>
      </c>
      <c r="H42" t="s">
        <v>11</v>
      </c>
      <c r="I42" t="s">
        <v>7</v>
      </c>
      <c r="J42" t="s">
        <v>41</v>
      </c>
      <c r="K42" t="s">
        <v>52</v>
      </c>
      <c r="L42" t="s">
        <v>42</v>
      </c>
      <c r="M42">
        <v>1</v>
      </c>
    </row>
    <row r="43" spans="1:13" x14ac:dyDescent="0.25">
      <c r="A43" s="2">
        <v>46174</v>
      </c>
      <c r="B43" s="1" t="str">
        <f ca="1">IF(Información1[[#This Row],[Fecha]]='Ajuste de fechas'!$A$2,"Día actual","Día anterior")</f>
        <v>Día anterior</v>
      </c>
      <c r="C43" t="s">
        <v>53</v>
      </c>
      <c r="D43" t="s">
        <v>55</v>
      </c>
      <c r="E43" t="s">
        <v>155</v>
      </c>
      <c r="F43" t="s">
        <v>26</v>
      </c>
      <c r="G43" t="s">
        <v>77</v>
      </c>
      <c r="H43" t="s">
        <v>11</v>
      </c>
      <c r="I43" t="s">
        <v>7</v>
      </c>
      <c r="J43" t="s">
        <v>41</v>
      </c>
      <c r="K43" t="s">
        <v>52</v>
      </c>
      <c r="L43" t="s">
        <v>42</v>
      </c>
      <c r="M43">
        <v>1</v>
      </c>
    </row>
    <row r="44" spans="1:13" x14ac:dyDescent="0.25">
      <c r="A44" s="2">
        <v>46174</v>
      </c>
      <c r="B44" s="1" t="str">
        <f ca="1">IF(Información1[[#This Row],[Fecha]]='Ajuste de fechas'!$A$2,"Día actual","Día anterior")</f>
        <v>Día anterior</v>
      </c>
      <c r="C44" t="s">
        <v>28</v>
      </c>
      <c r="D44" t="s">
        <v>30</v>
      </c>
      <c r="E44" t="s">
        <v>156</v>
      </c>
      <c r="F44" t="s">
        <v>19</v>
      </c>
      <c r="G44" t="s">
        <v>66</v>
      </c>
      <c r="H44" t="s">
        <v>11</v>
      </c>
      <c r="I44" t="s">
        <v>25</v>
      </c>
      <c r="J44" t="s">
        <v>45</v>
      </c>
      <c r="K44" t="s">
        <v>29</v>
      </c>
      <c r="L44" t="s">
        <v>42</v>
      </c>
      <c r="M44">
        <v>1</v>
      </c>
    </row>
    <row r="45" spans="1:13" x14ac:dyDescent="0.25">
      <c r="A45" s="2">
        <v>46174</v>
      </c>
      <c r="B45" s="1" t="str">
        <f ca="1">IF(Información1[[#This Row],[Fecha]]='Ajuste de fechas'!$A$2,"Día actual","Día anterior")</f>
        <v>Día anterior</v>
      </c>
      <c r="C45" t="s">
        <v>28</v>
      </c>
      <c r="D45" t="s">
        <v>30</v>
      </c>
      <c r="E45" t="s">
        <v>157</v>
      </c>
      <c r="F45" t="s">
        <v>19</v>
      </c>
      <c r="G45" t="s">
        <v>66</v>
      </c>
      <c r="H45" t="s">
        <v>11</v>
      </c>
      <c r="I45" t="s">
        <v>25</v>
      </c>
      <c r="J45" t="s">
        <v>45</v>
      </c>
      <c r="K45" t="s">
        <v>29</v>
      </c>
      <c r="L45" t="s">
        <v>42</v>
      </c>
      <c r="M45">
        <v>1</v>
      </c>
    </row>
    <row r="46" spans="1:13" x14ac:dyDescent="0.25">
      <c r="A46" s="2">
        <v>46174</v>
      </c>
      <c r="B46" s="1" t="str">
        <f ca="1">IF(Información1[[#This Row],[Fecha]]='Ajuste de fechas'!$A$2,"Día actual","Día anterior")</f>
        <v>Día anterior</v>
      </c>
      <c r="C46" t="s">
        <v>28</v>
      </c>
      <c r="D46" t="s">
        <v>30</v>
      </c>
      <c r="E46" t="s">
        <v>158</v>
      </c>
      <c r="F46" t="s">
        <v>19</v>
      </c>
      <c r="G46" t="s">
        <v>71</v>
      </c>
      <c r="H46" t="s">
        <v>11</v>
      </c>
      <c r="I46" t="s">
        <v>7</v>
      </c>
      <c r="J46" t="s">
        <v>45</v>
      </c>
      <c r="K46" t="s">
        <v>29</v>
      </c>
      <c r="L46" t="s">
        <v>42</v>
      </c>
      <c r="M46">
        <v>1</v>
      </c>
    </row>
    <row r="47" spans="1:13" x14ac:dyDescent="0.25">
      <c r="A47" s="2">
        <v>46174</v>
      </c>
      <c r="B47" s="1" t="str">
        <f ca="1">IF(Información1[[#This Row],[Fecha]]='Ajuste de fechas'!$A$2,"Día actual","Día anterior")</f>
        <v>Día anterior</v>
      </c>
      <c r="C47" t="s">
        <v>28</v>
      </c>
      <c r="D47" t="s">
        <v>30</v>
      </c>
      <c r="E47" t="s">
        <v>159</v>
      </c>
      <c r="F47" t="s">
        <v>19</v>
      </c>
      <c r="G47" t="s">
        <v>160</v>
      </c>
      <c r="H47" t="s">
        <v>11</v>
      </c>
      <c r="I47" t="s">
        <v>25</v>
      </c>
      <c r="J47" t="s">
        <v>45</v>
      </c>
      <c r="K47" t="s">
        <v>29</v>
      </c>
      <c r="L47" t="s">
        <v>42</v>
      </c>
      <c r="M47">
        <v>1</v>
      </c>
    </row>
    <row r="48" spans="1:13" x14ac:dyDescent="0.25">
      <c r="A48" s="2">
        <v>46174</v>
      </c>
      <c r="B48" s="1" t="str">
        <f ca="1">IF(Información1[[#This Row],[Fecha]]='Ajuste de fechas'!$A$2,"Día actual","Día anterior")</f>
        <v>Día anterior</v>
      </c>
      <c r="C48" t="s">
        <v>28</v>
      </c>
      <c r="D48" t="s">
        <v>30</v>
      </c>
      <c r="E48" t="s">
        <v>161</v>
      </c>
      <c r="F48" t="s">
        <v>19</v>
      </c>
      <c r="G48" t="s">
        <v>162</v>
      </c>
      <c r="H48" t="s">
        <v>11</v>
      </c>
      <c r="I48" t="s">
        <v>7</v>
      </c>
      <c r="J48" t="s">
        <v>45</v>
      </c>
      <c r="K48" t="s">
        <v>29</v>
      </c>
      <c r="L48" t="s">
        <v>42</v>
      </c>
      <c r="M48">
        <v>1</v>
      </c>
    </row>
    <row r="49" spans="1:13" x14ac:dyDescent="0.25">
      <c r="A49" s="2">
        <v>46174</v>
      </c>
      <c r="B49" s="1" t="str">
        <f ca="1">IF(Información1[[#This Row],[Fecha]]='Ajuste de fechas'!$A$2,"Día actual","Día anterior")</f>
        <v>Día anterior</v>
      </c>
      <c r="C49" t="s">
        <v>28</v>
      </c>
      <c r="D49" t="s">
        <v>30</v>
      </c>
      <c r="E49" t="s">
        <v>163</v>
      </c>
      <c r="F49" t="s">
        <v>51</v>
      </c>
      <c r="G49" t="s">
        <v>123</v>
      </c>
      <c r="H49" t="s">
        <v>11</v>
      </c>
      <c r="I49" t="s">
        <v>7</v>
      </c>
      <c r="J49" t="s">
        <v>41</v>
      </c>
      <c r="K49" t="s">
        <v>29</v>
      </c>
      <c r="L49" t="s">
        <v>42</v>
      </c>
      <c r="M49">
        <v>1</v>
      </c>
    </row>
    <row r="50" spans="1:13" x14ac:dyDescent="0.25">
      <c r="A50" s="2">
        <v>46174</v>
      </c>
      <c r="B50" s="1" t="str">
        <f ca="1">IF(Información1[[#This Row],[Fecha]]='Ajuste de fechas'!$A$2,"Día actual","Día anterior")</f>
        <v>Día anterior</v>
      </c>
      <c r="C50" t="s">
        <v>28</v>
      </c>
      <c r="D50" t="s">
        <v>30</v>
      </c>
      <c r="E50" t="s">
        <v>164</v>
      </c>
      <c r="F50" t="s">
        <v>23</v>
      </c>
      <c r="G50" t="s">
        <v>70</v>
      </c>
      <c r="H50" t="s">
        <v>11</v>
      </c>
      <c r="I50" t="s">
        <v>7</v>
      </c>
      <c r="J50" t="s">
        <v>41</v>
      </c>
      <c r="K50" t="s">
        <v>29</v>
      </c>
      <c r="L50" t="s">
        <v>42</v>
      </c>
      <c r="M50">
        <v>1</v>
      </c>
    </row>
    <row r="51" spans="1:13" x14ac:dyDescent="0.25">
      <c r="A51" s="2">
        <v>46174</v>
      </c>
      <c r="B51" s="1" t="str">
        <f ca="1">IF(Información1[[#This Row],[Fecha]]='Ajuste de fechas'!$A$2,"Día actual","Día anterior")</f>
        <v>Día anterior</v>
      </c>
      <c r="C51" t="s">
        <v>28</v>
      </c>
      <c r="D51" t="s">
        <v>30</v>
      </c>
      <c r="E51" t="s">
        <v>165</v>
      </c>
      <c r="F51" t="s">
        <v>21</v>
      </c>
      <c r="G51" t="s">
        <v>166</v>
      </c>
      <c r="H51" t="s">
        <v>11</v>
      </c>
      <c r="I51" t="s">
        <v>7</v>
      </c>
      <c r="J51" t="s">
        <v>41</v>
      </c>
      <c r="K51" t="s">
        <v>29</v>
      </c>
      <c r="L51" t="s">
        <v>42</v>
      </c>
      <c r="M51">
        <v>1</v>
      </c>
    </row>
    <row r="52" spans="1:13" x14ac:dyDescent="0.25">
      <c r="A52" s="2">
        <v>46174</v>
      </c>
      <c r="B52" s="1" t="str">
        <f ca="1">IF(Información1[[#This Row],[Fecha]]='Ajuste de fechas'!$A$2,"Día actual","Día anterior")</f>
        <v>Día anterior</v>
      </c>
      <c r="C52" t="s">
        <v>28</v>
      </c>
      <c r="D52" t="s">
        <v>30</v>
      </c>
      <c r="E52" t="s">
        <v>167</v>
      </c>
      <c r="F52" t="s">
        <v>26</v>
      </c>
      <c r="G52" t="s">
        <v>168</v>
      </c>
      <c r="H52" t="s">
        <v>11</v>
      </c>
      <c r="I52" t="s">
        <v>7</v>
      </c>
      <c r="J52" t="s">
        <v>41</v>
      </c>
      <c r="K52" t="s">
        <v>29</v>
      </c>
      <c r="L52" t="s">
        <v>42</v>
      </c>
      <c r="M52">
        <v>1</v>
      </c>
    </row>
    <row r="53" spans="1:13" x14ac:dyDescent="0.25">
      <c r="A53" s="2">
        <v>46174</v>
      </c>
      <c r="B53" s="1" t="str">
        <f ca="1">IF(Información1[[#This Row],[Fecha]]='Ajuste de fechas'!$A$2,"Día actual","Día anterior")</f>
        <v>Día anterior</v>
      </c>
      <c r="C53" t="s">
        <v>28</v>
      </c>
      <c r="D53" t="s">
        <v>30</v>
      </c>
      <c r="E53" t="s">
        <v>169</v>
      </c>
      <c r="F53" t="s">
        <v>26</v>
      </c>
      <c r="G53" t="s">
        <v>77</v>
      </c>
      <c r="H53" t="s">
        <v>11</v>
      </c>
      <c r="I53" t="s">
        <v>7</v>
      </c>
      <c r="J53" t="s">
        <v>41</v>
      </c>
      <c r="K53" t="s">
        <v>29</v>
      </c>
      <c r="L53" t="s">
        <v>42</v>
      </c>
      <c r="M53">
        <v>1</v>
      </c>
    </row>
    <row r="54" spans="1:13" x14ac:dyDescent="0.25">
      <c r="A54" s="2">
        <v>46174</v>
      </c>
      <c r="B54" s="1" t="str">
        <f ca="1">IF(Información1[[#This Row],[Fecha]]='Ajuste de fechas'!$A$2,"Día actual","Día anterior")</f>
        <v>Día anterior</v>
      </c>
      <c r="C54" t="s">
        <v>8</v>
      </c>
      <c r="D54" t="s">
        <v>10</v>
      </c>
      <c r="E54" t="s">
        <v>170</v>
      </c>
      <c r="F54" t="s">
        <v>19</v>
      </c>
      <c r="G54" t="s">
        <v>64</v>
      </c>
      <c r="H54" t="s">
        <v>11</v>
      </c>
      <c r="I54" t="s">
        <v>25</v>
      </c>
      <c r="J54" t="s">
        <v>45</v>
      </c>
      <c r="K54" t="s">
        <v>9</v>
      </c>
      <c r="L54" t="s">
        <v>43</v>
      </c>
      <c r="M54">
        <v>1</v>
      </c>
    </row>
    <row r="55" spans="1:13" x14ac:dyDescent="0.25">
      <c r="A55" s="2">
        <v>46174</v>
      </c>
      <c r="B55" s="1" t="str">
        <f ca="1">IF(Información1[[#This Row],[Fecha]]='Ajuste de fechas'!$A$2,"Día actual","Día anterior")</f>
        <v>Día anterior</v>
      </c>
      <c r="C55" t="s">
        <v>8</v>
      </c>
      <c r="D55" t="s">
        <v>10</v>
      </c>
      <c r="E55" t="s">
        <v>171</v>
      </c>
      <c r="F55" t="s">
        <v>19</v>
      </c>
      <c r="G55" t="s">
        <v>64</v>
      </c>
      <c r="H55" t="s">
        <v>11</v>
      </c>
      <c r="I55" t="s">
        <v>25</v>
      </c>
      <c r="J55" t="s">
        <v>45</v>
      </c>
      <c r="K55" t="s">
        <v>9</v>
      </c>
      <c r="L55" t="s">
        <v>43</v>
      </c>
      <c r="M55">
        <v>1</v>
      </c>
    </row>
    <row r="56" spans="1:13" x14ac:dyDescent="0.25">
      <c r="A56" s="2">
        <v>46174</v>
      </c>
      <c r="B56" s="1" t="str">
        <f ca="1">IF(Información1[[#This Row],[Fecha]]='Ajuste de fechas'!$A$2,"Día actual","Día anterior")</f>
        <v>Día anterior</v>
      </c>
      <c r="C56" t="s">
        <v>8</v>
      </c>
      <c r="D56" t="s">
        <v>10</v>
      </c>
      <c r="E56" t="s">
        <v>172</v>
      </c>
      <c r="F56" t="s">
        <v>19</v>
      </c>
      <c r="G56" t="s">
        <v>64</v>
      </c>
      <c r="H56" t="s">
        <v>11</v>
      </c>
      <c r="I56" t="s">
        <v>25</v>
      </c>
      <c r="J56" t="s">
        <v>45</v>
      </c>
      <c r="K56" t="s">
        <v>9</v>
      </c>
      <c r="L56" t="s">
        <v>43</v>
      </c>
      <c r="M56">
        <v>1</v>
      </c>
    </row>
    <row r="57" spans="1:13" x14ac:dyDescent="0.25">
      <c r="A57" s="2">
        <v>46174</v>
      </c>
      <c r="B57" s="1" t="str">
        <f ca="1">IF(Información1[[#This Row],[Fecha]]='Ajuste de fechas'!$A$2,"Día actual","Día anterior")</f>
        <v>Día anterior</v>
      </c>
      <c r="C57" t="s">
        <v>8</v>
      </c>
      <c r="D57" t="s">
        <v>10</v>
      </c>
      <c r="E57" t="s">
        <v>173</v>
      </c>
      <c r="F57" t="s">
        <v>19</v>
      </c>
      <c r="G57" t="s">
        <v>93</v>
      </c>
      <c r="H57" t="s">
        <v>11</v>
      </c>
      <c r="I57" t="s">
        <v>25</v>
      </c>
      <c r="J57" t="s">
        <v>45</v>
      </c>
      <c r="K57" t="s">
        <v>9</v>
      </c>
      <c r="L57" t="s">
        <v>43</v>
      </c>
      <c r="M57">
        <v>1</v>
      </c>
    </row>
    <row r="58" spans="1:13" x14ac:dyDescent="0.25">
      <c r="A58" s="2">
        <v>46174</v>
      </c>
      <c r="B58" s="1" t="str">
        <f ca="1">IF(Información1[[#This Row],[Fecha]]='Ajuste de fechas'!$A$2,"Día actual","Día anterior")</f>
        <v>Día anterior</v>
      </c>
      <c r="C58" t="s">
        <v>8</v>
      </c>
      <c r="D58" t="s">
        <v>10</v>
      </c>
      <c r="E58" t="s">
        <v>174</v>
      </c>
      <c r="F58" t="s">
        <v>19</v>
      </c>
      <c r="G58" t="s">
        <v>86</v>
      </c>
      <c r="H58" t="s">
        <v>11</v>
      </c>
      <c r="I58" t="s">
        <v>25</v>
      </c>
      <c r="J58" t="s">
        <v>45</v>
      </c>
      <c r="K58" t="s">
        <v>9</v>
      </c>
      <c r="L58" t="s">
        <v>43</v>
      </c>
      <c r="M58">
        <v>1</v>
      </c>
    </row>
    <row r="59" spans="1:13" x14ac:dyDescent="0.25">
      <c r="A59" s="2">
        <v>46174</v>
      </c>
      <c r="B59" s="1" t="str">
        <f ca="1">IF(Información1[[#This Row],[Fecha]]='Ajuste de fechas'!$A$2,"Día actual","Día anterior")</f>
        <v>Día anterior</v>
      </c>
      <c r="C59" t="s">
        <v>8</v>
      </c>
      <c r="D59" t="s">
        <v>10</v>
      </c>
      <c r="E59" t="s">
        <v>175</v>
      </c>
      <c r="F59" t="s">
        <v>6</v>
      </c>
      <c r="G59" t="s">
        <v>50</v>
      </c>
      <c r="H59" t="s">
        <v>11</v>
      </c>
      <c r="I59" t="s">
        <v>25</v>
      </c>
      <c r="J59" t="s">
        <v>41</v>
      </c>
      <c r="K59" t="s">
        <v>9</v>
      </c>
      <c r="L59" t="s">
        <v>43</v>
      </c>
      <c r="M59">
        <v>1</v>
      </c>
    </row>
    <row r="60" spans="1:13" x14ac:dyDescent="0.25">
      <c r="A60" s="2">
        <v>46174</v>
      </c>
      <c r="B60" s="1" t="str">
        <f ca="1">IF(Información1[[#This Row],[Fecha]]='Ajuste de fechas'!$A$2,"Día actual","Día anterior")</f>
        <v>Día anterior</v>
      </c>
      <c r="C60" t="s">
        <v>8</v>
      </c>
      <c r="D60" t="s">
        <v>10</v>
      </c>
      <c r="E60" t="s">
        <v>176</v>
      </c>
      <c r="F60" t="s">
        <v>6</v>
      </c>
      <c r="G60" t="s">
        <v>63</v>
      </c>
      <c r="H60" t="s">
        <v>11</v>
      </c>
      <c r="I60" t="s">
        <v>25</v>
      </c>
      <c r="J60" t="s">
        <v>41</v>
      </c>
      <c r="K60" t="s">
        <v>9</v>
      </c>
      <c r="L60" t="s">
        <v>43</v>
      </c>
      <c r="M60">
        <v>1</v>
      </c>
    </row>
    <row r="61" spans="1:13" x14ac:dyDescent="0.25">
      <c r="A61" s="2">
        <v>46174</v>
      </c>
      <c r="B61" s="1" t="str">
        <f ca="1">IF(Información1[[#This Row],[Fecha]]='Ajuste de fechas'!$A$2,"Día actual","Día anterior")</f>
        <v>Día anterior</v>
      </c>
      <c r="C61" t="s">
        <v>8</v>
      </c>
      <c r="D61" t="s">
        <v>10</v>
      </c>
      <c r="E61" t="s">
        <v>177</v>
      </c>
      <c r="F61" t="s">
        <v>19</v>
      </c>
      <c r="G61" t="s">
        <v>110</v>
      </c>
      <c r="H61" t="s">
        <v>11</v>
      </c>
      <c r="I61" t="s">
        <v>7</v>
      </c>
      <c r="J61" t="s">
        <v>45</v>
      </c>
      <c r="K61" t="s">
        <v>14</v>
      </c>
      <c r="L61" t="s">
        <v>42</v>
      </c>
      <c r="M61">
        <v>1</v>
      </c>
    </row>
    <row r="62" spans="1:13" x14ac:dyDescent="0.25">
      <c r="A62" s="2">
        <v>46174</v>
      </c>
      <c r="B62" s="1" t="str">
        <f ca="1">IF(Información1[[#This Row],[Fecha]]='Ajuste de fechas'!$A$2,"Día actual","Día anterior")</f>
        <v>Día anterior</v>
      </c>
      <c r="C62" t="s">
        <v>8</v>
      </c>
      <c r="D62" t="s">
        <v>10</v>
      </c>
      <c r="E62" t="s">
        <v>178</v>
      </c>
      <c r="F62" t="s">
        <v>22</v>
      </c>
      <c r="G62" t="s">
        <v>95</v>
      </c>
      <c r="H62" t="s">
        <v>11</v>
      </c>
      <c r="I62" t="s">
        <v>7</v>
      </c>
      <c r="J62" t="s">
        <v>46</v>
      </c>
      <c r="K62" t="s">
        <v>14</v>
      </c>
      <c r="L62" t="s">
        <v>42</v>
      </c>
      <c r="M62">
        <v>1</v>
      </c>
    </row>
    <row r="63" spans="1:13" x14ac:dyDescent="0.25">
      <c r="A63" s="2">
        <v>46174</v>
      </c>
      <c r="B63" s="1" t="str">
        <f ca="1">IF(Información1[[#This Row],[Fecha]]='Ajuste de fechas'!$A$2,"Día actual","Día anterior")</f>
        <v>Día anterior</v>
      </c>
      <c r="C63" t="s">
        <v>8</v>
      </c>
      <c r="D63" t="s">
        <v>10</v>
      </c>
      <c r="E63" t="s">
        <v>179</v>
      </c>
      <c r="F63" t="s">
        <v>17</v>
      </c>
      <c r="G63" t="s">
        <v>77</v>
      </c>
      <c r="H63" t="s">
        <v>11</v>
      </c>
      <c r="I63" t="s">
        <v>7</v>
      </c>
      <c r="J63" t="s">
        <v>41</v>
      </c>
      <c r="K63" t="s">
        <v>14</v>
      </c>
      <c r="L63" t="s">
        <v>42</v>
      </c>
      <c r="M63">
        <v>1</v>
      </c>
    </row>
    <row r="64" spans="1:13" x14ac:dyDescent="0.25">
      <c r="A64" s="2">
        <v>46174</v>
      </c>
      <c r="B64" s="1" t="str">
        <f ca="1">IF(Información1[[#This Row],[Fecha]]='Ajuste de fechas'!$A$2,"Día actual","Día anterior")</f>
        <v>Día anterior</v>
      </c>
      <c r="C64" t="s">
        <v>8</v>
      </c>
      <c r="D64" t="s">
        <v>10</v>
      </c>
      <c r="E64" t="s">
        <v>180</v>
      </c>
      <c r="F64" t="s">
        <v>19</v>
      </c>
      <c r="G64" t="s">
        <v>76</v>
      </c>
      <c r="H64" t="s">
        <v>11</v>
      </c>
      <c r="I64" t="s">
        <v>7</v>
      </c>
      <c r="J64" t="s">
        <v>45</v>
      </c>
      <c r="K64" t="s">
        <v>14</v>
      </c>
      <c r="L64" t="s">
        <v>42</v>
      </c>
      <c r="M64">
        <v>1</v>
      </c>
    </row>
    <row r="65" spans="1:13" x14ac:dyDescent="0.25">
      <c r="A65" s="2">
        <v>46174</v>
      </c>
      <c r="B65" s="1" t="str">
        <f ca="1">IF(Información1[[#This Row],[Fecha]]='Ajuste de fechas'!$A$2,"Día actual","Día anterior")</f>
        <v>Día anterior</v>
      </c>
      <c r="C65" t="s">
        <v>8</v>
      </c>
      <c r="D65" t="s">
        <v>10</v>
      </c>
      <c r="E65" t="s">
        <v>181</v>
      </c>
      <c r="F65" t="s">
        <v>22</v>
      </c>
      <c r="G65" t="s">
        <v>182</v>
      </c>
      <c r="H65" t="s">
        <v>11</v>
      </c>
      <c r="I65" t="s">
        <v>7</v>
      </c>
      <c r="J65" t="s">
        <v>46</v>
      </c>
      <c r="K65" t="s">
        <v>14</v>
      </c>
      <c r="L65" t="s">
        <v>42</v>
      </c>
      <c r="M65">
        <v>1</v>
      </c>
    </row>
    <row r="66" spans="1:13" x14ac:dyDescent="0.25">
      <c r="A66" s="2">
        <v>46174</v>
      </c>
      <c r="B66" s="1" t="str">
        <f ca="1">IF(Información1[[#This Row],[Fecha]]='Ajuste de fechas'!$A$2,"Día actual","Día anterior")</f>
        <v>Día anterior</v>
      </c>
      <c r="C66" t="s">
        <v>8</v>
      </c>
      <c r="D66" t="s">
        <v>10</v>
      </c>
      <c r="E66" t="s">
        <v>183</v>
      </c>
      <c r="F66" t="s">
        <v>22</v>
      </c>
      <c r="G66" t="s">
        <v>184</v>
      </c>
      <c r="H66" t="s">
        <v>11</v>
      </c>
      <c r="I66" t="s">
        <v>7</v>
      </c>
      <c r="J66" t="s">
        <v>46</v>
      </c>
      <c r="K66" t="s">
        <v>14</v>
      </c>
      <c r="L66" t="s">
        <v>42</v>
      </c>
      <c r="M66">
        <v>1</v>
      </c>
    </row>
    <row r="67" spans="1:13" x14ac:dyDescent="0.25">
      <c r="A67" s="2">
        <v>46174</v>
      </c>
      <c r="B67" s="1" t="str">
        <f ca="1">IF(Información1[[#This Row],[Fecha]]='Ajuste de fechas'!$A$2,"Día actual","Día anterior")</f>
        <v>Día anterior</v>
      </c>
      <c r="C67" t="s">
        <v>8</v>
      </c>
      <c r="D67" t="s">
        <v>10</v>
      </c>
      <c r="E67" t="s">
        <v>185</v>
      </c>
      <c r="F67" t="s">
        <v>60</v>
      </c>
      <c r="G67" t="s">
        <v>105</v>
      </c>
      <c r="H67" t="s">
        <v>11</v>
      </c>
      <c r="I67" t="s">
        <v>7</v>
      </c>
      <c r="J67" t="s">
        <v>24</v>
      </c>
      <c r="K67" t="s">
        <v>14</v>
      </c>
      <c r="L67" t="s">
        <v>42</v>
      </c>
      <c r="M67">
        <v>1</v>
      </c>
    </row>
    <row r="68" spans="1:13" x14ac:dyDescent="0.25">
      <c r="A68" s="2">
        <v>46174</v>
      </c>
      <c r="B68" s="1" t="str">
        <f ca="1">IF(Información1[[#This Row],[Fecha]]='Ajuste de fechas'!$A$2,"Día actual","Día anterior")</f>
        <v>Día anterior</v>
      </c>
      <c r="C68" t="s">
        <v>8</v>
      </c>
      <c r="D68" t="s">
        <v>10</v>
      </c>
      <c r="E68" t="s">
        <v>134</v>
      </c>
      <c r="F68" t="s">
        <v>26</v>
      </c>
      <c r="G68" t="s">
        <v>87</v>
      </c>
      <c r="H68" t="s">
        <v>11</v>
      </c>
      <c r="I68" t="s">
        <v>7</v>
      </c>
      <c r="J68" t="s">
        <v>41</v>
      </c>
      <c r="K68" t="s">
        <v>14</v>
      </c>
      <c r="L68" t="s">
        <v>44</v>
      </c>
      <c r="M68">
        <v>1</v>
      </c>
    </row>
    <row r="69" spans="1:13" x14ac:dyDescent="0.25">
      <c r="A69" s="2">
        <v>46174</v>
      </c>
      <c r="B69" s="1" t="str">
        <f ca="1">IF(Información1[[#This Row],[Fecha]]='Ajuste de fechas'!$A$2,"Día actual","Día anterior")</f>
        <v>Día anterior</v>
      </c>
      <c r="C69" t="s">
        <v>8</v>
      </c>
      <c r="D69" t="s">
        <v>10</v>
      </c>
      <c r="E69" t="s">
        <v>20</v>
      </c>
      <c r="F69" t="s">
        <v>19</v>
      </c>
      <c r="G69" t="s">
        <v>34</v>
      </c>
      <c r="H69" t="s">
        <v>11</v>
      </c>
      <c r="I69" t="s">
        <v>12</v>
      </c>
      <c r="J69" t="s">
        <v>45</v>
      </c>
      <c r="K69" t="s">
        <v>14</v>
      </c>
      <c r="L69" t="s">
        <v>43</v>
      </c>
      <c r="M69">
        <v>1</v>
      </c>
    </row>
    <row r="70" spans="1:13" x14ac:dyDescent="0.25">
      <c r="A70" s="2">
        <v>46174</v>
      </c>
      <c r="B70" s="1" t="str">
        <f ca="1">IF(Información1[[#This Row],[Fecha]]='Ajuste de fechas'!$A$2,"Día actual","Día anterior")</f>
        <v>Día anterior</v>
      </c>
      <c r="C70" t="s">
        <v>8</v>
      </c>
      <c r="D70" t="s">
        <v>10</v>
      </c>
      <c r="E70" t="s">
        <v>18</v>
      </c>
      <c r="F70" t="s">
        <v>19</v>
      </c>
      <c r="G70" t="s">
        <v>34</v>
      </c>
      <c r="H70" t="s">
        <v>11</v>
      </c>
      <c r="I70" t="s">
        <v>12</v>
      </c>
      <c r="J70" t="s">
        <v>45</v>
      </c>
      <c r="K70" t="s">
        <v>14</v>
      </c>
      <c r="L70" t="s">
        <v>43</v>
      </c>
      <c r="M70">
        <v>1</v>
      </c>
    </row>
    <row r="71" spans="1:13" x14ac:dyDescent="0.25">
      <c r="A71" s="2">
        <v>46174</v>
      </c>
      <c r="B71" s="1" t="str">
        <f ca="1">IF(Información1[[#This Row],[Fecha]]='Ajuste de fechas'!$A$2,"Día actual","Día anterior")</f>
        <v>Día anterior</v>
      </c>
      <c r="C71" t="s">
        <v>8</v>
      </c>
      <c r="D71" t="s">
        <v>10</v>
      </c>
      <c r="E71" t="s">
        <v>69</v>
      </c>
      <c r="F71" t="s">
        <v>60</v>
      </c>
      <c r="G71" t="s">
        <v>34</v>
      </c>
      <c r="H71" t="s">
        <v>11</v>
      </c>
      <c r="I71" t="s">
        <v>12</v>
      </c>
      <c r="J71" t="s">
        <v>24</v>
      </c>
      <c r="K71" t="s">
        <v>14</v>
      </c>
      <c r="L71" t="s">
        <v>43</v>
      </c>
      <c r="M71">
        <v>1</v>
      </c>
    </row>
    <row r="72" spans="1:13" x14ac:dyDescent="0.25">
      <c r="A72" s="2">
        <v>46174</v>
      </c>
      <c r="B72" s="1" t="str">
        <f ca="1">IF(Información1[[#This Row],[Fecha]]='Ajuste de fechas'!$A$2,"Día actual","Día anterior")</f>
        <v>Día anterior</v>
      </c>
      <c r="C72" t="s">
        <v>8</v>
      </c>
      <c r="D72" t="s">
        <v>10</v>
      </c>
      <c r="E72" t="s">
        <v>57</v>
      </c>
      <c r="F72" t="s">
        <v>21</v>
      </c>
      <c r="G72" t="s">
        <v>34</v>
      </c>
      <c r="H72" t="s">
        <v>11</v>
      </c>
      <c r="I72" t="s">
        <v>12</v>
      </c>
      <c r="J72" t="s">
        <v>41</v>
      </c>
      <c r="K72" t="s">
        <v>14</v>
      </c>
      <c r="L72" t="s">
        <v>43</v>
      </c>
      <c r="M72">
        <v>1</v>
      </c>
    </row>
    <row r="73" spans="1:13" x14ac:dyDescent="0.25">
      <c r="A73" s="2">
        <v>46174</v>
      </c>
      <c r="B73" s="1" t="str">
        <f ca="1">IF(Información1[[#This Row],[Fecha]]='Ajuste de fechas'!$A$2,"Día actual","Día anterior")</f>
        <v>Día anterior</v>
      </c>
      <c r="C73" t="s">
        <v>8</v>
      </c>
      <c r="D73" t="s">
        <v>10</v>
      </c>
      <c r="E73" t="s">
        <v>13</v>
      </c>
      <c r="F73" t="s">
        <v>15</v>
      </c>
      <c r="G73" t="s">
        <v>34</v>
      </c>
      <c r="H73" t="s">
        <v>11</v>
      </c>
      <c r="I73" t="s">
        <v>12</v>
      </c>
      <c r="J73" t="s">
        <v>41</v>
      </c>
      <c r="K73" t="s">
        <v>14</v>
      </c>
      <c r="L73" t="s">
        <v>43</v>
      </c>
      <c r="M73">
        <v>1</v>
      </c>
    </row>
    <row r="74" spans="1:13" x14ac:dyDescent="0.25">
      <c r="A74" s="2">
        <v>46174</v>
      </c>
      <c r="B74" s="1" t="str">
        <f ca="1">IF(Información1[[#This Row],[Fecha]]='Ajuste de fechas'!$A$2,"Día actual","Día anterior")</f>
        <v>Día anterior</v>
      </c>
      <c r="C74" t="s">
        <v>8</v>
      </c>
      <c r="D74" t="s">
        <v>10</v>
      </c>
      <c r="E74" t="s">
        <v>16</v>
      </c>
      <c r="F74" t="s">
        <v>17</v>
      </c>
      <c r="G74" t="s">
        <v>34</v>
      </c>
      <c r="H74" t="s">
        <v>11</v>
      </c>
      <c r="I74" t="s">
        <v>12</v>
      </c>
      <c r="J74" t="s">
        <v>41</v>
      </c>
      <c r="K74" t="s">
        <v>14</v>
      </c>
      <c r="L74" t="s">
        <v>43</v>
      </c>
      <c r="M74">
        <v>1</v>
      </c>
    </row>
    <row r="75" spans="1:13" x14ac:dyDescent="0.25">
      <c r="A75" s="2">
        <v>46174</v>
      </c>
      <c r="B75" s="1" t="str">
        <f ca="1">IF(Información1[[#This Row],[Fecha]]='Ajuste de fechas'!$A$2,"Día actual","Día anterior")</f>
        <v>Día anterior</v>
      </c>
      <c r="C75" t="s">
        <v>8</v>
      </c>
      <c r="D75" t="s">
        <v>10</v>
      </c>
      <c r="E75" t="s">
        <v>58</v>
      </c>
      <c r="F75" t="s">
        <v>6</v>
      </c>
      <c r="G75" t="s">
        <v>34</v>
      </c>
      <c r="H75" t="s">
        <v>11</v>
      </c>
      <c r="I75" t="s">
        <v>12</v>
      </c>
      <c r="J75" t="s">
        <v>41</v>
      </c>
      <c r="K75" t="s">
        <v>14</v>
      </c>
      <c r="L75" t="s">
        <v>43</v>
      </c>
      <c r="M75">
        <v>1</v>
      </c>
    </row>
    <row r="76" spans="1:13" x14ac:dyDescent="0.25">
      <c r="A76" s="2">
        <v>46175</v>
      </c>
      <c r="B76" s="1" t="str">
        <f ca="1">IF(Información1[[#This Row],[Fecha]]='Ajuste de fechas'!$A$2,"Día actual","Día anterior")</f>
        <v>Día actual</v>
      </c>
      <c r="C76" t="s">
        <v>31</v>
      </c>
      <c r="D76" t="s">
        <v>32</v>
      </c>
      <c r="E76" t="s">
        <v>187</v>
      </c>
      <c r="F76" t="s">
        <v>62</v>
      </c>
      <c r="G76" t="s">
        <v>71</v>
      </c>
      <c r="H76" t="s">
        <v>75</v>
      </c>
      <c r="I76" t="s">
        <v>7</v>
      </c>
      <c r="J76" t="s">
        <v>41</v>
      </c>
      <c r="K76" t="s">
        <v>27</v>
      </c>
      <c r="L76" t="s">
        <v>44</v>
      </c>
      <c r="M76">
        <v>4</v>
      </c>
    </row>
    <row r="77" spans="1:13" x14ac:dyDescent="0.25">
      <c r="A77" s="2">
        <v>46175</v>
      </c>
      <c r="B77" s="1" t="str">
        <f ca="1">IF(Información1[[#This Row],[Fecha]]='Ajuste de fechas'!$A$2,"Día actual","Día anterior")</f>
        <v>Día actual</v>
      </c>
      <c r="C77" t="s">
        <v>31</v>
      </c>
      <c r="D77" t="s">
        <v>32</v>
      </c>
      <c r="E77" t="s">
        <v>188</v>
      </c>
      <c r="F77" t="s">
        <v>19</v>
      </c>
      <c r="H77" t="s">
        <v>75</v>
      </c>
      <c r="I77" t="s">
        <v>25</v>
      </c>
      <c r="J77" t="s">
        <v>45</v>
      </c>
      <c r="K77" t="s">
        <v>27</v>
      </c>
      <c r="L77" t="s">
        <v>42</v>
      </c>
      <c r="M77">
        <v>1</v>
      </c>
    </row>
    <row r="78" spans="1:13" x14ac:dyDescent="0.25">
      <c r="A78" s="2">
        <v>46175</v>
      </c>
      <c r="B78" s="1" t="str">
        <f ca="1">IF(Información1[[#This Row],[Fecha]]='Ajuste de fechas'!$A$2,"Día actual","Día anterior")</f>
        <v>Día actual</v>
      </c>
      <c r="C78" t="s">
        <v>31</v>
      </c>
      <c r="D78" t="s">
        <v>32</v>
      </c>
      <c r="E78" t="s">
        <v>189</v>
      </c>
      <c r="F78" t="s">
        <v>22</v>
      </c>
      <c r="G78" t="s">
        <v>190</v>
      </c>
      <c r="H78" t="s">
        <v>75</v>
      </c>
      <c r="I78" t="s">
        <v>7</v>
      </c>
      <c r="J78" t="s">
        <v>46</v>
      </c>
      <c r="K78" t="s">
        <v>27</v>
      </c>
      <c r="L78" t="s">
        <v>43</v>
      </c>
      <c r="M78">
        <v>4</v>
      </c>
    </row>
    <row r="79" spans="1:13" x14ac:dyDescent="0.25">
      <c r="A79" s="2">
        <v>46175</v>
      </c>
      <c r="B79" s="1" t="str">
        <f ca="1">IF(Información1[[#This Row],[Fecha]]='Ajuste de fechas'!$A$2,"Día actual","Día anterior")</f>
        <v>Día actual</v>
      </c>
      <c r="C79" t="s">
        <v>31</v>
      </c>
      <c r="D79" t="s">
        <v>32</v>
      </c>
      <c r="E79" t="s">
        <v>191</v>
      </c>
      <c r="F79" t="s">
        <v>17</v>
      </c>
      <c r="G79" t="s">
        <v>77</v>
      </c>
      <c r="H79" t="s">
        <v>75</v>
      </c>
      <c r="I79" t="s">
        <v>25</v>
      </c>
      <c r="J79" t="s">
        <v>41</v>
      </c>
      <c r="K79" t="s">
        <v>9</v>
      </c>
      <c r="L79" t="s">
        <v>43</v>
      </c>
      <c r="M79">
        <v>1</v>
      </c>
    </row>
    <row r="80" spans="1:13" x14ac:dyDescent="0.25">
      <c r="A80" s="2">
        <v>46175</v>
      </c>
      <c r="B80" s="1" t="str">
        <f ca="1">IF(Información1[[#This Row],[Fecha]]='Ajuste de fechas'!$A$2,"Día actual","Día anterior")</f>
        <v>Día actual</v>
      </c>
      <c r="C80" t="s">
        <v>31</v>
      </c>
      <c r="D80" t="s">
        <v>32</v>
      </c>
      <c r="E80" t="s">
        <v>192</v>
      </c>
      <c r="F80" t="s">
        <v>15</v>
      </c>
      <c r="G80" t="s">
        <v>193</v>
      </c>
      <c r="H80" t="s">
        <v>75</v>
      </c>
      <c r="I80" t="s">
        <v>25</v>
      </c>
      <c r="J80" t="s">
        <v>41</v>
      </c>
      <c r="K80" t="s">
        <v>9</v>
      </c>
      <c r="L80" t="s">
        <v>43</v>
      </c>
      <c r="M80">
        <v>1</v>
      </c>
    </row>
    <row r="81" spans="1:13" x14ac:dyDescent="0.25">
      <c r="A81" s="2">
        <v>46175</v>
      </c>
      <c r="B81" s="1" t="str">
        <f ca="1">IF(Información1[[#This Row],[Fecha]]='Ajuste de fechas'!$A$2,"Día actual","Día anterior")</f>
        <v>Día actual</v>
      </c>
      <c r="C81" t="s">
        <v>31</v>
      </c>
      <c r="D81" t="s">
        <v>32</v>
      </c>
      <c r="E81" t="s">
        <v>194</v>
      </c>
      <c r="F81" t="s">
        <v>26</v>
      </c>
      <c r="G81" t="s">
        <v>195</v>
      </c>
      <c r="H81" t="s">
        <v>75</v>
      </c>
      <c r="I81" t="s">
        <v>25</v>
      </c>
      <c r="J81" t="s">
        <v>41</v>
      </c>
      <c r="K81" t="s">
        <v>27</v>
      </c>
      <c r="L81" t="s">
        <v>42</v>
      </c>
      <c r="M81">
        <v>1</v>
      </c>
    </row>
    <row r="82" spans="1:13" x14ac:dyDescent="0.25">
      <c r="A82" s="2">
        <v>46175</v>
      </c>
      <c r="B82" s="1" t="str">
        <f ca="1">IF(Información1[[#This Row],[Fecha]]='Ajuste de fechas'!$A$2,"Día actual","Día anterior")</f>
        <v>Día actual</v>
      </c>
      <c r="C82" t="s">
        <v>31</v>
      </c>
      <c r="D82" t="s">
        <v>32</v>
      </c>
      <c r="E82" t="s">
        <v>196</v>
      </c>
      <c r="F82" t="s">
        <v>26</v>
      </c>
      <c r="G82" t="s">
        <v>77</v>
      </c>
      <c r="H82" t="s">
        <v>75</v>
      </c>
      <c r="I82" t="s">
        <v>7</v>
      </c>
      <c r="J82" t="s">
        <v>41</v>
      </c>
      <c r="K82" t="s">
        <v>27</v>
      </c>
      <c r="L82" t="s">
        <v>42</v>
      </c>
      <c r="M82">
        <v>4</v>
      </c>
    </row>
    <row r="83" spans="1:13" x14ac:dyDescent="0.25">
      <c r="A83" s="2">
        <v>46175</v>
      </c>
      <c r="B83" s="1" t="str">
        <f ca="1">IF(Información1[[#This Row],[Fecha]]='Ajuste de fechas'!$A$2,"Día actual","Día anterior")</f>
        <v>Día actual</v>
      </c>
      <c r="C83" t="s">
        <v>31</v>
      </c>
      <c r="D83" t="s">
        <v>32</v>
      </c>
      <c r="E83" t="s">
        <v>197</v>
      </c>
      <c r="F83" t="s">
        <v>26</v>
      </c>
      <c r="G83" t="s">
        <v>195</v>
      </c>
      <c r="H83" t="s">
        <v>75</v>
      </c>
      <c r="I83" t="s">
        <v>7</v>
      </c>
      <c r="J83" t="s">
        <v>41</v>
      </c>
      <c r="K83" t="s">
        <v>27</v>
      </c>
      <c r="L83" t="s">
        <v>44</v>
      </c>
      <c r="M83">
        <v>4</v>
      </c>
    </row>
    <row r="84" spans="1:13" x14ac:dyDescent="0.25">
      <c r="A84" s="2">
        <v>46175</v>
      </c>
      <c r="B84" s="1" t="str">
        <f ca="1">IF(Información1[[#This Row],[Fecha]]='Ajuste de fechas'!$A$2,"Día actual","Día anterior")</f>
        <v>Día actual</v>
      </c>
      <c r="C84" t="s">
        <v>31</v>
      </c>
      <c r="D84" t="s">
        <v>32</v>
      </c>
      <c r="E84" t="s">
        <v>198</v>
      </c>
      <c r="F84" t="s">
        <v>17</v>
      </c>
      <c r="G84" t="s">
        <v>147</v>
      </c>
      <c r="H84" t="s">
        <v>75</v>
      </c>
      <c r="I84" t="s">
        <v>25</v>
      </c>
      <c r="J84" t="s">
        <v>41</v>
      </c>
      <c r="K84" t="s">
        <v>27</v>
      </c>
      <c r="L84" t="s">
        <v>42</v>
      </c>
      <c r="M84">
        <v>4</v>
      </c>
    </row>
    <row r="85" spans="1:13" x14ac:dyDescent="0.25">
      <c r="A85" s="2">
        <v>46175</v>
      </c>
      <c r="B85" s="1" t="str">
        <f ca="1">IF(Información1[[#This Row],[Fecha]]='Ajuste de fechas'!$A$2,"Día actual","Día anterior")</f>
        <v>Día actual</v>
      </c>
      <c r="C85" t="s">
        <v>31</v>
      </c>
      <c r="D85" t="s">
        <v>32</v>
      </c>
      <c r="E85" t="s">
        <v>199</v>
      </c>
      <c r="F85" t="s">
        <v>26</v>
      </c>
      <c r="G85" t="s">
        <v>77</v>
      </c>
      <c r="H85" t="s">
        <v>75</v>
      </c>
      <c r="I85" t="s">
        <v>7</v>
      </c>
      <c r="J85" t="s">
        <v>41</v>
      </c>
      <c r="K85" t="s">
        <v>27</v>
      </c>
      <c r="L85" t="s">
        <v>44</v>
      </c>
      <c r="M85">
        <v>4</v>
      </c>
    </row>
    <row r="86" spans="1:13" x14ac:dyDescent="0.25">
      <c r="A86" s="2">
        <v>46175</v>
      </c>
      <c r="B86" s="1" t="str">
        <f ca="1">IF(Información1[[#This Row],[Fecha]]='Ajuste de fechas'!$A$2,"Día actual","Día anterior")</f>
        <v>Día actual</v>
      </c>
      <c r="C86" t="s">
        <v>31</v>
      </c>
      <c r="D86" t="s">
        <v>32</v>
      </c>
      <c r="E86" t="s">
        <v>200</v>
      </c>
      <c r="F86" t="s">
        <v>15</v>
      </c>
      <c r="G86" t="s">
        <v>79</v>
      </c>
      <c r="H86" t="s">
        <v>75</v>
      </c>
      <c r="I86" t="s">
        <v>25</v>
      </c>
      <c r="J86" t="s">
        <v>41</v>
      </c>
      <c r="K86" t="s">
        <v>27</v>
      </c>
      <c r="L86" t="s">
        <v>43</v>
      </c>
      <c r="M86">
        <v>4</v>
      </c>
    </row>
    <row r="87" spans="1:13" x14ac:dyDescent="0.25">
      <c r="A87" s="2">
        <v>46175</v>
      </c>
      <c r="B87" s="1" t="str">
        <f ca="1">IF(Información1[[#This Row],[Fecha]]='Ajuste de fechas'!$A$2,"Día actual","Día anterior")</f>
        <v>Día actual</v>
      </c>
      <c r="C87" t="s">
        <v>82</v>
      </c>
      <c r="D87" t="s">
        <v>83</v>
      </c>
      <c r="E87" t="s">
        <v>201</v>
      </c>
      <c r="F87" t="s">
        <v>21</v>
      </c>
      <c r="G87" t="s">
        <v>202</v>
      </c>
      <c r="H87" t="s">
        <v>11</v>
      </c>
      <c r="I87" t="s">
        <v>7</v>
      </c>
      <c r="J87" t="s">
        <v>41</v>
      </c>
      <c r="K87" t="s">
        <v>84</v>
      </c>
      <c r="L87" t="s">
        <v>42</v>
      </c>
      <c r="M87">
        <v>3</v>
      </c>
    </row>
    <row r="88" spans="1:13" x14ac:dyDescent="0.25">
      <c r="A88" s="2">
        <v>46175</v>
      </c>
      <c r="B88" s="1" t="str">
        <f ca="1">IF(Información1[[#This Row],[Fecha]]='Ajuste de fechas'!$A$2,"Día actual","Día anterior")</f>
        <v>Día actual</v>
      </c>
      <c r="C88" t="s">
        <v>82</v>
      </c>
      <c r="D88" t="s">
        <v>83</v>
      </c>
      <c r="E88" t="s">
        <v>203</v>
      </c>
      <c r="F88" t="s">
        <v>19</v>
      </c>
      <c r="G88" t="s">
        <v>204</v>
      </c>
      <c r="H88" t="s">
        <v>11</v>
      </c>
      <c r="I88" t="s">
        <v>7</v>
      </c>
      <c r="J88" t="s">
        <v>45</v>
      </c>
      <c r="K88" t="s">
        <v>84</v>
      </c>
      <c r="L88" t="s">
        <v>42</v>
      </c>
      <c r="M88">
        <v>3</v>
      </c>
    </row>
    <row r="89" spans="1:13" x14ac:dyDescent="0.25">
      <c r="A89" s="2">
        <v>46175</v>
      </c>
      <c r="B89" s="1" t="str">
        <f ca="1">IF(Información1[[#This Row],[Fecha]]='Ajuste de fechas'!$A$2,"Día actual","Día anterior")</f>
        <v>Día actual</v>
      </c>
      <c r="C89" t="s">
        <v>82</v>
      </c>
      <c r="D89" t="s">
        <v>83</v>
      </c>
      <c r="E89" t="s">
        <v>205</v>
      </c>
      <c r="F89" t="s">
        <v>19</v>
      </c>
      <c r="G89" t="s">
        <v>101</v>
      </c>
      <c r="H89" t="s">
        <v>11</v>
      </c>
      <c r="I89" t="s">
        <v>7</v>
      </c>
      <c r="J89" t="s">
        <v>45</v>
      </c>
      <c r="K89" t="s">
        <v>84</v>
      </c>
      <c r="L89" t="s">
        <v>42</v>
      </c>
      <c r="M89">
        <v>3</v>
      </c>
    </row>
    <row r="90" spans="1:13" x14ac:dyDescent="0.25">
      <c r="A90" s="2">
        <v>46175</v>
      </c>
      <c r="B90" s="1" t="str">
        <f ca="1">IF(Información1[[#This Row],[Fecha]]='Ajuste de fechas'!$A$2,"Día actual","Día anterior")</f>
        <v>Día actual</v>
      </c>
      <c r="C90" t="s">
        <v>82</v>
      </c>
      <c r="D90" t="s">
        <v>83</v>
      </c>
      <c r="E90" t="s">
        <v>150</v>
      </c>
      <c r="F90" t="s">
        <v>151</v>
      </c>
      <c r="G90" t="s">
        <v>150</v>
      </c>
      <c r="H90" t="s">
        <v>11</v>
      </c>
      <c r="I90" t="s">
        <v>7</v>
      </c>
      <c r="J90" t="s">
        <v>41</v>
      </c>
      <c r="K90" t="s">
        <v>84</v>
      </c>
      <c r="L90" t="s">
        <v>44</v>
      </c>
      <c r="M90">
        <v>3</v>
      </c>
    </row>
    <row r="91" spans="1:13" x14ac:dyDescent="0.25">
      <c r="A91" s="2">
        <v>46175</v>
      </c>
      <c r="B91" s="1" t="str">
        <f ca="1">IF(Información1[[#This Row],[Fecha]]='Ajuste de fechas'!$A$2,"Día actual","Día anterior")</f>
        <v>Día actual</v>
      </c>
      <c r="C91" t="s">
        <v>82</v>
      </c>
      <c r="D91" t="s">
        <v>83</v>
      </c>
      <c r="E91" t="s">
        <v>206</v>
      </c>
      <c r="F91" t="s">
        <v>23</v>
      </c>
      <c r="G91" t="s">
        <v>207</v>
      </c>
      <c r="H91" t="s">
        <v>11</v>
      </c>
      <c r="I91" t="s">
        <v>7</v>
      </c>
      <c r="J91" t="s">
        <v>41</v>
      </c>
      <c r="K91" t="s">
        <v>84</v>
      </c>
      <c r="L91" t="s">
        <v>44</v>
      </c>
      <c r="M91">
        <v>3</v>
      </c>
    </row>
    <row r="92" spans="1:13" x14ac:dyDescent="0.25">
      <c r="A92" s="2">
        <v>46175</v>
      </c>
      <c r="B92" s="1" t="str">
        <f ca="1">IF(Información1[[#This Row],[Fecha]]='Ajuste de fechas'!$A$2,"Día actual","Día anterior")</f>
        <v>Día actual</v>
      </c>
      <c r="C92" t="s">
        <v>82</v>
      </c>
      <c r="D92" t="s">
        <v>83</v>
      </c>
      <c r="E92" t="s">
        <v>208</v>
      </c>
      <c r="F92" t="s">
        <v>23</v>
      </c>
      <c r="G92" t="s">
        <v>70</v>
      </c>
      <c r="H92" t="s">
        <v>11</v>
      </c>
      <c r="I92" t="s">
        <v>7</v>
      </c>
      <c r="J92" t="s">
        <v>41</v>
      </c>
      <c r="K92" t="s">
        <v>84</v>
      </c>
      <c r="L92" t="s">
        <v>44</v>
      </c>
      <c r="M92">
        <v>3</v>
      </c>
    </row>
    <row r="93" spans="1:13" x14ac:dyDescent="0.25">
      <c r="A93" s="2">
        <v>46175</v>
      </c>
      <c r="B93" s="1" t="str">
        <f ca="1">IF(Información1[[#This Row],[Fecha]]='Ajuste de fechas'!$A$2,"Día actual","Día anterior")</f>
        <v>Día actual</v>
      </c>
      <c r="C93" t="s">
        <v>82</v>
      </c>
      <c r="D93" t="s">
        <v>83</v>
      </c>
      <c r="E93" t="s">
        <v>209</v>
      </c>
      <c r="F93" t="s">
        <v>51</v>
      </c>
      <c r="G93" t="s">
        <v>66</v>
      </c>
      <c r="H93" t="s">
        <v>11</v>
      </c>
      <c r="I93" t="s">
        <v>25</v>
      </c>
      <c r="J93" t="s">
        <v>41</v>
      </c>
      <c r="K93" t="s">
        <v>84</v>
      </c>
      <c r="L93" t="s">
        <v>42</v>
      </c>
      <c r="M93">
        <v>1</v>
      </c>
    </row>
    <row r="94" spans="1:13" x14ac:dyDescent="0.25">
      <c r="A94" s="2">
        <v>46175</v>
      </c>
      <c r="B94" s="1" t="str">
        <f ca="1">IF(Información1[[#This Row],[Fecha]]='Ajuste de fechas'!$A$2,"Día actual","Día anterior")</f>
        <v>Día actual</v>
      </c>
      <c r="C94" t="s">
        <v>82</v>
      </c>
      <c r="D94" t="s">
        <v>83</v>
      </c>
      <c r="E94" t="s">
        <v>210</v>
      </c>
      <c r="F94" t="s">
        <v>19</v>
      </c>
      <c r="G94" t="s">
        <v>66</v>
      </c>
      <c r="H94" t="s">
        <v>11</v>
      </c>
      <c r="I94" t="s">
        <v>25</v>
      </c>
      <c r="J94" t="s">
        <v>45</v>
      </c>
      <c r="K94" t="s">
        <v>84</v>
      </c>
      <c r="L94" t="s">
        <v>42</v>
      </c>
      <c r="M94">
        <v>3</v>
      </c>
    </row>
    <row r="95" spans="1:13" x14ac:dyDescent="0.25">
      <c r="A95" s="2">
        <v>46175</v>
      </c>
      <c r="B95" s="1" t="str">
        <f ca="1">IF(Información1[[#This Row],[Fecha]]='Ajuste de fechas'!$A$2,"Día actual","Día anterior")</f>
        <v>Día actual</v>
      </c>
      <c r="C95" t="s">
        <v>82</v>
      </c>
      <c r="D95" t="s">
        <v>83</v>
      </c>
      <c r="E95" t="s">
        <v>211</v>
      </c>
      <c r="F95" t="s">
        <v>26</v>
      </c>
      <c r="G95" t="s">
        <v>195</v>
      </c>
      <c r="H95" t="s">
        <v>11</v>
      </c>
      <c r="I95" t="s">
        <v>7</v>
      </c>
      <c r="J95" t="s">
        <v>41</v>
      </c>
      <c r="K95" t="s">
        <v>84</v>
      </c>
      <c r="L95" t="s">
        <v>44</v>
      </c>
      <c r="M95">
        <v>3</v>
      </c>
    </row>
    <row r="96" spans="1:13" x14ac:dyDescent="0.25">
      <c r="A96" s="2">
        <v>46175</v>
      </c>
      <c r="B96" s="1" t="str">
        <f ca="1">IF(Información1[[#This Row],[Fecha]]='Ajuste de fechas'!$A$2,"Día actual","Día anterior")</f>
        <v>Día actual</v>
      </c>
      <c r="C96" t="s">
        <v>82</v>
      </c>
      <c r="D96" t="s">
        <v>83</v>
      </c>
      <c r="E96" t="s">
        <v>212</v>
      </c>
      <c r="F96" t="s">
        <v>62</v>
      </c>
      <c r="G96" t="s">
        <v>145</v>
      </c>
      <c r="H96" t="s">
        <v>11</v>
      </c>
      <c r="I96" t="s">
        <v>7</v>
      </c>
      <c r="J96" t="s">
        <v>41</v>
      </c>
      <c r="K96" t="s">
        <v>84</v>
      </c>
      <c r="L96" t="s">
        <v>44</v>
      </c>
      <c r="M96">
        <v>1</v>
      </c>
    </row>
    <row r="97" spans="1:13" x14ac:dyDescent="0.25">
      <c r="A97" s="2">
        <v>46175</v>
      </c>
      <c r="B97" s="1" t="str">
        <f ca="1">IF(Información1[[#This Row],[Fecha]]='Ajuste de fechas'!$A$2,"Día actual","Día anterior")</f>
        <v>Día actual</v>
      </c>
      <c r="C97" t="s">
        <v>82</v>
      </c>
      <c r="D97" t="s">
        <v>83</v>
      </c>
      <c r="E97" t="s">
        <v>213</v>
      </c>
      <c r="F97" t="s">
        <v>33</v>
      </c>
      <c r="G97" t="s">
        <v>214</v>
      </c>
      <c r="H97" t="s">
        <v>11</v>
      </c>
      <c r="I97" t="s">
        <v>7</v>
      </c>
      <c r="J97" t="s">
        <v>41</v>
      </c>
      <c r="K97" t="s">
        <v>84</v>
      </c>
      <c r="L97" t="s">
        <v>44</v>
      </c>
      <c r="M97">
        <v>3</v>
      </c>
    </row>
    <row r="98" spans="1:13" x14ac:dyDescent="0.25">
      <c r="A98" s="2">
        <v>46175</v>
      </c>
      <c r="B98" s="1" t="str">
        <f ca="1">IF(Información1[[#This Row],[Fecha]]='Ajuste de fechas'!$A$2,"Día actual","Día anterior")</f>
        <v>Día actual</v>
      </c>
      <c r="C98" t="s">
        <v>82</v>
      </c>
      <c r="D98" t="s">
        <v>83</v>
      </c>
      <c r="E98" t="s">
        <v>215</v>
      </c>
      <c r="F98" t="s">
        <v>19</v>
      </c>
      <c r="G98" t="s">
        <v>216</v>
      </c>
      <c r="H98" t="s">
        <v>11</v>
      </c>
      <c r="I98" t="s">
        <v>7</v>
      </c>
      <c r="J98" t="s">
        <v>45</v>
      </c>
      <c r="K98" t="s">
        <v>84</v>
      </c>
      <c r="L98" t="s">
        <v>42</v>
      </c>
      <c r="M98">
        <v>3</v>
      </c>
    </row>
    <row r="99" spans="1:13" x14ac:dyDescent="0.25">
      <c r="A99" s="2">
        <v>46175</v>
      </c>
      <c r="B99" s="1" t="str">
        <f ca="1">IF(Información1[[#This Row],[Fecha]]='Ajuste de fechas'!$A$2,"Día actual","Día anterior")</f>
        <v>Día actual</v>
      </c>
      <c r="C99" t="s">
        <v>82</v>
      </c>
      <c r="D99" t="s">
        <v>83</v>
      </c>
      <c r="E99" t="s">
        <v>217</v>
      </c>
      <c r="F99" t="s">
        <v>91</v>
      </c>
      <c r="G99" t="s">
        <v>218</v>
      </c>
      <c r="H99" t="s">
        <v>11</v>
      </c>
      <c r="I99" t="s">
        <v>7</v>
      </c>
      <c r="J99" t="s">
        <v>41</v>
      </c>
      <c r="K99" t="s">
        <v>84</v>
      </c>
      <c r="L99" t="s">
        <v>42</v>
      </c>
      <c r="M99">
        <v>3</v>
      </c>
    </row>
    <row r="100" spans="1:13" x14ac:dyDescent="0.25">
      <c r="A100" s="2">
        <v>46175</v>
      </c>
      <c r="B100" s="1" t="str">
        <f ca="1">IF(Información1[[#This Row],[Fecha]]='Ajuste de fechas'!$A$2,"Día actual","Día anterior")</f>
        <v>Día actual</v>
      </c>
      <c r="C100" t="s">
        <v>82</v>
      </c>
      <c r="D100" t="s">
        <v>83</v>
      </c>
      <c r="E100" t="s">
        <v>146</v>
      </c>
      <c r="F100" t="s">
        <v>17</v>
      </c>
      <c r="G100" t="s">
        <v>147</v>
      </c>
      <c r="H100" t="s">
        <v>11</v>
      </c>
      <c r="I100" t="s">
        <v>7</v>
      </c>
      <c r="J100" t="s">
        <v>41</v>
      </c>
      <c r="K100" t="s">
        <v>84</v>
      </c>
      <c r="L100" t="s">
        <v>44</v>
      </c>
      <c r="M100">
        <v>3</v>
      </c>
    </row>
    <row r="101" spans="1:13" x14ac:dyDescent="0.25">
      <c r="A101" s="2">
        <v>46175</v>
      </c>
      <c r="B101" s="1" t="str">
        <f ca="1">IF(Información1[[#This Row],[Fecha]]='Ajuste de fechas'!$A$2,"Día actual","Día anterior")</f>
        <v>Día actual</v>
      </c>
      <c r="C101" t="s">
        <v>82</v>
      </c>
      <c r="D101" t="s">
        <v>83</v>
      </c>
      <c r="E101" t="s">
        <v>219</v>
      </c>
      <c r="F101" t="s">
        <v>90</v>
      </c>
      <c r="G101" t="s">
        <v>77</v>
      </c>
      <c r="H101" t="s">
        <v>11</v>
      </c>
      <c r="I101" t="s">
        <v>7</v>
      </c>
      <c r="J101" t="s">
        <v>41</v>
      </c>
      <c r="K101" t="s">
        <v>84</v>
      </c>
      <c r="L101" t="s">
        <v>42</v>
      </c>
      <c r="M101">
        <v>3</v>
      </c>
    </row>
    <row r="102" spans="1:13" x14ac:dyDescent="0.25">
      <c r="A102" s="2">
        <v>46175</v>
      </c>
      <c r="B102" s="1" t="str">
        <f ca="1">IF(Información1[[#This Row],[Fecha]]='Ajuste de fechas'!$A$2,"Día actual","Día anterior")</f>
        <v>Día actual</v>
      </c>
      <c r="C102" t="s">
        <v>82</v>
      </c>
      <c r="D102" t="s">
        <v>83</v>
      </c>
      <c r="E102" t="s">
        <v>220</v>
      </c>
      <c r="F102" t="s">
        <v>19</v>
      </c>
      <c r="G102" t="s">
        <v>221</v>
      </c>
      <c r="H102" t="s">
        <v>11</v>
      </c>
      <c r="I102" t="s">
        <v>25</v>
      </c>
      <c r="J102" t="s">
        <v>45</v>
      </c>
      <c r="K102" t="s">
        <v>84</v>
      </c>
      <c r="L102" t="s">
        <v>42</v>
      </c>
      <c r="M102">
        <v>3</v>
      </c>
    </row>
    <row r="103" spans="1:13" x14ac:dyDescent="0.25">
      <c r="A103" s="2">
        <v>46175</v>
      </c>
      <c r="B103" s="1" t="str">
        <f ca="1">IF(Información1[[#This Row],[Fecha]]='Ajuste de fechas'!$A$2,"Día actual","Día anterior")</f>
        <v>Día actual</v>
      </c>
      <c r="C103" t="s">
        <v>82</v>
      </c>
      <c r="D103" t="s">
        <v>83</v>
      </c>
      <c r="E103" t="s">
        <v>222</v>
      </c>
      <c r="F103" t="s">
        <v>22</v>
      </c>
      <c r="G103" t="s">
        <v>223</v>
      </c>
      <c r="H103" t="s">
        <v>11</v>
      </c>
      <c r="I103" t="s">
        <v>25</v>
      </c>
      <c r="J103" t="s">
        <v>46</v>
      </c>
      <c r="K103" t="s">
        <v>84</v>
      </c>
      <c r="L103" t="s">
        <v>43</v>
      </c>
      <c r="M103">
        <v>3</v>
      </c>
    </row>
    <row r="104" spans="1:13" x14ac:dyDescent="0.25">
      <c r="A104" s="2">
        <v>46175</v>
      </c>
      <c r="B104" s="1" t="str">
        <f ca="1">IF(Información1[[#This Row],[Fecha]]='Ajuste de fechas'!$A$2,"Día actual","Día anterior")</f>
        <v>Día actual</v>
      </c>
      <c r="C104" t="s">
        <v>82</v>
      </c>
      <c r="D104" t="s">
        <v>83</v>
      </c>
      <c r="E104" t="s">
        <v>224</v>
      </c>
      <c r="F104" t="s">
        <v>22</v>
      </c>
      <c r="G104" t="s">
        <v>223</v>
      </c>
      <c r="H104" t="s">
        <v>11</v>
      </c>
      <c r="I104" t="s">
        <v>7</v>
      </c>
      <c r="J104" t="s">
        <v>46</v>
      </c>
      <c r="K104" t="s">
        <v>84</v>
      </c>
      <c r="L104" t="s">
        <v>42</v>
      </c>
      <c r="M104">
        <v>3</v>
      </c>
    </row>
    <row r="105" spans="1:13" x14ac:dyDescent="0.25">
      <c r="A105" s="2">
        <v>46175</v>
      </c>
      <c r="B105" s="1" t="str">
        <f ca="1">IF(Información1[[#This Row],[Fecha]]='Ajuste de fechas'!$A$2,"Día actual","Día anterior")</f>
        <v>Día actual</v>
      </c>
      <c r="C105" t="s">
        <v>82</v>
      </c>
      <c r="D105" t="s">
        <v>83</v>
      </c>
      <c r="E105" t="s">
        <v>85</v>
      </c>
      <c r="F105" t="s">
        <v>19</v>
      </c>
      <c r="G105" t="s">
        <v>74</v>
      </c>
      <c r="H105" t="s">
        <v>11</v>
      </c>
      <c r="I105" t="s">
        <v>7</v>
      </c>
      <c r="J105" t="s">
        <v>45</v>
      </c>
      <c r="K105" t="s">
        <v>84</v>
      </c>
      <c r="L105" t="s">
        <v>42</v>
      </c>
      <c r="M105">
        <v>3</v>
      </c>
    </row>
    <row r="106" spans="1:13" x14ac:dyDescent="0.25">
      <c r="A106" s="2">
        <v>46175</v>
      </c>
      <c r="B106" s="1" t="str">
        <f ca="1">IF(Información1[[#This Row],[Fecha]]='Ajuste de fechas'!$A$2,"Día actual","Día anterior")</f>
        <v>Día actual</v>
      </c>
      <c r="C106" t="s">
        <v>82</v>
      </c>
      <c r="D106" t="s">
        <v>83</v>
      </c>
      <c r="E106" t="s">
        <v>225</v>
      </c>
      <c r="F106" t="s">
        <v>68</v>
      </c>
      <c r="G106" t="s">
        <v>226</v>
      </c>
      <c r="H106" t="s">
        <v>11</v>
      </c>
      <c r="I106" t="s">
        <v>7</v>
      </c>
      <c r="J106" t="s">
        <v>41</v>
      </c>
      <c r="K106" t="s">
        <v>84</v>
      </c>
      <c r="L106" t="s">
        <v>42</v>
      </c>
      <c r="M106">
        <v>3</v>
      </c>
    </row>
    <row r="107" spans="1:13" x14ac:dyDescent="0.25">
      <c r="A107" s="2">
        <v>46175</v>
      </c>
      <c r="B107" s="1" t="str">
        <f ca="1">IF(Información1[[#This Row],[Fecha]]='Ajuste de fechas'!$A$2,"Día actual","Día anterior")</f>
        <v>Día actual</v>
      </c>
      <c r="C107" t="s">
        <v>82</v>
      </c>
      <c r="D107" t="s">
        <v>83</v>
      </c>
      <c r="E107" t="s">
        <v>227</v>
      </c>
      <c r="F107" t="s">
        <v>62</v>
      </c>
      <c r="G107" t="s">
        <v>71</v>
      </c>
      <c r="H107" t="s">
        <v>11</v>
      </c>
      <c r="I107" t="s">
        <v>7</v>
      </c>
      <c r="J107" t="s">
        <v>41</v>
      </c>
      <c r="K107" t="s">
        <v>84</v>
      </c>
      <c r="L107" t="s">
        <v>42</v>
      </c>
      <c r="M107">
        <v>3</v>
      </c>
    </row>
    <row r="108" spans="1:13" x14ac:dyDescent="0.25">
      <c r="A108" s="2">
        <v>46175</v>
      </c>
      <c r="B108" s="1" t="str">
        <f ca="1">IF(Información1[[#This Row],[Fecha]]='Ajuste de fechas'!$A$2,"Día actual","Día anterior")</f>
        <v>Día actual</v>
      </c>
      <c r="C108" t="s">
        <v>82</v>
      </c>
      <c r="D108" t="s">
        <v>83</v>
      </c>
      <c r="E108" t="s">
        <v>228</v>
      </c>
      <c r="F108" t="s">
        <v>22</v>
      </c>
      <c r="G108" t="s">
        <v>229</v>
      </c>
      <c r="H108" t="s">
        <v>11</v>
      </c>
      <c r="I108" t="s">
        <v>25</v>
      </c>
      <c r="J108" t="s">
        <v>46</v>
      </c>
      <c r="K108" t="s">
        <v>84</v>
      </c>
      <c r="L108" t="s">
        <v>42</v>
      </c>
      <c r="M108">
        <v>3</v>
      </c>
    </row>
    <row r="109" spans="1:13" x14ac:dyDescent="0.25">
      <c r="A109" s="2">
        <v>46175</v>
      </c>
      <c r="B109" s="1" t="str">
        <f ca="1">IF(Información1[[#This Row],[Fecha]]='Ajuste de fechas'!$A$2,"Día actual","Día anterior")</f>
        <v>Día actual</v>
      </c>
      <c r="C109" t="s">
        <v>82</v>
      </c>
      <c r="D109" t="s">
        <v>83</v>
      </c>
      <c r="E109" t="s">
        <v>230</v>
      </c>
      <c r="F109" t="s">
        <v>21</v>
      </c>
      <c r="G109" t="s">
        <v>120</v>
      </c>
      <c r="H109" t="s">
        <v>11</v>
      </c>
      <c r="I109" t="s">
        <v>25</v>
      </c>
      <c r="J109" t="s">
        <v>41</v>
      </c>
      <c r="K109" t="s">
        <v>84</v>
      </c>
      <c r="L109" t="s">
        <v>42</v>
      </c>
      <c r="M109">
        <v>3</v>
      </c>
    </row>
    <row r="110" spans="1:13" x14ac:dyDescent="0.25">
      <c r="A110" s="2">
        <v>46175</v>
      </c>
      <c r="B110" s="1" t="str">
        <f ca="1">IF(Información1[[#This Row],[Fecha]]='Ajuste de fechas'!$A$2,"Día actual","Día anterior")</f>
        <v>Día actual</v>
      </c>
      <c r="C110" t="s">
        <v>31</v>
      </c>
      <c r="D110" t="s">
        <v>32</v>
      </c>
      <c r="E110" t="s">
        <v>231</v>
      </c>
      <c r="F110" t="s">
        <v>19</v>
      </c>
      <c r="H110" t="s">
        <v>75</v>
      </c>
      <c r="I110" t="s">
        <v>25</v>
      </c>
      <c r="J110" t="s">
        <v>45</v>
      </c>
      <c r="K110" t="s">
        <v>27</v>
      </c>
      <c r="L110" t="s">
        <v>42</v>
      </c>
      <c r="M110">
        <v>3</v>
      </c>
    </row>
    <row r="111" spans="1:13" x14ac:dyDescent="0.25">
      <c r="A111" s="2">
        <v>46175</v>
      </c>
      <c r="B111" s="1" t="str">
        <f ca="1">IF(Información1[[#This Row],[Fecha]]='Ajuste de fechas'!$A$2,"Día actual","Día anterior")</f>
        <v>Día actual</v>
      </c>
      <c r="C111" t="s">
        <v>31</v>
      </c>
      <c r="D111" t="s">
        <v>32</v>
      </c>
      <c r="E111" t="s">
        <v>232</v>
      </c>
      <c r="F111" t="s">
        <v>17</v>
      </c>
      <c r="G111" t="s">
        <v>77</v>
      </c>
      <c r="H111" t="s">
        <v>75</v>
      </c>
      <c r="I111" t="s">
        <v>25</v>
      </c>
      <c r="J111" t="s">
        <v>41</v>
      </c>
      <c r="K111" t="s">
        <v>9</v>
      </c>
      <c r="L111" t="s">
        <v>43</v>
      </c>
      <c r="M111">
        <v>3</v>
      </c>
    </row>
    <row r="112" spans="1:13" x14ac:dyDescent="0.25">
      <c r="A112" s="2">
        <v>46175</v>
      </c>
      <c r="B112" s="1" t="str">
        <f ca="1">IF(Información1[[#This Row],[Fecha]]='Ajuste de fechas'!$A$2,"Día actual","Día anterior")</f>
        <v>Día actual</v>
      </c>
      <c r="C112" t="s">
        <v>31</v>
      </c>
      <c r="D112" t="s">
        <v>32</v>
      </c>
      <c r="E112" t="s">
        <v>233</v>
      </c>
      <c r="F112" t="s">
        <v>15</v>
      </c>
      <c r="G112" t="s">
        <v>193</v>
      </c>
      <c r="H112" t="s">
        <v>75</v>
      </c>
      <c r="I112" t="s">
        <v>25</v>
      </c>
      <c r="J112" t="s">
        <v>41</v>
      </c>
      <c r="K112" t="s">
        <v>9</v>
      </c>
      <c r="L112" t="s">
        <v>43</v>
      </c>
      <c r="M112">
        <v>3</v>
      </c>
    </row>
    <row r="113" spans="1:13" x14ac:dyDescent="0.25">
      <c r="A113" s="2">
        <v>46175</v>
      </c>
      <c r="B113" s="1" t="str">
        <f ca="1">IF(Información1[[#This Row],[Fecha]]='Ajuste de fechas'!$A$2,"Día actual","Día anterior")</f>
        <v>Día actual</v>
      </c>
      <c r="C113" t="s">
        <v>31</v>
      </c>
      <c r="D113" t="s">
        <v>32</v>
      </c>
      <c r="E113" t="s">
        <v>194</v>
      </c>
      <c r="F113" t="s">
        <v>26</v>
      </c>
      <c r="G113" t="s">
        <v>195</v>
      </c>
      <c r="H113" t="s">
        <v>75</v>
      </c>
      <c r="I113" t="s">
        <v>7</v>
      </c>
      <c r="J113" t="s">
        <v>41</v>
      </c>
      <c r="K113" t="s">
        <v>27</v>
      </c>
      <c r="L113" t="s">
        <v>42</v>
      </c>
      <c r="M113">
        <v>3</v>
      </c>
    </row>
    <row r="114" spans="1:13" x14ac:dyDescent="0.25">
      <c r="A114" s="2">
        <v>46175</v>
      </c>
      <c r="B114" s="1" t="str">
        <f ca="1">IF(Información1[[#This Row],[Fecha]]='Ajuste de fechas'!$A$2,"Día actual","Día anterior")</f>
        <v>Día actual</v>
      </c>
      <c r="C114" t="s">
        <v>82</v>
      </c>
      <c r="D114" t="s">
        <v>83</v>
      </c>
      <c r="E114" t="s">
        <v>234</v>
      </c>
      <c r="F114" t="s">
        <v>59</v>
      </c>
      <c r="G114" t="s">
        <v>56</v>
      </c>
      <c r="H114" t="s">
        <v>11</v>
      </c>
      <c r="I114" t="s">
        <v>25</v>
      </c>
      <c r="J114" t="s">
        <v>41</v>
      </c>
      <c r="K114" t="s">
        <v>52</v>
      </c>
      <c r="L114" t="s">
        <v>235</v>
      </c>
      <c r="M114">
        <v>1</v>
      </c>
    </row>
    <row r="115" spans="1:13" x14ac:dyDescent="0.25">
      <c r="A115" s="2">
        <v>46175</v>
      </c>
      <c r="B115" s="1" t="str">
        <f ca="1">IF(Información1[[#This Row],[Fecha]]='Ajuste de fechas'!$A$2,"Día actual","Día anterior")</f>
        <v>Día actual</v>
      </c>
      <c r="C115" t="s">
        <v>82</v>
      </c>
      <c r="D115" t="s">
        <v>83</v>
      </c>
      <c r="E115" t="s">
        <v>236</v>
      </c>
      <c r="F115" t="s">
        <v>17</v>
      </c>
      <c r="G115" t="s">
        <v>147</v>
      </c>
      <c r="H115" t="s">
        <v>11</v>
      </c>
      <c r="I115" t="s">
        <v>25</v>
      </c>
      <c r="J115" t="s">
        <v>41</v>
      </c>
      <c r="K115" t="s">
        <v>237</v>
      </c>
      <c r="L115" t="s">
        <v>42</v>
      </c>
      <c r="M115">
        <v>1</v>
      </c>
    </row>
    <row r="116" spans="1:13" x14ac:dyDescent="0.25">
      <c r="A116" s="2">
        <v>46174</v>
      </c>
      <c r="B116" s="1" t="str">
        <f ca="1">IF(Información1[[#This Row],[Fecha]]='Ajuste de fechas'!$A$2,"Día actual","Día anterior")</f>
        <v>Día anterior</v>
      </c>
      <c r="C116" t="s">
        <v>238</v>
      </c>
      <c r="D116" t="s">
        <v>239</v>
      </c>
      <c r="E116" t="s">
        <v>212</v>
      </c>
      <c r="F116" t="s">
        <v>23</v>
      </c>
      <c r="G116" t="s">
        <v>145</v>
      </c>
      <c r="H116" t="s">
        <v>75</v>
      </c>
      <c r="I116" t="s">
        <v>7</v>
      </c>
      <c r="J116" t="s">
        <v>41</v>
      </c>
      <c r="K116" t="s">
        <v>237</v>
      </c>
      <c r="L116" t="s">
        <v>44</v>
      </c>
      <c r="M116">
        <v>2</v>
      </c>
    </row>
    <row r="117" spans="1:13" x14ac:dyDescent="0.25">
      <c r="A117" s="2">
        <v>46174</v>
      </c>
      <c r="B117" s="1" t="str">
        <f ca="1">IF(Información1[[#This Row],[Fecha]]='Ajuste de fechas'!$A$2,"Día actual","Día anterior")</f>
        <v>Día anterior</v>
      </c>
      <c r="C117" t="s">
        <v>238</v>
      </c>
      <c r="D117" t="s">
        <v>239</v>
      </c>
      <c r="E117" t="s">
        <v>100</v>
      </c>
      <c r="F117" t="s">
        <v>19</v>
      </c>
      <c r="G117" t="s">
        <v>74</v>
      </c>
      <c r="H117" t="s">
        <v>75</v>
      </c>
      <c r="I117" t="s">
        <v>7</v>
      </c>
      <c r="J117" t="s">
        <v>45</v>
      </c>
      <c r="K117" t="s">
        <v>52</v>
      </c>
      <c r="L117" t="s">
        <v>42</v>
      </c>
      <c r="M117">
        <v>2</v>
      </c>
    </row>
    <row r="118" spans="1:13" x14ac:dyDescent="0.25">
      <c r="A118" s="2">
        <v>46174</v>
      </c>
      <c r="B118" s="1" t="str">
        <f ca="1">IF(Información1[[#This Row],[Fecha]]='Ajuste de fechas'!$A$2,"Día actual","Día anterior")</f>
        <v>Día anterior</v>
      </c>
      <c r="C118" t="s">
        <v>238</v>
      </c>
      <c r="D118" t="s">
        <v>239</v>
      </c>
      <c r="E118" t="s">
        <v>240</v>
      </c>
      <c r="F118" t="s">
        <v>26</v>
      </c>
      <c r="G118" t="s">
        <v>77</v>
      </c>
      <c r="H118" t="s">
        <v>75</v>
      </c>
      <c r="I118" t="s">
        <v>7</v>
      </c>
      <c r="J118" t="s">
        <v>41</v>
      </c>
      <c r="K118" t="s">
        <v>52</v>
      </c>
      <c r="L118" t="s">
        <v>42</v>
      </c>
      <c r="M118">
        <v>2</v>
      </c>
    </row>
    <row r="119" spans="1:13" x14ac:dyDescent="0.25">
      <c r="A119" s="2">
        <v>46174</v>
      </c>
      <c r="B119" s="1" t="str">
        <f ca="1">IF(Información1[[#This Row],[Fecha]]='Ajuste de fechas'!$A$2,"Día actual","Día anterior")</f>
        <v>Día anterior</v>
      </c>
      <c r="C119" t="s">
        <v>238</v>
      </c>
      <c r="D119" t="s">
        <v>239</v>
      </c>
      <c r="E119" t="s">
        <v>241</v>
      </c>
      <c r="F119" t="s">
        <v>90</v>
      </c>
      <c r="G119" t="s">
        <v>77</v>
      </c>
      <c r="H119" t="s">
        <v>75</v>
      </c>
      <c r="I119" t="s">
        <v>7</v>
      </c>
      <c r="J119" t="s">
        <v>41</v>
      </c>
      <c r="K119" t="s">
        <v>52</v>
      </c>
      <c r="L119" t="s">
        <v>42</v>
      </c>
      <c r="M119">
        <v>2</v>
      </c>
    </row>
    <row r="120" spans="1:13" x14ac:dyDescent="0.25">
      <c r="A120" s="2">
        <v>46174</v>
      </c>
      <c r="B120" s="1" t="str">
        <f ca="1">IF(Información1[[#This Row],[Fecha]]='Ajuste de fechas'!$A$2,"Día actual","Día anterior")</f>
        <v>Día anterior</v>
      </c>
      <c r="C120" t="s">
        <v>238</v>
      </c>
      <c r="D120" t="s">
        <v>239</v>
      </c>
      <c r="E120" t="s">
        <v>242</v>
      </c>
      <c r="F120" t="s">
        <v>90</v>
      </c>
      <c r="G120" t="s">
        <v>77</v>
      </c>
      <c r="H120" t="s">
        <v>75</v>
      </c>
      <c r="I120" t="s">
        <v>7</v>
      </c>
      <c r="J120" t="s">
        <v>41</v>
      </c>
      <c r="K120" t="s">
        <v>52</v>
      </c>
      <c r="L120" t="s">
        <v>42</v>
      </c>
      <c r="M120">
        <v>2</v>
      </c>
    </row>
    <row r="121" spans="1:13" x14ac:dyDescent="0.25">
      <c r="A121" s="2">
        <v>46174</v>
      </c>
      <c r="B121" s="1" t="str">
        <f ca="1">IF(Información1[[#This Row],[Fecha]]='Ajuste de fechas'!$A$2,"Día actual","Día anterior")</f>
        <v>Día anterior</v>
      </c>
      <c r="C121" t="s">
        <v>238</v>
      </c>
      <c r="D121" t="s">
        <v>239</v>
      </c>
      <c r="E121" t="s">
        <v>243</v>
      </c>
      <c r="F121" t="s">
        <v>26</v>
      </c>
      <c r="G121" t="s">
        <v>168</v>
      </c>
      <c r="H121" t="s">
        <v>75</v>
      </c>
      <c r="I121" t="s">
        <v>7</v>
      </c>
      <c r="J121" t="s">
        <v>41</v>
      </c>
      <c r="K121" t="s">
        <v>52</v>
      </c>
      <c r="L121" t="s">
        <v>42</v>
      </c>
      <c r="M121">
        <v>2</v>
      </c>
    </row>
    <row r="122" spans="1:13" x14ac:dyDescent="0.25">
      <c r="A122" s="2">
        <v>46174</v>
      </c>
      <c r="B122" s="1" t="str">
        <f ca="1">IF(Información1[[#This Row],[Fecha]]='Ajuste de fechas'!$A$2,"Día actual","Día anterior")</f>
        <v>Día anterior</v>
      </c>
      <c r="C122" t="s">
        <v>238</v>
      </c>
      <c r="D122" t="s">
        <v>239</v>
      </c>
      <c r="E122" t="s">
        <v>244</v>
      </c>
      <c r="F122" t="s">
        <v>26</v>
      </c>
      <c r="G122" t="s">
        <v>168</v>
      </c>
      <c r="H122" t="s">
        <v>75</v>
      </c>
      <c r="I122" t="s">
        <v>7</v>
      </c>
      <c r="J122" t="s">
        <v>41</v>
      </c>
      <c r="K122" t="s">
        <v>52</v>
      </c>
      <c r="L122" t="s">
        <v>42</v>
      </c>
      <c r="M122">
        <v>2</v>
      </c>
    </row>
    <row r="123" spans="1:13" x14ac:dyDescent="0.25">
      <c r="A123" s="2">
        <v>46175</v>
      </c>
      <c r="B123" s="1" t="str">
        <f ca="1">IF(Información1[[#This Row],[Fecha]]='Ajuste de fechas'!$A$2,"Día actual","Día anterior")</f>
        <v>Día actual</v>
      </c>
      <c r="C123" t="s">
        <v>82</v>
      </c>
      <c r="D123" t="s">
        <v>83</v>
      </c>
      <c r="E123" t="s">
        <v>209</v>
      </c>
      <c r="F123" t="s">
        <v>51</v>
      </c>
      <c r="G123" t="s">
        <v>66</v>
      </c>
      <c r="H123" t="s">
        <v>11</v>
      </c>
      <c r="I123" t="s">
        <v>7</v>
      </c>
      <c r="J123" t="s">
        <v>41</v>
      </c>
      <c r="K123" t="s">
        <v>84</v>
      </c>
      <c r="L123" t="s">
        <v>42</v>
      </c>
      <c r="M123">
        <v>2</v>
      </c>
    </row>
    <row r="124" spans="1:13" x14ac:dyDescent="0.25">
      <c r="A124" s="2">
        <v>46175</v>
      </c>
      <c r="B124" s="1" t="str">
        <f ca="1">IF(Información1[[#This Row],[Fecha]]='Ajuste de fechas'!$A$2,"Día actual","Día anterior")</f>
        <v>Día actual</v>
      </c>
      <c r="C124" t="s">
        <v>82</v>
      </c>
      <c r="D124" t="s">
        <v>83</v>
      </c>
      <c r="E124" t="s">
        <v>212</v>
      </c>
      <c r="F124" t="s">
        <v>23</v>
      </c>
      <c r="G124" t="s">
        <v>145</v>
      </c>
      <c r="H124" t="s">
        <v>11</v>
      </c>
      <c r="I124" t="s">
        <v>7</v>
      </c>
      <c r="J124" t="s">
        <v>41</v>
      </c>
      <c r="K124" t="s">
        <v>84</v>
      </c>
      <c r="L124" t="s">
        <v>44</v>
      </c>
      <c r="M124">
        <v>2</v>
      </c>
    </row>
    <row r="125" spans="1:13" x14ac:dyDescent="0.25">
      <c r="A125" s="2">
        <v>46175</v>
      </c>
      <c r="B125" s="1" t="str">
        <f ca="1">IF(Información1[[#This Row],[Fecha]]='Ajuste de fechas'!$A$2,"Día actual","Día anterior")</f>
        <v>Día actual</v>
      </c>
      <c r="C125" t="s">
        <v>238</v>
      </c>
      <c r="D125" t="s">
        <v>239</v>
      </c>
      <c r="E125" t="s">
        <v>234</v>
      </c>
      <c r="F125" t="s">
        <v>59</v>
      </c>
      <c r="G125" t="s">
        <v>56</v>
      </c>
      <c r="H125" t="s">
        <v>75</v>
      </c>
      <c r="I125" t="s">
        <v>7</v>
      </c>
      <c r="J125" t="s">
        <v>41</v>
      </c>
      <c r="K125" t="s">
        <v>52</v>
      </c>
      <c r="L125" t="s">
        <v>235</v>
      </c>
      <c r="M125">
        <v>1</v>
      </c>
    </row>
    <row r="126" spans="1:13" x14ac:dyDescent="0.25">
      <c r="A126" s="2">
        <v>46175</v>
      </c>
      <c r="B126" s="1" t="str">
        <f ca="1">IF(Información1[[#This Row],[Fecha]]='Ajuste de fechas'!$A$2,"Día actual","Día anterior")</f>
        <v>Día actual</v>
      </c>
      <c r="C126" t="s">
        <v>238</v>
      </c>
      <c r="D126" t="s">
        <v>239</v>
      </c>
      <c r="E126" t="s">
        <v>236</v>
      </c>
      <c r="F126" t="s">
        <v>17</v>
      </c>
      <c r="G126" t="s">
        <v>147</v>
      </c>
      <c r="H126" t="s">
        <v>75</v>
      </c>
      <c r="I126" t="s">
        <v>25</v>
      </c>
      <c r="J126" t="s">
        <v>41</v>
      </c>
      <c r="K126" t="s">
        <v>237</v>
      </c>
      <c r="L126" t="s">
        <v>42</v>
      </c>
      <c r="M12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48</v>
      </c>
      <c r="B1" t="s">
        <v>49</v>
      </c>
    </row>
    <row r="2" spans="1:2" x14ac:dyDescent="0.25">
      <c r="A2" s="2">
        <f ca="1">TODAY()</f>
        <v>46175</v>
      </c>
      <c r="B2" s="2">
        <f ca="1">A2-1</f>
        <v>46174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2026-06-02T23:53:45Z</dcterms:modified>
</cp:coreProperties>
</file>