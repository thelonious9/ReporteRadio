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93A99C6F-9F8C-4F47-A2C9-6A61023EE9A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95" i="2"/>
  <c r="B98" i="2"/>
  <c r="B150" i="2"/>
  <c r="B153" i="2"/>
  <c r="B156" i="2"/>
  <c r="B161" i="2"/>
  <c r="B162" i="2"/>
  <c r="B166" i="2"/>
  <c r="B171" i="2"/>
  <c r="B174" i="2"/>
  <c r="B177" i="2"/>
  <c r="B180" i="2"/>
  <c r="B183" i="2"/>
  <c r="B186" i="2"/>
  <c r="B189" i="2"/>
  <c r="B192" i="2"/>
  <c r="B195"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6" i="2"/>
  <c r="B97" i="2"/>
  <c r="B149" i="2"/>
  <c r="B152" i="2"/>
  <c r="B155" i="2"/>
  <c r="B158" i="2"/>
  <c r="B160" i="2"/>
  <c r="B164" i="2"/>
  <c r="B165" i="2"/>
  <c r="B167" i="2"/>
  <c r="B169" i="2"/>
  <c r="B172" i="2"/>
  <c r="B176" i="2"/>
  <c r="B178" i="2"/>
  <c r="B181" i="2"/>
  <c r="B184" i="2"/>
  <c r="B187" i="2"/>
  <c r="B190" i="2"/>
  <c r="B194"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51" i="2"/>
  <c r="B154" i="2"/>
  <c r="B157" i="2"/>
  <c r="B159" i="2"/>
  <c r="B163" i="2"/>
  <c r="B168" i="2"/>
  <c r="B170" i="2"/>
  <c r="B173" i="2"/>
  <c r="B175" i="2"/>
  <c r="B179" i="2"/>
  <c r="B182" i="2"/>
  <c r="B185" i="2"/>
  <c r="B188" i="2"/>
  <c r="B191" i="2"/>
  <c r="B19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<sst xmlns="http://schemas.openxmlformats.org/spreadsheetml/2006/main" count="1955" uniqueCount="336">
  <si>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</si>
  <si>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</si>
  <si>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</si>
  <si>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</si>
  <si>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</si>
  <si>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</si>
  <si>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</si>
  <si>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</si>
  <si>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</si>
  <si>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</si>
  <si>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</si>
  <si>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</si>
  <si>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</si>
  <si>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</si>
  <si>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</si>
  <si>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</si>
  <si>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</si>
  <si>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</si>
  <si>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</si>
  <si>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</si>
  <si>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</si>
  <si>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</si>
  <si>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</si>
  <si>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</si>
  <si>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</si>
  <si>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</si>
  <si>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</si>
  <si>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</si>
  <si>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</si>
  <si>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</si>
  <si>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</si>
  <si>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</si>
  <si>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</si>
  <si>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</si>
  <si>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</si>
  <si>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</si>
  <si>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</si>
  <si>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</si>
  <si>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</si>
  <si>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</si>
  <si>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</si>
  <si>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</si>
  <si>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</si>
  <si>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</si>
  <si>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</si>
  <si>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</si>
  <si>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</si>
  <si>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</si>
  <si>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</si>
  <si>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</si>
  <si>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</si>
  <si>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</si>
  <si>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</si>
  <si>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</si>
  <si>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</si>
  <si>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</si>
  <si>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</si>
  <si>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</si>
  <si>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</si>
  <si>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Radiodifusoras</t>
  </si>
  <si>
    <t>La Poderosa Tuxpan 93.1 FM</t>
  </si>
  <si>
    <t>Combate a la delincuencia</t>
  </si>
  <si>
    <t>NN Nuestras Noticias Zona Norte</t>
  </si>
  <si>
    <t>Liz Argüelles</t>
  </si>
  <si>
    <t>Aumento Tarifa De Transporte</t>
  </si>
  <si>
    <t>Control lirio acuático</t>
  </si>
  <si>
    <t>Abasto De Agua</t>
  </si>
  <si>
    <t>PGJEH</t>
  </si>
  <si>
    <t>Semarnath</t>
  </si>
  <si>
    <t>Queja transporte público</t>
  </si>
  <si>
    <t>Congreso</t>
  </si>
  <si>
    <t>Cebaderos</t>
  </si>
  <si>
    <t>Día de la madre</t>
  </si>
  <si>
    <t>Modificación ciclo escolar</t>
  </si>
  <si>
    <t>Amenazas</t>
  </si>
  <si>
    <t>Atracción De Inversiones</t>
  </si>
  <si>
    <t>Combate Al Huachicol</t>
  </si>
  <si>
    <t>SSH</t>
  </si>
  <si>
    <t>Radio Lobo 96.7 FM</t>
  </si>
  <si>
    <t>Enlace Noticias</t>
  </si>
  <si>
    <t>Gina Lorenzo</t>
  </si>
  <si>
    <t>El presidente municipal de Pachuca, Jorge Alberto Reyes Hernández, informó que los daños ocasionados al cercado de malla ciclónica del nuevo mercado municipal serán reparados por la empresa encargada de la obra, mientras que el costo será cubierto por los comerciantes involucrados. En entrevista con medios de comunicación, el alcalde pachuqueño recordó que la Secretaría de Obras Públicas municipal presentó una denuncia debido a que se trata de una obra realizada con recursos municipales y que aún no ha sido entregada formalmente al ayuntamiento, por lo que debe mantenerse en óptimas condiciones al ser susceptible de auditorías. Reyes explicó que, tras dialogar con los comerciantes, se alcanzó un acuerdo para realizar las reparaciones sin contratiempos. Indicó que los trabajos comenzaron este jueves.</t>
  </si>
  <si>
    <t>Ambulantaje</t>
  </si>
  <si>
    <t>Firma De Convenio</t>
  </si>
  <si>
    <t>Homicidios</t>
  </si>
  <si>
    <t>Ataque Armado</t>
  </si>
  <si>
    <t>Contraloría</t>
  </si>
  <si>
    <t>Plan Nacional De Vivienda</t>
  </si>
  <si>
    <t>Vía telefónica el reporte de Bombero y Protección Civil con Abner Yáñez informa de las diversas emergencias reportadas por la ciudadanía y que fueron atendidas.</t>
  </si>
  <si>
    <t>Declaración patrimonial</t>
  </si>
  <si>
    <t>Hidalgo fortalece atención materna con enfoque humano e intercultural</t>
  </si>
  <si>
    <t>Salud materna</t>
  </si>
  <si>
    <t>Andrés Torres sobre la orden de aprehensión a mandos municipales de Tezontepec de Aldama, opina que es una acierto por parte de las autoridades y del Gobierno del Estado de Hidalgo dar un paso de este tamaño, porque si hay sospecha de que algún mando coordinado está comprometido lo mejor es quitarlo e investigar para prevenir. Desde eta perspectiva es un tema que genera polémica y expectativa y pone entre dicho a los cuerpos de seguridad, pero al final es una acción directa y concreta para combatir la delincuencia. Ante señalamientos mejor mover e investigar. Es n acierto y con esto la población de Tezontepec de Aldama debe tener la certeza de que las autoridades están atendiendo la situación.</t>
  </si>
  <si>
    <t>Detención de policía</t>
  </si>
  <si>
    <t>Radioescucha: en la parada de taxis de San Antonio cobran precios de 70 a 100 por ciento del precio anterior, pongan taxímetros.</t>
  </si>
  <si>
    <t>Abusos taxistas</t>
  </si>
  <si>
    <t>En sus redes el gobernador Julio Mechca comenta: ¡Gracias a todas y todos los productores del Altiplano que nos acompañaron en las #RutasDeLaTransformación para la entrega de apoyos al campo! Recibir atención, apoyos y servicios directamente en las comunidades hace más fácil que las familias puedan acceder a ellos. Durante las #RutasDeLaTransformación, muchas familias se acercaron a los Servicios para el Pueblo a recibir atención y resolver dudas.</t>
  </si>
  <si>
    <t>Ruta de la Transformación</t>
  </si>
  <si>
    <t>En Metztitlán los habitantes se manifestaron en la instalaciones de la CFE para protestar por los cortes de energía eléctrica que afectan las actividades de las familias y negocios en eta temporada de calor.</t>
  </si>
  <si>
    <t>Suministro eléctrico</t>
  </si>
  <si>
    <t>Hay cortes en la circulación el el bulevar Felipe Ángeles a la altura del estadio Hidalgo, esto por trabajos de bacheo y colocación de coladeras.</t>
  </si>
  <si>
    <t>Bacheo</t>
  </si>
  <si>
    <t>Milton Cortés sobre el audio del alcalde Pachuca, Jorge Reyes dijo que el alcalde ya ha dicho que no es un audio actual, que es del inicio del administración y que la difusión de su trabajo es importante para que la población esté informada. Sin embargo ha generado polémica.</t>
  </si>
  <si>
    <t>Milton Cortés</t>
  </si>
  <si>
    <t>Esta mañana, el Gabinete de Seguridad del estado, dio cumplimiento a tres órdenes de aprehensión contra el Director de Seguridad Pública municipal, el Subdirector de Seguridad Pública municipal y un ex policía municipal de Tezontepec de Aldama (...)</t>
  </si>
  <si>
    <t>Ana Parra, Presidenta de la CDHEH, participó como ponente en el Conversatorio “Ciberactivismo, prevención y atención de la Violencia Política contra las Mujeres en Razón de Género”.</t>
  </si>
  <si>
    <t>CDHEH</t>
  </si>
  <si>
    <t>Ponencia</t>
  </si>
  <si>
    <t>Andrés Torres respecto al audio que se filtró del alcalde de Pachuca, Jorge Reyes dice que no sabe si el alcalde ya confirmó si este audio donde se pide a los empleados dar like a las publicaciones del ayuntamiento. alguien le preguntó al alcalde de esto y dijo que no es un tema personal, sino de comunicación interna. Hay una enorme polémica y si hay un exceso por parte del alcalde a decir que si no le dan like pueden ser despedidos es un tema muy grave, porque es como cuando un director general te dice mientas te señala con el "dedito" y le pega a la mesa que eso es acosos laboral y está tipificado; por lo que yo no creo que un funcionario que sabe medianamente lo que está haciendo pueda caer en esos excesos. Habrá que preguntarle al alcalde s este audio es real y si es verdad que los empleados están en riesgo de perder su empleo por no darle like y en todo caso, se les tendían que dar internet y herramientas para hacer estas labores. Todo esto es una estridencia de redes, un "escandalito" que se va a difuminar y perder en unas horas y dependerá cómo lo maneje el área de comunición.</t>
  </si>
  <si>
    <t>El Congreso del Estado Libre y Soberano de Hidalgo entregó la distinción “La Mina del Tiempo” al árbitro mexicano César Arturo Ramos Palazuelos, la cual se otorga a personalidades de relevancia nacional e internacional, como un homenaje a la huella que dejan en la vida política, económica, social y deportiva del país. El presidente de la Junta de Gobierno, diputado Andrés Velázquez Vázquez destacó que César Ramos no solo ha dirigido partidos, “ha sido arquitecto de la justicia en cada cancha, guardián de la equidad en cada decisión y embajador de los valores que el arbitraje mexicano ha consolidado a través del tiempo. Su presencia en mundiales, en finales de torneos internacionales y las ligas más competitivas del planeta es resultado de su trabajo meticuloso, estudio constante y vocación inquebrantable”.</t>
  </si>
  <si>
    <t>Todo el respaldo del gobierno del estado a cebaderos del Altiplano</t>
  </si>
  <si>
    <t>La Semarnath realiza trituración del lirio acuático en la presa Endhó como parte de las acciones del control del mosco Culex. Trabajan de manera coordinada protección Civil y los ayuntamiento aledaños a la presa.</t>
  </si>
  <si>
    <t>Lirio Acuático</t>
  </si>
  <si>
    <t>En un acto solemne lleno de respeto, memoria y profundo sentido humano, el secretario general de la Sección 15 del SNTE, Mtro. Said Vargas Sáenz, encabezó las Guardias de Honor con motivo del Día del Maestro, destacando la importancia de honrar a quienes dedicaron su vida a la educación y al servicio del pueblo hidalguense. Las actividades iniciaron en el Panteón Municipal de Pachuca, en el Monumento al Maestro, donde autoridades educativas, sindicales y agremiados rindieron homenaje a las y los docentes que dejaron una huella imborrable en generaciones de estudiantes. Posteriormente, las guardias continuaron en el Monumento a Benito Juárez, en Plaza Juárez, con la presencia del titular del Instituto Hidalguense de Educación, Dr. Natividad Castrejón Valdez, quien acompañó este significativo acto de reconocimiento al magisterio. Finalmente, la jornada conmemorativa culminó en la Sección 15 del SNTE, considerada la casa de las y los maestros de Hidalgo. En representación del secretario de Educación en la entidad acudió la Lic. Maricarmen Mandujano Cerrilla, subsecretaria de Administración y Finanzas de la SEPH, reafirmando la unidad entre autoridades educativas y el sindicato.</t>
  </si>
  <si>
    <t>Andrés Torres informa que siguen sin señal del 1010 AM de El Vocero Huasteco. Aseguró que es una cuestión de presupuesto, voluntad y talento para abastecer las plantas de luz con diesel y que espera que quienes tengan que resolver lo hagan. Hoy un mes sin la estación más importante del estado, dijo.</t>
  </si>
  <si>
    <t>La presidenta Tania Valdez Cuéllar encabeza la Sexta Sesión del Comité de Planeación para el Desarrollo Municipal (COPLADEM) de TepejiDelRío, en la que participan delegados auxiliares, comisariados, funcionarios municipales y la población en general, para definir las obras que se realizarán en las diversas localidades durante este 2026.</t>
  </si>
  <si>
    <t>COPLADEM</t>
  </si>
  <si>
    <t>Día del maestro</t>
  </si>
  <si>
    <t>Daniel Martínez en respuesta a un radioescucha que opina que las mismas autoridades del Transporte generan confusión con el nuevo tarifario, comenta que es cierto y que faltó un tiempo de socialización adecuado para poder a conocer el aumento de las tarifas. "Es una merequetengue en el cual hay confusiones creadas tanto por los transportistas como por la autoridades al no establecer en qué manera se lleva a cabo el cobro nuevo".</t>
  </si>
  <si>
    <t>Radioescucha: el aumento de tarifa en el transporte se publicó hace una semana y por lo tanto entró en vigor en es fecha, es una cuestión de sentido común que a estas alturas todos los operadores puedan aplicar el aumento. Por otro lado, esta confusión la crea el mismo gobierno al condicionar el cobro a un trámite administrativo, es decir, la obtención de la hoja del tarifario, cuando lo ideal habría sido establecer una fecha para la aplicación del aumento haciendo obligatoria la publicación del mismo tanto en las unidades como en las bases y así hacerlo del conocimiento público.</t>
  </si>
  <si>
    <t>SSPH asegura a seis huachicoleros cuando excavaban un túnel para robar combustible</t>
  </si>
  <si>
    <t>El cuerpo sin vida de una persona, el cual presentaba huellas de violencia, fue localizado en una zona de cultivo dentro de la localidad de San Buenaventura dentro del municipio de Tepeji del Río. El hallazgo fue realizado durante la tarde del lunes 11 de mayo por personas que circulaban por una milpa, cuando vieron a una persona tirada, aparentemente inconsciente, por lo cual realizaron reporte a la corporación de seguridad pública. Elementos policiacos que acudieron al sitio confirmaron el hallazgo; paramédicos que también acudieron a atender el reporte confirmaron que el cuerpo ya no contaba con signos vitales, además de que presentaba varios golpes, sobre todo en la cabeza. Personal de la Procuraduría General de Justicia del Estado de Hidalgo ha iniciado la investigación respectiva al caso.</t>
  </si>
  <si>
    <t>Más de 250 cámaras de videovigilancia serán instaladas en distintos puntos de la capital hidalguense, principalmente en colonias con mayor incidencia delictiva. “Son más de 250 cámaras que se van a instalar”, indicó Jorge Reyes, presidente municipal de Pachuca, quien explicó que estarán distribuidas en sitios donde actualmente no existe cobertura de vigilancia, así como en puntos considerados prioritarios, entre ellos Barrios Altos y sectores del sur, oriente y poniente de la capital. La infraestructura de videovigilancia que recibió el ayuntamiento en 2024 presentaba rezagos, pues aseguró que en las últimas tres administraciones municipales únicamente fueron adquiridas 40 cámaras de videovigilancia y al inicio de su gestión solo encontraron una cámara funcionando. Sin embargo, aseguró que en el municipio se registró una disminución de 10 puntos porcentuales en percepción de inseguridad durante el primer trimestre del año de acuerdo a los resultados de la Encuesta Nacional de Seguridad Pública Urbana.</t>
  </si>
  <si>
    <t>Percepción de inseguridad</t>
  </si>
  <si>
    <t>Fue inaugurado en Ixmiquilpan el Centro de Comando y Control (C2), proyecto con el que el gobierno municipal busca fortalecer la seguridad pública y mejorar la capacidad de respuesta ante incidentes en la zona urbana. En una primera etapa fueron instalados 18 postes con un total de 72 cámaras de videovigilancia, las cuales estarán destinadas al monitoreo de puntos estratégicos del municipio. El alcalde Emanuel Hernández Pascual señaló que este proyecto representa el inicio de una estrategia integral en materia de seguridad pública. Indicó que la administración municipal continuará invirtiendo en tecnología, inteligencia y fortalecimiento operativo para consolidar a la corporación policial.</t>
  </si>
  <si>
    <t>Videovigilancia</t>
  </si>
  <si>
    <t>Luego de que se detectara una nueva descarga de químicos en el dren del río Papalote, ubicado entre las colonias Nuevo Tizayuca, Geovillas, Unidad Habitacional y Lázaro Cárdenas, vecinos señalaron que esta no es la única problemática ambiental que afecta a la zona. Habitantes de los conjuntos habitacionales indicaron que las descargas de sustancias químicas en el río Papalote llevan más de 20 años, desde la instalación del Parque Industrial de Tizayuca. Aseguraron que, de manera constante, empresas asentadas en el lugar realizan descargas a través del drenaje que desemboca en dicho afluente. Asimismo, denunciaron que otro de los focos de contaminación proviene de una empresa textil, ubicada en la comunidad de Huitzila y, presuntamente, genera contaminación ambiental mediante emisiones de humo a través de sus chimeneas. Los habitantes describieron el olor como insoportable y persistente. “Un restaurante que se ubicaba frente a la fábrica tuvo que cerrar, debido a que muchas veces en el día el humo tapa la visibilidad y el olor es muy penetrante; es imposible estar oliendo todo el día a químicos”, expresó una de las vecinas. Los habitantes señalaron que la problemática ambiental en ambos puntos ha rebasado a las autoridades municipales, ya que, afirmaron, únicamente se limitan a clausurar temporalmente las empresas. Posteriormente, indicaron, las fábricas pagan las multas correspondientes y vuelven a operar con normalidad.</t>
  </si>
  <si>
    <t>Contaminación de río</t>
  </si>
  <si>
    <t>El IMSS Bienestar en Hidalgo informó sobre la exitosa intervención quirúrgica realizada a un bebé de tres meses de edad para retirar un tumor congénito en el Hospital General de Alta Especialidad de Pachuca, unidad que brinda atención especializada a personas sin seguridad social. La cirugía estuvo encabezada por el neurocirujano pediatra José Jonathan Franco Téllez, en coordinación con un equipo multidisciplinario especializado. De acuerdo con el reporte médico, el menor presenta una evolución favorable tras el procedimiento. El especialista explicó que la detección temprana fue clave para ofrecer un tratamiento adecuado y mejorar las expectativas de recuperación del paciente, debido a que los tumores del sistema nervioso representan una de las principales causas de cáncer infantil, solo por debajo de las leucemias.</t>
  </si>
  <si>
    <t>IMSS Bienestar</t>
  </si>
  <si>
    <t>En cabina concurso el director de Educación del municipio de Tulancingo, Juan Refugio Santillán, informa que el ayuntamiento organizó el Concurso de Oratoria para elegir al Ayuntamiento Infantil y Juvenil por un día. El certamen promueve la libre expresión en estudiantes de primaria a nivel superior, abordando temas de relevancia y se emitió la convocatoria para un concurso de oratoria, dirigido a alumnos de 4°, 5° y 6° grado de primarias públicas y particulares, sistemas CONAFE; secundarias y telesecundarias, así como escuelas de nivel medio superior y superior, para elegir, presidente o presidenta y ayuntamiento honorario por un día.</t>
  </si>
  <si>
    <t>Concurso De Oratoria</t>
  </si>
  <si>
    <t>Reconocen a docentes del subsistema tecnológico por impulsar nuevo modelo educativo</t>
  </si>
  <si>
    <t>Entrega de reconocimientos</t>
  </si>
  <si>
    <t>Debido a que la biomasa del lirio acuático que se desarrolla en la presa Endhó se duplica cada 16 días, aún está pendiente el retiro de la planta en una extensión de 500 hectáreas de dicho cuerpo de agua. Lo anterior fue informado por la Secretaría de Medio Ambiente y Recursos Naturales en Hidalgo (Semarnath), con base a datos de investigadores de la Universidad Autónoma Metropolitana, Unidad Azcapotzalco. La titular de la dependencia estatal, Mónica Mixtega Trejo, dio a conocer las labores para continuar con el retiro de lirio de la presa. Señaló que desde el mes de octubre de 2024, fecha en que se autorizó el ingreso de la maquinaria trituradora, el embalse registraba una superficie aproximada de 980 hectáreas infestadas de lirio acuático. Hasta el momento, se han intervenido más de 650 hectáreas, principalmente en el vaso de la presa y en la zona sur del embalse, a la altura de la comunidad de Santa Ana Ahuehuepan. La funcionaria estatal señaló que las labores de limpieza se realizan de lunes a viernes, entre las 6:30 de la mañana y las 6:30 de la tarde. Resaltó que desde el inicio de las acciones se cuenta con el apoyo de Petróleos Mexicanos (Pemex) mediante el suministro de combustible para la operación de la maquinaria. Para fortalecer estas acciones, la Semarnath contempla para el ejercicio 2026 la adquisición de una máquina trituradora de lirio acuático, una retenida de acero de 200 metros lineales y seis motores fuera de borda, equipo que permitirá incrementar la capacidad operativa en los trabajos de control de malezas acuáticas. La proliferación de lirio acuático ha provocado una plaga de mosco cúlex, afectando tanto a los vecinos de la ribera de la presa, así como a sus ganados y animales de compañía. Problemas de salud tanto en humanos como en ganado y animales de compañía, es lo que principalmente ha sido reportado, incluso con el registro de protestas y manifestaciones para que se realicen acciones que permitan el control adecuado de la plaga, iniciando por el retiro del lirio existente en la presa.</t>
  </si>
  <si>
    <t>Los beneficiarios de los Programas del Bienestar son responsables directos del manejo de sus tarjetas bancarias y el uso que se les dé a estas para el manejo de los recursos económicos que se les depositan. La aclaración fue realizada por Abraham Mendoza Zenteno, delegado en el Estado de Hidalgo de dichos programas, ante quejas, incluso denuncias de presunta defraudación hacia los beneficiarios. Los señalamientos han sido por parte de beneficiarios sobre todo de los programas de Pensión para el Bienestar, así como para personas con alguna discapacidad permanente, en el sentido de que sus apoyos económicos son mal manejados o se los quedan total o parcialmente la persona a quien se le confió la tarjeta bancaria. El funcionario dijo que la persona a quien se le entregue la tarjeta junto con la información para disponer de los recursos económicos, debe ser de total confianza. Reconoció que en la instancia a su cargo sí han recibido denuncias al respecto del mal manejo o retención de los recursos, lamentando que estas situaciones se presenten.</t>
  </si>
  <si>
    <t>Delegación</t>
  </si>
  <si>
    <t>Programas Del Bienestar</t>
  </si>
  <si>
    <t>Daniel Martínez respecto al nuevo tarifario del transporte público colectivo, comenta que sabe de casos donde los concesionarios les están dando una especie de "crédito a los choferes" en tanto pueden hacer el cobro de la la nueva tarifa y que también se está dando el caso de que le están poniendo tarifarios hechos con puño y letra y sacando copias a los tarifarios, cuando lo ha dicho Lizbeth Robles cada tarifario corresponde al número de unidad y registro.</t>
  </si>
  <si>
    <t>Milton Cortés sobre el audio del alcalde Pachuca, Jorge Reyes dijo que el alcalde ya ha dicho que no es un audio actual, que es del inicio de la administración y que la difusión de su trabajo es importante para que la población esté informada. Sin embargo, ha generado polémica.</t>
  </si>
  <si>
    <t>TV Cable hidalguense Canal 6</t>
  </si>
  <si>
    <t>Contigo Noticias</t>
  </si>
  <si>
    <t>Turismo</t>
  </si>
  <si>
    <t>Juan Carlos Santamaria</t>
  </si>
  <si>
    <t>Rehabilitación de espacios públicos</t>
  </si>
  <si>
    <t>Radioescucha menciona que ya tiene reporte para gestionar pipa de agua y hasta el momento sin respuesta con el número de reporte 64140 a nombre de Jenoveva Morales.</t>
  </si>
  <si>
    <t>Radioescucha pide apoyo para que le manden una pipa, por falta de agua, ya se tiene número de reporte 2523257. Pero no mandan nada</t>
  </si>
  <si>
    <t>Radioescucha informa que ayer se comunicaron los de Caasim, con ella para dar seguimiento al reporte de abasto de agua y le informaron que llevarían ayer por la tarde pipas, pero hasta el momento no llegan. Esto en la Plutarco Elías Calles.</t>
  </si>
  <si>
    <t>Radioescucha manda audio y pide que Caasim cheque qué pasa por el canal que pasa por atrás de Santa Julia por la Federal 2, ya que es un olor insoportable.</t>
  </si>
  <si>
    <t>Radioescucha reporta que en Paseo Chavarria, en Rinconadas de la Joya, nos quitan el agua en las noches y la mandan en la mañana solo poco tiempo y esta aparte está muy sucia</t>
  </si>
  <si>
    <t>Radioescucha reporta falta de agua en colonia La Palma en San Antonio el Desmonte</t>
  </si>
  <si>
    <t>Radioescucha reporta falta de agua en Zona Plateada</t>
  </si>
  <si>
    <t>Esta mañana de miércoles con un llamado al diálogo y a evitar bloqueos carreteros, autoridades estatales y representantes del sector maderero de la Huasteca firmaron un acuerdo de intención para fortalecer la coordinación y la gobernabilidad en la región.El encuentro se realizó en la subsecretaría de gobierno en la Huasteca donde participaron 23 representantes de los oficios de carpintería, producción de carbón y procesamiento de madera, gremio que agrupa a más de 500 integrantes. El subsecretario de gobierno Ignacio Primitivo Nava Navarrete destacó que el objetivo es construir soluciones mediante el diálogo entre autoridades y ciudadanía tal como lo ha impulsado el gobernador Julio Menchaca Salazar.</t>
  </si>
  <si>
    <t>Acuerdo de intención</t>
  </si>
  <si>
    <t>Carpinteros y productores de carbón firman acuerdo con Segobh</t>
  </si>
  <si>
    <t>La difusión de un audio del alcalde de Pachuca, Jorge Reyes, en el que presuntamente se hace referencia a la presión ejercida sobre trabajadores municipales para generar interacción en redes sociales. El Edil aseguró que la prioridad de su administración es fortalecer la comunicación institucional y mantener informada a la ciudadanía.</t>
  </si>
  <si>
    <t>La mañana de este miércoles se registró una agresión armada en la colonia San Antonio El Desmonte, donde un hombre perdió la vida tras ser atacado mientras permanecía al interior de un vehículo.De acuerdo con información preliminar, los hechos ocurrieron sobre la calle Colegio Militar, donde la víctima se encontraba a bordo de un automóvil Nissan color azul cuando fue interceptada presuntamente por sujetos que viajaban en motocicleta.</t>
  </si>
  <si>
    <t>Eulalio Larrieta agradece a Edith Balderas de la Secretaria de Educación Pública</t>
  </si>
  <si>
    <t>Junto con el titular de la Comisión Estatal para el Desarrollo Sostenible de los Pueblos Indígenas, Prisco Manuel Gutiérrez, se entregaron bicicletas a niñas y niños como parte del programa Bicicletón Indígena, con el objetivo de facilitar su traslado a las escuelas y apoyar la permanencia escolar en comunidades originarias.</t>
  </si>
  <si>
    <t>Bicicletón indígena</t>
  </si>
  <si>
    <t>En Hidalgo, la Secretaría de Seguridad Pública Estatal asistió a un golpe al robo de hidrocarburos en el municipio de Epazoyucan tras la detención de dos hombres y el aseguramiento de más de cuatro mil setecientos litros de combustible presuntamente ilícito. El proactivo se realizó durante recorridos de vigilancia en caminos de la región, donde agentes localizaron cinco vehículos abandonados, cargados con garrafones de distintas capacidades, sobre un camino de terracería hacia la comunidad de El Mercillero. Durante la intervención, los oficiales detectaron a dos sujetos que intentaron escapar, sin embargo, fueron alcanzados sobre la carretera Pachuca - Tulancingo.</t>
  </si>
  <si>
    <t>Autoridades realizan campañas de esterilización a perros y gatos para evitar la sobrepoblación de fauna doméstica. La información con mi compañera, Claudia Alcántara. Gracias, buenos días. Con el propósito de fortalecer el bienestar animal y prevenir la sobrepoblación de fauna doméstica, autoridades de salud mantienen activas las campañas de esterilización gratuita en perros, gatos, en municipios como Tepeji del Río. Las jornadas buscan fomentar la tenencia responsable de mascotas y reducir riesgos sanitarios asociados al abandono de animales en vía pública. Durante estas campañas personal veterinario, realiza cirugías de esterilización de manera segura y brinda orientación a las familias sobre el cuidado de perros y gatos. Las autoridades hacen un llamado a la población para aprovechar estos servicios.</t>
  </si>
  <si>
    <t>Control animal</t>
  </si>
  <si>
    <t>También se desarrolló la Sexta Sesión Ordinaria del Coplademh Municipal, donde se revisaron avances y proyectos para el desarrollo de Tepeji del Río. Además, se entregaron cámaras de videovigilancia a 10 comunidades del municipio, como parte de las acciones para fortalecer la seguridad y brindar mayor tranquilidad a las familias de la región. AUDIO DE APOYO</t>
  </si>
  <si>
    <t>Durante la jornada, autoridades estatales, municipales, y representantes de la cooperativa La Cruz Azul, realizaron trabajos de rehabilitación en la carretera Tula-Tepeji, a la altura de Amanalli, donde se intervino el camello central, y cerca de 800 metros de guarniciones para mejorar la imagen urbana, y la seguridad vial. Armando Vargas Álvarez, gerente de la planta de cementos Cruz y Hidalgo.</t>
  </si>
  <si>
    <t>Cruz Azul</t>
  </si>
  <si>
    <t>Los recorridos permanentes de vigilancia que realiza la Secretaría de Seguridad Pública de Pachuca dieron resultado una vez más, luego de que elementos municipales lograran la rápida detención de un sujeto señalado por presunto allanamiento de morada en la colonia Santa Julia.Los hechos ocurrieron sobre Ferrocarril Central, donde policías municipales realizaban patrullajes preventivos cuando fueron interceptados por el conductor de un vehículo, quien solicitó apoyo inmediato al señalar a un hombre que corría sobre la zona tras presuntamente haber cometido un allanamiento.Gracias a la pronta reacción de los oficiales lograron darle alcance al individuo sobre la banqueta, donde se concretó la detención de A.S.M., quien fue trasladado al área de retención y posteriormente puesto a disposición de la Agencia del Ministerio Público del Fuero Común de la PGJEH para el procedimiento correspondiente.</t>
  </si>
  <si>
    <t>Detención</t>
  </si>
  <si>
    <t>Gabinete de Seguridad ejecuta orden de aprehensión a mandos municipales de Tezontepec de Aldama</t>
  </si>
  <si>
    <t>Gabinete de Seguridad</t>
  </si>
  <si>
    <t>El Gabinete de Seguridad de Hidalgo ejecutó tres órdenes de aprehensión contra el director de Seguridad Pública Municipal, el subdirector de la corporación y un expolicía municipal, señalados presuntamente por vínculos con grupos delictivos que operan en la región. De acuerdo con la Secretaría de Seguridad Pública de Hidalgo y la Procuraduría General de Justicia del Estado, las detenciones derivan de denuncias ciudadanas y trabajos de inteligencia que permitieron integrar una carpeta de investigación sobre la probable relación de los implicados con actividades ilícitas.Como parte del operativo, autoridades realizaron tres cateos, uno de ellos en Panuaya, donde localizaron diversos indicios que serán incorporados a las investigaciones correspondientes. El Gabinete de Seguridad Estatal aseguró que las acciones forman parte de la estrategia para combatir la infiltración del crimen en corporaciones municipales y fortalecer la seguridad en la región. Tras la detención del director y subdirector de Seguridad Pública de Tezontepec de Aldama, así como de un expolicía municipal, la alcaldesa Ana María Rivera aseguró que el ayuntamiento colaborará plenamente con las investigaciones y advirtió que no habrá encubrimiento ante posibles actos fuera de la ley</t>
  </si>
  <si>
    <t>En este momento leo la opinión del señor Fernando Santiago de Tezontepec de Aldama, quien pregunta, ¿Qué tenía que hacer la alcaldesa en la oficina de su partido político en hora de atención a sus gobernados para hacer una conferencia de prensa? Debió hacerlo frente a su pueblo y no en oficina de un partido político. Esto es lo que nos comenta en los teléfonos que usted ya conoce a través de Superestereo y por supuesto a través de Enfoque Regional, el señor Fernando Santiago de Tezontepec de Aldama. Continuamos con la información.</t>
  </si>
  <si>
    <t>El director de seguridad pública de Tezontepec de Aldama, así como el subdirector de la corporación y un ex-elemento policiaco, fueron presentados ante un juez de control e imputados por delitos contra la salud en la modalidad de narcomenudeo en su conducta de suministro</t>
  </si>
  <si>
    <t>Tras las detenciones de funcionarios , la presidenta municipal de Tezontepec Ana María Rivera Contreras, señaló que durante el tiempo en que le director de seguridad publica del ayuntamiento, estuvo frente a la corporación, no observó conductas distintas o situaciones que generaran sospechas, AUDIO APOYO</t>
  </si>
  <si>
    <t>El diputado local Azael Hernández, exalcalde del municipio manifestó que el Partido Acción Nacional no va a respaldar a funcionarios que mantengan vínculos con actividades ilícitas, AUDIO APOYO</t>
  </si>
  <si>
    <t>Agentes de la Procuraduría General de Justicia del estado (PGJEH), de la Secretaría de Seguridad Pública de Hidalgo (SSPH) y de la Defensa Nacional (Sedena) ejecutaron una orden de aprehensión contra nueve elementos de la Policía Municipal de Progreso de Obregón.Se trata de ocho hombres y una mujer identificados con las iniciales A. M. D., D. B. M., M. A. R. H., A. F. C., A. P. M., S. P. S., A. S. A., L. E. A. T. y O. F. Z. R., quienes son investigados por los delitos de homicidio doloso calificado y lesiones.Las personas detenidas en la colonia Centro de dicho municipio fueron puestas a disposición del Ministerio Público (MP), que solicitará fecha y hora para el desarrollo de la audiencia inicial, en la que se les formulará imputación y se solicitará su vinculación a proceso.</t>
  </si>
  <si>
    <t>Reconocen a docentes del subsistema tecnológico por impulsar nuevo modelo educativo, AUDIO APOYO</t>
  </si>
  <si>
    <t>La Ex Hacienda El Zoquital ya alista la cuarta edición del Festival del Cordero y el Mezcal, uno de los eventos gastronómicos más importantes de Hidalgo que se realizará el próximo 16 de mayo en el municipio de Atotonilco, El Grande. Tras el éxito de años anteriores, el festival espera reunir a más de mil asistentes y consolidarse como un referente del turismo gastronómico y cultural en la entidad, con la participación de productores, cocineros y amantes de la cocina tradicional y los destiladores artesanales.Durante esta edición las y los visitantes podrán disfrutar de distintas preparaciones de cordero acompañados de mezcal y otros destilados. Los organizadores destacaron que este encuentro busca impulsar la riqueza culinaria de Hidalgo, fortalecer la promoción turística de la región y generar una mayor vinculación entre productores locales y visitantes de distintas partes del país. AUDIO DE APOYO</t>
  </si>
  <si>
    <t>Festival Gastronómico</t>
  </si>
  <si>
    <t>El gobierno de Hidalgo reforzó acciones de desarrollo y bienestar en Tepeji del Río, donde el titular de la Unidad de Planeación y Prospectiva, Miguel Ángel Tello Vargas, encabezó una gira de trabajo con labores de mejoramiento urbano, apoyos escolares, y fortalecimiento a la seguridad</t>
  </si>
  <si>
    <t>Imagen Urbana</t>
  </si>
  <si>
    <t>Favorece UPLAPH bienestar de las familias en Tepeji del Río</t>
  </si>
  <si>
    <t>Favorece UPLAPH bienestar de las familias en Tepeji del Río, AUDIO APOYO</t>
  </si>
  <si>
    <t>El legislador Marco Antonio Mendoza Bustamante (PRI) presentó la iniciativa que modifica la Ley de Fomento para la Lectura y el Libro del Estado de Hidalgo, con el propósito de promover la lectura infantil y juvenil fuera del ámbito escolar, con énfasis en contenidos que promuevan la inclusión y el fortalecimiento de la identidad con base en valores, así como, el uso de bibliotecas públicas, librerías y espacios de lectura comunitarios para el desarrollo de la lectura como hábito social, no solo como obligación académica</t>
  </si>
  <si>
    <t>Iniciativa</t>
  </si>
  <si>
    <t>El diputado Avelino Tovar Iglesias (PVEM) detalló la iniciativa que reforma la Ley de Educación del Estado de Hidalgo, con la finalidad de incorporar el enfoque de protección, respeto y bienestar animal como parte de los principios, fines y criterios que orientan la educación impartida en la entidad, mediante el fortalecimiento de programas y acciones educativas dirigidas a fomentar una cultura de empatía, responsabilidad social, prevención del maltrato animal y convivencia armónica entre las personas, los animales y el entorno.</t>
  </si>
  <si>
    <t>En cabina Cristian Acosta y Ariatne López, alumnos de la Ingeniería en Industrias Alimentarias del ITSOEH, y la maestra Doc. Brenda Esmeralda Jiménez, con el tema : el segundo lugar nacional InnovaTecNM, creadores de salsa matcha adicionada con cáscara de granada.</t>
  </si>
  <si>
    <t>Investigación académica</t>
  </si>
  <si>
    <t>La presidenta Claudia Sheinbaum Pardo confirmó que el calendario escolar nacional de 185 días permanecerá sin cambios y concluirá el próximo 15 de julio, luego de que autoridades educativas federales y estatales acordaron mantener las fechas originalmente establecidas para el cierre del ciclo escolar 2025-2026. Esto, después de que el pasado viernes surgiera controversia por la propuesta de adelantar el fin de clases al 5 de junio.La presidenta indicó que finalmente se determinó dejar las fechas como estaban previstas originalmente, aunque se abrió la posibilidad para que algunos estados puedan solicitar ajustes excepcionales por cuestiones climáticas, principalmente ante las altas temperaturas, o por actividades relacionadas con la Copa Mundial de Futbol 2026.“Si algunas de las entidades, que normalmente hacen modificaciones por altas temperaturas o por el tema del Mundial, quisieran recorrer la salida, podrá existir esta oportunidad, pero solo como excepción”, señaló la titular del Ejecutivo Federal.</t>
  </si>
  <si>
    <t>El gobierno municipal de Tula de Allende continúa reforzando obras y servicios en comunidades del municipio con acciones enfocadas en pavimentación, alumbrado y apoyos para infraestructura social.En San Francisco Bojay Colonia fue entregada la pavimentación de la calle Avenida del Trabajo con una inversión superior a los 525 mil pesos. Además se distribuyeron 52 toneladas de cemento y 114 luminarias mientras que en Santa Ana Ahuehuepan se inauguró la pavimentación de la calle Valentín Gómez Farías, obra que superó los 526 mil pesos de inversión. También fueron entregadas cuatro toneladas de cemento para la construcción de un puente comunitario y 245 luminarias para reforzar la seguridad y los servicios públicos</t>
  </si>
  <si>
    <t>Obras De Infraestructura</t>
  </si>
  <si>
    <t>Más de 2.000 empresas constructoras que estaban inscritas en el padrón de proveedores del gobierno de Hidalgo, alrededor de 1.500, fueron dadas de baja por diversas irregularidades. Esto reveló el contralor Álvaro Bardales. Voy a citar unos datos. Cuando nosotros iniciamos esta administración, teníamos un padrón de 7.000 registros en el padrón de proveedores y contratistas. AUDIO DE APOYO</t>
  </si>
  <si>
    <t>Padrón de proveedores</t>
  </si>
  <si>
    <t>El gobierno de Hidalgo impulsa la protección de los derechos culturales de los pueblos originarios con la estrategia Hecho en Pueblos Indígenas, una marca gratuita que permitirá a artesanas y artesanos defender su iconografía, vender directamente sus productos y ampliar su presencia en mercados nacionales e internacionales.El Comisionado Estatal para el Desarrollo Sostenible de los Pueblos Indígenas, Prisco Manuel Gutiérrez, informó que esta iniciativa se desarrolla en coordinación con el Instituto Mexicano de la Propiedad Industrial, por instrucción del gobernador Julio Menchaca Salazar, con el objetivo de fortalecer la identidad y economía de las comunidades indígenas. Es garantía de calidad, es garantía de lo que está bien hecho con tiempo-vida en los pueblos indígenas.</t>
  </si>
  <si>
    <t>Pueblos Indígenas</t>
  </si>
  <si>
    <t>Radioescucha reporta a la directora de la Escuela Primaria Pública "Belisario Domínguez", la de Calle Allende; ya no tienen clases desde hoy hasta el próximo lunes. Su respuesta a la pregunta de por qué suspendían clases fue: “Ya saben, papitos, nos vamos de festejo, ahora les toca hacerse responsables estos días”. No es la primera vez que pasa algo similar, las formas importan mucho. La escuela se encuentra bajo niveles de educación muy críticos. Solicitamos el apoyo del psicólogo Natividad Castrejón y del supervisor de zona; por favor, apóyenos.</t>
  </si>
  <si>
    <t>Queja padres de familia</t>
  </si>
  <si>
    <t>Radioescucha reporta que el transporte se tarda en pasar para el Palmar y Piracantos.</t>
  </si>
  <si>
    <t>El presidente municipal de Mineral de la Reforma, Eduardo Medécigo Rubio, inauguró este lunes el nuevo parque del fraccionamiento Los Tuzos, una obra que requirió una inversión de 14 millones 113 mil 967.78 pesos y que beneficiará a más de 202 mil habitantes del municipio.Durante el acto inaugural, el alcalde estuvo acompañado por Samantha Esparza Hernández, presidenta del Patronato del DIF municipal, así como integrantes del cabildo y vecinos de la zona.La obra, registrada con el número MMR/2025/REFIS/01, contempla diversos espacios recreativos, deportivos y de convivencia familiar. Entre las acciones realizadas destacan una cancha de fútbol 7 con pasto sintético de mil 458 metros cuadrados, rehabilitación de cancha de usos múltiples, trotapista, andadores, área de juegos infantiles, ejercitadores, zona pet friendly, teatro al aire libre y módulos de convivencia.</t>
  </si>
  <si>
    <t>Con el respaldo de miles de productores del altiplano, el gobernador de Hidalgo, Julio Menchaca Salazar, encabezó las rutas de la transformación en APAN, donde entregó apoyos al campo, recorrió los servicios para el pueblo, y anunció nuevas obras de infraestructura para la región. Durante el evento, el mandatario destacó el compromiso de dignificar las actividades agrícolas, y entregó apoyos del programa para dignificar el campo Hidalguense a mil cuatrocientos ochenta y cinco productores de APAN, Almoloya, Emiliano Zapata, Tepeapulco, Tlanalapa, y Zempoala, con una inversión cercana a los siete millones de pesos. El secretario de Agricultura, Napoleón González Pérez, resaltó que Hidalgo mantiene liderazgo nacional en producción de cebada maltera, con más de ciento noventa y cinco mil toneladas anuales, y anunció una inversión adicional de cincuenta y siete millones de pesos para semillas de maíz, avena, y jitomate, en beneficio de más de ocho mil productores. En materia de infraestructura, Julio Menchaca informó que APAN ha recibido más de doscientos cuarenta y dos millones de pesos en veinte obras durante la actual administración, y adelantó nuevos proyectos para dos mil veintiséis, entre ellos obras hidráulicas, pavimentaciones, y rehabilitación carretera.Por su parte, el titular de SIPDUS Alejandro Sánchez García, aseguró que en Hidalgo ya se superan los veinticinco millones de pesos invertidos en infraestructura en los ochenta y cuatro municipios del estado. AUDIO DE APOYO</t>
  </si>
  <si>
    <t>Todo el respaldo del gobierno del estado a cebaderos del Altiplano, AUDIO APOYO</t>
  </si>
  <si>
    <t>La Comisión Nacional del Agua presentó el primer informe semanal del plan maestro de saneamiento y recuperación de la presa Endhó, un tema muy importante en esta región, donde reportó avances en fumigación, control sanitario y combate al mosco culex en comunidades ribereñas de Hidalgo. Del 1 al 9 de mayo, las brigadas intervinieron 200 hectáreas de la presa y otras 153 hectáreas en siete comunidades, beneficiando a más de 7 mil 800 habitantes y 2 mil 617 viviendas.Mayela Godínez Alarcón, gerente de Planificación Hídrica de la dependencia, aseguró que los reportes semanales buscan mantener transparencia y comunicación directa con las comunidades sobre las acciones y resultados del saneamiento de la presa Endhó. AUDIO DE APOYO Le comento que la Comisión Nacional del Agua inició monitoreos de calidad del agua en cinco puntos del río Rosas, en el municipio de Tula de Allende, para determinar posibles niveles de contaminación en este afluente conocido también como el río Chico de Tula. Los muestreos fueron realizados por la dirección local Hidalgo de Conagua, bajo los lineamientos de la norma mexicana especializada en el análisis de aguas residuales y sus características físicas y químicas.Las muestras serán estudiadas en el Laboratorio Nacional de Referencia de la Dependencia, considerando uno de los más equipados del país y con capacidad para certificar laboratorios acreditados ante la entidad mexicana de acreditación.</t>
  </si>
  <si>
    <t>Saneamiento río Tula</t>
  </si>
  <si>
    <t>La Fiscalía General de la República logró la vinculación a proceso de Jorge N., señalado por su probable participación en el delito de posesión ilícita de hidrocarburo. De acuerdo con las investigaciones, escuche bien, el imputado fue detenido en el municipio de Acaxochitlán por elementos de la policía municipal cuando conducía un tractocamión con doble autotanque que transportaba más de sesenta y tres mil litros de hidrocarburo.Las autoridades informaron que el conductor no pudo acreditar la legal y procedencia del combustible, por lo que fue puesto a disposición del Ministerio Público Federal, que integró la carpeta de investigación correspondiente. Durante la audiencia inicial, la jueza de control determinó vincular a proceso a Jorge N., y le impuso la medida cautelar de prisión preventiva oficiosa, mientras continúan las investigaciones.</t>
  </si>
  <si>
    <t>Vinculación A Proceso</t>
  </si>
  <si>
    <t>NQ 90.1 FM</t>
  </si>
  <si>
    <t>Enlace Hidalgo2</t>
  </si>
  <si>
    <t>Familiares solicitan el apoyo de la ciudadanía para compartir las fichas de búsqueda en favor de Izamara Castillo Acosta de 23 años de edad y de su pequeña hija de seis años de edad, quienes fueron vistas por última vez el pasado 3 de mayo en el municipio de Zempoala.</t>
  </si>
  <si>
    <t>Ficha De Búsqueda</t>
  </si>
  <si>
    <t>Irving Sánchez</t>
  </si>
  <si>
    <t>Referente al boletín donde se informa sobre la aprehensión de nueve policías municipales de Progreso de Obregón, locutor Irving Sánchez comentó, que las autoridades tendrían que revisar a fondo la situación, en muchas ocasiones los elementos de la policía municipal recurren en este tipo de acciones derivado a sus condiciones laborales o bajos sueldos.</t>
  </si>
  <si>
    <t>En operativo del Gabinete de Seguridad son aprehendidos nueve policías municipales de Progreso de Obregón</t>
  </si>
  <si>
    <t>Jesús Riveros</t>
  </si>
  <si>
    <t>El reporte de detonaciones de arma de fuego activó la movilización de cuerpos de seguridad durante la mañana de este miércoles, cerca de las 10:00 horas, en la colonia San Antonio el Desmonte, al sur de Pachuca. Al arribar a la calle Heroico Colegio Militar, a la altura de la privada Punta Diamante, los elementos policiacos ubicaron un vehículo Nissan Sentra, color azul metálico, con placas de Hidalgo, estacionado en un terreno baldío. La unidad presentaba un impacto visible en el vidrio trasero. En su interior fue localizado un hombre de aproximadamente 55 años de edad, quien ya no contaba con signos vitales y permanece en calidad de desconocido. La zona fue acordonada por las autoridades municipales y estatales para permitir el procesamiento de la escena y el levantamiento de indicios, mientras se iniciaron las investigaciones para esclarecer el ataque.</t>
  </si>
  <si>
    <t>Locutor Jesús Riveros informó que se realiza en Tulancingo la sesión de las mesas de dialógo de paz por parte del gobierno estatal, recordarán que en estos encuentros, algunas personas expresan situaciones donde requieen el apoyo de algunas instacias de gobierno, estas mesas, son encabezadas por el secretario de Gobierno, Guillermo Olivares Reyna.</t>
  </si>
  <si>
    <t>Jornada por la paz</t>
  </si>
  <si>
    <t>Ke Buena 106.7 FM</t>
  </si>
  <si>
    <t>Noticias 106.7</t>
  </si>
  <si>
    <t>El cuerpo de una mujer fue hallado la madrugada de este miércoles dentro de una construcción abandonada en la comunidad de Botenguedó en Ixmiquilpan. Vecinos alertaron a las autoridades alrededor de las 3:00 horas tras percatarse de la presencia de la persona inerte, cuya identidad permanece como desconocida. Elementos de seguridad y paramédicos confirmaron que la fémina ya no contaba con signos vitales; sin embargo, informaron de manera preliminar que el cuerpo no presentaba huellas visibles de violencia. Debido a esto, se espera que las investigaciones determinen si el deceso se debió a causas naturales o a algún factor externo. Tras el acordonamiento del área, personal correspondiente realizó el levantamiento del cuerpo e inició las diligencias para esclarecer cómo ocurrieron los hechos.</t>
  </si>
  <si>
    <t>Localización de cuerpo</t>
  </si>
  <si>
    <t>David Cárdenas</t>
  </si>
  <si>
    <t>El legislador Marco Antonio Mendoza Bustamante (PRI) presentó la iniciativa que modifica la Ley de Fomento para la Lectura y el Libro del Estado de Hidalgo, con el propósito de promover la lectura infantil y juvenil fuera del ámbito escolar, con énfasis en contenidos que promuevan la inclusión y el fortalecimiento de la identidad con base en valores, así como, el uso de bibliotecas públicas, librerías y espacios de lectura comunitarios para el desarrollo de la lectura como hábito social, no solo como obligación académica.</t>
  </si>
  <si>
    <t>La diputada Yarabi González Martínez (Morena) presentó la iniciativa que reforma la Ley de Derechos Lingüísticos del Estado de Hidalgo para promover la inclusión, preservación, difusión, uso cotidiano y práctica de las lenguas indígenas, a través del uso de las tecnologías de la información, comunicación y medios digitales, así como el uso de aplicaciones y plataformas.</t>
  </si>
  <si>
    <t>SSH fortalece certificación de Entornos Laborales Saludables.</t>
  </si>
  <si>
    <t>Entorno Laboral Saludable</t>
  </si>
  <si>
    <t>El Congreso del Estado Libre y Soberano de Hidalgo entregó la distinción “La Mina del Tiempo” al árbitro mexicano César Arturo Ramos Palazuelos, la cual se otorga a personalidades de relevancia nacional e internacional, como un homenaje a la huella que dejan en la vida política, económica, social y deportiva del país.</t>
  </si>
  <si>
    <t>La Auditoría Superior del Estado de Hidalgo (ASEH) y la Procuraduría General de Justicia del Estado de Hidalgo (PGJEH) firmaron un convenio de colaboración con el objetivo de fortalecer las investigaciones relacionadas con el uso de recursos públicos. El acuerdo permitirá sumar capacidades técnicas y periciales en procedimientos administrativos, fiscales, laborales y penales, especialmente en casos donde se requiera sustento científico y documental. Durante la firma del acuerdo, el encargado del despacho de la PGJEH, Francisco Fernández Hasbun, destacó la importancia de fortalecer la coordinación institucional ante la carga de trabajo que enfrentan ambas dependencias. Por su parte, el auditor superior del estado, Jorge Valverde Islas, afirmó que robustecer una carpeta de investigación implica reunir pruebas suficientes para que los casos puedan avanzar correctamente en todas las etapas legales.</t>
  </si>
  <si>
    <t>Policía Estatal asegura a dos hombres y ocho vehículos con hidrocarburo robado.</t>
  </si>
  <si>
    <t>SSPH asegura a seis individuos cuando excavaban un túnel para robar combustible.</t>
  </si>
  <si>
    <t>Carpinteros y productores de carbón firman acuerdo con Segobh.</t>
  </si>
  <si>
    <t>Favorece UPLAPH bienestar de las familias en Tepeji del Río (AUDIO MATV).</t>
  </si>
  <si>
    <t>Todo el respaldo del gobierno del estado a cebaderos del Altiplano. (AUDIO JMS).</t>
  </si>
  <si>
    <t>Rutas de la Reconstrucción</t>
  </si>
  <si>
    <t>Enlace Hidalgo1</t>
  </si>
  <si>
    <t>Entrevista vía telefónica Cuauhtémoc Ochoa, senador de Morena por Hidalgo - Habló sobre el acuerdo entre grupo Modelo y Cebaderos del altiplano hidalguense: Habló sobre el acuerdo comercial alcanzado entre productores cebaderos del altiplano hidalguense, el gobierno federal y Grupo Modelo. Dichas negociaciones resultaron en un incremento sustancial en el precio de la cebada misma que dará certidumbre para el campo de la región. “Cuauhtémoc Ochoa siempre está pendiente de lo que podamos aportar, de lo que podamos trabajar con el Gobierno Federal, con el gobernador Julio Menchaca en beneficio de cientos de miles de hidalguenses que quieren una mejor calidad de vida y que hoy, el gobernador Menchaca lo ha venido haciendo de manera continua en diferentes regiones del Estado”. Concluyó.</t>
  </si>
  <si>
    <t>Columna a media semana - Ampliamente reconocido como promotor de la cultura y por su trabajo en favor de la preservación de la memoria cultural de Hidalgo, concretamente de la región huasteca, Enrique Rivas Paniagua fue galardonado con la Medalla al Mérito Ciudadano 2026, reconocimiento que desde el 2012 es entregado por la Fundación Arturo Herrera Cabañas, a ciudadanos que se han distinguido por su labor en beneficio de la comunidad hidalguense en el ámbito del arte, cultura y tradición. Originario de Tamaulipas, pero con una residencia de más de 40 años en la entidad, Rivas Paniagua fue el homenajeado en la edición 14 del galardón, sin duda muy merecido.</t>
  </si>
  <si>
    <t>Fundación Herrera Cabañas</t>
  </si>
  <si>
    <t>Joel Sánchez</t>
  </si>
  <si>
    <t>Columna a media semana - No habían pasado ni 24 horas desde que el falso indígena y diputado federal Asael Hernández Cerón se pronunció por el retiro del registro a los narcopartidos, cuando en Tezontepec de Aldama, municipio que él gobernó y mangonea desde hace años, fueron detenidos, Raymundo Serrano Gómez, director de la policía municipal y dos de sus subordinados, entre ellos el subdirector, por vínculos con la delincuencia organizada, huachicol y otros ilícitos. Dicen que fue un golpazo a la soberbia del legislador, porque hasta parece que fuera un mensaje del destino que dice: “los panistas también tienen cola que les pisen”. Bien dicen que, para tener la lengua larga, hay que tener la cola corta.</t>
  </si>
  <si>
    <t>PAN</t>
  </si>
  <si>
    <t>Partidos</t>
  </si>
  <si>
    <t>Columna a media semana - El gobierno de Huasca de Ocampo que encabeza el alcalde Luis Felipe Lugo Salinas, está muy lejos de resolver el problema del basurero, el cual crece por el elevado número de visitantes que reciben cada semana, similar al volumen de población que tienen de manera ordinaria; sin embargo, funcionarios de la administración municipal insisten en tapar el sol con un dedo y ocultar toda la información en torno al asunto, como si con ello ya logaran resolverlo. No hay que olvidar que esa podría ser la causa por la que el municipio pierda la categoría de Pueblo Mágico, lo cual no parece importarles, ya que los subordinados de Lugo también aseguran que en años no han recibido ningún apoyo por conservar el distintivo.</t>
  </si>
  <si>
    <t>Disposición de basura</t>
  </si>
  <si>
    <t>Los recorridos permanentes de vigilancia que realiza la Secretaría de Seguridad Pública de Pachuca dieron resultado una vez más, luego de que elementos municipales lograran la rápida detención de un sujeto señalado por presunto allanamiento de morada en la colonia Santa Julia. Los hechos ocurrieron sobre Ferrocarril Central, donde policías municipales realizaban patrullajes preventivos cuando fueron interceptados por el conductor de un vehículo, quien solicitó apoyo inmediato al señalar a un hombre que corría sobre la zona tras presuntamente haber cometido un allanamiento. Gracias a la pronta reacción de los oficiales lograron darle alcance al individuo sobre la banqueta, donde se concretó la detención de A.S.M., quien fue trasladado al área de retención y posteriormente puesto a disposición de la Agencia del Ministerio Público del Fuero Común de la PGJEH para el procedimiento correspondiente.</t>
  </si>
  <si>
    <t>Columna a media semana - Y después de hablar de falsos indígenas, ahora hablemos de falsos doctores, y es el caso del subprocurador de justicia, Iram González Pérez, quien al igual que otros cayó en la tentación de comprarse un doctorado honoris causa, el cual le fue otorgado por la “Conferencia Internacional de la Comunidad Universitaria”, que reparte pergaminos y estatuillas sin importar si hay méritos o no, mientras lo que haya por delante sea un cheque. Dicen que en la Procuraduría General de Justicia no se aguantan la risa, porque Cantinflas era más más Señor Doctor que otros.</t>
  </si>
  <si>
    <t>Impericia</t>
  </si>
  <si>
    <t>Todo el respaldo del gobierno del estado a cebaderos del Altiplano.</t>
  </si>
  <si>
    <t>Columna a media semana - Al menos 120 mil servidores públicos de los tres poderes, así como de los 84 ayuntamientos y organismos descentralizados, deberán cumplir con la obligación de presentar su declaración patrimonial y de intereses 2026; sin embargo, los resultados de los últimos años, especialmente del 2025 cuando se alcanzó el 99.62 de cumplimiento, hacen que existan altas expectativas de que se mantendrá ese nivel de responsabilidad. Álvaro Bardales Ramírez, titular de la Secretaría de la Contraloría, organismo encargado de recibir las declaraciones, señaló que al momento se lleva un avance del 25% y que, en cuatro años, solo 172 funcionarios han sido inhabilitados por incumplimiento.</t>
  </si>
  <si>
    <t>Mara Olvera y su columna Ajedrez Político habla de la inversión histórica de 2 mil millones de dólares por parte de la firma canadiense Solar International Core Canada (SICC), con lo que el gobernador Julio Menchaca continúa atrayendo inversión al estado y con esto beneficiando a a la población.</t>
  </si>
  <si>
    <t>Mara Olvera</t>
  </si>
  <si>
    <t>Andrés Torres comenta que hace un os días le fue entregado un Doctorado Honoris Causa al Subprocurador de Justicia, Iram González y en algunos medios de comunicación le dieron con todo. Hay medios de que dicen que el Subprocurador aspira a ser alcalde de Mineral de la Reforma, pero él no lo cree, pues piensa que es unos de los prospectos del gobernador Julio Menchaca para ser el próximo Fiscal General del Estado.</t>
  </si>
  <si>
    <t>En el Bulevar Felipe ángeles los patrulleros se dedican a extorsionar al transporte pesado. Que hagan algo.</t>
  </si>
  <si>
    <t>Gobierno de Hidalgo fortalece atención a víctimas de violencia en Tulancingo</t>
  </si>
  <si>
    <t>Hoy a las 11:45 de la mañana en la Biblioteca Ricardo Garibay, el Secretario de gobierno, Guillermo Olivares inaugurará la Sala de Población Interactiva.</t>
  </si>
  <si>
    <t>En la colonia Parque del Poblamiento, en Pachuca, dos hombres fueron detenidos luego de que autoridades municipales aseguraran una motocicleta con reporte de robo durante un recorrido de vigilancia realizado sobre la calle Federalismo, a la altura de una tienda de conveniencia. De acuerdo con el reporte oficial, elementos de la Secretaría de Seguridad Pública de Pachuca detectaron una motocicleta sin placas de circulación, en la que viajaban dos hombres que circulaban en sentido contrario y tenían en su posesión 8 bolsas ziploc con presunta marihuana.</t>
  </si>
  <si>
    <t>La policía municipal de Pachuca dio un paso histórico en materia de dignificación policial al convertirse en la primera corporación municipal de Hidalgo en garantizar a sus elementos el acceso a una vivienda propia, a través del programa impulsado por la presidenta de México, Claudia Sheinbaum Pardo, en coordinación con el Infonavit y gracias al trabajo conjunto y la buena relación institucional entre el gobierno federal, el gobierno del estado y el gobierno municipal. Este avance representa una de las acciones más importantes en favor de las y los policías de la capital hidalguense, quienes durante años enfrentaron limitaciones para acceder a créditos y esquemas formales de vivienda. Con este programa, elementos de la Secretaría de Seguridad Pública, Tránsito y Vialidad comenzaron su proceso de registro para acceder a una vivienda, fortaleciendo así su estabilidad y la de sus familias.</t>
  </si>
  <si>
    <t>Fortalecimiento Policiaco</t>
  </si>
  <si>
    <t>Gobierno de Hidalgo invierte 17.3 mdp en nuevo edificio educativo en Mixquiahuala</t>
  </si>
  <si>
    <t>Entrega de infraestructura escolar</t>
  </si>
  <si>
    <t>La mañana de este miércoles, un hombre fue ejecutado mientras viajaba a bordo de su vehículo en la colonia San Antonio, en Pachuca. De acuerdo con los primeros reportes, el ataque ocurrió sobre la calle Colegio Militar, donde la víctima fue interceptada por dos sujetos armados que abrieron fuego en múltiples ocasiones. Tras la agresión, el conductor identificado con las iniciales J. R. T. perdió la vida en el lugar. Paramédicos acudieron al sitio; sin embargo, confirmaron que ya no contaba con signos vitales. Luego del ataque, los presuntos responsables huyeron con rumbo desconocido. Elementos de seguridad acordonaron la zona, mientras que personal de la Procuraduría General de Justicia del Estado de Hidalgo (PGJEH) realizó el levantamiento del cuerpo e inició las investigaciones correspondientes para esclarecer los hechos.</t>
  </si>
  <si>
    <t>Ejecuciones</t>
  </si>
  <si>
    <t>Andrés Torres informa que se quemó el transformador y no tienen electricidad, por lo que la señal del 1010 AM de El Vocero Huasteco está fuera del aire, pero sí se escuchan en 92.7 FM. Está fuera del aire desde hace un mes esta estación que transmite en náhuatl y castellano. Se está trabajando para resolver la situación técnica y espera que quien lo tenga que rsolver lo haga.</t>
  </si>
  <si>
    <t>El Congreso del Estado de Hidalgo albergó el foro “Por la defensa de nuestras tradiciones: tauromaquia, herencia viva en Hidalgo”, con el objetivo de generar un espacio abierto, plural y respetuoso de diálogo, reflexión y análisis en torno a esta actividad como una expresión cultural arraigada en la historia, tradiciones e identidad de la entidad. El diputado Marco Antonio Mendoza Bustamante, coordinador del grupo legislativo del PRI y promovente del evento, destacó que el deber de las y los legisladores es escuchar todas las voces del pueblo hidalguense y garantizar un espacio plural y respetuoso para el debate. Durante su intervención, explicó que el foro tuvo como propósito aportar argumentos técnicos, científicos y jurídicos a la Comisión de Puntos Constitucionales para respaldar la iniciativa que presentó previamente ante el Pleno. Esta propuesta busca reconocer como patrimonio cultural inmaterial diversas expresiones tradicionales de Hidalgo, entre ellas la tauromaquia, las peleas de gallos, el pulque, la barbacoa, el ximbó, la medicina tradicional y los tianguis.</t>
  </si>
  <si>
    <t>Tauromaquia</t>
  </si>
  <si>
    <t>Caen policías municipales tras operativo coordinado en Hidalgo</t>
  </si>
  <si>
    <t>Julio Menchaca y el IMPI protegen producción del chile rayado de La Misión</t>
  </si>
  <si>
    <t>La Fiscalía General de la República (FGR) a través de la Fiscalía Especializada de Control Regional (FECOR) en el estado de Hidalgo, obtuvo de la jueza de Control, vinculación a proceso en contra de Jorge “N”, por su probable participación en la comisión del delito de posesión ilícita de hidrocarburo. De acuerdo con la investigación, Jorge “N” fue detenido en el municipio de Acaxochitlán, por elementos de la Policía Municipal, cuando viajaba a bordo de un tractocamión acoplado a dos autotanques donde se almacenaban 63 mil 118 litros de hidrocarburo.</t>
  </si>
  <si>
    <t>La Fiscalía General de la República (FGR) a través de la Fiscalía Especializada de Control Regional (FECOR) en el estado de Hidalgo, solicitó y obtuvo del juez de Distrito especializado en el Sistema Penal Acusatorio judicial, autorización para la ejecución de una orden de cateo para un inmueble ubicado en el ejido de Santa Julia, municipio de Pachuca de Soto. El agente del Ministerio Público Federal (MPF) inició una carpeta de investigación por el delito de alteración al ducto en grado de tentativa, derivado de una denuncia del C5i, en la que se informó sobre la existencia de un túnel a lo largo de un ducto de PEMEX. Durante el operativo, el agente del Ministerio Público de la Federación, en coordinación con elementos de la Policía Federal Ministerial (PFM) y del Centro Federal Pericial Forense, Secretaría de Seguridad Pública Estatal, quienes brindaron seguridad perimetral, elementos de PEMEX y Protección Civil, localizaron un túnel con una longitud de nueve metros.</t>
  </si>
  <si>
    <t>Huachitúnel</t>
  </si>
  <si>
    <t>Una mujer fue localizada sin vida durante la madrugada de este miércoles en la comunidad de Botenguedho, municipio de Ixmiquilpan, hecho que provocó movilización de cuerpos de emergencia y autoridades ministeriales en la zona.</t>
  </si>
  <si>
    <t>Sujetos en motocicleta abrieron fuego contra un hombre arriba de un vehículo en San Antonio El Desmonte, Pachuca, y escaparon del lugar, la víctima perdió la vida. La mañana de este miércoles se registró un ataque armado en la colonia San Antonio El Desmonte, en Pachuca, donde un hombre perdió la vida mientras se encontraba a bordo de un automóvil. De acuerdo con los primeros reportes, los hechos ocurrieron sobre la calle Colegio Militar, donde la víctima viajaba en un vehículo Nissan color azul cuando presuntamente fue interceptada por sujetos que se desplazaban en motocicleta. Testigos señalaron que los agresores se acercaron a la unidad y realizaron múltiples detonaciones antes de darse a la fuga. De manera preliminar, una de las líneas de investigación apunta a un posible ajuste de cuentas, aunque serán las autoridades ministeriales quienes determinen oficialmente el móvil del crimen. La zona permaneció acordonada mientras personal ministerial y peritos realizaban las diligencias correspondientes y el levantamiento de indicios para integrar la carpeta de investigación.</t>
  </si>
  <si>
    <t>Daniel Martínez reitera que con las jornadas de la paz (Mesas de acercamiento) o sin ellas hay una obligación de la autoridad de atender todos los casos y de otorgar los recursos materiales, económicos y humanos para poder hacer las labores en las oficinas gubernamentales correspondientes y que son eventos donde se arreglan 15 problemas y se quedan pendientes 150 mil, cuando lo ideal es que pudieran acceder a esquemas de justica y servicios públicos toda la población. Además de que se deben reforzar los esquemas de seguridad en estos eventos</t>
  </si>
  <si>
    <t>Mesas de acercamiento</t>
  </si>
  <si>
    <t>En cabina Armando Pérez Alcibar, titular de la Secretaría municipal de Desarrollo Urbano, Obras Públicas y Medio Ambiente informó de la realización de una jornada especial de registro para el programa Vivienda para el Bienestar impulsado por el Gobierno de México, dirigida a derechohabientes del Instituto del Fondo Nacional de la Vivienda para los Trabajadores (Infonavit), de la región del Valle de Tulancingo. El registro se llevará a cabo el próximo domingo 17 de mayo, en un horario de 09:00 a 14:00 horas, en un espacio habilitado a un costado de Banamex, sobre la calle Cuauhtémoc, en la zona de La Floresta, en el centro de Tulancingo. Las autoridades informaron que el programa está dirigido a personas con relación laboral vigente, que perciban entre uno y dos salarios mínimos y que no cuenten actualmente con un crédito activo del Infonavit.</t>
  </si>
  <si>
    <t>Hidalgo reunió a más de 12 mil asistentes en su encuentro artístico en Los Pinos</t>
  </si>
  <si>
    <t>Cultura</t>
  </si>
  <si>
    <t>Hidalgo en Los Pinos</t>
  </si>
  <si>
    <t>Indicación geográfica</t>
  </si>
  <si>
    <t>Daniel Martínez opina a que el hecho de que el audio que se filtró del alcalde de Pachuca, Jorge Reyes donde amenazaba con despedir a los trabajadores que no compartían su información le daban like, fuera del inicio de su administración no le resta que se trata de una amenaza y hubiera sido el colmo que negara el audio. ¿Por que entonces se tendían que normalizar las humillaciones laborales?</t>
  </si>
  <si>
    <t>Audioescándalo</t>
  </si>
  <si>
    <t>Citican diputadas actuar de alcalde “influencer” de Pachuca Jorge Reyes. Las diputadas Karla Perales Arrieta y Claudia Lilia Luna Islas, señalan que el mal gobierno del alcalde morenista, pretende ser “maquillado” a través de redes sociales infladas por los trabajadores a quienes se les acosa y amenaza con correrlos sino crean redes para seguirlo e interactuar en sus publicaciones, lo cual es un delito. Para la diputada de Acción Nacional, lo que verdaderamente es preocupante tras la filtración del audio es que el alcalde Jorge Alberto Reyes amenaza a los trabajadores con correrlos sino cumplen una segunda jornada laboral creando redes de apoyo y compartiendo sus mensajes. “No estaría mal si les pide que compartan la actividad laboral del municipio, solo que No los puede amenazar por no compartir sus redes personales porque es un delito pues se trata de promoción personal”, aclaró Claudia Lilia Luna “Veo acoso laboral y si quieren denunciar aquí estamos para apoyarlos”, ofreció</t>
  </si>
  <si>
    <t>Luego de que fuera filtrado un audio donde el alcalde de la ciudad de Pachuca pide a trabajadores del Ayuntamiento compartir sus publicaciones en redes sociales o de lo contrario habrá despidos, Jorge Reyes dio declaraciones tras la controversia que se originó. Fue ante medios este martes 12 de mayo cuando el edil aseguró que la grabación de mensajería data en realidad desde los inicios de su gobierno en agosto de 2024, cuando se dirigió hacia su reciente plantilla laboral y además consideró que fue sacado de contexto. En ese sentido, descartó que se haya tratado de una condición para que los empleados mantuvieran su puesto, sino que más bien fue una instrucción girada a las dependencias municipales para mantener comunicación ciudadana constante, especialmente para difundir las acciones y logros hechos. En otra parte de sus declaraciones, Jorge Reyes consideró que “gobernar es comunicar también” y refirió que prácticamente todos los gobiernos tienen esa responsabilidad, ante lo cual para el caso de su administración sí ha funcionado la estrategia pedida.</t>
  </si>
  <si>
    <t>Daniel Martínez dice que es increíble que en un caso tan delicado Seguridad Ciudadana de Tulancingo informara que hasta el momento no cuenta con algún reporte relacionado con que un menor fue presuntamente fue citado en la Central de Autobuses de Tulancingo y posteriormente se detectó que se trataba de un engaño. esto después de dar a conocer que la Red por los Derechos de la Infancia advierte el riesgo de reclutamiento criminal de menores en Hidalgo.</t>
  </si>
  <si>
    <t>Alrededor de 6 mil niñas, niños y adolescentes en Hidalgo se encuentran en riesgo de ser reclutados por grupos del crimen organizado, advirtió Rafael Castelán, integrante del Consejo Directivo de la Red por los Derechos de la Infancia en México, quien señaló que esta problemática está relacionada con actividades como el huachicol, comercialización y distribución de drogas. De acuerdo con el activista, en el Valle de Tulancingo los municipios donde se han detectado más casos o testimonios relacionados con esta situación son Tulancingo y Cuautepec de Hinojosa. Castelán explicó que existen testimonios de docentes en distintos municipios que detectan cambios en algunos estudiantes, principalmente adolescentes que llegan a las escuelas con cantidades importantes de dinero para gastar durante el receso escolar, situación que, dijo, podría estar relacionada con la influencia de personas adultas externas. Indicó que entre los principales factores de vulnerabilidad se encuentran problemas familiares, ausencia de figuras de cuidado, entornos violentos y afectaciones a la salud mental, condiciones que pueden facilitar que menores sean captados por grupos delictivos. Como ejemplo, mencionó el caso reciente de un menor que presuntamente fue citado en la Central de Autobuses de Tulancingo bajo la promesa de un empleo bien remunerado, aunque posteriormente se detectó que se trataba de un engaño. Según la información compartida por Castelán, el adolescente fue localizado sano y actualmente se encuentra con su familia en Veracruz. Sobre este caso, la Secretaría de Seguridad Ciudadana de Tulancingo informó que hasta el momento no cuenta con algún reporte relacionado con este hecho; sin embargo, señaló que en caso de contar con mayores datos de la persona afectada, se brindaría atención inmediata.</t>
  </si>
  <si>
    <t>Daniel Martínez: en Tezontepec de Aldama no está bajo el Mando coordinado y que las acreditaciones de control y confianza las otorga bajo exámenes que realiza el propio gobierno del estado, lo digo por las detenciones realizadas.</t>
  </si>
  <si>
    <t>Control de confianza</t>
  </si>
  <si>
    <t>La detención del director y subdirector de Seguridad Pública de Tezontepec de Aldama, así como de un ex policía municipal, derivó de señalamientos directos por su presunta participación en actividades delincuenciales. Lo anterior fue señalado por el Gobernador de Hidalgo, Julio Menchaca Salazar, señalando que no existe politización de dichas detenciones realizadas el pasado martes 12 de mayo. “De ninguna manera se tiene que politizar (…) en este caso la información que tenemos es que estaban traicionando la confianza de la presidenta”, aseguró. El titular del Poder Ejecutivo estatal señaló que cuando existen elementos suficientes para integrar investigaciones por algún delito, no hay distinciones para aplicar la ley. “Cuando se tienen los elementos para poder generar carpetas por algún delito, trátese de quien se trate la justicia es pareja”. Reconoció el posicionamiento de la alcaldesa panista Ana María Rivera, quien pidió no especular sobre el caso ni convertirlo en un asunto político, descartando que los señalamientos deriven en una investigación contra la presidenta municipal. En conferencia de prensa realizada tras dichas detenciones, el diputado federal Asael Hernández Cerón, dijo que espera una investigación adecuada sobre la presunta participación de los detenidos en los delitos que aún están por darse a conocer. Enfatizó que en caso de ser responsables, se les aplique las sanciones respectivas, esperando que el caso no se politice. Un día después de estas detenciones, el miércoles 13 de mayo, se dio a conocer la detención de nueve elementos de la policía municipal de Progreso de Obregón por su presunta participación en los delitos de homicidio doloso calificado y lesiones. Menchaca Salazar señaló que hasta el momento, únicamente se tiene conocimiento de posibles vínculos con actividades ilegales de elementos de corporaciones de seguridad de los municipios de Tezontepec de Aldama y Progreso de Obregón.</t>
  </si>
  <si>
    <t>La mañana de este miércoles 13 de mayo se desplegó un operativo de seguridad en el municipio de Progreso de Obregón, donde nueve elementos de la Policía Municipal fueron detenidos por autoridades estatales y federales en medio de una movilización que mantuvo cerradas varias calles del centro. Desde las primeras horas del día, decenas de elementos de la Policía Estatal, Ejército Mexicano y agentes de la Agencia de Investigación Criminal (AIC) arribaron a la comandancia municipal y comenzaron a rodear el inmueble, además de restringir el acceso al primer cuadro del municipio. La presencia de unidades oficiales y personal armado llamó la atención de habitantes y comerciantes de la zona, quienes observaron cómo las vialidades cercanas permanecieron bloqueadas mientras se desarrollaba el operativo. Formaron a policías en la explanada. Minutos después del despliegue, los elementos de la Policía Municipal fueron concentrados y formados en la explanada principal, donde agentes de la AIC comenzaron a nombrar uno por uno a los oficiales que serían asegurados. De acuerdo con los reportes, nueve policías municipales fueron separados del resto y posteriormente subidos a camionetas tipo panel de color blanco. Entre las personas detenidas se encuentran ocho hombres y una mujer. Hasta el momento, autoridades mencionaron que los cargos tipificados para los individuos son homicidio doloso calificado y lesiones; asimismo, cuerpos de seguridad notificaron de manera oficial, que se dio cumplimiento a los mandamientos judiciales contra ocho hombres y una mujer, a quienes se identifica con iniciales A. M. D., D. B. M., M. A. R. H., A. F. C., A. P. M., S. P. S., A. S. A., L. E. A. T., O. F. Z. R.</t>
  </si>
  <si>
    <t>Daniel Martínez comenta que ayer al inicio del foro de las Mesas de acercamiento un hombre identificado como Juan Leonardo Pérez Téllez se acercó a la mesa donde estaban los funcionarios y con megáfono comenzó a decir que su hijo con espectro autista había sido violentado por un profesor de Tizayuca y no le han hecho caso. Señaló a funcionaros por compra de voluntades, corrupción, etc; y pidió ayuda urgente por parte de la ONU, así como del presidente de los Estado Unidos Donal Trump, Juan Leonardo ya se había convertido en una tendencia nacional a principio del año, cuando la presidenta Claudia Sheinbaum acudió a un plantel de Tizayuca y ahí, junto al gobernador Julio Menchaca le expuso su caso, asegurando que la carpeta de investigación estaba siendo bloqueada. Días después de esto la SEPH anunció que se había suspendido al director de la primaria donde habían ocurrido los hechos y que había sido vinculado a proceso por delito de abuso sexual agravado a finales del año pasado. parte de la molesta del padre es que la víctima obtuvo un amparo y está llevando su proceso en libertad, además de acusar persecución y acoso.</t>
  </si>
  <si>
    <t>Abuso Sexual</t>
  </si>
  <si>
    <t>Daniel Martínez comenta que ayer en Tulancingo se llevó a acabo otra Jornada por la paz, en un foro de preguntas y repuestas previo a ello, alrededor de las 11 de la mañana, funcionarios y representantes de diversas instituciones públicas estuvieron citando de manera privada quienes habían hecho ya reportes hace aproximadamente un mes, lo cual era adecuado por la delicadeza de algunos temas. Asimismo, opina que los foros resuelven 15 problemas y se quedan pendientes cono 150 mil para poder ser atendidos. Señala que el evento estaba programado para iniciar a la 1 de la tarde e inició a las 3:47 y estaba programada la presencia de Guillermo Olivares y finalmente no se presentó y sería mejor y más sensato que dijera que no va a poder acudir que hacer esperar tanto a las personas.</t>
  </si>
  <si>
    <t>Con el argumento de abrir un espacio de análisis y escuchar distintas posturas sobre las tradiciones de Hidalgo, el diputado Marco Antonio Mendoza Bustamante encabezó en el Congreso local el foro “Por la defensa de nuestras tradiciones: tauromaquia, herencia viva en Hidalgo”. Durante su participación, el legislador señaló que el objetivo principal del encuentro fue aportar elementos técnicos, científicos y jurídicos a la discusión legislativa relacionada con la iniciativa que presentó ante el Pleno para reconocer como patrimonio cultural inmaterial diversas expresiones tradicionales del estado, entre ellas la tauromaquia, peleas de gallos, el pulque, la barbacoa, el ximbó, la medicina tradicional y los tianguis. Mendoza Bustamante afirmó que estas prácticas forman parte de la identidad cultural de Hidalgo y sostuvo que varias de ellas mantienen vínculos históricos con comunidades y pueblos originarios de la entidad. Asimismo, pidió respeto entre quienes defienden la fiesta brava y quienes están en contra de ella, al señalar que todas las opiniones deben ser escuchadas.</t>
  </si>
  <si>
    <t>Destinada a obras que responden a las demandas legítimas de la ciudadanía y fortalecen la transformación de Tulancingo, la administración que encabeza la presidenta municipal Lorena García Cázares consolida una estrategia histórica de infraestructura y desarrollo urbano con una inversión cercana a los 200 millones de pesos entre 2025 y la proyección para 2026. Durante 2025, el gobierno municipal ejecutó 80 obras con una inversión cercana a los 94 millones de pesos, enfocadas en mejorar la infraestructura básica y urbana del municipio. Bajo la premisa de construir un municipio más fuerte, moderno y funcional, para 2026 se proyecta una inversión cercana a los 96 millones de pesos, con obras como el reencarpetamiento asfáltico de avenidas principales, instalación de malla de acero bajo puentes peatonales, mejoramiento urbano y pavimentación en colonias, recubrimiento de drenes pluviales y ampliación de redes de agua potable. Asimismo, el gobierno de Tulancingo contempla la rehabilitación de espacios emblemáticos que forman parte de la identidad cultural y social de Tulancingo, entre ellos el Centro Cultural Ricardo Garibay, la Estación del Ferrocarril y el Parque Caracolito, fortaleciendo así el tejido comunitario y el acceso a espacios dignos para la convivencia. Para duplicar el recurso en beneficio del municipio, se prevé concluir el Plan Municipal de Desarrollo Urbano en este año; además, de manera paralela, la administración municipal mantiene una gestión permanente ante los gobiernos estatal y federal, logrando concretar inversiones de alto impacto como el reencarpetamiento en la parte alta del municipio con una inversión de 45 millones de pesos, la ampliación a cuatro carriles del Libramiento Pitula–San Alejo, así como la rehabilitación de la cancha de la colonia La Cruz y la incorporación al programa “Viviendas del Bienestar” de SEDATU.</t>
  </si>
  <si>
    <t>La falta de actualización del Programa Municipal de Desarrollo Urbano (PMDU) para Tulancingo ha impedido que se pueda contar con mayores recursos para obras y servicios. El señalamiento fue realizado por Armando Pérez Alcibar, titular de la Secretaría municipal de Desarrollo Urbano, Obras Públicas y Medio Ambiente, recordando que la más reciente actualización se hizo en el año 2022. En el actual PMDU señala que la colonia El Paraíso en varias de sus secciones, así como las colonias San Antonio Farías y Jaltepec, entre otras, estén consideradas como agrícolas tecnificadas. “La realidad ahí y en otros espacios dentro del municipio de Tulancingo, ya está lleno de viviendas, por lo que la realidad ya está rebasada por lo que señala el programa, por lo que es necesario actualizarlo”. Otros espacios están considerados como parques hídricos, así como reservas naturales o ecológicas, por lo que en dichas zonas no deberían darse permisos para construcción de vivienda o edificios. Las comunidades como La Lagunilla y Santa Ana Hueytlalpan están consideradas como zonas para asentamientos humanos condicionados, donde debe existir desarrollo de viviendas y demás infraestructura, pero con respeto a las zonas naturales así como las agrícolas. De acuerdo al funcionario, la falta de actualización del programa limita la inversión pública para obras y acciones en estas y otras localidades dentro de Tulancingo.</t>
  </si>
  <si>
    <t>Ordenamiento Territorial</t>
  </si>
  <si>
    <t>La delegación hidalguense volvió a subir al podio en la Olimpiada Nacional 2026 dentro de la disciplina de boxeo, luego de que Perla Nazaret Castillo Hernández y Carlos Jayden Morales Carranza consiguieran medallas de bronce para la delegación estatal. Perla Nazaret logró quedarse con la presea en la categoría Sub 19 dentro de los 65 kilogramos, mientras que Carlos Jayden hizo lo propio en la división Sub 19 de 55 kilogramos.</t>
  </si>
  <si>
    <t>Nacionales Conade</t>
  </si>
  <si>
    <t>Hidalgo fortalece la innovación alimentaria con la segunda etapa de LANUA</t>
  </si>
  <si>
    <t>Laboratorio de alimentos</t>
  </si>
  <si>
    <t>SSH fortalece certificación de Entornos Laborales Saludables</t>
  </si>
  <si>
    <t>Vía telefónica durante su participación semana David Cárdenas informa que en el Congreso de Hidalgo se abrió un espacio de análisis y escuchar distintas posturas sobre las tradiciones de Hidalgo,</t>
  </si>
  <si>
    <t>Vía telefónica durante su participación semana David Cárdenas informa que el Congreso del Estado de Hidalgo entregó la distinción “La Mina del Tiempo” al árbitro mexicano César Arturo Ramos Palazuelos, la cual se otorga a personalidades de relevancia nacional e internacional, como un homenaje a la huella que dejan en la vida política, económica, social y deportiva del país. El presidente de la Junta de Gobierno, diputado Andrés Velázquez Vázquez destacó que César Ramos no solo ha dirigido partidos, “ha sido arquitecto de la justicia en cada cancha, guardián de la equidad en cada decisión y embajador de los valores que el arbitraje mexicano ha consolidado a través del tiempo. Su presencia en mundiales, en finales de torneos internacionales y las ligas más competitivas del planeta es resultado de su trabajo meticuloso, estudio constante y vocación inquebrantable”.</t>
  </si>
  <si>
    <t>La Gran Feria del Taco en Pachuca se estará llevando a cabo este 15, 16 y 17 de mayo en las instalaciones de la feria. Buscan romper el récord Guinness de la estructura de tacos más grande del mundo, así lo dio a conocer Alan Daniel Gálvez Cerón, presidente de Transformación Juvenil Hidalguense A. C., quien mencionó que en esta feria se busca romper dos récord Guinness tratando de emular la figura del Reloj Monumental de Pachuca, con tacos más grande del mundo. un evento realizado con la Operadora de Eventos del Estado de Hidalgo.</t>
  </si>
  <si>
    <t>Daniel Martínez opina a que el hecho de que el audio que se filtró del alcalde de Pachuca, Jorge Reyes donde amenazaba con despedir a los trabajadores que no compartían su información le daban like, fuera del inicio de su administración no le resta que se trata de una amenaza y hubiera sido el colmo que negara el audio. ¿Porque entonces se tendían que normalizar las humillaciones laborales?</t>
  </si>
  <si>
    <t>Extorsión</t>
  </si>
  <si>
    <t>Seguridad Social</t>
  </si>
  <si>
    <t>En un esfuerzo por mejorar la movilidad y seguridad vial, el municipio de Tulancingo avanza con resultados en su programa permanente de bacheo, logrando la rehabilitación de más de 20 tramos viales durante el mes de abril. De acuerdo con la Secretaría de Desarrollo Urbano, Obras Públicas y Medio Ambiente, estas acciones permitieron intervenir cerca de mil 700 metros cuadrados en distintos puntos de la ciudad, atendiendo zonas con daños significativos que representaban un riesgo para automovilistas, transporte público y peatones. Entre las vialidades rehabilitadas se encuentran calles como Michoacán, en la colonia Javier Rojo Gómez; Ahuehuetitla; 27 de septiembre; Hidalgo Poniente; Gilberto Gómez Carbajal; 14 de diciembre; Venustiano Carranza, así como el bulevar San Nicolás El Chico, donde se realizaron trabajos de reparación en áreas con desgaste considerable. Las autoridades municipales señalaron que estos trabajos forman parte de una estrategia permanente para fortalecer la infraestructura urbana y responder a las necesidades más urgentes de la población.</t>
  </si>
  <si>
    <t>Con el objetivo de reconocer el papel fundamental de las madres tulancinguenses en la vida social y familiar del municipio, el gobierno de Tulancingo, encabezado por la presidenta municipal Lorena García Cázares, llevará a cabo un magno festejo el próximo 24 de mayo en la Unidad Deportiva Javier Rojo Gómez, con actividades recreativas, concursos, música en vivo y la rifa de un automóvil último modelo. Entre las dinámicas más esperadas destaca el rally denominado “La Chancla Voladora”, y como parte del programa artístico, las asistentes disfrutarán de la presentación de la mejor imitadora de Paquita la del Barrio, quien ofrecerá un espectáculo musical pensado especialmente para homenajear a las madres en su día.</t>
  </si>
  <si>
    <t>Locutor Jesús Riveros da lectura a comentario de radioescucha que reporta, las colectivas siguen estando en malas condiciones, reporta una colectiva en Tulancingo que la puerta no cierra bien; Jesús Riveros responde, que es importante que realicen sus quejas en el numero de la Semot, el compromiso con el aumento a la tarifa fue que los concesionarios tendrían las unidades en buen estado.</t>
  </si>
  <si>
    <t>En sesión ordinaria, diputadas y diputados integrantes de la LXVI Legislatura avalaron con 24 votos a favor, cero en contra y cero abstenciones, el dictamen que autoriza a 26 municipios a gestionar y contratar con la o las instituciones financieras o de crédito que ofrezcan las mejores condiciones de mercado, uno o varios financiamientos de largo plazo, hasta por el monto,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emitido por la primera Comisión Permanente de Hacienda y Presupuesto.</t>
  </si>
  <si>
    <t>Deuda Pública</t>
  </si>
  <si>
    <t>SSH: Apoyos funcionales y atención médica especializada para las familias de Huehuetla.</t>
  </si>
  <si>
    <t>Apoyos funcionales</t>
  </si>
  <si>
    <t>Hidalgo reunió a más de 12 mil asistentes en su encuentro artístico en Los Pinos.</t>
  </si>
  <si>
    <t>Dos robos frustrados en Atitalaquia: SSPH asegura a cuatro presuntos responsables.</t>
  </si>
  <si>
    <t>Gobierno de Hidalgo fortalece atención a víctimas de violencia en Tulancingo de Bravo.</t>
  </si>
  <si>
    <t>Julio Menchaca y el IMPI protegen producción del chile rayado de La Misión. (AUDIO JMS); (AUDIO SNC).</t>
  </si>
  <si>
    <t>Embajadora de Sudáfrica recorre Centro Gastronómico de Santiago de Anaya.</t>
  </si>
  <si>
    <t>Mundial De Futbol</t>
  </si>
  <si>
    <t>Hidalgo invita al sector turístico a sumarse a “La Gran Escapada”.</t>
  </si>
  <si>
    <t>Impulso Al Turismo</t>
  </si>
  <si>
    <t>Hidalgo invita al sector turístico a sumarse a “La Gran Escapada”</t>
  </si>
  <si>
    <t>Con el objetivo de fortalecer las acciones de protección, atención y previsión dirigidas a niñas, niños y adolescentes, el gobierno municipal de Mineral de la Reforma llevó a cabo la creación e instalación del Comité Municipal de Prevención de Embarazos en Adolescentes (Comupea). La conformación de este organismo se encuentra sustentada en la Ley de los Derechos de Niñas, Niños y Adolescentes y permitirá establecer mecanismos de coordinación, cooperación y comunicación entre las distintas áreas del gobierno municipal para implementar la “Estrategia Hidalguense para la Prevención de Embarazos en Adolescentes”. Durante la instalación del comité, el presidente municipal, Eduardo Medécigo Rubio, destacó que el embarazo en niñas y adolescentes representa un problema multicausal y culturalmente complejo, además de constituir una consecuencia de violaciones a los derechos humanos, debido a que es una de las principales causas de deserción escolar y afecta directamente el proyecto de vida de quienes enfrentan una maternidad temprana. Asimismo, se informó que en Hidalgo los servicios de salud destinan alrededor de 41.5 millones de pesos para la atención de embarazos y partos en adolescentes, motivo por el cual se impulsó una estrategia estatal que busca reducir esta problemática. Entre las metas de la Estrategia Estatal de Prevención de Embarazos en Adolescentes se encuentra erradicar el embarazo en niñas de 10 a 14 años y garantizar plenamente los derechos sexuales y reproductivos de este sector de la población. El comité quedó integrado por el alcalde, Eduardo Medécigo Rubio; la presidenta del Sistema Municipal DIF, Samantha Esparza Hernández; la Síndica Hacendaria e integrante de la comisión de niñez y juventud, Gabriela Luján Sánchez; y la regidora y coordinadora de la comisión de niñez y juventud, Leslie Ramírez Islas.</t>
  </si>
  <si>
    <t>Prevención De Embarazo Adolescente</t>
  </si>
  <si>
    <t>La policía municipal de Pachuca dio un paso histórico en materia de dignificación policial al convertirse en la primera corporación municipal de Hidalgo en garantizar a sus elementos el acceso a una vivienda propia, a través del programa impulsado por la presidenta de México, Claudia Sheinbaum Pardo, en coordinación con el Infonavit y gracias al trabajo conjunto y la buena relación institucional entre el gobierno federal, el gobierno del estado y el gobierno municipal. Este avance representa una de las acciones más importantes en favor de las y los policías de la capital hidalguense, quienes durante años enfrentaron limitaciones para acceder a créditos y esquemas formales de vivienda. Con este programa, elementos de la Secretaría de Seguridad Pública, Tránsito y Vialidad comenzaron su proceso de registro para acceder a una vivienda, fortaleciendo así su estabilidad y la de sus familias. La estrategia forma parte del proceso de transformación y fortalecimiento institucional que impulsa el alcalde Jorge Reyes, con el objetivo de dignificar la labor policial y mejorar las condiciones de quienes diariamente trabajan por la seguridad de la ciudad.</t>
  </si>
  <si>
    <t>Derechos laborales</t>
  </si>
  <si>
    <t>Locutor Jesús Riveros da lectura a comentario de radioescucha que manifiesta su inconformidad con el aumento a la tarifa de transporte público; además, reporta que algunos operadores de la línea LAC son muy groseros y cobran muy alto el pasaje y no respetan la tarifa.</t>
  </si>
  <si>
    <t>Juan Leonardo Pérez Téllez, originario de Tizayuca, acudió a la reunión de respuesta del gobierno de Hidalgo en Tulancingo, este miércoles 13 de mayo, donde encaró a funcionarios estatales y les acusó por presunta corrupción y sesgo en una investigación. El hombre, padre de un menor de edad con autismo, acudió para exigir justicia en el caso de su hijo, quien fue supuestamente víctima de abuso sexual. Por este caso, en enero pasado, pidió intervención ante Claudia Sheinbaum, en una visita oficial de la mandataria. Ello ocurrió en enero y desde entonces, acusa que existe hostigamiento por parte de funcionarios de la Procuraduría General de Justicia del Estado de Hidalgo (PGJEH), entre ellos el titular de la dependencia, Francisco Fernández Hasbun; y Lorena Cano, directora general de la Fiscalía de Delitos Sexuales y Contra la Familia. “Vengo a denunciar corrupción. El día de hoy no vengo a pedir apoyo de estas personas, lo que vengo a pedir es el apoyo del pueblo. Porque la corrupción es tan asquerosa que involucra a magistrados, a subprocuradores que son tan asquerosos que cómo pueden vender la justicia de un niño”. Además de lo anterior, expuso que sufre de supuestos actos de persecución por parte de agentes estatales y aseguró que, pese a que teme por su seguridad y la de su familia, no se le han otorgado mecanismos de protección que le prometió la fiscal general de la República, Ernestina Godoy. Al final de su manifestación, el director general de Gobernación en Tulancingo, Rogelio Santos, lo separó del frente para que continuara el acto. Hasta el momento, no hay postura oficial por parte de la PGJEH.</t>
  </si>
  <si>
    <t>Respecto al reporte de radioescucha sobre el transporte público, locutor Jesús Riveros comparte números telefónicos de la Semot para que realicen los reportes correspondientes y dice, que es importante levantar los reportes para que toda esta situación cambie, ya que, fue uno de los compromisos por parte de los concesionarios; por eso se autorizó el aumento a la tarifa de transporte público, porque se garantizó un mejor servicio y mejores unidades.</t>
  </si>
  <si>
    <t>Gabinete de Seguridad ejecuta orden de aprehensión a mandos municipales de Tezontepec de Aldama.</t>
  </si>
  <si>
    <t>En operativo del Gabinete de Seguridad son aprehendidos nueve policías municipales de Progreso de Obregón.</t>
  </si>
  <si>
    <t>Entre reclamos, exigencias y también algunos reconocimientos al apoyo institucional, este día se realizaron nuevos desahogos ciudadanos en Tulancingo, donde víctimas y familiares expusieron públicamente el estado de sus denuncias y la respuesta que han recibido por parte de autoridades municipales y estatales desde la Jornada por la Paz del pasado mes. Uno de los casos que más llamó la atención fue el de una mujer que denunció presuntas omisiones en el IMSS de Tulancingo relacionadas con una supuesta negligencia médica en la atención de su madre. La afectada señaló que apenas esta semana fue buscada para dar seguimiento formal a su caso y aseguró que, hasta el momento, no existe una propuesta concreta para cubrir los gastos médicos que tuvieron que realizar en hospitales privados tras las complicaciones derivadas de la atención inicial. Durante la jornada también hubo voces que reconocieron avances en el acompañamiento gubernamental.</t>
  </si>
  <si>
    <t>En su colaboración semanal, Gustavo Rosales transmite una entrevista realizada a la multimedallista hidalguense Ivana Reyes Palacios, en la categoría de tiro con arco, que, en esta olimpiada nacional dio la sorpresa y consiguió cuatro preseas para el Estado. En la entrevista comentó que, dentro de sus metas está participar en los juegos olímpicos de 2028.</t>
  </si>
  <si>
    <t>Reclutamiento</t>
  </si>
  <si>
    <t>Bibliotecas</t>
  </si>
  <si>
    <t>Transición a Fiscalía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</si>
</sst>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95" tableType="queryTable" totalsRowShown="0">
  <autoFilter ref="A1:M195"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95"/>
  <sheetViews>
    <sheetView tabSelected="1" topLeftCell="A168" workbookViewId="0">
      <selection activeCell="A195" sqref="A195"/>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20.8554687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43</v>
      </c>
      <c r="C1" t="s">
        <v>44</v>
      </c>
      <c r="D1" t="s">
        <v>45</v>
      </c>
      <c r="E1" t="s">
        <v>1</v>
      </c>
      <c r="F1" t="s">
        <v>2</v>
      </c>
      <c r="G1" t="s">
        <v>4</v>
      </c>
      <c r="H1" t="s">
        <v>3</v>
      </c>
      <c r="I1" t="s">
        <v>5</v>
      </c>
      <c r="J1" t="s">
        <v>46</v>
      </c>
      <c r="K1" t="s">
        <v>47</v>
      </c>
      <c r="L1" t="s">
        <v>48</v>
      </c>
      <c r="M1" t="s">
        <v>56</v>
      </c>
    </row>
    <row r="2" spans="1:13" x14ac:dyDescent="0.25">
      <c r="A2" s="2">
        <v>46155</v>
      </c>
      <c r="B2" s="1" t="str">
        <f ca="1">IF(Información1[[#This Row],[Fecha]]='Ajuste de fechas'!$A$2,"Día actual","Día anterior")</f>
        <v>Día anterior</v>
      </c>
      <c r="C2" t="s">
        <v>34</v>
      </c>
      <c r="D2" t="s">
        <v>35</v>
      </c>
      <c r="E2" t="s">
        <v>92</v>
      </c>
      <c r="F2" t="s">
        <v>23</v>
      </c>
      <c r="G2" t="s">
        <v>93</v>
      </c>
      <c r="H2" t="s">
        <v>32</v>
      </c>
      <c r="I2" t="s">
        <v>12</v>
      </c>
      <c r="J2" t="s">
        <v>49</v>
      </c>
      <c r="K2" t="s">
        <v>27</v>
      </c>
      <c r="L2" t="s">
        <v>51</v>
      </c>
      <c r="M2">
        <v>1</v>
      </c>
    </row>
    <row r="3" spans="1:13" x14ac:dyDescent="0.25">
      <c r="A3" s="2">
        <v>46155</v>
      </c>
      <c r="B3" s="1" t="str">
        <f ca="1">IF(Información1[[#This Row],[Fecha]]='Ajuste de fechas'!$A$2,"Día actual","Día anterior")</f>
        <v>Día anterior</v>
      </c>
      <c r="C3" t="s">
        <v>34</v>
      </c>
      <c r="D3" t="s">
        <v>35</v>
      </c>
      <c r="E3" t="s">
        <v>94</v>
      </c>
      <c r="F3" t="s">
        <v>17</v>
      </c>
      <c r="G3" t="s">
        <v>95</v>
      </c>
      <c r="H3" t="s">
        <v>32</v>
      </c>
      <c r="I3" t="s">
        <v>25</v>
      </c>
      <c r="J3" t="s">
        <v>49</v>
      </c>
      <c r="K3" t="s">
        <v>9</v>
      </c>
      <c r="L3" t="s">
        <v>51</v>
      </c>
      <c r="M3">
        <v>1</v>
      </c>
    </row>
    <row r="4" spans="1:13" x14ac:dyDescent="0.25">
      <c r="A4" s="2">
        <v>46155</v>
      </c>
      <c r="B4" s="1" t="str">
        <f ca="1">IF(Información1[[#This Row],[Fecha]]='Ajuste de fechas'!$A$2,"Día actual","Día anterior")</f>
        <v>Día anterior</v>
      </c>
      <c r="C4" t="s">
        <v>34</v>
      </c>
      <c r="D4" t="s">
        <v>35</v>
      </c>
      <c r="E4" t="s">
        <v>96</v>
      </c>
      <c r="F4" t="s">
        <v>26</v>
      </c>
      <c r="G4" t="s">
        <v>97</v>
      </c>
      <c r="H4" t="s">
        <v>32</v>
      </c>
      <c r="I4" t="s">
        <v>7</v>
      </c>
      <c r="J4" t="s">
        <v>49</v>
      </c>
      <c r="K4" t="s">
        <v>27</v>
      </c>
      <c r="L4" t="s">
        <v>50</v>
      </c>
      <c r="M4">
        <v>1</v>
      </c>
    </row>
    <row r="5" spans="1:13" x14ac:dyDescent="0.25">
      <c r="A5" s="2">
        <v>46155</v>
      </c>
      <c r="B5" s="1" t="str">
        <f ca="1">IF(Información1[[#This Row],[Fecha]]='Ajuste de fechas'!$A$2,"Día actual","Día anterior")</f>
        <v>Día anterior</v>
      </c>
      <c r="C5" t="s">
        <v>34</v>
      </c>
      <c r="D5" t="s">
        <v>35</v>
      </c>
      <c r="E5" t="s">
        <v>98</v>
      </c>
      <c r="F5" t="s">
        <v>24</v>
      </c>
      <c r="G5" t="s">
        <v>99</v>
      </c>
      <c r="H5" t="s">
        <v>32</v>
      </c>
      <c r="I5" t="s">
        <v>7</v>
      </c>
      <c r="J5" t="s">
        <v>24</v>
      </c>
      <c r="K5" t="s">
        <v>27</v>
      </c>
      <c r="L5" t="s">
        <v>50</v>
      </c>
      <c r="M5">
        <v>1</v>
      </c>
    </row>
    <row r="6" spans="1:13" x14ac:dyDescent="0.25">
      <c r="A6" s="2">
        <v>46155</v>
      </c>
      <c r="B6" s="1" t="str">
        <f ca="1">IF(Información1[[#This Row],[Fecha]]='Ajuste de fechas'!$A$2,"Día actual","Día anterior")</f>
        <v>Día anterior</v>
      </c>
      <c r="C6" t="s">
        <v>34</v>
      </c>
      <c r="D6" t="s">
        <v>35</v>
      </c>
      <c r="E6" t="s">
        <v>100</v>
      </c>
      <c r="F6" t="s">
        <v>6</v>
      </c>
      <c r="G6" t="s">
        <v>101</v>
      </c>
      <c r="H6" t="s">
        <v>32</v>
      </c>
      <c r="I6" t="s">
        <v>7</v>
      </c>
      <c r="J6" t="s">
        <v>49</v>
      </c>
      <c r="K6" t="s">
        <v>27</v>
      </c>
      <c r="L6" t="s">
        <v>50</v>
      </c>
      <c r="M6">
        <v>1</v>
      </c>
    </row>
    <row r="7" spans="1:13" x14ac:dyDescent="0.25">
      <c r="A7" s="2">
        <v>46155</v>
      </c>
      <c r="B7" s="1" t="str">
        <f ca="1">IF(Información1[[#This Row],[Fecha]]='Ajuste de fechas'!$A$2,"Día actual","Día anterior")</f>
        <v>Día anterior</v>
      </c>
      <c r="C7" t="s">
        <v>34</v>
      </c>
      <c r="D7" t="s">
        <v>35</v>
      </c>
      <c r="E7" t="s">
        <v>102</v>
      </c>
      <c r="F7" t="s">
        <v>19</v>
      </c>
      <c r="G7" t="s">
        <v>74</v>
      </c>
      <c r="H7" t="s">
        <v>32</v>
      </c>
      <c r="I7" t="s">
        <v>7</v>
      </c>
      <c r="J7" t="s">
        <v>53</v>
      </c>
      <c r="K7" t="s">
        <v>27</v>
      </c>
      <c r="L7" t="s">
        <v>51</v>
      </c>
      <c r="M7">
        <v>1</v>
      </c>
    </row>
    <row r="8" spans="1:13" x14ac:dyDescent="0.25">
      <c r="A8" s="2">
        <v>46155</v>
      </c>
      <c r="B8" s="1" t="str">
        <f ca="1">IF(Información1[[#This Row],[Fecha]]='Ajuste de fechas'!$A$2,"Día actual","Día anterior")</f>
        <v>Día anterior</v>
      </c>
      <c r="C8" t="s">
        <v>34</v>
      </c>
      <c r="D8" t="s">
        <v>35</v>
      </c>
      <c r="E8" t="s">
        <v>81</v>
      </c>
      <c r="F8" t="s">
        <v>19</v>
      </c>
      <c r="G8" t="s">
        <v>82</v>
      </c>
      <c r="H8" t="s">
        <v>32</v>
      </c>
      <c r="I8" t="s">
        <v>7</v>
      </c>
      <c r="J8" t="s">
        <v>53</v>
      </c>
      <c r="K8" t="s">
        <v>103</v>
      </c>
      <c r="L8" t="s">
        <v>50</v>
      </c>
      <c r="M8">
        <v>1</v>
      </c>
    </row>
    <row r="9" spans="1:13" x14ac:dyDescent="0.25">
      <c r="A9" s="2">
        <v>46155</v>
      </c>
      <c r="B9" s="1" t="str">
        <f ca="1">IF(Información1[[#This Row],[Fecha]]='Ajuste de fechas'!$A$2,"Día actual","Día anterior")</f>
        <v>Día anterior</v>
      </c>
      <c r="C9" t="s">
        <v>34</v>
      </c>
      <c r="D9" t="s">
        <v>35</v>
      </c>
      <c r="E9" t="s">
        <v>104</v>
      </c>
      <c r="F9" t="s">
        <v>23</v>
      </c>
      <c r="G9" t="s">
        <v>93</v>
      </c>
      <c r="H9" t="s">
        <v>32</v>
      </c>
      <c r="I9" t="s">
        <v>7</v>
      </c>
      <c r="J9" t="s">
        <v>49</v>
      </c>
      <c r="K9" t="s">
        <v>27</v>
      </c>
      <c r="L9" t="s">
        <v>52</v>
      </c>
      <c r="M9">
        <v>1</v>
      </c>
    </row>
    <row r="10" spans="1:13" x14ac:dyDescent="0.25">
      <c r="A10" s="2">
        <v>46155</v>
      </c>
      <c r="B10" s="1" t="str">
        <f ca="1">IF(Información1[[#This Row],[Fecha]]='Ajuste de fechas'!$A$2,"Día actual","Día anterior")</f>
        <v>Día anterior</v>
      </c>
      <c r="C10" t="s">
        <v>34</v>
      </c>
      <c r="D10" t="s">
        <v>35</v>
      </c>
      <c r="E10" t="s">
        <v>105</v>
      </c>
      <c r="F10" t="s">
        <v>106</v>
      </c>
      <c r="G10" t="s">
        <v>107</v>
      </c>
      <c r="H10" t="s">
        <v>32</v>
      </c>
      <c r="I10" t="s">
        <v>7</v>
      </c>
      <c r="J10" t="s">
        <v>24</v>
      </c>
      <c r="K10" t="s">
        <v>27</v>
      </c>
      <c r="L10" t="s">
        <v>50</v>
      </c>
      <c r="M10">
        <v>1</v>
      </c>
    </row>
    <row r="11" spans="1:13" x14ac:dyDescent="0.25">
      <c r="A11" s="2">
        <v>46155</v>
      </c>
      <c r="B11" s="1" t="str">
        <f ca="1">IF(Información1[[#This Row],[Fecha]]='Ajuste de fechas'!$A$2,"Día actual","Día anterior")</f>
        <v>Día anterior</v>
      </c>
      <c r="C11" t="s">
        <v>34</v>
      </c>
      <c r="D11" t="s">
        <v>35</v>
      </c>
      <c r="E11" t="s">
        <v>108</v>
      </c>
      <c r="F11" t="s">
        <v>19</v>
      </c>
      <c r="G11" t="s">
        <v>74</v>
      </c>
      <c r="H11" t="s">
        <v>32</v>
      </c>
      <c r="I11" t="s">
        <v>7</v>
      </c>
      <c r="J11" t="s">
        <v>53</v>
      </c>
      <c r="K11" t="s">
        <v>27</v>
      </c>
      <c r="L11" t="s">
        <v>51</v>
      </c>
      <c r="M11">
        <v>1</v>
      </c>
    </row>
    <row r="12" spans="1:13" x14ac:dyDescent="0.25">
      <c r="A12" s="2">
        <v>46155</v>
      </c>
      <c r="B12" s="1" t="str">
        <f ca="1">IF(Información1[[#This Row],[Fecha]]='Ajuste de fechas'!$A$2,"Día actual","Día anterior")</f>
        <v>Día anterior</v>
      </c>
      <c r="C12" t="s">
        <v>34</v>
      </c>
      <c r="D12" t="s">
        <v>35</v>
      </c>
      <c r="E12" t="s">
        <v>109</v>
      </c>
      <c r="F12" t="s">
        <v>70</v>
      </c>
      <c r="G12" t="s">
        <v>133</v>
      </c>
      <c r="H12" t="s">
        <v>32</v>
      </c>
      <c r="I12" t="s">
        <v>7</v>
      </c>
      <c r="J12" t="s">
        <v>24</v>
      </c>
      <c r="K12" t="s">
        <v>27</v>
      </c>
      <c r="L12" t="s">
        <v>50</v>
      </c>
      <c r="M12">
        <v>1</v>
      </c>
    </row>
    <row r="13" spans="1:13" x14ac:dyDescent="0.25">
      <c r="A13" s="2">
        <v>46155</v>
      </c>
      <c r="B13" s="1" t="str">
        <f ca="1">IF(Información1[[#This Row],[Fecha]]='Ajuste de fechas'!$A$2,"Día actual","Día anterior")</f>
        <v>Día anterior</v>
      </c>
      <c r="C13" t="s">
        <v>34</v>
      </c>
      <c r="D13" t="s">
        <v>35</v>
      </c>
      <c r="E13" t="s">
        <v>110</v>
      </c>
      <c r="F13" t="s">
        <v>26</v>
      </c>
      <c r="G13" t="s">
        <v>97</v>
      </c>
      <c r="H13" t="s">
        <v>32</v>
      </c>
      <c r="I13" t="s">
        <v>7</v>
      </c>
      <c r="J13" t="s">
        <v>49</v>
      </c>
      <c r="K13" t="s">
        <v>27</v>
      </c>
      <c r="L13" t="s">
        <v>52</v>
      </c>
      <c r="M13">
        <v>1</v>
      </c>
    </row>
    <row r="14" spans="1:13" x14ac:dyDescent="0.25">
      <c r="A14" s="2">
        <v>46155</v>
      </c>
      <c r="B14" s="1" t="str">
        <f ca="1">IF(Información1[[#This Row],[Fecha]]='Ajuste de fechas'!$A$2,"Día actual","Día anterior")</f>
        <v>Día anterior</v>
      </c>
      <c r="C14" t="s">
        <v>34</v>
      </c>
      <c r="D14" t="s">
        <v>35</v>
      </c>
      <c r="E14" t="s">
        <v>111</v>
      </c>
      <c r="F14" t="s">
        <v>68</v>
      </c>
      <c r="G14" t="s">
        <v>112</v>
      </c>
      <c r="H14" t="s">
        <v>32</v>
      </c>
      <c r="I14" t="s">
        <v>7</v>
      </c>
      <c r="J14" t="s">
        <v>49</v>
      </c>
      <c r="K14" t="s">
        <v>27</v>
      </c>
      <c r="L14" t="s">
        <v>50</v>
      </c>
      <c r="M14">
        <v>1</v>
      </c>
    </row>
    <row r="15" spans="1:13" x14ac:dyDescent="0.25">
      <c r="A15" s="2">
        <v>46155</v>
      </c>
      <c r="B15" s="1" t="str">
        <f ca="1">IF(Información1[[#This Row],[Fecha]]='Ajuste de fechas'!$A$2,"Día actual","Día anterior")</f>
        <v>Día anterior</v>
      </c>
      <c r="C15" t="s">
        <v>34</v>
      </c>
      <c r="D15" t="s">
        <v>35</v>
      </c>
      <c r="E15" t="s">
        <v>113</v>
      </c>
      <c r="F15" t="s">
        <v>21</v>
      </c>
      <c r="G15" t="s">
        <v>117</v>
      </c>
      <c r="H15" t="s">
        <v>32</v>
      </c>
      <c r="I15" t="s">
        <v>7</v>
      </c>
      <c r="J15" t="s">
        <v>49</v>
      </c>
      <c r="K15" t="s">
        <v>27</v>
      </c>
      <c r="L15" t="s">
        <v>50</v>
      </c>
      <c r="M15">
        <v>1</v>
      </c>
    </row>
    <row r="16" spans="1:13" x14ac:dyDescent="0.25">
      <c r="A16" s="2">
        <v>46155</v>
      </c>
      <c r="B16" s="1" t="str">
        <f ca="1">IF(Información1[[#This Row],[Fecha]]='Ajuste de fechas'!$A$2,"Día actual","Día anterior")</f>
        <v>Día anterior</v>
      </c>
      <c r="C16" t="s">
        <v>34</v>
      </c>
      <c r="D16" t="s">
        <v>35</v>
      </c>
      <c r="E16" t="s">
        <v>114</v>
      </c>
      <c r="F16" t="s">
        <v>15</v>
      </c>
      <c r="G16" t="s">
        <v>59</v>
      </c>
      <c r="H16" t="s">
        <v>32</v>
      </c>
      <c r="I16" t="s">
        <v>7</v>
      </c>
      <c r="J16" t="s">
        <v>49</v>
      </c>
      <c r="K16" t="s">
        <v>27</v>
      </c>
      <c r="L16" t="s">
        <v>51</v>
      </c>
      <c r="M16">
        <v>1</v>
      </c>
    </row>
    <row r="17" spans="1:13" x14ac:dyDescent="0.25">
      <c r="A17" s="2">
        <v>46155</v>
      </c>
      <c r="B17" s="1" t="str">
        <f ca="1">IF(Información1[[#This Row],[Fecha]]='Ajuste de fechas'!$A$2,"Día actual","Día anterior")</f>
        <v>Día anterior</v>
      </c>
      <c r="C17" t="s">
        <v>34</v>
      </c>
      <c r="D17" t="s">
        <v>35</v>
      </c>
      <c r="E17" t="s">
        <v>115</v>
      </c>
      <c r="F17" t="s">
        <v>19</v>
      </c>
      <c r="G17" t="s">
        <v>116</v>
      </c>
      <c r="H17" t="s">
        <v>32</v>
      </c>
      <c r="I17" t="s">
        <v>7</v>
      </c>
      <c r="J17" t="s">
        <v>53</v>
      </c>
      <c r="K17" t="s">
        <v>27</v>
      </c>
      <c r="L17" t="s">
        <v>50</v>
      </c>
      <c r="M17">
        <v>1</v>
      </c>
    </row>
    <row r="18" spans="1:13" x14ac:dyDescent="0.25">
      <c r="A18" s="2">
        <v>46155</v>
      </c>
      <c r="B18" s="1" t="str">
        <f ca="1">IF(Información1[[#This Row],[Fecha]]='Ajuste de fechas'!$A$2,"Día actual","Día anterior")</f>
        <v>Día anterior</v>
      </c>
      <c r="C18" t="s">
        <v>34</v>
      </c>
      <c r="D18" t="s">
        <v>35</v>
      </c>
      <c r="E18" t="s">
        <v>113</v>
      </c>
      <c r="F18" t="s">
        <v>21</v>
      </c>
      <c r="G18" t="s">
        <v>117</v>
      </c>
      <c r="H18" t="s">
        <v>32</v>
      </c>
      <c r="I18" t="s">
        <v>7</v>
      </c>
      <c r="J18" t="s">
        <v>49</v>
      </c>
      <c r="K18" t="s">
        <v>27</v>
      </c>
      <c r="L18" t="s">
        <v>50</v>
      </c>
      <c r="M18">
        <v>1</v>
      </c>
    </row>
    <row r="19" spans="1:13" x14ac:dyDescent="0.25">
      <c r="A19" s="2">
        <v>46155</v>
      </c>
      <c r="B19" s="1" t="str">
        <f ca="1">IF(Información1[[#This Row],[Fecha]]='Ajuste de fechas'!$A$2,"Día actual","Día anterior")</f>
        <v>Día anterior</v>
      </c>
      <c r="C19" t="s">
        <v>37</v>
      </c>
      <c r="D19" t="s">
        <v>38</v>
      </c>
      <c r="E19" t="s">
        <v>118</v>
      </c>
      <c r="F19" t="s">
        <v>17</v>
      </c>
      <c r="G19" t="s">
        <v>64</v>
      </c>
      <c r="H19" t="s">
        <v>11</v>
      </c>
      <c r="I19" t="s">
        <v>25</v>
      </c>
      <c r="J19" t="s">
        <v>49</v>
      </c>
      <c r="K19" t="s">
        <v>39</v>
      </c>
      <c r="L19" t="s">
        <v>51</v>
      </c>
      <c r="M19">
        <v>1</v>
      </c>
    </row>
    <row r="20" spans="1:13" x14ac:dyDescent="0.25">
      <c r="A20" s="2">
        <v>46155</v>
      </c>
      <c r="B20" s="1" t="str">
        <f ca="1">IF(Información1[[#This Row],[Fecha]]='Ajuste de fechas'!$A$2,"Día actual","Día anterior")</f>
        <v>Día anterior</v>
      </c>
      <c r="C20" t="s">
        <v>37</v>
      </c>
      <c r="D20" t="s">
        <v>38</v>
      </c>
      <c r="E20" t="s">
        <v>119</v>
      </c>
      <c r="F20" t="s">
        <v>17</v>
      </c>
      <c r="G20" t="s">
        <v>64</v>
      </c>
      <c r="H20" t="s">
        <v>11</v>
      </c>
      <c r="I20" t="s">
        <v>25</v>
      </c>
      <c r="J20" t="s">
        <v>49</v>
      </c>
      <c r="K20" t="s">
        <v>9</v>
      </c>
      <c r="L20" t="s">
        <v>51</v>
      </c>
      <c r="M20">
        <v>1</v>
      </c>
    </row>
    <row r="21" spans="1:13" x14ac:dyDescent="0.25">
      <c r="A21" s="2">
        <v>46155</v>
      </c>
      <c r="B21" s="1" t="str">
        <f ca="1">IF(Información1[[#This Row],[Fecha]]='Ajuste de fechas'!$A$2,"Día actual","Día anterior")</f>
        <v>Día anterior</v>
      </c>
      <c r="C21" t="s">
        <v>37</v>
      </c>
      <c r="D21" t="s">
        <v>38</v>
      </c>
      <c r="E21" t="s">
        <v>120</v>
      </c>
      <c r="F21" t="s">
        <v>23</v>
      </c>
      <c r="G21" t="s">
        <v>76</v>
      </c>
      <c r="H21" t="s">
        <v>11</v>
      </c>
      <c r="I21" t="s">
        <v>7</v>
      </c>
      <c r="J21" t="s">
        <v>49</v>
      </c>
      <c r="K21" t="s">
        <v>39</v>
      </c>
      <c r="L21" t="s">
        <v>52</v>
      </c>
      <c r="M21">
        <v>1</v>
      </c>
    </row>
    <row r="22" spans="1:13" x14ac:dyDescent="0.25">
      <c r="A22" s="2">
        <v>46155</v>
      </c>
      <c r="B22" s="1" t="str">
        <f ca="1">IF(Información1[[#This Row],[Fecha]]='Ajuste de fechas'!$A$2,"Día actual","Día anterior")</f>
        <v>Día anterior</v>
      </c>
      <c r="C22" t="s">
        <v>37</v>
      </c>
      <c r="D22" t="s">
        <v>38</v>
      </c>
      <c r="E22" t="s">
        <v>121</v>
      </c>
      <c r="F22" t="s">
        <v>67</v>
      </c>
      <c r="G22" t="s">
        <v>84</v>
      </c>
      <c r="H22" t="s">
        <v>11</v>
      </c>
      <c r="I22" t="s">
        <v>7</v>
      </c>
      <c r="J22" t="s">
        <v>49</v>
      </c>
      <c r="K22" t="s">
        <v>39</v>
      </c>
      <c r="L22" t="s">
        <v>50</v>
      </c>
      <c r="M22">
        <v>1</v>
      </c>
    </row>
    <row r="23" spans="1:13" x14ac:dyDescent="0.25">
      <c r="A23" s="2">
        <v>46155</v>
      </c>
      <c r="B23" s="1" t="str">
        <f ca="1">IF(Información1[[#This Row],[Fecha]]='Ajuste de fechas'!$A$2,"Día actual","Día anterior")</f>
        <v>Día anterior</v>
      </c>
      <c r="C23" t="s">
        <v>37</v>
      </c>
      <c r="D23" t="s">
        <v>38</v>
      </c>
      <c r="E23" t="s">
        <v>122</v>
      </c>
      <c r="F23" t="s">
        <v>19</v>
      </c>
      <c r="G23" t="s">
        <v>123</v>
      </c>
      <c r="H23" t="s">
        <v>11</v>
      </c>
      <c r="I23" t="s">
        <v>7</v>
      </c>
      <c r="J23" t="s">
        <v>53</v>
      </c>
      <c r="K23" t="s">
        <v>39</v>
      </c>
      <c r="L23" t="s">
        <v>50</v>
      </c>
      <c r="M23">
        <v>1</v>
      </c>
    </row>
    <row r="24" spans="1:13" x14ac:dyDescent="0.25">
      <c r="A24" s="2">
        <v>46155</v>
      </c>
      <c r="B24" s="1" t="str">
        <f ca="1">IF(Información1[[#This Row],[Fecha]]='Ajuste de fechas'!$A$2,"Día actual","Día anterior")</f>
        <v>Día anterior</v>
      </c>
      <c r="C24" t="s">
        <v>37</v>
      </c>
      <c r="D24" t="s">
        <v>38</v>
      </c>
      <c r="E24" t="s">
        <v>124</v>
      </c>
      <c r="F24" t="s">
        <v>19</v>
      </c>
      <c r="G24" t="s">
        <v>125</v>
      </c>
      <c r="H24" t="s">
        <v>11</v>
      </c>
      <c r="I24" t="s">
        <v>7</v>
      </c>
      <c r="J24" t="s">
        <v>53</v>
      </c>
      <c r="K24" t="s">
        <v>39</v>
      </c>
      <c r="L24" t="s">
        <v>50</v>
      </c>
      <c r="M24">
        <v>1</v>
      </c>
    </row>
    <row r="25" spans="1:13" x14ac:dyDescent="0.25">
      <c r="A25" s="2">
        <v>46155</v>
      </c>
      <c r="B25" s="1" t="str">
        <f ca="1">IF(Información1[[#This Row],[Fecha]]='Ajuste de fechas'!$A$2,"Día actual","Día anterior")</f>
        <v>Día anterior</v>
      </c>
      <c r="C25" t="s">
        <v>37</v>
      </c>
      <c r="D25" t="s">
        <v>38</v>
      </c>
      <c r="E25" t="s">
        <v>126</v>
      </c>
      <c r="F25" t="s">
        <v>19</v>
      </c>
      <c r="G25" t="s">
        <v>127</v>
      </c>
      <c r="H25" t="s">
        <v>11</v>
      </c>
      <c r="I25" t="s">
        <v>25</v>
      </c>
      <c r="J25" t="s">
        <v>53</v>
      </c>
      <c r="K25" t="s">
        <v>39</v>
      </c>
      <c r="L25" t="s">
        <v>50</v>
      </c>
      <c r="M25">
        <v>1</v>
      </c>
    </row>
    <row r="26" spans="1:13" x14ac:dyDescent="0.25">
      <c r="A26" s="2">
        <v>46155</v>
      </c>
      <c r="B26" s="1" t="str">
        <f ca="1">IF(Información1[[#This Row],[Fecha]]='Ajuste de fechas'!$A$2,"Día actual","Día anterior")</f>
        <v>Día anterior</v>
      </c>
      <c r="C26" t="s">
        <v>37</v>
      </c>
      <c r="D26" t="s">
        <v>38</v>
      </c>
      <c r="E26" t="s">
        <v>128</v>
      </c>
      <c r="F26" t="s">
        <v>22</v>
      </c>
      <c r="G26" t="s">
        <v>129</v>
      </c>
      <c r="H26" t="s">
        <v>11</v>
      </c>
      <c r="I26" t="s">
        <v>7</v>
      </c>
      <c r="J26" t="s">
        <v>54</v>
      </c>
      <c r="K26" t="s">
        <v>39</v>
      </c>
      <c r="L26" t="s">
        <v>50</v>
      </c>
      <c r="M26">
        <v>1</v>
      </c>
    </row>
    <row r="27" spans="1:13" x14ac:dyDescent="0.25">
      <c r="A27" s="2">
        <v>46155</v>
      </c>
      <c r="B27" s="1" t="str">
        <f ca="1">IF(Información1[[#This Row],[Fecha]]='Ajuste de fechas'!$A$2,"Día actual","Día anterior")</f>
        <v>Día anterior</v>
      </c>
      <c r="C27" t="s">
        <v>37</v>
      </c>
      <c r="D27" t="s">
        <v>38</v>
      </c>
      <c r="E27" t="s">
        <v>130</v>
      </c>
      <c r="F27" t="s">
        <v>19</v>
      </c>
      <c r="G27" t="s">
        <v>131</v>
      </c>
      <c r="H27" t="s">
        <v>11</v>
      </c>
      <c r="I27" t="s">
        <v>7</v>
      </c>
      <c r="J27" t="s">
        <v>53</v>
      </c>
      <c r="K27" t="s">
        <v>39</v>
      </c>
      <c r="L27" t="s">
        <v>55</v>
      </c>
      <c r="M27">
        <v>1</v>
      </c>
    </row>
    <row r="28" spans="1:13" x14ac:dyDescent="0.25">
      <c r="A28" s="2">
        <v>46155</v>
      </c>
      <c r="B28" s="1" t="str">
        <f ca="1">IF(Información1[[#This Row],[Fecha]]='Ajuste de fechas'!$A$2,"Día actual","Día anterior")</f>
        <v>Día anterior</v>
      </c>
      <c r="C28" t="s">
        <v>37</v>
      </c>
      <c r="D28" t="s">
        <v>38</v>
      </c>
      <c r="E28" t="s">
        <v>132</v>
      </c>
      <c r="F28" t="s">
        <v>21</v>
      </c>
      <c r="G28" t="s">
        <v>133</v>
      </c>
      <c r="H28" t="s">
        <v>11</v>
      </c>
      <c r="I28" t="s">
        <v>7</v>
      </c>
      <c r="J28" t="s">
        <v>49</v>
      </c>
      <c r="K28" t="s">
        <v>39</v>
      </c>
      <c r="L28" t="s">
        <v>52</v>
      </c>
      <c r="M28">
        <v>1</v>
      </c>
    </row>
    <row r="29" spans="1:13" x14ac:dyDescent="0.25">
      <c r="A29" s="2">
        <v>46155</v>
      </c>
      <c r="B29" s="1" t="str">
        <f ca="1">IF(Información1[[#This Row],[Fecha]]='Ajuste de fechas'!$A$2,"Día actual","Día anterior")</f>
        <v>Día anterior</v>
      </c>
      <c r="C29" t="s">
        <v>37</v>
      </c>
      <c r="D29" t="s">
        <v>38</v>
      </c>
      <c r="E29" t="s">
        <v>134</v>
      </c>
      <c r="F29" t="s">
        <v>68</v>
      </c>
      <c r="G29" t="s">
        <v>65</v>
      </c>
      <c r="H29" t="s">
        <v>11</v>
      </c>
      <c r="I29" t="s">
        <v>7</v>
      </c>
      <c r="J29" t="s">
        <v>49</v>
      </c>
      <c r="K29" t="s">
        <v>39</v>
      </c>
      <c r="L29" t="s">
        <v>50</v>
      </c>
      <c r="M29">
        <v>1</v>
      </c>
    </row>
    <row r="30" spans="1:13" x14ac:dyDescent="0.25">
      <c r="A30" s="2">
        <v>46155</v>
      </c>
      <c r="B30" s="1" t="str">
        <f ca="1">IF(Información1[[#This Row],[Fecha]]='Ajuste de fechas'!$A$2,"Día actual","Día anterior")</f>
        <v>Día anterior</v>
      </c>
      <c r="C30" t="s">
        <v>37</v>
      </c>
      <c r="D30" t="s">
        <v>38</v>
      </c>
      <c r="E30" t="s">
        <v>135</v>
      </c>
      <c r="F30" t="s">
        <v>136</v>
      </c>
      <c r="G30" t="s">
        <v>137</v>
      </c>
      <c r="H30" t="s">
        <v>11</v>
      </c>
      <c r="I30" t="s">
        <v>7</v>
      </c>
      <c r="J30" t="s">
        <v>24</v>
      </c>
      <c r="K30" t="s">
        <v>39</v>
      </c>
      <c r="L30" t="s">
        <v>50</v>
      </c>
      <c r="M30">
        <v>1</v>
      </c>
    </row>
    <row r="31" spans="1:13" x14ac:dyDescent="0.25">
      <c r="A31" s="2">
        <v>46155</v>
      </c>
      <c r="B31" s="1" t="str">
        <f ca="1">IF(Información1[[#This Row],[Fecha]]='Ajuste de fechas'!$A$2,"Día actual","Día anterior")</f>
        <v>Día anterior</v>
      </c>
      <c r="C31" t="s">
        <v>37</v>
      </c>
      <c r="D31" t="s">
        <v>38</v>
      </c>
      <c r="E31" t="s">
        <v>138</v>
      </c>
      <c r="F31" t="s">
        <v>17</v>
      </c>
      <c r="G31" t="s">
        <v>64</v>
      </c>
      <c r="H31" t="s">
        <v>11</v>
      </c>
      <c r="I31" t="s">
        <v>25</v>
      </c>
      <c r="J31" t="s">
        <v>49</v>
      </c>
      <c r="K31" t="s">
        <v>39</v>
      </c>
      <c r="L31" t="s">
        <v>51</v>
      </c>
      <c r="M31">
        <v>1</v>
      </c>
    </row>
    <row r="32" spans="1:13" x14ac:dyDescent="0.25">
      <c r="A32" s="2">
        <v>46155</v>
      </c>
      <c r="B32" s="1" t="str">
        <f ca="1">IF(Información1[[#This Row],[Fecha]]='Ajuste de fechas'!$A$2,"Día actual","Día anterior")</f>
        <v>Día anterior</v>
      </c>
      <c r="C32" t="s">
        <v>34</v>
      </c>
      <c r="D32" t="s">
        <v>35</v>
      </c>
      <c r="E32" t="s">
        <v>139</v>
      </c>
      <c r="F32" t="s">
        <v>19</v>
      </c>
      <c r="G32" t="s">
        <v>74</v>
      </c>
      <c r="H32" t="s">
        <v>32</v>
      </c>
      <c r="I32" t="s">
        <v>7</v>
      </c>
      <c r="J32" t="s">
        <v>53</v>
      </c>
      <c r="K32" t="s">
        <v>27</v>
      </c>
      <c r="L32" t="s">
        <v>51</v>
      </c>
      <c r="M32">
        <v>1</v>
      </c>
    </row>
    <row r="33" spans="1:13" x14ac:dyDescent="0.25">
      <c r="A33" s="2">
        <v>46155</v>
      </c>
      <c r="B33" s="1" t="str">
        <f ca="1">IF(Información1[[#This Row],[Fecha]]='Ajuste de fechas'!$A$2,"Día actual","Día anterior")</f>
        <v>Día anterior</v>
      </c>
      <c r="C33" t="s">
        <v>34</v>
      </c>
      <c r="D33" t="s">
        <v>35</v>
      </c>
      <c r="E33" t="s">
        <v>81</v>
      </c>
      <c r="F33" t="s">
        <v>19</v>
      </c>
      <c r="G33" t="s">
        <v>74</v>
      </c>
      <c r="H33" t="s">
        <v>32</v>
      </c>
      <c r="I33" t="s">
        <v>7</v>
      </c>
      <c r="J33" t="s">
        <v>53</v>
      </c>
      <c r="K33" t="s">
        <v>27</v>
      </c>
      <c r="L33" t="s">
        <v>51</v>
      </c>
      <c r="M33">
        <v>1</v>
      </c>
    </row>
    <row r="34" spans="1:13" x14ac:dyDescent="0.25">
      <c r="A34" s="2">
        <v>46155</v>
      </c>
      <c r="B34" s="1" t="str">
        <f ca="1">IF(Información1[[#This Row],[Fecha]]='Ajuste de fechas'!$A$2,"Día actual","Día anterior")</f>
        <v>Día anterior</v>
      </c>
      <c r="C34" t="s">
        <v>34</v>
      </c>
      <c r="D34" t="s">
        <v>35</v>
      </c>
      <c r="E34" t="s">
        <v>111</v>
      </c>
      <c r="F34" t="s">
        <v>68</v>
      </c>
      <c r="G34" t="s">
        <v>65</v>
      </c>
      <c r="H34" t="s">
        <v>32</v>
      </c>
      <c r="I34" t="s">
        <v>7</v>
      </c>
      <c r="J34" t="s">
        <v>49</v>
      </c>
      <c r="K34" t="s">
        <v>27</v>
      </c>
      <c r="L34" t="s">
        <v>50</v>
      </c>
      <c r="M34">
        <v>1</v>
      </c>
    </row>
    <row r="35" spans="1:13" x14ac:dyDescent="0.25">
      <c r="A35" s="2">
        <v>46155</v>
      </c>
      <c r="B35" s="1" t="str">
        <f ca="1">IF(Información1[[#This Row],[Fecha]]='Ajuste de fechas'!$A$2,"Día actual","Día anterior")</f>
        <v>Día anterior</v>
      </c>
      <c r="C35" t="s">
        <v>8</v>
      </c>
      <c r="D35" t="s">
        <v>10</v>
      </c>
      <c r="E35" t="s">
        <v>145</v>
      </c>
      <c r="F35" t="s">
        <v>6</v>
      </c>
      <c r="G35" t="s">
        <v>66</v>
      </c>
      <c r="H35" t="s">
        <v>11</v>
      </c>
      <c r="I35" t="s">
        <v>25</v>
      </c>
      <c r="J35" t="s">
        <v>49</v>
      </c>
      <c r="K35" t="s">
        <v>9</v>
      </c>
      <c r="L35" t="s">
        <v>51</v>
      </c>
      <c r="M35">
        <v>1</v>
      </c>
    </row>
    <row r="36" spans="1:13" x14ac:dyDescent="0.25">
      <c r="A36" s="2">
        <v>46155</v>
      </c>
      <c r="B36" s="1" t="str">
        <f ca="1">IF(Información1[[#This Row],[Fecha]]='Ajuste de fechas'!$A$2,"Día actual","Día anterior")</f>
        <v>Día anterior</v>
      </c>
      <c r="C36" t="s">
        <v>8</v>
      </c>
      <c r="D36" t="s">
        <v>10</v>
      </c>
      <c r="E36" t="s">
        <v>146</v>
      </c>
      <c r="F36" t="s">
        <v>6</v>
      </c>
      <c r="G36" t="s">
        <v>66</v>
      </c>
      <c r="H36" t="s">
        <v>11</v>
      </c>
      <c r="I36" t="s">
        <v>25</v>
      </c>
      <c r="J36" t="s">
        <v>49</v>
      </c>
      <c r="K36" t="s">
        <v>9</v>
      </c>
      <c r="L36" t="s">
        <v>51</v>
      </c>
      <c r="M36">
        <v>1</v>
      </c>
    </row>
    <row r="37" spans="1:13" x14ac:dyDescent="0.25">
      <c r="A37" s="2">
        <v>46155</v>
      </c>
      <c r="B37" s="1" t="str">
        <f ca="1">IF(Información1[[#This Row],[Fecha]]='Ajuste de fechas'!$A$2,"Día actual","Día anterior")</f>
        <v>Día anterior</v>
      </c>
      <c r="C37" t="s">
        <v>8</v>
      </c>
      <c r="D37" t="s">
        <v>10</v>
      </c>
      <c r="E37" t="s">
        <v>147</v>
      </c>
      <c r="F37" t="s">
        <v>6</v>
      </c>
      <c r="G37" t="s">
        <v>66</v>
      </c>
      <c r="H37" t="s">
        <v>11</v>
      </c>
      <c r="I37" t="s">
        <v>25</v>
      </c>
      <c r="J37" t="s">
        <v>49</v>
      </c>
      <c r="K37" t="s">
        <v>9</v>
      </c>
      <c r="L37" t="s">
        <v>51</v>
      </c>
      <c r="M37">
        <v>1</v>
      </c>
    </row>
    <row r="38" spans="1:13" x14ac:dyDescent="0.25">
      <c r="A38" s="2">
        <v>46155</v>
      </c>
      <c r="B38" s="1" t="str">
        <f ca="1">IF(Información1[[#This Row],[Fecha]]='Ajuste de fechas'!$A$2,"Día actual","Día anterior")</f>
        <v>Día anterior</v>
      </c>
      <c r="C38" t="s">
        <v>8</v>
      </c>
      <c r="D38" t="s">
        <v>10</v>
      </c>
      <c r="E38" t="s">
        <v>148</v>
      </c>
      <c r="F38" t="s">
        <v>6</v>
      </c>
      <c r="G38" t="s">
        <v>66</v>
      </c>
      <c r="H38" t="s">
        <v>11</v>
      </c>
      <c r="I38" t="s">
        <v>25</v>
      </c>
      <c r="J38" t="s">
        <v>49</v>
      </c>
      <c r="K38" t="s">
        <v>9</v>
      </c>
      <c r="L38" t="s">
        <v>51</v>
      </c>
      <c r="M38">
        <v>1</v>
      </c>
    </row>
    <row r="39" spans="1:13" x14ac:dyDescent="0.25">
      <c r="A39" s="2">
        <v>46155</v>
      </c>
      <c r="B39" s="1" t="str">
        <f ca="1">IF(Información1[[#This Row],[Fecha]]='Ajuste de fechas'!$A$2,"Día actual","Día anterior")</f>
        <v>Día anterior</v>
      </c>
      <c r="C39" t="s">
        <v>8</v>
      </c>
      <c r="D39" t="s">
        <v>10</v>
      </c>
      <c r="E39" t="s">
        <v>149</v>
      </c>
      <c r="F39" t="s">
        <v>6</v>
      </c>
      <c r="G39" t="s">
        <v>66</v>
      </c>
      <c r="H39" t="s">
        <v>11</v>
      </c>
      <c r="I39" t="s">
        <v>25</v>
      </c>
      <c r="J39" t="s">
        <v>49</v>
      </c>
      <c r="K39" t="s">
        <v>9</v>
      </c>
      <c r="L39" t="s">
        <v>51</v>
      </c>
      <c r="M39">
        <v>1</v>
      </c>
    </row>
    <row r="40" spans="1:13" x14ac:dyDescent="0.25">
      <c r="A40" s="2">
        <v>46155</v>
      </c>
      <c r="B40" s="1" t="str">
        <f ca="1">IF(Información1[[#This Row],[Fecha]]='Ajuste de fechas'!$A$2,"Día actual","Día anterior")</f>
        <v>Día anterior</v>
      </c>
      <c r="C40" t="s">
        <v>8</v>
      </c>
      <c r="D40" t="s">
        <v>10</v>
      </c>
      <c r="E40" t="s">
        <v>150</v>
      </c>
      <c r="F40" t="s">
        <v>6</v>
      </c>
      <c r="G40" t="s">
        <v>66</v>
      </c>
      <c r="H40" t="s">
        <v>11</v>
      </c>
      <c r="I40" t="s">
        <v>25</v>
      </c>
      <c r="J40" t="s">
        <v>49</v>
      </c>
      <c r="K40" t="s">
        <v>9</v>
      </c>
      <c r="L40" t="s">
        <v>51</v>
      </c>
      <c r="M40">
        <v>1</v>
      </c>
    </row>
    <row r="41" spans="1:13" x14ac:dyDescent="0.25">
      <c r="A41" s="2">
        <v>46155</v>
      </c>
      <c r="B41" s="1" t="str">
        <f ca="1">IF(Información1[[#This Row],[Fecha]]='Ajuste de fechas'!$A$2,"Día actual","Día anterior")</f>
        <v>Día anterior</v>
      </c>
      <c r="C41" t="s">
        <v>8</v>
      </c>
      <c r="D41" t="s">
        <v>10</v>
      </c>
      <c r="E41" t="s">
        <v>151</v>
      </c>
      <c r="F41" t="s">
        <v>6</v>
      </c>
      <c r="G41" t="s">
        <v>66</v>
      </c>
      <c r="H41" t="s">
        <v>11</v>
      </c>
      <c r="I41" t="s">
        <v>25</v>
      </c>
      <c r="J41" t="s">
        <v>49</v>
      </c>
      <c r="K41" t="s">
        <v>9</v>
      </c>
      <c r="L41" t="s">
        <v>51</v>
      </c>
      <c r="M41">
        <v>1</v>
      </c>
    </row>
    <row r="42" spans="1:13" x14ac:dyDescent="0.25">
      <c r="A42" s="2">
        <v>46155</v>
      </c>
      <c r="B42" s="1" t="str">
        <f ca="1">IF(Información1[[#This Row],[Fecha]]='Ajuste de fechas'!$A$2,"Día actual","Día anterior")</f>
        <v>Día anterior</v>
      </c>
      <c r="C42" t="s">
        <v>28</v>
      </c>
      <c r="D42" t="s">
        <v>31</v>
      </c>
      <c r="E42" t="s">
        <v>152</v>
      </c>
      <c r="F42" t="s">
        <v>15</v>
      </c>
      <c r="G42" t="s">
        <v>153</v>
      </c>
      <c r="H42" t="s">
        <v>11</v>
      </c>
      <c r="I42" t="s">
        <v>7</v>
      </c>
      <c r="J42" t="s">
        <v>49</v>
      </c>
      <c r="K42" t="s">
        <v>29</v>
      </c>
      <c r="L42" t="s">
        <v>50</v>
      </c>
      <c r="M42">
        <v>1</v>
      </c>
    </row>
    <row r="43" spans="1:13" x14ac:dyDescent="0.25">
      <c r="A43" s="2">
        <v>46155</v>
      </c>
      <c r="B43" s="1" t="str">
        <f ca="1">IF(Información1[[#This Row],[Fecha]]='Ajuste de fechas'!$A$2,"Día actual","Día anterior")</f>
        <v>Día anterior</v>
      </c>
      <c r="C43" t="s">
        <v>78</v>
      </c>
      <c r="D43" t="s">
        <v>79</v>
      </c>
      <c r="E43" t="s">
        <v>154</v>
      </c>
      <c r="F43" t="s">
        <v>15</v>
      </c>
      <c r="G43" t="s">
        <v>153</v>
      </c>
      <c r="H43" t="s">
        <v>11</v>
      </c>
      <c r="I43" t="s">
        <v>7</v>
      </c>
      <c r="J43" t="s">
        <v>49</v>
      </c>
      <c r="K43" t="s">
        <v>80</v>
      </c>
      <c r="L43" t="s">
        <v>52</v>
      </c>
      <c r="M43">
        <v>1</v>
      </c>
    </row>
    <row r="44" spans="1:13" x14ac:dyDescent="0.25">
      <c r="A44" s="2">
        <v>46155</v>
      </c>
      <c r="B44" s="1" t="str">
        <f ca="1">IF(Información1[[#This Row],[Fecha]]='Ajuste de fechas'!$A$2,"Día actual","Día anterior")</f>
        <v>Día anterior</v>
      </c>
      <c r="C44" t="s">
        <v>28</v>
      </c>
      <c r="D44" t="s">
        <v>30</v>
      </c>
      <c r="E44" t="s">
        <v>155</v>
      </c>
      <c r="F44" t="s">
        <v>19</v>
      </c>
      <c r="G44" t="s">
        <v>74</v>
      </c>
      <c r="H44" t="s">
        <v>11</v>
      </c>
      <c r="I44" t="s">
        <v>7</v>
      </c>
      <c r="J44" t="s">
        <v>53</v>
      </c>
      <c r="K44" t="s">
        <v>41</v>
      </c>
      <c r="L44" t="s">
        <v>50</v>
      </c>
      <c r="M44">
        <v>1</v>
      </c>
    </row>
    <row r="45" spans="1:13" x14ac:dyDescent="0.25">
      <c r="A45" s="2">
        <v>46155</v>
      </c>
      <c r="B45" s="1" t="str">
        <f ca="1">IF(Información1[[#This Row],[Fecha]]='Ajuste de fechas'!$A$2,"Día actual","Día anterior")</f>
        <v>Día anterior</v>
      </c>
      <c r="C45" t="s">
        <v>28</v>
      </c>
      <c r="D45" t="s">
        <v>30</v>
      </c>
      <c r="E45" t="s">
        <v>156</v>
      </c>
      <c r="F45" t="s">
        <v>67</v>
      </c>
      <c r="G45" t="s">
        <v>85</v>
      </c>
      <c r="H45" t="s">
        <v>11</v>
      </c>
      <c r="I45" t="s">
        <v>25</v>
      </c>
      <c r="J45" t="s">
        <v>49</v>
      </c>
      <c r="K45" t="s">
        <v>41</v>
      </c>
      <c r="L45" t="s">
        <v>50</v>
      </c>
      <c r="M45">
        <v>1</v>
      </c>
    </row>
    <row r="46" spans="1:13" x14ac:dyDescent="0.25">
      <c r="A46" s="2">
        <v>46155</v>
      </c>
      <c r="B46" s="1" t="str">
        <f ca="1">IF(Información1[[#This Row],[Fecha]]='Ajuste de fechas'!$A$2,"Día actual","Día anterior")</f>
        <v>Día anterior</v>
      </c>
      <c r="C46" t="s">
        <v>8</v>
      </c>
      <c r="D46" t="s">
        <v>10</v>
      </c>
      <c r="E46" t="s">
        <v>42</v>
      </c>
      <c r="F46" t="s">
        <v>6</v>
      </c>
      <c r="G46" t="s">
        <v>40</v>
      </c>
      <c r="H46" t="s">
        <v>11</v>
      </c>
      <c r="I46" t="s">
        <v>12</v>
      </c>
      <c r="J46" t="s">
        <v>49</v>
      </c>
      <c r="K46" t="s">
        <v>14</v>
      </c>
      <c r="L46" t="s">
        <v>51</v>
      </c>
      <c r="M46">
        <v>1</v>
      </c>
    </row>
    <row r="47" spans="1:13" x14ac:dyDescent="0.25">
      <c r="A47" s="2">
        <v>46155</v>
      </c>
      <c r="B47" s="1" t="str">
        <f ca="1">IF(Información1[[#This Row],[Fecha]]='Ajuste de fechas'!$A$2,"Día actual","Día anterior")</f>
        <v>Día anterior</v>
      </c>
      <c r="C47" t="s">
        <v>8</v>
      </c>
      <c r="D47" t="s">
        <v>10</v>
      </c>
      <c r="E47" t="s">
        <v>16</v>
      </c>
      <c r="F47" t="s">
        <v>17</v>
      </c>
      <c r="G47" t="s">
        <v>40</v>
      </c>
      <c r="H47" t="s">
        <v>11</v>
      </c>
      <c r="I47" t="s">
        <v>12</v>
      </c>
      <c r="J47" t="s">
        <v>49</v>
      </c>
      <c r="K47" t="s">
        <v>14</v>
      </c>
      <c r="L47" t="s">
        <v>51</v>
      </c>
      <c r="M47">
        <v>1</v>
      </c>
    </row>
    <row r="48" spans="1:13" x14ac:dyDescent="0.25">
      <c r="A48" s="2">
        <v>46155</v>
      </c>
      <c r="B48" s="1" t="str">
        <f ca="1">IF(Información1[[#This Row],[Fecha]]='Ajuste de fechas'!$A$2,"Día actual","Día anterior")</f>
        <v>Día anterior</v>
      </c>
      <c r="C48" t="s">
        <v>8</v>
      </c>
      <c r="D48" t="s">
        <v>10</v>
      </c>
      <c r="E48" t="s">
        <v>13</v>
      </c>
      <c r="F48" t="s">
        <v>15</v>
      </c>
      <c r="G48" t="s">
        <v>40</v>
      </c>
      <c r="H48" t="s">
        <v>11</v>
      </c>
      <c r="I48" t="s">
        <v>12</v>
      </c>
      <c r="J48" t="s">
        <v>49</v>
      </c>
      <c r="K48" t="s">
        <v>14</v>
      </c>
      <c r="L48" t="s">
        <v>51</v>
      </c>
      <c r="M48">
        <v>1</v>
      </c>
    </row>
    <row r="49" spans="1:13" x14ac:dyDescent="0.25">
      <c r="A49" s="2">
        <v>46155</v>
      </c>
      <c r="B49" s="1" t="str">
        <f ca="1">IF(Información1[[#This Row],[Fecha]]='Ajuste de fechas'!$A$2,"Día actual","Día anterior")</f>
        <v>Día anterior</v>
      </c>
      <c r="C49" t="s">
        <v>8</v>
      </c>
      <c r="D49" t="s">
        <v>10</v>
      </c>
      <c r="E49" t="s">
        <v>157</v>
      </c>
      <c r="F49" t="s">
        <v>21</v>
      </c>
      <c r="G49" t="s">
        <v>40</v>
      </c>
      <c r="H49" t="s">
        <v>11</v>
      </c>
      <c r="I49" t="s">
        <v>12</v>
      </c>
      <c r="J49" t="s">
        <v>49</v>
      </c>
      <c r="K49" t="s">
        <v>14</v>
      </c>
      <c r="L49" t="s">
        <v>51</v>
      </c>
      <c r="M49">
        <v>1</v>
      </c>
    </row>
    <row r="50" spans="1:13" x14ac:dyDescent="0.25">
      <c r="A50" s="2">
        <v>46155</v>
      </c>
      <c r="B50" s="1" t="str">
        <f ca="1">IF(Información1[[#This Row],[Fecha]]='Ajuste de fechas'!$A$2,"Día actual","Día anterior")</f>
        <v>Día anterior</v>
      </c>
      <c r="C50" t="s">
        <v>8</v>
      </c>
      <c r="D50" t="s">
        <v>10</v>
      </c>
      <c r="E50" t="s">
        <v>18</v>
      </c>
      <c r="F50" t="s">
        <v>19</v>
      </c>
      <c r="G50" t="s">
        <v>40</v>
      </c>
      <c r="H50" t="s">
        <v>11</v>
      </c>
      <c r="I50" t="s">
        <v>12</v>
      </c>
      <c r="J50" t="s">
        <v>53</v>
      </c>
      <c r="K50" t="s">
        <v>14</v>
      </c>
      <c r="L50" t="s">
        <v>51</v>
      </c>
      <c r="M50">
        <v>1</v>
      </c>
    </row>
    <row r="51" spans="1:13" x14ac:dyDescent="0.25">
      <c r="A51" s="2">
        <v>46155</v>
      </c>
      <c r="B51" s="1" t="str">
        <f ca="1">IF(Información1[[#This Row],[Fecha]]='Ajuste de fechas'!$A$2,"Día actual","Día anterior")</f>
        <v>Día anterior</v>
      </c>
      <c r="C51" t="s">
        <v>8</v>
      </c>
      <c r="D51" t="s">
        <v>10</v>
      </c>
      <c r="E51" t="s">
        <v>20</v>
      </c>
      <c r="F51" t="s">
        <v>19</v>
      </c>
      <c r="G51" t="s">
        <v>40</v>
      </c>
      <c r="H51" t="s">
        <v>11</v>
      </c>
      <c r="I51" t="s">
        <v>12</v>
      </c>
      <c r="J51" t="s">
        <v>53</v>
      </c>
      <c r="K51" t="s">
        <v>14</v>
      </c>
      <c r="L51" t="s">
        <v>51</v>
      </c>
      <c r="M51">
        <v>1</v>
      </c>
    </row>
    <row r="52" spans="1:13" x14ac:dyDescent="0.25">
      <c r="A52" s="2">
        <v>46155</v>
      </c>
      <c r="B52" s="1" t="str">
        <f ca="1">IF(Información1[[#This Row],[Fecha]]='Ajuste de fechas'!$A$2,"Día actual","Día anterior")</f>
        <v>Día anterior</v>
      </c>
      <c r="C52" t="s">
        <v>28</v>
      </c>
      <c r="D52" t="s">
        <v>31</v>
      </c>
      <c r="E52" t="s">
        <v>158</v>
      </c>
      <c r="F52" t="s">
        <v>36</v>
      </c>
      <c r="G52" t="s">
        <v>159</v>
      </c>
      <c r="H52" t="s">
        <v>11</v>
      </c>
      <c r="I52" t="s">
        <v>7</v>
      </c>
      <c r="J52" t="s">
        <v>49</v>
      </c>
      <c r="K52" t="s">
        <v>29</v>
      </c>
      <c r="L52" t="s">
        <v>50</v>
      </c>
      <c r="M52">
        <v>1</v>
      </c>
    </row>
    <row r="53" spans="1:13" x14ac:dyDescent="0.25">
      <c r="A53" s="2">
        <v>46155</v>
      </c>
      <c r="B53" s="1" t="str">
        <f ca="1">IF(Información1[[#This Row],[Fecha]]='Ajuste de fechas'!$A$2,"Día actual","Día anterior")</f>
        <v>Día anterior</v>
      </c>
      <c r="C53" t="s">
        <v>28</v>
      </c>
      <c r="D53" t="s">
        <v>31</v>
      </c>
      <c r="E53" t="s">
        <v>160</v>
      </c>
      <c r="F53" t="s">
        <v>23</v>
      </c>
      <c r="G53" t="s">
        <v>76</v>
      </c>
      <c r="H53" t="s">
        <v>11</v>
      </c>
      <c r="I53" t="s">
        <v>7</v>
      </c>
      <c r="J53" t="s">
        <v>49</v>
      </c>
      <c r="K53" t="s">
        <v>29</v>
      </c>
      <c r="L53" t="s">
        <v>50</v>
      </c>
      <c r="M53">
        <v>1</v>
      </c>
    </row>
    <row r="54" spans="1:13" x14ac:dyDescent="0.25">
      <c r="A54" s="2">
        <v>46155</v>
      </c>
      <c r="B54" s="1" t="str">
        <f ca="1">IF(Información1[[#This Row],[Fecha]]='Ajuste de fechas'!$A$2,"Día actual","Día anterior")</f>
        <v>Día anterior</v>
      </c>
      <c r="C54" t="s">
        <v>28</v>
      </c>
      <c r="D54" t="s">
        <v>31</v>
      </c>
      <c r="E54" t="s">
        <v>161</v>
      </c>
      <c r="F54" t="s">
        <v>19</v>
      </c>
      <c r="G54" t="s">
        <v>162</v>
      </c>
      <c r="H54" t="s">
        <v>11</v>
      </c>
      <c r="I54" t="s">
        <v>7</v>
      </c>
      <c r="J54" t="s">
        <v>53</v>
      </c>
      <c r="K54" t="s">
        <v>29</v>
      </c>
      <c r="L54" t="s">
        <v>50</v>
      </c>
      <c r="M54">
        <v>1</v>
      </c>
    </row>
    <row r="55" spans="1:13" x14ac:dyDescent="0.25">
      <c r="A55" s="2">
        <v>46155</v>
      </c>
      <c r="B55" s="1" t="str">
        <f ca="1">IF(Información1[[#This Row],[Fecha]]='Ajuste de fechas'!$A$2,"Día actual","Día anterior")</f>
        <v>Día anterior</v>
      </c>
      <c r="C55" t="s">
        <v>28</v>
      </c>
      <c r="D55" t="s">
        <v>31</v>
      </c>
      <c r="E55" t="s">
        <v>163</v>
      </c>
      <c r="F55" t="s">
        <v>19</v>
      </c>
      <c r="G55" t="s">
        <v>116</v>
      </c>
      <c r="H55" t="s">
        <v>11</v>
      </c>
      <c r="I55" t="s">
        <v>7</v>
      </c>
      <c r="J55" t="s">
        <v>53</v>
      </c>
      <c r="K55" t="s">
        <v>29</v>
      </c>
      <c r="L55" t="s">
        <v>50</v>
      </c>
      <c r="M55">
        <v>1</v>
      </c>
    </row>
    <row r="56" spans="1:13" x14ac:dyDescent="0.25">
      <c r="A56" s="2">
        <v>46155</v>
      </c>
      <c r="B56" s="1" t="str">
        <f ca="1">IF(Información1[[#This Row],[Fecha]]='Ajuste de fechas'!$A$2,"Día actual","Día anterior")</f>
        <v>Día anterior</v>
      </c>
      <c r="C56" t="s">
        <v>28</v>
      </c>
      <c r="D56" t="s">
        <v>31</v>
      </c>
      <c r="E56" t="s">
        <v>164</v>
      </c>
      <c r="F56" t="s">
        <v>24</v>
      </c>
      <c r="G56" t="s">
        <v>165</v>
      </c>
      <c r="H56" t="s">
        <v>11</v>
      </c>
      <c r="I56" t="s">
        <v>7</v>
      </c>
      <c r="J56" t="s">
        <v>24</v>
      </c>
      <c r="K56" t="s">
        <v>29</v>
      </c>
      <c r="L56" t="s">
        <v>50</v>
      </c>
      <c r="M56">
        <v>1</v>
      </c>
    </row>
    <row r="57" spans="1:13" x14ac:dyDescent="0.25">
      <c r="A57" s="2">
        <v>46155</v>
      </c>
      <c r="B57" s="1" t="str">
        <f ca="1">IF(Información1[[#This Row],[Fecha]]='Ajuste de fechas'!$A$2,"Día actual","Día anterior")</f>
        <v>Día anterior</v>
      </c>
      <c r="C57" t="s">
        <v>8</v>
      </c>
      <c r="D57" t="s">
        <v>10</v>
      </c>
      <c r="E57" t="s">
        <v>166</v>
      </c>
      <c r="F57" t="s">
        <v>19</v>
      </c>
      <c r="G57" t="s">
        <v>167</v>
      </c>
      <c r="H57" t="s">
        <v>11</v>
      </c>
      <c r="I57" t="s">
        <v>7</v>
      </c>
      <c r="J57" t="s">
        <v>53</v>
      </c>
      <c r="K57" t="s">
        <v>14</v>
      </c>
      <c r="L57" t="s">
        <v>50</v>
      </c>
      <c r="M57">
        <v>1</v>
      </c>
    </row>
    <row r="58" spans="1:13" x14ac:dyDescent="0.25">
      <c r="A58" s="2">
        <v>46155</v>
      </c>
      <c r="B58" s="1" t="str">
        <f ca="1">IF(Información1[[#This Row],[Fecha]]='Ajuste de fechas'!$A$2,"Día actual","Día anterior")</f>
        <v>Día anterior</v>
      </c>
      <c r="C58" t="s">
        <v>8</v>
      </c>
      <c r="D58" t="s">
        <v>10</v>
      </c>
      <c r="E58" t="s">
        <v>168</v>
      </c>
      <c r="F58" t="s">
        <v>169</v>
      </c>
      <c r="G58" t="s">
        <v>93</v>
      </c>
      <c r="H58" t="s">
        <v>11</v>
      </c>
      <c r="I58" t="s">
        <v>7</v>
      </c>
      <c r="J58" t="s">
        <v>49</v>
      </c>
      <c r="K58" t="s">
        <v>14</v>
      </c>
      <c r="L58" t="s">
        <v>52</v>
      </c>
      <c r="M58">
        <v>1</v>
      </c>
    </row>
    <row r="59" spans="1:13" x14ac:dyDescent="0.25">
      <c r="A59" s="2">
        <v>46155</v>
      </c>
      <c r="B59" s="1" t="str">
        <f ca="1">IF(Información1[[#This Row],[Fecha]]='Ajuste de fechas'!$A$2,"Día actual","Día anterior")</f>
        <v>Día anterior</v>
      </c>
      <c r="C59" t="s">
        <v>28</v>
      </c>
      <c r="D59" t="s">
        <v>31</v>
      </c>
      <c r="E59" t="s">
        <v>170</v>
      </c>
      <c r="F59" t="s">
        <v>169</v>
      </c>
      <c r="G59" t="s">
        <v>93</v>
      </c>
      <c r="H59" t="s">
        <v>11</v>
      </c>
      <c r="I59" t="s">
        <v>7</v>
      </c>
      <c r="J59" t="s">
        <v>49</v>
      </c>
      <c r="K59" t="s">
        <v>29</v>
      </c>
      <c r="L59" t="s">
        <v>50</v>
      </c>
      <c r="M59">
        <v>1</v>
      </c>
    </row>
    <row r="60" spans="1:13" x14ac:dyDescent="0.25">
      <c r="A60" s="2">
        <v>46155</v>
      </c>
      <c r="B60" s="1" t="str">
        <f ca="1">IF(Información1[[#This Row],[Fecha]]='Ajuste de fechas'!$A$2,"Día actual","Día anterior")</f>
        <v>Día anterior</v>
      </c>
      <c r="C60" t="s">
        <v>28</v>
      </c>
      <c r="D60" t="s">
        <v>31</v>
      </c>
      <c r="E60" t="s">
        <v>171</v>
      </c>
      <c r="F60" t="s">
        <v>19</v>
      </c>
      <c r="G60" t="s">
        <v>93</v>
      </c>
      <c r="H60" t="s">
        <v>11</v>
      </c>
      <c r="I60" t="s">
        <v>25</v>
      </c>
      <c r="J60" t="s">
        <v>53</v>
      </c>
      <c r="K60" t="s">
        <v>29</v>
      </c>
      <c r="L60" t="s">
        <v>50</v>
      </c>
      <c r="M60">
        <v>1</v>
      </c>
    </row>
    <row r="61" spans="1:13" x14ac:dyDescent="0.25">
      <c r="A61" s="2">
        <v>46155</v>
      </c>
      <c r="B61" s="1" t="str">
        <f ca="1">IF(Información1[[#This Row],[Fecha]]='Ajuste de fechas'!$A$2,"Día actual","Día anterior")</f>
        <v>Día anterior</v>
      </c>
      <c r="C61" t="s">
        <v>28</v>
      </c>
      <c r="D61" t="s">
        <v>30</v>
      </c>
      <c r="E61" t="s">
        <v>172</v>
      </c>
      <c r="F61" t="s">
        <v>67</v>
      </c>
      <c r="G61" t="s">
        <v>93</v>
      </c>
      <c r="H61" t="s">
        <v>11</v>
      </c>
      <c r="I61" t="s">
        <v>7</v>
      </c>
      <c r="J61" t="s">
        <v>49</v>
      </c>
      <c r="K61" t="s">
        <v>41</v>
      </c>
      <c r="L61" t="s">
        <v>50</v>
      </c>
      <c r="M61">
        <v>1</v>
      </c>
    </row>
    <row r="62" spans="1:13" x14ac:dyDescent="0.25">
      <c r="A62" s="2">
        <v>46155</v>
      </c>
      <c r="B62" s="1" t="str">
        <f ca="1">IF(Información1[[#This Row],[Fecha]]='Ajuste de fechas'!$A$2,"Día actual","Día anterior")</f>
        <v>Día anterior</v>
      </c>
      <c r="C62" t="s">
        <v>28</v>
      </c>
      <c r="D62" t="s">
        <v>30</v>
      </c>
      <c r="E62" t="s">
        <v>173</v>
      </c>
      <c r="F62" t="s">
        <v>19</v>
      </c>
      <c r="G62" t="s">
        <v>93</v>
      </c>
      <c r="H62" t="s">
        <v>11</v>
      </c>
      <c r="I62" t="s">
        <v>7</v>
      </c>
      <c r="J62" t="s">
        <v>53</v>
      </c>
      <c r="K62" t="s">
        <v>41</v>
      </c>
      <c r="L62" t="s">
        <v>50</v>
      </c>
      <c r="M62">
        <v>1</v>
      </c>
    </row>
    <row r="63" spans="1:13" x14ac:dyDescent="0.25">
      <c r="A63" s="2">
        <v>46155</v>
      </c>
      <c r="B63" s="1" t="str">
        <f ca="1">IF(Información1[[#This Row],[Fecha]]='Ajuste de fechas'!$A$2,"Día actual","Día anterior")</f>
        <v>Día anterior</v>
      </c>
      <c r="C63" t="s">
        <v>28</v>
      </c>
      <c r="D63" t="s">
        <v>30</v>
      </c>
      <c r="E63" t="s">
        <v>174</v>
      </c>
      <c r="F63" t="s">
        <v>70</v>
      </c>
      <c r="G63" t="s">
        <v>93</v>
      </c>
      <c r="H63" t="s">
        <v>11</v>
      </c>
      <c r="I63" t="s">
        <v>7</v>
      </c>
      <c r="J63" t="s">
        <v>24</v>
      </c>
      <c r="K63" t="s">
        <v>41</v>
      </c>
      <c r="L63" t="s">
        <v>50</v>
      </c>
      <c r="M63">
        <v>1</v>
      </c>
    </row>
    <row r="64" spans="1:13" x14ac:dyDescent="0.25">
      <c r="A64" s="2">
        <v>46155</v>
      </c>
      <c r="B64" s="1" t="str">
        <f ca="1">IF(Información1[[#This Row],[Fecha]]='Ajuste de fechas'!$A$2,"Día actual","Día anterior")</f>
        <v>Día anterior</v>
      </c>
      <c r="C64" t="s">
        <v>28</v>
      </c>
      <c r="D64" t="s">
        <v>30</v>
      </c>
      <c r="E64" t="s">
        <v>175</v>
      </c>
      <c r="F64" t="s">
        <v>67</v>
      </c>
      <c r="G64" t="s">
        <v>93</v>
      </c>
      <c r="H64" t="s">
        <v>11</v>
      </c>
      <c r="I64" t="s">
        <v>7</v>
      </c>
      <c r="J64" t="s">
        <v>49</v>
      </c>
      <c r="K64" t="s">
        <v>41</v>
      </c>
      <c r="L64" t="s">
        <v>50</v>
      </c>
      <c r="M64">
        <v>1</v>
      </c>
    </row>
    <row r="65" spans="1:13" x14ac:dyDescent="0.25">
      <c r="A65" s="2">
        <v>46155</v>
      </c>
      <c r="B65" s="1" t="str">
        <f ca="1">IF(Información1[[#This Row],[Fecha]]='Ajuste de fechas'!$A$2,"Día actual","Día anterior")</f>
        <v>Día anterior</v>
      </c>
      <c r="C65" t="s">
        <v>60</v>
      </c>
      <c r="D65" t="s">
        <v>62</v>
      </c>
      <c r="E65" t="s">
        <v>176</v>
      </c>
      <c r="F65" t="s">
        <v>21</v>
      </c>
      <c r="G65" t="s">
        <v>133</v>
      </c>
      <c r="H65" t="s">
        <v>11</v>
      </c>
      <c r="I65" t="s">
        <v>7</v>
      </c>
      <c r="J65" t="s">
        <v>49</v>
      </c>
      <c r="K65" t="s">
        <v>63</v>
      </c>
      <c r="L65" t="s">
        <v>52</v>
      </c>
      <c r="M65">
        <v>1</v>
      </c>
    </row>
    <row r="66" spans="1:13" x14ac:dyDescent="0.25">
      <c r="A66" s="2">
        <v>46155</v>
      </c>
      <c r="B66" s="1" t="str">
        <f ca="1">IF(Información1[[#This Row],[Fecha]]='Ajuste de fechas'!$A$2,"Día actual","Día anterior")</f>
        <v>Día anterior</v>
      </c>
      <c r="C66" t="s">
        <v>28</v>
      </c>
      <c r="D66" t="s">
        <v>31</v>
      </c>
      <c r="E66" t="s">
        <v>177</v>
      </c>
      <c r="F66" t="s">
        <v>142</v>
      </c>
      <c r="G66" t="s">
        <v>178</v>
      </c>
      <c r="H66" t="s">
        <v>11</v>
      </c>
      <c r="I66" t="s">
        <v>7</v>
      </c>
      <c r="J66" t="s">
        <v>49</v>
      </c>
      <c r="K66" t="s">
        <v>29</v>
      </c>
      <c r="L66" t="s">
        <v>50</v>
      </c>
      <c r="M66">
        <v>1</v>
      </c>
    </row>
    <row r="67" spans="1:13" x14ac:dyDescent="0.25">
      <c r="A67" s="2">
        <v>46155</v>
      </c>
      <c r="B67" s="1" t="str">
        <f ca="1">IF(Información1[[#This Row],[Fecha]]='Ajuste de fechas'!$A$2,"Día actual","Día anterior")</f>
        <v>Día anterior</v>
      </c>
      <c r="C67" t="s">
        <v>28</v>
      </c>
      <c r="D67" t="s">
        <v>31</v>
      </c>
      <c r="E67" t="s">
        <v>179</v>
      </c>
      <c r="F67" t="s">
        <v>36</v>
      </c>
      <c r="G67" t="s">
        <v>180</v>
      </c>
      <c r="H67" t="s">
        <v>11</v>
      </c>
      <c r="I67" t="s">
        <v>7</v>
      </c>
      <c r="J67" t="s">
        <v>49</v>
      </c>
      <c r="K67" t="s">
        <v>29</v>
      </c>
      <c r="L67" t="s">
        <v>50</v>
      </c>
      <c r="M67">
        <v>1</v>
      </c>
    </row>
    <row r="68" spans="1:13" x14ac:dyDescent="0.25">
      <c r="A68" s="2">
        <v>46155</v>
      </c>
      <c r="B68" s="1" t="str">
        <f ca="1">IF(Información1[[#This Row],[Fecha]]='Ajuste de fechas'!$A$2,"Día actual","Día anterior")</f>
        <v>Día anterior</v>
      </c>
      <c r="C68" t="s">
        <v>28</v>
      </c>
      <c r="D68" t="s">
        <v>30</v>
      </c>
      <c r="E68" t="s">
        <v>181</v>
      </c>
      <c r="F68" t="s">
        <v>36</v>
      </c>
      <c r="G68" t="s">
        <v>180</v>
      </c>
      <c r="H68" t="s">
        <v>11</v>
      </c>
      <c r="I68" t="s">
        <v>7</v>
      </c>
      <c r="J68" t="s">
        <v>49</v>
      </c>
      <c r="K68" t="s">
        <v>41</v>
      </c>
      <c r="L68" t="s">
        <v>52</v>
      </c>
      <c r="M68">
        <v>1</v>
      </c>
    </row>
    <row r="69" spans="1:13" x14ac:dyDescent="0.25">
      <c r="A69" s="2">
        <v>46155</v>
      </c>
      <c r="B69" s="1" t="str">
        <f ca="1">IF(Información1[[#This Row],[Fecha]]='Ajuste de fechas'!$A$2,"Día actual","Día anterior")</f>
        <v>Día anterior</v>
      </c>
      <c r="C69" t="s">
        <v>60</v>
      </c>
      <c r="D69" t="s">
        <v>62</v>
      </c>
      <c r="E69" t="s">
        <v>182</v>
      </c>
      <c r="F69" t="s">
        <v>36</v>
      </c>
      <c r="G69" t="s">
        <v>180</v>
      </c>
      <c r="H69" t="s">
        <v>11</v>
      </c>
      <c r="I69" t="s">
        <v>7</v>
      </c>
      <c r="J69" t="s">
        <v>49</v>
      </c>
      <c r="K69" t="s">
        <v>63</v>
      </c>
      <c r="L69" t="s">
        <v>52</v>
      </c>
      <c r="M69">
        <v>1</v>
      </c>
    </row>
    <row r="70" spans="1:13" x14ac:dyDescent="0.25">
      <c r="A70" s="2">
        <v>46155</v>
      </c>
      <c r="B70" s="1" t="str">
        <f ca="1">IF(Información1[[#This Row],[Fecha]]='Ajuste de fechas'!$A$2,"Día actual","Día anterior")</f>
        <v>Día anterior</v>
      </c>
      <c r="C70" t="s">
        <v>8</v>
      </c>
      <c r="D70" t="s">
        <v>10</v>
      </c>
      <c r="E70" t="s">
        <v>183</v>
      </c>
      <c r="F70" t="s">
        <v>70</v>
      </c>
      <c r="G70" t="s">
        <v>184</v>
      </c>
      <c r="H70" t="s">
        <v>11</v>
      </c>
      <c r="I70" t="s">
        <v>7</v>
      </c>
      <c r="J70" t="s">
        <v>24</v>
      </c>
      <c r="K70" t="s">
        <v>14</v>
      </c>
      <c r="L70" t="s">
        <v>50</v>
      </c>
      <c r="M70">
        <v>1</v>
      </c>
    </row>
    <row r="71" spans="1:13" x14ac:dyDescent="0.25">
      <c r="A71" s="2">
        <v>46155</v>
      </c>
      <c r="B71" s="1" t="str">
        <f ca="1">IF(Información1[[#This Row],[Fecha]]='Ajuste de fechas'!$A$2,"Día actual","Día anterior")</f>
        <v>Día anterior</v>
      </c>
      <c r="C71" t="s">
        <v>8</v>
      </c>
      <c r="D71" t="s">
        <v>10</v>
      </c>
      <c r="E71" t="s">
        <v>185</v>
      </c>
      <c r="F71" t="s">
        <v>70</v>
      </c>
      <c r="G71" t="s">
        <v>184</v>
      </c>
      <c r="H71" t="s">
        <v>11</v>
      </c>
      <c r="I71" t="s">
        <v>7</v>
      </c>
      <c r="J71" t="s">
        <v>24</v>
      </c>
      <c r="K71" t="s">
        <v>14</v>
      </c>
      <c r="L71" t="s">
        <v>50</v>
      </c>
      <c r="M71">
        <v>1</v>
      </c>
    </row>
    <row r="72" spans="1:13" x14ac:dyDescent="0.25">
      <c r="A72" s="2">
        <v>46155</v>
      </c>
      <c r="B72" s="1" t="str">
        <f ca="1">IF(Información1[[#This Row],[Fecha]]='Ajuste de fechas'!$A$2,"Día actual","Día anterior")</f>
        <v>Día anterior</v>
      </c>
      <c r="C72" t="s">
        <v>28</v>
      </c>
      <c r="D72" t="s">
        <v>30</v>
      </c>
      <c r="E72" t="s">
        <v>186</v>
      </c>
      <c r="F72" t="s">
        <v>21</v>
      </c>
      <c r="G72" t="s">
        <v>187</v>
      </c>
      <c r="H72" t="s">
        <v>11</v>
      </c>
      <c r="I72" t="s">
        <v>7</v>
      </c>
      <c r="J72" t="s">
        <v>49</v>
      </c>
      <c r="K72" t="s">
        <v>41</v>
      </c>
      <c r="L72" t="s">
        <v>55</v>
      </c>
      <c r="M72">
        <v>1</v>
      </c>
    </row>
    <row r="73" spans="1:13" x14ac:dyDescent="0.25">
      <c r="A73" s="2">
        <v>46155</v>
      </c>
      <c r="B73" s="1" t="str">
        <f ca="1">IF(Información1[[#This Row],[Fecha]]='Ajuste de fechas'!$A$2,"Día actual","Día anterior")</f>
        <v>Día anterior</v>
      </c>
      <c r="C73" t="s">
        <v>8</v>
      </c>
      <c r="D73" t="s">
        <v>10</v>
      </c>
      <c r="E73" t="s">
        <v>188</v>
      </c>
      <c r="F73" t="s">
        <v>22</v>
      </c>
      <c r="G73" t="s">
        <v>73</v>
      </c>
      <c r="H73" t="s">
        <v>11</v>
      </c>
      <c r="I73" t="s">
        <v>7</v>
      </c>
      <c r="J73" t="s">
        <v>54</v>
      </c>
      <c r="K73" t="s">
        <v>14</v>
      </c>
      <c r="L73" t="s">
        <v>50</v>
      </c>
      <c r="M73">
        <v>1</v>
      </c>
    </row>
    <row r="74" spans="1:13" x14ac:dyDescent="0.25">
      <c r="A74" s="2">
        <v>46155</v>
      </c>
      <c r="B74" s="1" t="str">
        <f ca="1">IF(Información1[[#This Row],[Fecha]]='Ajuste de fechas'!$A$2,"Día actual","Día anterior")</f>
        <v>Día anterior</v>
      </c>
      <c r="C74" t="s">
        <v>28</v>
      </c>
      <c r="D74" t="s">
        <v>31</v>
      </c>
      <c r="E74" t="s">
        <v>189</v>
      </c>
      <c r="F74" t="s">
        <v>19</v>
      </c>
      <c r="G74" t="s">
        <v>190</v>
      </c>
      <c r="H74" t="s">
        <v>11</v>
      </c>
      <c r="I74" t="s">
        <v>7</v>
      </c>
      <c r="J74" t="s">
        <v>53</v>
      </c>
      <c r="K74" t="s">
        <v>29</v>
      </c>
      <c r="L74" t="s">
        <v>50</v>
      </c>
      <c r="M74">
        <v>1</v>
      </c>
    </row>
    <row r="75" spans="1:13" x14ac:dyDescent="0.25">
      <c r="A75" s="2">
        <v>46155</v>
      </c>
      <c r="B75" s="1" t="str">
        <f ca="1">IF(Información1[[#This Row],[Fecha]]='Ajuste de fechas'!$A$2,"Día actual","Día anterior")</f>
        <v>Día anterior</v>
      </c>
      <c r="C75" t="s">
        <v>28</v>
      </c>
      <c r="D75" t="s">
        <v>31</v>
      </c>
      <c r="E75" t="s">
        <v>191</v>
      </c>
      <c r="F75" t="s">
        <v>86</v>
      </c>
      <c r="G75" t="s">
        <v>192</v>
      </c>
      <c r="H75" t="s">
        <v>11</v>
      </c>
      <c r="I75" t="s">
        <v>7</v>
      </c>
      <c r="J75" t="s">
        <v>49</v>
      </c>
      <c r="K75" t="s">
        <v>29</v>
      </c>
      <c r="L75" t="s">
        <v>50</v>
      </c>
      <c r="M75">
        <v>1</v>
      </c>
    </row>
    <row r="76" spans="1:13" x14ac:dyDescent="0.25">
      <c r="A76" s="2">
        <v>46155</v>
      </c>
      <c r="B76" s="1" t="str">
        <f ca="1">IF(Información1[[#This Row],[Fecha]]='Ajuste de fechas'!$A$2,"Día actual","Día anterior")</f>
        <v>Día anterior</v>
      </c>
      <c r="C76" t="s">
        <v>28</v>
      </c>
      <c r="D76" t="s">
        <v>31</v>
      </c>
      <c r="E76" t="s">
        <v>193</v>
      </c>
      <c r="F76" t="s">
        <v>36</v>
      </c>
      <c r="G76" t="s">
        <v>194</v>
      </c>
      <c r="H76" t="s">
        <v>11</v>
      </c>
      <c r="I76" t="s">
        <v>7</v>
      </c>
      <c r="J76" t="s">
        <v>49</v>
      </c>
      <c r="K76" t="s">
        <v>29</v>
      </c>
      <c r="L76" t="s">
        <v>50</v>
      </c>
      <c r="M76">
        <v>1</v>
      </c>
    </row>
    <row r="77" spans="1:13" x14ac:dyDescent="0.25">
      <c r="A77" s="2">
        <v>46155</v>
      </c>
      <c r="B77" s="1" t="str">
        <f ca="1">IF(Información1[[#This Row],[Fecha]]='Ajuste de fechas'!$A$2,"Día actual","Día anterior")</f>
        <v>Día anterior</v>
      </c>
      <c r="C77" t="s">
        <v>8</v>
      </c>
      <c r="D77" t="s">
        <v>10</v>
      </c>
      <c r="E77" t="s">
        <v>195</v>
      </c>
      <c r="F77" t="s">
        <v>21</v>
      </c>
      <c r="G77" t="s">
        <v>196</v>
      </c>
      <c r="H77" t="s">
        <v>11</v>
      </c>
      <c r="I77" t="s">
        <v>25</v>
      </c>
      <c r="J77" t="s">
        <v>49</v>
      </c>
      <c r="K77" t="s">
        <v>9</v>
      </c>
      <c r="L77" t="s">
        <v>51</v>
      </c>
      <c r="M77">
        <v>1</v>
      </c>
    </row>
    <row r="78" spans="1:13" x14ac:dyDescent="0.25">
      <c r="A78" s="2">
        <v>46155</v>
      </c>
      <c r="B78" s="1" t="str">
        <f ca="1">IF(Información1[[#This Row],[Fecha]]='Ajuste de fechas'!$A$2,"Día actual","Día anterior")</f>
        <v>Día anterior</v>
      </c>
      <c r="C78" t="s">
        <v>8</v>
      </c>
      <c r="D78" t="s">
        <v>10</v>
      </c>
      <c r="E78" t="s">
        <v>197</v>
      </c>
      <c r="F78" t="s">
        <v>17</v>
      </c>
      <c r="G78" t="s">
        <v>69</v>
      </c>
      <c r="H78" t="s">
        <v>11</v>
      </c>
      <c r="I78" t="s">
        <v>25</v>
      </c>
      <c r="J78" t="s">
        <v>49</v>
      </c>
      <c r="K78" t="s">
        <v>9</v>
      </c>
      <c r="L78" t="s">
        <v>51</v>
      </c>
      <c r="M78">
        <v>1</v>
      </c>
    </row>
    <row r="79" spans="1:13" x14ac:dyDescent="0.25">
      <c r="A79" s="2">
        <v>46155</v>
      </c>
      <c r="B79" s="1" t="str">
        <f ca="1">IF(Información1[[#This Row],[Fecha]]='Ajuste de fechas'!$A$2,"Día actual","Día anterior")</f>
        <v>Día anterior</v>
      </c>
      <c r="C79" t="s">
        <v>8</v>
      </c>
      <c r="D79" t="s">
        <v>10</v>
      </c>
      <c r="E79" t="s">
        <v>198</v>
      </c>
      <c r="F79" t="s">
        <v>19</v>
      </c>
      <c r="G79" t="s">
        <v>144</v>
      </c>
      <c r="H79" t="s">
        <v>11</v>
      </c>
      <c r="I79" t="s">
        <v>7</v>
      </c>
      <c r="J79" t="s">
        <v>53</v>
      </c>
      <c r="K79" t="s">
        <v>14</v>
      </c>
      <c r="L79" t="s">
        <v>50</v>
      </c>
      <c r="M79">
        <v>1</v>
      </c>
    </row>
    <row r="80" spans="1:13" x14ac:dyDescent="0.25">
      <c r="A80" s="2">
        <v>46155</v>
      </c>
      <c r="B80" s="1" t="str">
        <f ca="1">IF(Información1[[#This Row],[Fecha]]='Ajuste de fechas'!$A$2,"Día actual","Día anterior")</f>
        <v>Día anterior</v>
      </c>
      <c r="C80" t="s">
        <v>28</v>
      </c>
      <c r="D80" t="s">
        <v>31</v>
      </c>
      <c r="E80" t="s">
        <v>199</v>
      </c>
      <c r="F80" t="s">
        <v>26</v>
      </c>
      <c r="G80" t="s">
        <v>97</v>
      </c>
      <c r="H80" t="s">
        <v>11</v>
      </c>
      <c r="I80" t="s">
        <v>7</v>
      </c>
      <c r="J80" t="s">
        <v>49</v>
      </c>
      <c r="K80" t="s">
        <v>29</v>
      </c>
      <c r="L80" t="s">
        <v>50</v>
      </c>
      <c r="M80">
        <v>1</v>
      </c>
    </row>
    <row r="81" spans="1:13" x14ac:dyDescent="0.25">
      <c r="A81" s="2">
        <v>46155</v>
      </c>
      <c r="B81" s="1" t="str">
        <f ca="1">IF(Información1[[#This Row],[Fecha]]='Ajuste de fechas'!$A$2,"Día actual","Día anterior")</f>
        <v>Día anterior</v>
      </c>
      <c r="C81" t="s">
        <v>60</v>
      </c>
      <c r="D81" t="s">
        <v>62</v>
      </c>
      <c r="E81" t="s">
        <v>200</v>
      </c>
      <c r="F81" t="s">
        <v>26</v>
      </c>
      <c r="G81" t="s">
        <v>97</v>
      </c>
      <c r="H81" t="s">
        <v>11</v>
      </c>
      <c r="I81" t="s">
        <v>7</v>
      </c>
      <c r="J81" t="s">
        <v>49</v>
      </c>
      <c r="K81" t="s">
        <v>63</v>
      </c>
      <c r="L81" t="s">
        <v>52</v>
      </c>
      <c r="M81">
        <v>1</v>
      </c>
    </row>
    <row r="82" spans="1:13" x14ac:dyDescent="0.25">
      <c r="A82" s="2">
        <v>46155</v>
      </c>
      <c r="B82" s="1" t="str">
        <f ca="1">IF(Información1[[#This Row],[Fecha]]='Ajuste de fechas'!$A$2,"Día actual","Día anterior")</f>
        <v>Día anterior</v>
      </c>
      <c r="C82" t="s">
        <v>28</v>
      </c>
      <c r="D82" t="s">
        <v>30</v>
      </c>
      <c r="E82" t="s">
        <v>110</v>
      </c>
      <c r="F82" t="s">
        <v>26</v>
      </c>
      <c r="G82" t="s">
        <v>97</v>
      </c>
      <c r="H82" t="s">
        <v>11</v>
      </c>
      <c r="I82" t="s">
        <v>7</v>
      </c>
      <c r="J82" t="s">
        <v>49</v>
      </c>
      <c r="K82" t="s">
        <v>41</v>
      </c>
      <c r="L82" t="s">
        <v>52</v>
      </c>
      <c r="M82">
        <v>1</v>
      </c>
    </row>
    <row r="83" spans="1:13" x14ac:dyDescent="0.25">
      <c r="A83" s="2">
        <v>46155</v>
      </c>
      <c r="B83" s="1" t="str">
        <f ca="1">IF(Información1[[#This Row],[Fecha]]='Ajuste de fechas'!$A$2,"Día actual","Día anterior")</f>
        <v>Día anterior</v>
      </c>
      <c r="C83" t="s">
        <v>28</v>
      </c>
      <c r="D83" t="s">
        <v>31</v>
      </c>
      <c r="E83" t="s">
        <v>201</v>
      </c>
      <c r="F83" t="s">
        <v>22</v>
      </c>
      <c r="G83" t="s">
        <v>202</v>
      </c>
      <c r="H83" t="s">
        <v>11</v>
      </c>
      <c r="I83" t="s">
        <v>7</v>
      </c>
      <c r="J83" t="s">
        <v>54</v>
      </c>
      <c r="K83" t="s">
        <v>29</v>
      </c>
      <c r="L83" t="s">
        <v>50</v>
      </c>
      <c r="M83">
        <v>1</v>
      </c>
    </row>
    <row r="84" spans="1:13" x14ac:dyDescent="0.25">
      <c r="A84" s="2">
        <v>46155</v>
      </c>
      <c r="B84" s="1" t="str">
        <f ca="1">IF(Información1[[#This Row],[Fecha]]='Ajuste de fechas'!$A$2,"Día actual","Día anterior")</f>
        <v>Día anterior</v>
      </c>
      <c r="C84" t="s">
        <v>28</v>
      </c>
      <c r="D84" t="s">
        <v>31</v>
      </c>
      <c r="E84" t="s">
        <v>203</v>
      </c>
      <c r="F84" t="s">
        <v>22</v>
      </c>
      <c r="G84" t="s">
        <v>204</v>
      </c>
      <c r="H84" t="s">
        <v>11</v>
      </c>
      <c r="I84" t="s">
        <v>7</v>
      </c>
      <c r="J84" t="s">
        <v>54</v>
      </c>
      <c r="K84" t="s">
        <v>29</v>
      </c>
      <c r="L84" t="s">
        <v>50</v>
      </c>
      <c r="M84">
        <v>1</v>
      </c>
    </row>
    <row r="85" spans="1:13" x14ac:dyDescent="0.25">
      <c r="A85" s="2">
        <v>46155</v>
      </c>
      <c r="B85" s="1" t="str">
        <f ca="1">IF(Información1[[#This Row],[Fecha]]='Ajuste de fechas'!$A$2,"Día actual","Día anterior")</f>
        <v>Día anterior</v>
      </c>
      <c r="C85" t="s">
        <v>205</v>
      </c>
      <c r="D85" t="s">
        <v>206</v>
      </c>
      <c r="E85" t="s">
        <v>207</v>
      </c>
      <c r="F85" t="s">
        <v>67</v>
      </c>
      <c r="G85" t="s">
        <v>208</v>
      </c>
      <c r="H85" t="s">
        <v>11</v>
      </c>
      <c r="I85" t="s">
        <v>7</v>
      </c>
      <c r="J85" t="s">
        <v>49</v>
      </c>
      <c r="K85" t="s">
        <v>209</v>
      </c>
      <c r="L85" t="s">
        <v>50</v>
      </c>
      <c r="M85">
        <v>1</v>
      </c>
    </row>
    <row r="86" spans="1:13" x14ac:dyDescent="0.25">
      <c r="A86" s="2">
        <v>46155</v>
      </c>
      <c r="B86" s="1" t="str">
        <f ca="1">IF(Información1[[#This Row],[Fecha]]='Ajuste de fechas'!$A$2,"Día actual","Día anterior")</f>
        <v>Día anterior</v>
      </c>
      <c r="C86" t="s">
        <v>205</v>
      </c>
      <c r="D86" t="s">
        <v>206</v>
      </c>
      <c r="E86" t="s">
        <v>210</v>
      </c>
      <c r="F86" t="s">
        <v>169</v>
      </c>
      <c r="G86" t="s">
        <v>93</v>
      </c>
      <c r="H86" t="s">
        <v>11</v>
      </c>
      <c r="I86" t="s">
        <v>7</v>
      </c>
      <c r="J86" t="s">
        <v>49</v>
      </c>
      <c r="K86" t="s">
        <v>209</v>
      </c>
      <c r="L86" t="s">
        <v>51</v>
      </c>
      <c r="M86">
        <v>1</v>
      </c>
    </row>
    <row r="87" spans="1:13" x14ac:dyDescent="0.25">
      <c r="A87" s="2">
        <v>46155</v>
      </c>
      <c r="B87" s="1" t="str">
        <f ca="1">IF(Información1[[#This Row],[Fecha]]='Ajuste de fechas'!$A$2,"Día actual","Día anterior")</f>
        <v>Día anterior</v>
      </c>
      <c r="C87" t="s">
        <v>205</v>
      </c>
      <c r="D87" t="s">
        <v>206</v>
      </c>
      <c r="E87" t="s">
        <v>211</v>
      </c>
      <c r="F87" t="s">
        <v>169</v>
      </c>
      <c r="G87" t="s">
        <v>93</v>
      </c>
      <c r="H87" t="s">
        <v>11</v>
      </c>
      <c r="I87" t="s">
        <v>7</v>
      </c>
      <c r="J87" t="s">
        <v>49</v>
      </c>
      <c r="K87" t="s">
        <v>212</v>
      </c>
      <c r="L87" t="s">
        <v>52</v>
      </c>
      <c r="M87">
        <v>1</v>
      </c>
    </row>
    <row r="88" spans="1:13" x14ac:dyDescent="0.25">
      <c r="A88" s="2">
        <v>46155</v>
      </c>
      <c r="B88" s="1" t="str">
        <f ca="1">IF(Información1[[#This Row],[Fecha]]='Ajuste de fechas'!$A$2,"Día actual","Día anterior")</f>
        <v>Día anterior</v>
      </c>
      <c r="C88" t="s">
        <v>205</v>
      </c>
      <c r="D88" t="s">
        <v>206</v>
      </c>
      <c r="E88" t="s">
        <v>213</v>
      </c>
      <c r="F88" t="s">
        <v>67</v>
      </c>
      <c r="G88" t="s">
        <v>85</v>
      </c>
      <c r="H88" t="s">
        <v>11</v>
      </c>
      <c r="I88" t="s">
        <v>7</v>
      </c>
      <c r="J88" t="s">
        <v>49</v>
      </c>
      <c r="K88" t="s">
        <v>212</v>
      </c>
      <c r="L88" t="s">
        <v>50</v>
      </c>
      <c r="M88">
        <v>1</v>
      </c>
    </row>
    <row r="89" spans="1:13" x14ac:dyDescent="0.25">
      <c r="A89" s="2">
        <v>46155</v>
      </c>
      <c r="B89" s="1" t="str">
        <f ca="1">IF(Información1[[#This Row],[Fecha]]='Ajuste de fechas'!$A$2,"Día actual","Día anterior")</f>
        <v>Día anterior</v>
      </c>
      <c r="C89" t="s">
        <v>205</v>
      </c>
      <c r="D89" t="s">
        <v>206</v>
      </c>
      <c r="E89" t="s">
        <v>214</v>
      </c>
      <c r="F89" t="s">
        <v>15</v>
      </c>
      <c r="G89" t="s">
        <v>215</v>
      </c>
      <c r="H89" t="s">
        <v>11</v>
      </c>
      <c r="I89" t="s">
        <v>7</v>
      </c>
      <c r="J89" t="s">
        <v>49</v>
      </c>
      <c r="K89" t="s">
        <v>212</v>
      </c>
      <c r="L89" t="s">
        <v>50</v>
      </c>
      <c r="M89">
        <v>1</v>
      </c>
    </row>
    <row r="90" spans="1:13" x14ac:dyDescent="0.25">
      <c r="A90" s="2">
        <v>46155</v>
      </c>
      <c r="B90" s="1" t="str">
        <f ca="1">IF(Información1[[#This Row],[Fecha]]='Ajuste de fechas'!$A$2,"Día actual","Día anterior")</f>
        <v>Día anterior</v>
      </c>
      <c r="C90" t="s">
        <v>216</v>
      </c>
      <c r="D90" t="s">
        <v>217</v>
      </c>
      <c r="E90" t="s">
        <v>218</v>
      </c>
      <c r="F90" t="s">
        <v>19</v>
      </c>
      <c r="G90" t="s">
        <v>219</v>
      </c>
      <c r="H90" t="s">
        <v>11</v>
      </c>
      <c r="I90" t="s">
        <v>7</v>
      </c>
      <c r="J90" t="s">
        <v>53</v>
      </c>
      <c r="K90" t="s">
        <v>220</v>
      </c>
      <c r="L90" t="s">
        <v>50</v>
      </c>
      <c r="M90">
        <v>1</v>
      </c>
    </row>
    <row r="91" spans="1:13" x14ac:dyDescent="0.25">
      <c r="A91" s="2">
        <v>46155</v>
      </c>
      <c r="B91" s="1" t="str">
        <f ca="1">IF(Información1[[#This Row],[Fecha]]='Ajuste de fechas'!$A$2,"Día actual","Día anterior")</f>
        <v>Día anterior</v>
      </c>
      <c r="C91" t="s">
        <v>216</v>
      </c>
      <c r="D91" t="s">
        <v>217</v>
      </c>
      <c r="E91" t="s">
        <v>221</v>
      </c>
      <c r="F91" t="s">
        <v>70</v>
      </c>
      <c r="G91" t="s">
        <v>184</v>
      </c>
      <c r="H91" t="s">
        <v>11</v>
      </c>
      <c r="I91" t="s">
        <v>7</v>
      </c>
      <c r="J91" t="s">
        <v>24</v>
      </c>
      <c r="K91" t="s">
        <v>220</v>
      </c>
      <c r="L91" t="s">
        <v>50</v>
      </c>
      <c r="M91">
        <v>1</v>
      </c>
    </row>
    <row r="92" spans="1:13" x14ac:dyDescent="0.25">
      <c r="A92" s="2">
        <v>46155</v>
      </c>
      <c r="B92" s="1" t="str">
        <f ca="1">IF(Información1[[#This Row],[Fecha]]='Ajuste de fechas'!$A$2,"Día actual","Día anterior")</f>
        <v>Día anterior</v>
      </c>
      <c r="C92" t="s">
        <v>216</v>
      </c>
      <c r="D92" t="s">
        <v>217</v>
      </c>
      <c r="E92" t="s">
        <v>222</v>
      </c>
      <c r="F92" t="s">
        <v>70</v>
      </c>
      <c r="G92" t="s">
        <v>184</v>
      </c>
      <c r="H92" t="s">
        <v>11</v>
      </c>
      <c r="I92" t="s">
        <v>7</v>
      </c>
      <c r="J92" t="s">
        <v>24</v>
      </c>
      <c r="K92" t="s">
        <v>220</v>
      </c>
      <c r="L92" t="s">
        <v>50</v>
      </c>
      <c r="M92">
        <v>1</v>
      </c>
    </row>
    <row r="93" spans="1:13" x14ac:dyDescent="0.25">
      <c r="A93" s="2">
        <v>46155</v>
      </c>
      <c r="B93" s="1" t="str">
        <f ca="1">IF(Información1[[#This Row],[Fecha]]='Ajuste de fechas'!$A$2,"Día actual","Día anterior")</f>
        <v>Día anterior</v>
      </c>
      <c r="C93" t="s">
        <v>216</v>
      </c>
      <c r="D93" t="s">
        <v>217</v>
      </c>
      <c r="E93" t="s">
        <v>223</v>
      </c>
      <c r="F93" t="s">
        <v>77</v>
      </c>
      <c r="G93" t="s">
        <v>224</v>
      </c>
      <c r="H93" t="s">
        <v>11</v>
      </c>
      <c r="I93" t="s">
        <v>7</v>
      </c>
      <c r="J93" t="s">
        <v>49</v>
      </c>
      <c r="K93" t="s">
        <v>220</v>
      </c>
      <c r="L93" t="s">
        <v>52</v>
      </c>
      <c r="M93">
        <v>1</v>
      </c>
    </row>
    <row r="94" spans="1:13" x14ac:dyDescent="0.25">
      <c r="A94" s="2">
        <v>46155</v>
      </c>
      <c r="B94" s="1" t="str">
        <f ca="1">IF(Información1[[#This Row],[Fecha]]='Ajuste de fechas'!$A$2,"Día actual","Día anterior")</f>
        <v>Día anterior</v>
      </c>
      <c r="C94" t="s">
        <v>216</v>
      </c>
      <c r="D94" t="s">
        <v>217</v>
      </c>
      <c r="E94" t="s">
        <v>225</v>
      </c>
      <c r="F94" t="s">
        <v>70</v>
      </c>
      <c r="G94" t="s">
        <v>133</v>
      </c>
      <c r="H94" t="s">
        <v>11</v>
      </c>
      <c r="I94" t="s">
        <v>7</v>
      </c>
      <c r="J94" t="s">
        <v>24</v>
      </c>
      <c r="K94" t="s">
        <v>220</v>
      </c>
      <c r="L94" t="s">
        <v>50</v>
      </c>
      <c r="M94">
        <v>1</v>
      </c>
    </row>
    <row r="95" spans="1:13" x14ac:dyDescent="0.25">
      <c r="A95" s="2">
        <v>46155</v>
      </c>
      <c r="B95" s="1" t="str">
        <f ca="1">IF(Información1[[#This Row],[Fecha]]='Ajuste de fechas'!$A$2,"Día actual","Día anterior")</f>
        <v>Día anterior</v>
      </c>
      <c r="C95" t="s">
        <v>216</v>
      </c>
      <c r="D95" t="s">
        <v>217</v>
      </c>
      <c r="E95" t="s">
        <v>226</v>
      </c>
      <c r="F95" t="s">
        <v>67</v>
      </c>
      <c r="G95" t="s">
        <v>83</v>
      </c>
      <c r="H95" t="s">
        <v>11</v>
      </c>
      <c r="I95" t="s">
        <v>7</v>
      </c>
      <c r="J95" t="s">
        <v>49</v>
      </c>
      <c r="K95" t="s">
        <v>220</v>
      </c>
      <c r="L95" t="s">
        <v>50</v>
      </c>
      <c r="M95">
        <v>1</v>
      </c>
    </row>
    <row r="96" spans="1:13" x14ac:dyDescent="0.25">
      <c r="A96" s="2">
        <v>46155</v>
      </c>
      <c r="B96" s="1" t="str">
        <f ca="1">IF(Información1[[#This Row],[Fecha]]='Ajuste de fechas'!$A$2,"Día actual","Día anterior")</f>
        <v>Día anterior</v>
      </c>
      <c r="C96" t="s">
        <v>216</v>
      </c>
      <c r="D96" t="s">
        <v>217</v>
      </c>
      <c r="E96" t="s">
        <v>226</v>
      </c>
      <c r="F96" t="s">
        <v>70</v>
      </c>
      <c r="G96" t="s">
        <v>83</v>
      </c>
      <c r="H96" t="s">
        <v>11</v>
      </c>
      <c r="I96" t="s">
        <v>7</v>
      </c>
      <c r="J96" t="s">
        <v>24</v>
      </c>
      <c r="K96" t="s">
        <v>220</v>
      </c>
      <c r="L96" t="s">
        <v>50</v>
      </c>
      <c r="M96">
        <v>1</v>
      </c>
    </row>
    <row r="97" spans="1:13" x14ac:dyDescent="0.25">
      <c r="A97" s="2">
        <v>46155</v>
      </c>
      <c r="B97" s="1" t="str">
        <f ca="1">IF(Información1[[#This Row],[Fecha]]='Ajuste de fechas'!$A$2,"Día actual","Día anterior")</f>
        <v>Día anterior</v>
      </c>
      <c r="C97" t="s">
        <v>216</v>
      </c>
      <c r="D97" t="s">
        <v>217</v>
      </c>
      <c r="E97" t="s">
        <v>227</v>
      </c>
      <c r="F97" t="s">
        <v>23</v>
      </c>
      <c r="G97" t="s">
        <v>76</v>
      </c>
      <c r="H97" t="s">
        <v>11</v>
      </c>
      <c r="I97" t="s">
        <v>7</v>
      </c>
      <c r="J97" t="s">
        <v>49</v>
      </c>
      <c r="K97" t="s">
        <v>220</v>
      </c>
      <c r="L97" t="s">
        <v>52</v>
      </c>
      <c r="M97">
        <v>1</v>
      </c>
    </row>
    <row r="98" spans="1:13" x14ac:dyDescent="0.25">
      <c r="A98" s="2">
        <v>46155</v>
      </c>
      <c r="B98" s="1" t="str">
        <f ca="1">IF(Información1[[#This Row],[Fecha]]='Ajuste de fechas'!$A$2,"Día actual","Día anterior")</f>
        <v>Día anterior</v>
      </c>
      <c r="C98" t="s">
        <v>216</v>
      </c>
      <c r="D98" t="s">
        <v>217</v>
      </c>
      <c r="E98" t="s">
        <v>228</v>
      </c>
      <c r="F98" t="s">
        <v>23</v>
      </c>
      <c r="G98" t="s">
        <v>76</v>
      </c>
      <c r="H98" t="s">
        <v>11</v>
      </c>
      <c r="I98" t="s">
        <v>7</v>
      </c>
      <c r="J98" t="s">
        <v>49</v>
      </c>
      <c r="K98" t="s">
        <v>220</v>
      </c>
      <c r="L98" t="s">
        <v>52</v>
      </c>
      <c r="M98">
        <v>1</v>
      </c>
    </row>
    <row r="99" spans="1:13" x14ac:dyDescent="0.25">
      <c r="A99" s="2">
        <v>46155</v>
      </c>
      <c r="B99" s="1" t="str">
        <f ca="1">IF(Información1[[#This Row],[Fecha]]='Ajuste de fechas'!$A$2,"Día actual","Día anterior")</f>
        <v>Día anterior</v>
      </c>
      <c r="C99" t="s">
        <v>216</v>
      </c>
      <c r="D99" t="s">
        <v>217</v>
      </c>
      <c r="E99" t="s">
        <v>229</v>
      </c>
      <c r="F99" t="s">
        <v>15</v>
      </c>
      <c r="G99" t="s">
        <v>153</v>
      </c>
      <c r="H99" t="s">
        <v>11</v>
      </c>
      <c r="I99" t="s">
        <v>7</v>
      </c>
      <c r="J99" t="s">
        <v>49</v>
      </c>
      <c r="K99" t="s">
        <v>220</v>
      </c>
      <c r="L99" t="s">
        <v>52</v>
      </c>
      <c r="M99">
        <v>1</v>
      </c>
    </row>
    <row r="100" spans="1:13" x14ac:dyDescent="0.25">
      <c r="A100" s="2">
        <v>46155</v>
      </c>
      <c r="B100" s="1" t="str">
        <f ca="1">IF(Información1[[#This Row],[Fecha]]='Ajuste de fechas'!$A$2,"Día actual","Día anterior")</f>
        <v>Día anterior</v>
      </c>
      <c r="C100" t="s">
        <v>216</v>
      </c>
      <c r="D100" t="s">
        <v>217</v>
      </c>
      <c r="E100" t="s">
        <v>230</v>
      </c>
      <c r="F100" t="s">
        <v>36</v>
      </c>
      <c r="G100" t="s">
        <v>180</v>
      </c>
      <c r="H100" t="s">
        <v>11</v>
      </c>
      <c r="I100" t="s">
        <v>7</v>
      </c>
      <c r="J100" t="s">
        <v>49</v>
      </c>
      <c r="K100" t="s">
        <v>220</v>
      </c>
      <c r="L100" t="s">
        <v>52</v>
      </c>
      <c r="M100">
        <v>1</v>
      </c>
    </row>
    <row r="101" spans="1:13" x14ac:dyDescent="0.25">
      <c r="A101" s="2">
        <v>46155</v>
      </c>
      <c r="B101" s="1" t="str">
        <f ca="1">IF(Información1[[#This Row],[Fecha]]='Ajuste de fechas'!$A$2,"Día actual","Día anterior")</f>
        <v>Día anterior</v>
      </c>
      <c r="C101" t="s">
        <v>216</v>
      </c>
      <c r="D101" t="s">
        <v>217</v>
      </c>
      <c r="E101" t="s">
        <v>231</v>
      </c>
      <c r="F101" t="s">
        <v>26</v>
      </c>
      <c r="G101" t="s">
        <v>232</v>
      </c>
      <c r="H101" t="s">
        <v>11</v>
      </c>
      <c r="I101" t="s">
        <v>7</v>
      </c>
      <c r="J101" t="s">
        <v>49</v>
      </c>
      <c r="K101" t="s">
        <v>220</v>
      </c>
      <c r="L101" t="s">
        <v>52</v>
      </c>
      <c r="M101">
        <v>1</v>
      </c>
    </row>
    <row r="102" spans="1:13" x14ac:dyDescent="0.25">
      <c r="A102" s="2">
        <v>46155</v>
      </c>
      <c r="B102" s="1" t="str">
        <f ca="1">IF(Información1[[#This Row],[Fecha]]='Ajuste de fechas'!$A$2,"Día actual","Día anterior")</f>
        <v>Día anterior</v>
      </c>
      <c r="C102" t="s">
        <v>205</v>
      </c>
      <c r="D102" t="s">
        <v>233</v>
      </c>
      <c r="E102" t="s">
        <v>234</v>
      </c>
      <c r="F102" t="s">
        <v>24</v>
      </c>
      <c r="G102" t="s">
        <v>71</v>
      </c>
      <c r="H102" t="s">
        <v>11</v>
      </c>
      <c r="I102" t="s">
        <v>7</v>
      </c>
      <c r="J102" t="s">
        <v>24</v>
      </c>
      <c r="K102" t="s">
        <v>143</v>
      </c>
      <c r="L102" t="s">
        <v>55</v>
      </c>
      <c r="M102">
        <v>1</v>
      </c>
    </row>
    <row r="103" spans="1:13" x14ac:dyDescent="0.25">
      <c r="A103" s="2">
        <v>46155</v>
      </c>
      <c r="B103" s="1" t="str">
        <f ca="1">IF(Información1[[#This Row],[Fecha]]='Ajuste de fechas'!$A$2,"Día actual","Día anterior")</f>
        <v>Día anterior</v>
      </c>
      <c r="C103" t="s">
        <v>205</v>
      </c>
      <c r="D103" t="s">
        <v>233</v>
      </c>
      <c r="E103" t="s">
        <v>235</v>
      </c>
      <c r="F103" t="s">
        <v>24</v>
      </c>
      <c r="G103" t="s">
        <v>236</v>
      </c>
      <c r="H103" t="s">
        <v>11</v>
      </c>
      <c r="I103" t="s">
        <v>7</v>
      </c>
      <c r="J103" t="s">
        <v>24</v>
      </c>
      <c r="K103" t="s">
        <v>237</v>
      </c>
      <c r="L103" t="s">
        <v>51</v>
      </c>
      <c r="M103">
        <v>1</v>
      </c>
    </row>
    <row r="104" spans="1:13" x14ac:dyDescent="0.25">
      <c r="A104" s="2">
        <v>46155</v>
      </c>
      <c r="B104" s="1" t="str">
        <f ca="1">IF(Información1[[#This Row],[Fecha]]='Ajuste de fechas'!$A$2,"Día actual","Día anterior")</f>
        <v>Día anterior</v>
      </c>
      <c r="C104" t="s">
        <v>205</v>
      </c>
      <c r="D104" t="s">
        <v>233</v>
      </c>
      <c r="E104" t="s">
        <v>238</v>
      </c>
      <c r="F104" t="s">
        <v>239</v>
      </c>
      <c r="G104" t="s">
        <v>93</v>
      </c>
      <c r="H104" t="s">
        <v>11</v>
      </c>
      <c r="I104" t="s">
        <v>25</v>
      </c>
      <c r="J104" t="s">
        <v>240</v>
      </c>
      <c r="K104" t="s">
        <v>237</v>
      </c>
      <c r="L104" t="s">
        <v>51</v>
      </c>
      <c r="M104">
        <v>1</v>
      </c>
    </row>
    <row r="105" spans="1:13" x14ac:dyDescent="0.25">
      <c r="A105" s="2">
        <v>46155</v>
      </c>
      <c r="B105" s="1" t="str">
        <f ca="1">IF(Información1[[#This Row],[Fecha]]='Ajuste de fechas'!$A$2,"Día actual","Día anterior")</f>
        <v>Día anterior</v>
      </c>
      <c r="C105" t="s">
        <v>205</v>
      </c>
      <c r="D105" t="s">
        <v>233</v>
      </c>
      <c r="E105" t="s">
        <v>241</v>
      </c>
      <c r="F105" t="s">
        <v>19</v>
      </c>
      <c r="G105" t="s">
        <v>242</v>
      </c>
      <c r="H105" t="s">
        <v>11</v>
      </c>
      <c r="I105" t="s">
        <v>25</v>
      </c>
      <c r="J105" t="s">
        <v>53</v>
      </c>
      <c r="K105" t="s">
        <v>237</v>
      </c>
      <c r="L105" t="s">
        <v>51</v>
      </c>
      <c r="M105">
        <v>1</v>
      </c>
    </row>
    <row r="106" spans="1:13" x14ac:dyDescent="0.25">
      <c r="A106" s="2">
        <v>46155</v>
      </c>
      <c r="B106" s="1" t="str">
        <f ca="1">IF(Información1[[#This Row],[Fecha]]='Ajuste de fechas'!$A$2,"Día actual","Día anterior")</f>
        <v>Día anterior</v>
      </c>
      <c r="C106" t="s">
        <v>205</v>
      </c>
      <c r="D106" t="s">
        <v>233</v>
      </c>
      <c r="E106" t="s">
        <v>243</v>
      </c>
      <c r="F106" t="s">
        <v>19</v>
      </c>
      <c r="G106" t="s">
        <v>61</v>
      </c>
      <c r="H106" t="s">
        <v>11</v>
      </c>
      <c r="I106" t="s">
        <v>7</v>
      </c>
      <c r="J106" t="s">
        <v>53</v>
      </c>
      <c r="K106" t="s">
        <v>143</v>
      </c>
      <c r="L106" t="s">
        <v>50</v>
      </c>
      <c r="M106">
        <v>1</v>
      </c>
    </row>
    <row r="107" spans="1:13" x14ac:dyDescent="0.25">
      <c r="A107" s="2">
        <v>46155</v>
      </c>
      <c r="B107" s="1" t="str">
        <f ca="1">IF(Información1[[#This Row],[Fecha]]='Ajuste de fechas'!$A$2,"Día actual","Día anterior")</f>
        <v>Día anterior</v>
      </c>
      <c r="C107" t="s">
        <v>205</v>
      </c>
      <c r="D107" t="s">
        <v>233</v>
      </c>
      <c r="E107" t="s">
        <v>244</v>
      </c>
      <c r="F107" t="s">
        <v>67</v>
      </c>
      <c r="G107" t="s">
        <v>245</v>
      </c>
      <c r="H107" t="s">
        <v>11</v>
      </c>
      <c r="I107" t="s">
        <v>25</v>
      </c>
      <c r="J107" t="s">
        <v>49</v>
      </c>
      <c r="K107" t="s">
        <v>237</v>
      </c>
      <c r="L107" t="s">
        <v>51</v>
      </c>
      <c r="M107">
        <v>1</v>
      </c>
    </row>
    <row r="108" spans="1:13" x14ac:dyDescent="0.25">
      <c r="A108" s="2">
        <v>46155</v>
      </c>
      <c r="B108" s="1" t="str">
        <f ca="1">IF(Información1[[#This Row],[Fecha]]='Ajuste de fechas'!$A$2,"Día actual","Día anterior")</f>
        <v>Día anterior</v>
      </c>
      <c r="C108" t="s">
        <v>205</v>
      </c>
      <c r="D108" t="s">
        <v>233</v>
      </c>
      <c r="E108" t="s">
        <v>228</v>
      </c>
      <c r="F108" t="s">
        <v>23</v>
      </c>
      <c r="G108" t="s">
        <v>76</v>
      </c>
      <c r="H108" t="s">
        <v>11</v>
      </c>
      <c r="I108" t="s">
        <v>7</v>
      </c>
      <c r="J108" t="s">
        <v>49</v>
      </c>
      <c r="K108" t="s">
        <v>143</v>
      </c>
      <c r="L108" t="s">
        <v>52</v>
      </c>
      <c r="M108">
        <v>1</v>
      </c>
    </row>
    <row r="109" spans="1:13" x14ac:dyDescent="0.25">
      <c r="A109" s="2">
        <v>46155</v>
      </c>
      <c r="B109" s="1" t="str">
        <f ca="1">IF(Información1[[#This Row],[Fecha]]='Ajuste de fechas'!$A$2,"Día actual","Día anterior")</f>
        <v>Día anterior</v>
      </c>
      <c r="C109" t="s">
        <v>205</v>
      </c>
      <c r="D109" t="s">
        <v>233</v>
      </c>
      <c r="E109" t="s">
        <v>246</v>
      </c>
      <c r="F109" t="s">
        <v>26</v>
      </c>
      <c r="G109" t="s">
        <v>97</v>
      </c>
      <c r="H109" t="s">
        <v>11</v>
      </c>
      <c r="I109" t="s">
        <v>7</v>
      </c>
      <c r="J109" t="s">
        <v>49</v>
      </c>
      <c r="K109" t="s">
        <v>143</v>
      </c>
      <c r="L109" t="s">
        <v>52</v>
      </c>
      <c r="M109">
        <v>1</v>
      </c>
    </row>
    <row r="110" spans="1:13" x14ac:dyDescent="0.25">
      <c r="A110" s="2">
        <v>46155</v>
      </c>
      <c r="B110" s="1" t="str">
        <f ca="1">IF(Información1[[#This Row],[Fecha]]='Ajuste de fechas'!$A$2,"Día actual","Día anterior")</f>
        <v>Día anterior</v>
      </c>
      <c r="C110" t="s">
        <v>205</v>
      </c>
      <c r="D110" t="s">
        <v>233</v>
      </c>
      <c r="E110" t="s">
        <v>229</v>
      </c>
      <c r="F110" t="s">
        <v>15</v>
      </c>
      <c r="G110" t="s">
        <v>153</v>
      </c>
      <c r="H110" t="s">
        <v>11</v>
      </c>
      <c r="I110" t="s">
        <v>7</v>
      </c>
      <c r="J110" t="s">
        <v>49</v>
      </c>
      <c r="K110" t="s">
        <v>143</v>
      </c>
      <c r="L110" t="s">
        <v>52</v>
      </c>
      <c r="M110">
        <v>1</v>
      </c>
    </row>
    <row r="111" spans="1:13" x14ac:dyDescent="0.25">
      <c r="A111" s="2">
        <v>46155</v>
      </c>
      <c r="B111" s="1" t="str">
        <f ca="1">IF(Información1[[#This Row],[Fecha]]='Ajuste de fechas'!$A$2,"Día actual","Día anterior")</f>
        <v>Día anterior</v>
      </c>
      <c r="C111" t="s">
        <v>205</v>
      </c>
      <c r="D111" t="s">
        <v>233</v>
      </c>
      <c r="E111" t="s">
        <v>247</v>
      </c>
      <c r="F111" t="s">
        <v>86</v>
      </c>
      <c r="G111" t="s">
        <v>89</v>
      </c>
      <c r="H111" t="s">
        <v>11</v>
      </c>
      <c r="I111" t="s">
        <v>7</v>
      </c>
      <c r="J111" t="s">
        <v>49</v>
      </c>
      <c r="K111" t="s">
        <v>237</v>
      </c>
      <c r="L111" t="s">
        <v>51</v>
      </c>
      <c r="M111">
        <v>1</v>
      </c>
    </row>
    <row r="112" spans="1:13" x14ac:dyDescent="0.25">
      <c r="A112" s="2">
        <v>46156</v>
      </c>
      <c r="B112" s="1" t="str">
        <f ca="1">IF(Información1[[#This Row],[Fecha]]='Ajuste de fechas'!$A$2,"Día actual","Día anterior")</f>
        <v>Día actual</v>
      </c>
      <c r="C112" t="s">
        <v>34</v>
      </c>
      <c r="D112" t="s">
        <v>35</v>
      </c>
      <c r="E112" t="s">
        <v>248</v>
      </c>
      <c r="F112" t="s">
        <v>26</v>
      </c>
      <c r="G112" t="s">
        <v>75</v>
      </c>
      <c r="H112" t="s">
        <v>32</v>
      </c>
      <c r="I112" t="s">
        <v>12</v>
      </c>
      <c r="J112" t="s">
        <v>49</v>
      </c>
      <c r="K112" t="s">
        <v>249</v>
      </c>
      <c r="L112" t="s">
        <v>51</v>
      </c>
      <c r="M112">
        <v>4</v>
      </c>
    </row>
    <row r="113" spans="1:13" x14ac:dyDescent="0.25">
      <c r="A113" s="2">
        <v>46156</v>
      </c>
      <c r="B113" s="1" t="str">
        <f ca="1">IF(Información1[[#This Row],[Fecha]]='Ajuste de fechas'!$A$2,"Día actual","Día anterior")</f>
        <v>Día actual</v>
      </c>
      <c r="C113" t="s">
        <v>34</v>
      </c>
      <c r="D113" t="s">
        <v>35</v>
      </c>
      <c r="E113" t="s">
        <v>250</v>
      </c>
      <c r="F113" t="s">
        <v>67</v>
      </c>
      <c r="G113" t="s">
        <v>335</v>
      </c>
      <c r="H113" t="s">
        <v>32</v>
      </c>
      <c r="I113" t="s">
        <v>25</v>
      </c>
      <c r="J113" t="s">
        <v>49</v>
      </c>
      <c r="K113" t="s">
        <v>27</v>
      </c>
      <c r="L113" t="s">
        <v>51</v>
      </c>
      <c r="M113">
        <v>4</v>
      </c>
    </row>
    <row r="114" spans="1:13" x14ac:dyDescent="0.25">
      <c r="A114" s="2">
        <v>46156</v>
      </c>
      <c r="B114" s="1" t="str">
        <f ca="1">IF(Información1[[#This Row],[Fecha]]='Ajuste de fechas'!$A$2,"Día actual","Día anterior")</f>
        <v>Día actual</v>
      </c>
      <c r="C114" t="s">
        <v>34</v>
      </c>
      <c r="D114" t="s">
        <v>35</v>
      </c>
      <c r="E114" t="s">
        <v>251</v>
      </c>
      <c r="F114" t="s">
        <v>19</v>
      </c>
      <c r="G114" t="s">
        <v>304</v>
      </c>
      <c r="H114" t="s">
        <v>32</v>
      </c>
      <c r="I114" t="s">
        <v>25</v>
      </c>
      <c r="J114" t="s">
        <v>53</v>
      </c>
      <c r="K114" t="s">
        <v>9</v>
      </c>
      <c r="L114" t="s">
        <v>51</v>
      </c>
      <c r="M114">
        <v>3</v>
      </c>
    </row>
    <row r="115" spans="1:13" x14ac:dyDescent="0.25">
      <c r="A115" s="2">
        <v>46156</v>
      </c>
      <c r="B115" s="1" t="str">
        <f ca="1">IF(Información1[[#This Row],[Fecha]]='Ajuste de fechas'!$A$2,"Día actual","Día anterior")</f>
        <v>Día actual</v>
      </c>
      <c r="C115" t="s">
        <v>34</v>
      </c>
      <c r="D115" t="s">
        <v>35</v>
      </c>
      <c r="E115" t="s">
        <v>252</v>
      </c>
      <c r="F115" t="s">
        <v>15</v>
      </c>
      <c r="G115" t="s">
        <v>215</v>
      </c>
      <c r="H115" t="s">
        <v>32</v>
      </c>
      <c r="I115" t="s">
        <v>7</v>
      </c>
      <c r="J115" t="s">
        <v>49</v>
      </c>
      <c r="K115" t="s">
        <v>27</v>
      </c>
      <c r="L115" t="s">
        <v>52</v>
      </c>
      <c r="M115">
        <v>4</v>
      </c>
    </row>
    <row r="116" spans="1:13" x14ac:dyDescent="0.25">
      <c r="A116" s="2">
        <v>46156</v>
      </c>
      <c r="B116" s="1" t="str">
        <f ca="1">IF(Información1[[#This Row],[Fecha]]='Ajuste de fechas'!$A$2,"Día actual","Día anterior")</f>
        <v>Día actual</v>
      </c>
      <c r="C116" t="s">
        <v>34</v>
      </c>
      <c r="D116" t="s">
        <v>35</v>
      </c>
      <c r="E116" t="s">
        <v>253</v>
      </c>
      <c r="F116" t="s">
        <v>15</v>
      </c>
      <c r="G116" t="s">
        <v>334</v>
      </c>
      <c r="H116" t="s">
        <v>32</v>
      </c>
      <c r="I116" t="s">
        <v>7</v>
      </c>
      <c r="J116" t="s">
        <v>49</v>
      </c>
      <c r="K116" t="s">
        <v>27</v>
      </c>
      <c r="L116" t="s">
        <v>50</v>
      </c>
      <c r="M116">
        <v>4</v>
      </c>
    </row>
    <row r="117" spans="1:13" x14ac:dyDescent="0.25">
      <c r="A117" s="2">
        <v>46156</v>
      </c>
      <c r="B117" s="1" t="str">
        <f ca="1">IF(Información1[[#This Row],[Fecha]]='Ajuste de fechas'!$A$2,"Día actual","Día anterior")</f>
        <v>Día actual</v>
      </c>
      <c r="C117" t="s">
        <v>34</v>
      </c>
      <c r="D117" t="s">
        <v>35</v>
      </c>
      <c r="E117" t="s">
        <v>254</v>
      </c>
      <c r="F117" t="s">
        <v>19</v>
      </c>
      <c r="G117" t="s">
        <v>167</v>
      </c>
      <c r="H117" t="s">
        <v>32</v>
      </c>
      <c r="I117" t="s">
        <v>7</v>
      </c>
      <c r="J117" t="s">
        <v>53</v>
      </c>
      <c r="K117" t="s">
        <v>27</v>
      </c>
      <c r="L117" t="s">
        <v>50</v>
      </c>
      <c r="M117">
        <v>4</v>
      </c>
    </row>
    <row r="118" spans="1:13" x14ac:dyDescent="0.25">
      <c r="A118" s="2">
        <v>46156</v>
      </c>
      <c r="B118" s="1" t="str">
        <f ca="1">IF(Información1[[#This Row],[Fecha]]='Ajuste de fechas'!$A$2,"Día actual","Día anterior")</f>
        <v>Día actual</v>
      </c>
      <c r="C118" t="s">
        <v>34</v>
      </c>
      <c r="D118" t="s">
        <v>35</v>
      </c>
      <c r="E118" t="s">
        <v>255</v>
      </c>
      <c r="F118" t="s">
        <v>19</v>
      </c>
      <c r="G118" t="s">
        <v>256</v>
      </c>
      <c r="H118" t="s">
        <v>32</v>
      </c>
      <c r="I118" t="s">
        <v>7</v>
      </c>
      <c r="J118" t="s">
        <v>53</v>
      </c>
      <c r="K118" t="s">
        <v>27</v>
      </c>
      <c r="L118" t="s">
        <v>50</v>
      </c>
      <c r="M118">
        <v>3</v>
      </c>
    </row>
    <row r="119" spans="1:13" x14ac:dyDescent="0.25">
      <c r="A119" s="2">
        <v>46156</v>
      </c>
      <c r="B119" s="1" t="str">
        <f ca="1">IF(Información1[[#This Row],[Fecha]]='Ajuste de fechas'!$A$2,"Día actual","Día anterior")</f>
        <v>Día actual</v>
      </c>
      <c r="C119" t="s">
        <v>34</v>
      </c>
      <c r="D119" t="s">
        <v>35</v>
      </c>
      <c r="E119" t="s">
        <v>257</v>
      </c>
      <c r="F119" t="s">
        <v>21</v>
      </c>
      <c r="G119" t="s">
        <v>258</v>
      </c>
      <c r="H119" t="s">
        <v>32</v>
      </c>
      <c r="I119" t="s">
        <v>7</v>
      </c>
      <c r="J119" t="s">
        <v>49</v>
      </c>
      <c r="K119" t="s">
        <v>27</v>
      </c>
      <c r="L119" t="s">
        <v>52</v>
      </c>
      <c r="M119">
        <v>4</v>
      </c>
    </row>
    <row r="120" spans="1:13" x14ac:dyDescent="0.25">
      <c r="A120" s="2">
        <v>46156</v>
      </c>
      <c r="B120" s="1" t="str">
        <f ca="1">IF(Información1[[#This Row],[Fecha]]='Ajuste de fechas'!$A$2,"Día actual","Día anterior")</f>
        <v>Día actual</v>
      </c>
      <c r="C120" t="s">
        <v>34</v>
      </c>
      <c r="D120" t="s">
        <v>35</v>
      </c>
      <c r="E120" t="s">
        <v>259</v>
      </c>
      <c r="F120" t="s">
        <v>67</v>
      </c>
      <c r="G120" t="s">
        <v>260</v>
      </c>
      <c r="H120" t="s">
        <v>32</v>
      </c>
      <c r="I120" t="s">
        <v>25</v>
      </c>
      <c r="J120" t="s">
        <v>49</v>
      </c>
      <c r="K120" t="s">
        <v>27</v>
      </c>
      <c r="L120" t="s">
        <v>50</v>
      </c>
      <c r="M120">
        <v>4</v>
      </c>
    </row>
    <row r="121" spans="1:13" x14ac:dyDescent="0.25">
      <c r="A121" s="2">
        <v>46156</v>
      </c>
      <c r="B121" s="1" t="str">
        <f ca="1">IF(Información1[[#This Row],[Fecha]]='Ajuste de fechas'!$A$2,"Día actual","Día anterior")</f>
        <v>Día actual</v>
      </c>
      <c r="C121" t="s">
        <v>34</v>
      </c>
      <c r="D121" t="s">
        <v>35</v>
      </c>
      <c r="E121" t="s">
        <v>261</v>
      </c>
      <c r="F121" t="s">
        <v>15</v>
      </c>
      <c r="G121" t="s">
        <v>59</v>
      </c>
      <c r="H121" t="s">
        <v>32</v>
      </c>
      <c r="I121" t="s">
        <v>7</v>
      </c>
      <c r="J121" t="s">
        <v>49</v>
      </c>
      <c r="K121" t="s">
        <v>27</v>
      </c>
      <c r="L121" t="s">
        <v>50</v>
      </c>
      <c r="M121">
        <v>4</v>
      </c>
    </row>
    <row r="122" spans="1:13" x14ac:dyDescent="0.25">
      <c r="A122" s="2">
        <v>46156</v>
      </c>
      <c r="B122" s="1" t="str">
        <f ca="1">IF(Información1[[#This Row],[Fecha]]='Ajuste de fechas'!$A$2,"Día actual","Día anterior")</f>
        <v>Día actual</v>
      </c>
      <c r="C122" t="s">
        <v>34</v>
      </c>
      <c r="D122" t="s">
        <v>35</v>
      </c>
      <c r="E122" t="s">
        <v>262</v>
      </c>
      <c r="F122" t="s">
        <v>70</v>
      </c>
      <c r="G122" t="s">
        <v>263</v>
      </c>
      <c r="H122" t="s">
        <v>32</v>
      </c>
      <c r="I122" t="s">
        <v>7</v>
      </c>
      <c r="J122" t="s">
        <v>24</v>
      </c>
      <c r="K122" t="s">
        <v>27</v>
      </c>
      <c r="L122" t="s">
        <v>50</v>
      </c>
      <c r="M122">
        <v>4</v>
      </c>
    </row>
    <row r="123" spans="1:13" x14ac:dyDescent="0.25">
      <c r="A123" s="2">
        <v>46156</v>
      </c>
      <c r="B123" s="1" t="str">
        <f ca="1">IF(Información1[[#This Row],[Fecha]]='Ajuste de fechas'!$A$2,"Día actual","Día anterior")</f>
        <v>Día actual</v>
      </c>
      <c r="C123" t="s">
        <v>34</v>
      </c>
      <c r="D123" t="s">
        <v>35</v>
      </c>
      <c r="E123" t="s">
        <v>264</v>
      </c>
      <c r="F123" t="s">
        <v>169</v>
      </c>
      <c r="G123" t="s">
        <v>93</v>
      </c>
      <c r="H123" t="s">
        <v>32</v>
      </c>
      <c r="I123" t="s">
        <v>7</v>
      </c>
      <c r="J123" t="s">
        <v>49</v>
      </c>
      <c r="K123" t="s">
        <v>27</v>
      </c>
      <c r="L123" t="s">
        <v>52</v>
      </c>
      <c r="M123">
        <v>4</v>
      </c>
    </row>
    <row r="124" spans="1:13" x14ac:dyDescent="0.25">
      <c r="A124" s="2">
        <v>46156</v>
      </c>
      <c r="B124" s="1" t="str">
        <f ca="1">IF(Información1[[#This Row],[Fecha]]='Ajuste de fechas'!$A$2,"Día actual","Día anterior")</f>
        <v>Día actual</v>
      </c>
      <c r="C124" t="s">
        <v>34</v>
      </c>
      <c r="D124" t="s">
        <v>35</v>
      </c>
      <c r="E124" t="s">
        <v>265</v>
      </c>
      <c r="F124" t="s">
        <v>26</v>
      </c>
      <c r="G124" t="s">
        <v>277</v>
      </c>
      <c r="H124" t="s">
        <v>32</v>
      </c>
      <c r="I124" t="s">
        <v>7</v>
      </c>
      <c r="J124" t="s">
        <v>49</v>
      </c>
      <c r="K124" t="s">
        <v>27</v>
      </c>
      <c r="L124" t="s">
        <v>52</v>
      </c>
      <c r="M124">
        <v>3</v>
      </c>
    </row>
    <row r="125" spans="1:13" x14ac:dyDescent="0.25">
      <c r="A125" s="2">
        <v>46156</v>
      </c>
      <c r="B125" s="1" t="str">
        <f ca="1">IF(Información1[[#This Row],[Fecha]]='Ajuste de fechas'!$A$2,"Día actual","Día anterior")</f>
        <v>Día actual</v>
      </c>
      <c r="C125" t="s">
        <v>37</v>
      </c>
      <c r="D125" t="s">
        <v>38</v>
      </c>
      <c r="E125" t="s">
        <v>266</v>
      </c>
      <c r="F125" t="s">
        <v>22</v>
      </c>
      <c r="G125" t="s">
        <v>76</v>
      </c>
      <c r="H125" t="s">
        <v>11</v>
      </c>
      <c r="I125" t="s">
        <v>7</v>
      </c>
      <c r="J125" t="s">
        <v>54</v>
      </c>
      <c r="K125" t="s">
        <v>39</v>
      </c>
      <c r="L125" t="s">
        <v>50</v>
      </c>
      <c r="M125">
        <v>3</v>
      </c>
    </row>
    <row r="126" spans="1:13" x14ac:dyDescent="0.25">
      <c r="A126" s="2">
        <v>46156</v>
      </c>
      <c r="B126" s="1" t="str">
        <f ca="1">IF(Información1[[#This Row],[Fecha]]='Ajuste de fechas'!$A$2,"Día actual","Día anterior")</f>
        <v>Día actual</v>
      </c>
      <c r="C126" t="s">
        <v>37</v>
      </c>
      <c r="D126" t="s">
        <v>38</v>
      </c>
      <c r="E126" t="s">
        <v>267</v>
      </c>
      <c r="F126" t="s">
        <v>22</v>
      </c>
      <c r="G126" t="s">
        <v>268</v>
      </c>
      <c r="H126" t="s">
        <v>11</v>
      </c>
      <c r="I126" t="s">
        <v>7</v>
      </c>
      <c r="J126" t="s">
        <v>54</v>
      </c>
      <c r="K126" t="s">
        <v>39</v>
      </c>
      <c r="L126" t="s">
        <v>50</v>
      </c>
      <c r="M126">
        <v>3</v>
      </c>
    </row>
    <row r="127" spans="1:13" x14ac:dyDescent="0.25">
      <c r="A127" s="2">
        <v>46156</v>
      </c>
      <c r="B127" s="1" t="str">
        <f ca="1">IF(Información1[[#This Row],[Fecha]]='Ajuste de fechas'!$A$2,"Día actual","Día anterior")</f>
        <v>Día actual</v>
      </c>
      <c r="C127" t="s">
        <v>37</v>
      </c>
      <c r="D127" t="s">
        <v>38</v>
      </c>
      <c r="E127" t="s">
        <v>269</v>
      </c>
      <c r="F127" t="s">
        <v>67</v>
      </c>
      <c r="G127" t="s">
        <v>219</v>
      </c>
      <c r="H127" t="s">
        <v>11</v>
      </c>
      <c r="I127" t="s">
        <v>7</v>
      </c>
      <c r="J127" t="s">
        <v>49</v>
      </c>
      <c r="K127" t="s">
        <v>39</v>
      </c>
      <c r="L127" t="s">
        <v>50</v>
      </c>
      <c r="M127">
        <v>3</v>
      </c>
    </row>
    <row r="128" spans="1:13" x14ac:dyDescent="0.25">
      <c r="A128" s="2">
        <v>46156</v>
      </c>
      <c r="B128" s="1" t="str">
        <f ca="1">IF(Información1[[#This Row],[Fecha]]='Ajuste de fechas'!$A$2,"Día actual","Día anterior")</f>
        <v>Día actual</v>
      </c>
      <c r="C128" t="s">
        <v>37</v>
      </c>
      <c r="D128" t="s">
        <v>38</v>
      </c>
      <c r="E128" t="s">
        <v>270</v>
      </c>
      <c r="F128" t="s">
        <v>67</v>
      </c>
      <c r="G128" t="s">
        <v>260</v>
      </c>
      <c r="H128" t="s">
        <v>11</v>
      </c>
      <c r="I128" t="s">
        <v>25</v>
      </c>
      <c r="J128" t="s">
        <v>49</v>
      </c>
      <c r="K128" t="s">
        <v>39</v>
      </c>
      <c r="L128" t="s">
        <v>50</v>
      </c>
      <c r="M128">
        <v>3</v>
      </c>
    </row>
    <row r="129" spans="1:13" x14ac:dyDescent="0.25">
      <c r="A129" s="2">
        <v>46156</v>
      </c>
      <c r="B129" s="1" t="str">
        <f ca="1">IF(Información1[[#This Row],[Fecha]]='Ajuste de fechas'!$A$2,"Día actual","Día anterior")</f>
        <v>Día actual</v>
      </c>
      <c r="C129" t="s">
        <v>37</v>
      </c>
      <c r="D129" t="s">
        <v>38</v>
      </c>
      <c r="E129" t="s">
        <v>271</v>
      </c>
      <c r="F129" t="s">
        <v>15</v>
      </c>
      <c r="G129" t="s">
        <v>272</v>
      </c>
      <c r="H129" t="s">
        <v>11</v>
      </c>
      <c r="I129" t="s">
        <v>25</v>
      </c>
      <c r="J129" t="s">
        <v>49</v>
      </c>
      <c r="K129" t="s">
        <v>39</v>
      </c>
      <c r="L129" t="s">
        <v>51</v>
      </c>
      <c r="M129">
        <v>3</v>
      </c>
    </row>
    <row r="130" spans="1:13" x14ac:dyDescent="0.25">
      <c r="A130" s="2">
        <v>46156</v>
      </c>
      <c r="B130" s="1" t="str">
        <f ca="1">IF(Información1[[#This Row],[Fecha]]='Ajuste de fechas'!$A$2,"Día actual","Día anterior")</f>
        <v>Día actual</v>
      </c>
      <c r="C130" t="s">
        <v>37</v>
      </c>
      <c r="D130" t="s">
        <v>38</v>
      </c>
      <c r="E130" t="s">
        <v>273</v>
      </c>
      <c r="F130" t="s">
        <v>19</v>
      </c>
      <c r="G130" t="s">
        <v>87</v>
      </c>
      <c r="H130" t="s">
        <v>11</v>
      </c>
      <c r="I130" t="s">
        <v>7</v>
      </c>
      <c r="J130" t="s">
        <v>53</v>
      </c>
      <c r="K130" t="s">
        <v>39</v>
      </c>
      <c r="L130" t="s">
        <v>55</v>
      </c>
      <c r="M130">
        <v>3</v>
      </c>
    </row>
    <row r="131" spans="1:13" x14ac:dyDescent="0.25">
      <c r="A131" s="2">
        <v>46156</v>
      </c>
      <c r="B131" s="1" t="str">
        <f ca="1">IF(Información1[[#This Row],[Fecha]]='Ajuste de fechas'!$A$2,"Día actual","Día anterior")</f>
        <v>Día actual</v>
      </c>
      <c r="C131" t="s">
        <v>37</v>
      </c>
      <c r="D131" t="s">
        <v>38</v>
      </c>
      <c r="E131" t="s">
        <v>257</v>
      </c>
      <c r="F131" t="s">
        <v>21</v>
      </c>
      <c r="G131" t="s">
        <v>258</v>
      </c>
      <c r="H131" t="s">
        <v>11</v>
      </c>
      <c r="I131" t="s">
        <v>7</v>
      </c>
      <c r="J131" t="s">
        <v>49</v>
      </c>
      <c r="K131" t="s">
        <v>39</v>
      </c>
      <c r="L131" t="s">
        <v>52</v>
      </c>
      <c r="M131">
        <v>3</v>
      </c>
    </row>
    <row r="132" spans="1:13" x14ac:dyDescent="0.25">
      <c r="A132" s="2">
        <v>46156</v>
      </c>
      <c r="B132" s="1" t="str">
        <f ca="1">IF(Información1[[#This Row],[Fecha]]='Ajuste de fechas'!$A$2,"Día actual","Día anterior")</f>
        <v>Día actual</v>
      </c>
      <c r="C132" t="s">
        <v>37</v>
      </c>
      <c r="D132" t="s">
        <v>38</v>
      </c>
      <c r="E132" t="s">
        <v>274</v>
      </c>
      <c r="F132" t="s">
        <v>275</v>
      </c>
      <c r="G132" t="s">
        <v>276</v>
      </c>
      <c r="H132" t="s">
        <v>11</v>
      </c>
      <c r="I132" t="s">
        <v>7</v>
      </c>
      <c r="J132" t="s">
        <v>49</v>
      </c>
      <c r="K132" t="s">
        <v>39</v>
      </c>
      <c r="L132" t="s">
        <v>52</v>
      </c>
      <c r="M132">
        <v>3</v>
      </c>
    </row>
    <row r="133" spans="1:13" x14ac:dyDescent="0.25">
      <c r="A133" s="2">
        <v>46156</v>
      </c>
      <c r="B133" s="1" t="str">
        <f ca="1">IF(Información1[[#This Row],[Fecha]]='Ajuste de fechas'!$A$2,"Día actual","Día anterior")</f>
        <v>Día actual</v>
      </c>
      <c r="C133" t="s">
        <v>37</v>
      </c>
      <c r="D133" t="s">
        <v>38</v>
      </c>
      <c r="E133" t="s">
        <v>265</v>
      </c>
      <c r="F133" t="s">
        <v>26</v>
      </c>
      <c r="G133" t="s">
        <v>277</v>
      </c>
      <c r="H133" t="s">
        <v>11</v>
      </c>
      <c r="I133" t="s">
        <v>7</v>
      </c>
      <c r="J133" t="s">
        <v>49</v>
      </c>
      <c r="K133" t="s">
        <v>39</v>
      </c>
      <c r="L133" t="s">
        <v>52</v>
      </c>
      <c r="M133">
        <v>3</v>
      </c>
    </row>
    <row r="134" spans="1:13" x14ac:dyDescent="0.25">
      <c r="A134" s="2">
        <v>46156</v>
      </c>
      <c r="B134" s="1" t="str">
        <f ca="1">IF(Información1[[#This Row],[Fecha]]='Ajuste de fechas'!$A$2,"Día actual","Día anterior")</f>
        <v>Día actual</v>
      </c>
      <c r="C134" t="s">
        <v>37</v>
      </c>
      <c r="D134" t="s">
        <v>38</v>
      </c>
      <c r="E134" t="s">
        <v>278</v>
      </c>
      <c r="F134" t="s">
        <v>19</v>
      </c>
      <c r="G134" t="s">
        <v>279</v>
      </c>
      <c r="H134" t="s">
        <v>11</v>
      </c>
      <c r="I134" t="s">
        <v>25</v>
      </c>
      <c r="J134" t="s">
        <v>53</v>
      </c>
      <c r="K134" t="s">
        <v>39</v>
      </c>
      <c r="L134" t="s">
        <v>51</v>
      </c>
      <c r="M134">
        <v>1</v>
      </c>
    </row>
    <row r="135" spans="1:13" x14ac:dyDescent="0.25">
      <c r="A135" s="2">
        <v>46156</v>
      </c>
      <c r="B135" s="1" t="str">
        <f ca="1">IF(Información1[[#This Row],[Fecha]]='Ajuste de fechas'!$A$2,"Día actual","Día anterior")</f>
        <v>Día actual</v>
      </c>
      <c r="C135" t="s">
        <v>37</v>
      </c>
      <c r="D135" t="s">
        <v>38</v>
      </c>
      <c r="E135" t="s">
        <v>280</v>
      </c>
      <c r="F135" t="s">
        <v>70</v>
      </c>
      <c r="G135" t="s">
        <v>279</v>
      </c>
      <c r="H135" t="s">
        <v>11</v>
      </c>
      <c r="I135" t="s">
        <v>7</v>
      </c>
      <c r="J135" t="s">
        <v>24</v>
      </c>
      <c r="K135" t="s">
        <v>39</v>
      </c>
      <c r="L135" t="s">
        <v>50</v>
      </c>
      <c r="M135">
        <v>3</v>
      </c>
    </row>
    <row r="136" spans="1:13" x14ac:dyDescent="0.25">
      <c r="A136" s="2">
        <v>46156</v>
      </c>
      <c r="B136" s="1" t="str">
        <f ca="1">IF(Información1[[#This Row],[Fecha]]='Ajuste de fechas'!$A$2,"Día actual","Día anterior")</f>
        <v>Día actual</v>
      </c>
      <c r="C136" t="s">
        <v>37</v>
      </c>
      <c r="D136" t="s">
        <v>38</v>
      </c>
      <c r="E136" t="s">
        <v>280</v>
      </c>
      <c r="F136" t="s">
        <v>19</v>
      </c>
      <c r="G136" t="s">
        <v>279</v>
      </c>
      <c r="H136" t="s">
        <v>11</v>
      </c>
      <c r="I136" t="s">
        <v>25</v>
      </c>
      <c r="J136" t="s">
        <v>53</v>
      </c>
      <c r="K136" t="s">
        <v>39</v>
      </c>
      <c r="L136" t="s">
        <v>50</v>
      </c>
      <c r="M136">
        <v>3</v>
      </c>
    </row>
    <row r="137" spans="1:13" x14ac:dyDescent="0.25">
      <c r="A137" s="2">
        <v>46156</v>
      </c>
      <c r="B137" s="1" t="str">
        <f ca="1">IF(Información1[[#This Row],[Fecha]]='Ajuste de fechas'!$A$2,"Día actual","Día anterior")</f>
        <v>Día actual</v>
      </c>
      <c r="C137" t="s">
        <v>37</v>
      </c>
      <c r="D137" t="s">
        <v>38</v>
      </c>
      <c r="E137" t="s">
        <v>281</v>
      </c>
      <c r="F137" t="s">
        <v>19</v>
      </c>
      <c r="G137" t="s">
        <v>74</v>
      </c>
      <c r="H137" t="s">
        <v>11</v>
      </c>
      <c r="I137" t="s">
        <v>7</v>
      </c>
      <c r="J137" t="s">
        <v>53</v>
      </c>
      <c r="K137" t="s">
        <v>39</v>
      </c>
      <c r="L137" t="s">
        <v>50</v>
      </c>
      <c r="M137">
        <v>3</v>
      </c>
    </row>
    <row r="138" spans="1:13" x14ac:dyDescent="0.25">
      <c r="A138" s="2">
        <v>46156</v>
      </c>
      <c r="B138" s="1" t="str">
        <f ca="1">IF(Información1[[#This Row],[Fecha]]='Ajuste de fechas'!$A$2,"Día actual","Día anterior")</f>
        <v>Día actual</v>
      </c>
      <c r="C138" t="s">
        <v>37</v>
      </c>
      <c r="D138" t="s">
        <v>38</v>
      </c>
      <c r="E138" t="s">
        <v>282</v>
      </c>
      <c r="F138" t="s">
        <v>19</v>
      </c>
      <c r="G138" t="s">
        <v>333</v>
      </c>
      <c r="H138" t="s">
        <v>11</v>
      </c>
      <c r="I138" t="s">
        <v>25</v>
      </c>
      <c r="J138" t="s">
        <v>53</v>
      </c>
      <c r="K138" t="s">
        <v>39</v>
      </c>
      <c r="L138" t="s">
        <v>51</v>
      </c>
      <c r="M138">
        <v>3</v>
      </c>
    </row>
    <row r="139" spans="1:13" x14ac:dyDescent="0.25">
      <c r="A139" s="2">
        <v>46156</v>
      </c>
      <c r="B139" s="1" t="str">
        <f ca="1">IF(Información1[[#This Row],[Fecha]]='Ajuste de fechas'!$A$2,"Día actual","Día anterior")</f>
        <v>Día actual</v>
      </c>
      <c r="C139" t="s">
        <v>37</v>
      </c>
      <c r="D139" t="s">
        <v>38</v>
      </c>
      <c r="E139" t="s">
        <v>283</v>
      </c>
      <c r="F139" t="s">
        <v>24</v>
      </c>
      <c r="G139" t="s">
        <v>333</v>
      </c>
      <c r="H139" t="s">
        <v>11</v>
      </c>
      <c r="I139" t="s">
        <v>7</v>
      </c>
      <c r="J139" t="s">
        <v>24</v>
      </c>
      <c r="K139" t="s">
        <v>39</v>
      </c>
      <c r="L139" t="s">
        <v>50</v>
      </c>
      <c r="M139">
        <v>3</v>
      </c>
    </row>
    <row r="140" spans="1:13" x14ac:dyDescent="0.25">
      <c r="A140" s="2">
        <v>46156</v>
      </c>
      <c r="B140" s="1" t="str">
        <f ca="1">IF(Información1[[#This Row],[Fecha]]='Ajuste de fechas'!$A$2,"Día actual","Día anterior")</f>
        <v>Día actual</v>
      </c>
      <c r="C140" t="s">
        <v>37</v>
      </c>
      <c r="D140" t="s">
        <v>38</v>
      </c>
      <c r="E140" t="s">
        <v>284</v>
      </c>
      <c r="F140" t="s">
        <v>23</v>
      </c>
      <c r="G140" t="s">
        <v>285</v>
      </c>
      <c r="H140" t="s">
        <v>11</v>
      </c>
      <c r="I140" t="s">
        <v>25</v>
      </c>
      <c r="J140" t="s">
        <v>49</v>
      </c>
      <c r="K140" t="s">
        <v>39</v>
      </c>
      <c r="L140" t="s">
        <v>51</v>
      </c>
      <c r="M140">
        <v>3</v>
      </c>
    </row>
    <row r="141" spans="1:13" x14ac:dyDescent="0.25">
      <c r="A141" s="2">
        <v>46156</v>
      </c>
      <c r="B141" s="1" t="str">
        <f ca="1">IF(Información1[[#This Row],[Fecha]]='Ajuste de fechas'!$A$2,"Día actual","Día anterior")</f>
        <v>Día actual</v>
      </c>
      <c r="C141" t="s">
        <v>37</v>
      </c>
      <c r="D141" t="s">
        <v>38</v>
      </c>
      <c r="E141" t="s">
        <v>286</v>
      </c>
      <c r="F141" t="s">
        <v>26</v>
      </c>
      <c r="G141" t="s">
        <v>93</v>
      </c>
      <c r="H141" t="s">
        <v>11</v>
      </c>
      <c r="I141" t="s">
        <v>7</v>
      </c>
      <c r="J141" t="s">
        <v>49</v>
      </c>
      <c r="K141" t="s">
        <v>39</v>
      </c>
      <c r="L141" t="s">
        <v>50</v>
      </c>
      <c r="M141">
        <v>3</v>
      </c>
    </row>
    <row r="142" spans="1:13" x14ac:dyDescent="0.25">
      <c r="A142" s="2">
        <v>46156</v>
      </c>
      <c r="B142" s="1" t="str">
        <f ca="1">IF(Información1[[#This Row],[Fecha]]='Ajuste de fechas'!$A$2,"Día actual","Día anterior")</f>
        <v>Día actual</v>
      </c>
      <c r="C142" t="s">
        <v>37</v>
      </c>
      <c r="D142" t="s">
        <v>38</v>
      </c>
      <c r="E142" t="s">
        <v>287</v>
      </c>
      <c r="F142" t="s">
        <v>169</v>
      </c>
      <c r="G142" t="s">
        <v>93</v>
      </c>
      <c r="H142" t="s">
        <v>11</v>
      </c>
      <c r="I142" t="s">
        <v>7</v>
      </c>
      <c r="J142" t="s">
        <v>49</v>
      </c>
      <c r="K142" t="s">
        <v>39</v>
      </c>
      <c r="L142" t="s">
        <v>50</v>
      </c>
      <c r="M142">
        <v>3</v>
      </c>
    </row>
    <row r="143" spans="1:13" x14ac:dyDescent="0.25">
      <c r="A143" s="2">
        <v>46156</v>
      </c>
      <c r="B143" s="1" t="str">
        <f ca="1">IF(Información1[[#This Row],[Fecha]]='Ajuste de fechas'!$A$2,"Día actual","Día anterior")</f>
        <v>Día actual</v>
      </c>
      <c r="C143" t="s">
        <v>37</v>
      </c>
      <c r="D143" t="s">
        <v>38</v>
      </c>
      <c r="E143" t="s">
        <v>288</v>
      </c>
      <c r="F143" t="s">
        <v>67</v>
      </c>
      <c r="G143" t="s">
        <v>289</v>
      </c>
      <c r="H143" t="s">
        <v>11</v>
      </c>
      <c r="I143" t="s">
        <v>7</v>
      </c>
      <c r="J143" t="s">
        <v>49</v>
      </c>
      <c r="K143" t="s">
        <v>39</v>
      </c>
      <c r="L143" t="s">
        <v>51</v>
      </c>
      <c r="M143">
        <v>3</v>
      </c>
    </row>
    <row r="144" spans="1:13" x14ac:dyDescent="0.25">
      <c r="A144" s="2">
        <v>46156</v>
      </c>
      <c r="B144" s="1" t="str">
        <f ca="1">IF(Información1[[#This Row],[Fecha]]='Ajuste de fechas'!$A$2,"Día actual","Día anterior")</f>
        <v>Día actual</v>
      </c>
      <c r="C144" t="s">
        <v>37</v>
      </c>
      <c r="D144" t="s">
        <v>38</v>
      </c>
      <c r="E144" t="s">
        <v>290</v>
      </c>
      <c r="F144" t="s">
        <v>15</v>
      </c>
      <c r="G144" t="s">
        <v>272</v>
      </c>
      <c r="H144" t="s">
        <v>11</v>
      </c>
      <c r="I144" t="s">
        <v>25</v>
      </c>
      <c r="J144" t="s">
        <v>49</v>
      </c>
      <c r="K144" t="s">
        <v>39</v>
      </c>
      <c r="L144" t="s">
        <v>51</v>
      </c>
      <c r="M144">
        <v>3</v>
      </c>
    </row>
    <row r="145" spans="1:13" x14ac:dyDescent="0.25">
      <c r="A145" s="2">
        <v>46156</v>
      </c>
      <c r="B145" s="1" t="str">
        <f ca="1">IF(Información1[[#This Row],[Fecha]]='Ajuste de fechas'!$A$2,"Día actual","Día anterior")</f>
        <v>Día actual</v>
      </c>
      <c r="C145" t="s">
        <v>37</v>
      </c>
      <c r="D145" t="s">
        <v>38</v>
      </c>
      <c r="E145" t="s">
        <v>88</v>
      </c>
      <c r="F145" t="s">
        <v>19</v>
      </c>
      <c r="G145" t="s">
        <v>33</v>
      </c>
      <c r="H145" t="s">
        <v>11</v>
      </c>
      <c r="I145" t="s">
        <v>7</v>
      </c>
      <c r="J145" t="s">
        <v>53</v>
      </c>
      <c r="K145" t="s">
        <v>39</v>
      </c>
      <c r="L145" t="s">
        <v>50</v>
      </c>
      <c r="M145">
        <v>3</v>
      </c>
    </row>
    <row r="146" spans="1:13" x14ac:dyDescent="0.25">
      <c r="A146" s="2">
        <v>46156</v>
      </c>
      <c r="B146" s="1" t="str">
        <f ca="1">IF(Información1[[#This Row],[Fecha]]='Ajuste de fechas'!$A$2,"Día actual","Día anterior")</f>
        <v>Día actual</v>
      </c>
      <c r="C146" t="s">
        <v>37</v>
      </c>
      <c r="D146" t="s">
        <v>38</v>
      </c>
      <c r="E146" t="s">
        <v>291</v>
      </c>
      <c r="F146" t="s">
        <v>70</v>
      </c>
      <c r="G146" t="s">
        <v>263</v>
      </c>
      <c r="H146" t="s">
        <v>11</v>
      </c>
      <c r="I146" t="s">
        <v>7</v>
      </c>
      <c r="J146" t="s">
        <v>24</v>
      </c>
      <c r="K146" t="s">
        <v>39</v>
      </c>
      <c r="L146" t="s">
        <v>50</v>
      </c>
      <c r="M146">
        <v>3</v>
      </c>
    </row>
    <row r="147" spans="1:13" x14ac:dyDescent="0.25">
      <c r="A147" s="2">
        <v>46156</v>
      </c>
      <c r="B147" s="1" t="str">
        <f ca="1">IF(Información1[[#This Row],[Fecha]]='Ajuste de fechas'!$A$2,"Día actual","Día anterior")</f>
        <v>Día actual</v>
      </c>
      <c r="C147" t="s">
        <v>37</v>
      </c>
      <c r="D147" t="s">
        <v>38</v>
      </c>
      <c r="E147" t="s">
        <v>292</v>
      </c>
      <c r="F147" t="s">
        <v>19</v>
      </c>
      <c r="G147" t="s">
        <v>190</v>
      </c>
      <c r="H147" t="s">
        <v>11</v>
      </c>
      <c r="I147" t="s">
        <v>7</v>
      </c>
      <c r="J147" t="s">
        <v>53</v>
      </c>
      <c r="K147" t="s">
        <v>39</v>
      </c>
      <c r="L147" t="s">
        <v>50</v>
      </c>
      <c r="M147">
        <v>3</v>
      </c>
    </row>
    <row r="148" spans="1:13" x14ac:dyDescent="0.25">
      <c r="A148" s="2">
        <v>46156</v>
      </c>
      <c r="B148" s="1" t="str">
        <f ca="1">IF(Información1[[#This Row],[Fecha]]='Ajuste de fechas'!$A$2,"Día actual","Día anterior")</f>
        <v>Día actual</v>
      </c>
      <c r="C148" t="s">
        <v>37</v>
      </c>
      <c r="D148" t="s">
        <v>38</v>
      </c>
      <c r="E148" t="s">
        <v>293</v>
      </c>
      <c r="F148" t="s">
        <v>19</v>
      </c>
      <c r="G148" t="s">
        <v>294</v>
      </c>
      <c r="H148" t="s">
        <v>11</v>
      </c>
      <c r="I148" t="s">
        <v>7</v>
      </c>
      <c r="J148" t="s">
        <v>53</v>
      </c>
      <c r="K148" t="s">
        <v>39</v>
      </c>
      <c r="L148" t="s">
        <v>50</v>
      </c>
      <c r="M148">
        <v>3</v>
      </c>
    </row>
    <row r="149" spans="1:13" x14ac:dyDescent="0.25">
      <c r="A149" s="2">
        <v>46155</v>
      </c>
      <c r="B149" s="1" t="str">
        <f ca="1">IF(Información1[[#This Row],[Fecha]]='Ajuste de fechas'!$A$2,"Día actual","Día anterior")</f>
        <v>Día anterior</v>
      </c>
      <c r="C149" t="s">
        <v>140</v>
      </c>
      <c r="D149" t="s">
        <v>141</v>
      </c>
      <c r="E149" t="s">
        <v>295</v>
      </c>
      <c r="F149" t="s">
        <v>21</v>
      </c>
      <c r="G149" t="s">
        <v>296</v>
      </c>
      <c r="H149" t="s">
        <v>32</v>
      </c>
      <c r="I149" t="s">
        <v>7</v>
      </c>
      <c r="J149" t="s">
        <v>49</v>
      </c>
      <c r="K149" t="s">
        <v>143</v>
      </c>
      <c r="L149" t="s">
        <v>50</v>
      </c>
      <c r="M149">
        <v>2</v>
      </c>
    </row>
    <row r="150" spans="1:13" x14ac:dyDescent="0.25">
      <c r="A150" s="2">
        <v>46155</v>
      </c>
      <c r="B150" s="1" t="str">
        <f ca="1">IF(Información1[[#This Row],[Fecha]]='Ajuste de fechas'!$A$2,"Día actual","Día anterior")</f>
        <v>Día anterior</v>
      </c>
      <c r="C150" t="s">
        <v>140</v>
      </c>
      <c r="D150" t="s">
        <v>141</v>
      </c>
      <c r="E150" t="s">
        <v>227</v>
      </c>
      <c r="F150" t="s">
        <v>23</v>
      </c>
      <c r="G150" t="s">
        <v>76</v>
      </c>
      <c r="H150" t="s">
        <v>32</v>
      </c>
      <c r="I150" t="s">
        <v>7</v>
      </c>
      <c r="J150" t="s">
        <v>49</v>
      </c>
      <c r="K150" t="s">
        <v>143</v>
      </c>
      <c r="L150" t="s">
        <v>52</v>
      </c>
      <c r="M150">
        <v>2</v>
      </c>
    </row>
    <row r="151" spans="1:13" x14ac:dyDescent="0.25">
      <c r="A151" s="2">
        <v>46155</v>
      </c>
      <c r="B151" s="1" t="str">
        <f ca="1">IF(Información1[[#This Row],[Fecha]]='Ajuste de fechas'!$A$2,"Día actual","Día anterior")</f>
        <v>Día anterior</v>
      </c>
      <c r="C151" t="s">
        <v>140</v>
      </c>
      <c r="D151" t="s">
        <v>141</v>
      </c>
      <c r="E151" t="s">
        <v>120</v>
      </c>
      <c r="F151" t="s">
        <v>23</v>
      </c>
      <c r="G151" t="s">
        <v>76</v>
      </c>
      <c r="H151" t="s">
        <v>32</v>
      </c>
      <c r="I151" t="s">
        <v>7</v>
      </c>
      <c r="J151" t="s">
        <v>49</v>
      </c>
      <c r="K151" t="s">
        <v>143</v>
      </c>
      <c r="L151" t="s">
        <v>52</v>
      </c>
      <c r="M151">
        <v>2</v>
      </c>
    </row>
    <row r="152" spans="1:13" x14ac:dyDescent="0.25">
      <c r="A152" s="2">
        <v>46155</v>
      </c>
      <c r="B152" s="1" t="str">
        <f ca="1">IF(Información1[[#This Row],[Fecha]]='Ajuste de fechas'!$A$2,"Día actual","Día anterior")</f>
        <v>Día anterior</v>
      </c>
      <c r="C152" t="s">
        <v>140</v>
      </c>
      <c r="D152" t="s">
        <v>141</v>
      </c>
      <c r="E152" t="s">
        <v>168</v>
      </c>
      <c r="F152" t="s">
        <v>23</v>
      </c>
      <c r="G152" t="s">
        <v>93</v>
      </c>
      <c r="H152" t="s">
        <v>32</v>
      </c>
      <c r="I152" t="s">
        <v>7</v>
      </c>
      <c r="J152" t="s">
        <v>49</v>
      </c>
      <c r="K152" t="s">
        <v>143</v>
      </c>
      <c r="L152" t="s">
        <v>52</v>
      </c>
      <c r="M152">
        <v>2</v>
      </c>
    </row>
    <row r="153" spans="1:13" x14ac:dyDescent="0.25">
      <c r="A153" s="2">
        <v>46155</v>
      </c>
      <c r="B153" s="1" t="str">
        <f ca="1">IF(Información1[[#This Row],[Fecha]]='Ajuste de fechas'!$A$2,"Día actual","Día anterior")</f>
        <v>Día anterior</v>
      </c>
      <c r="C153" t="s">
        <v>140</v>
      </c>
      <c r="D153" t="s">
        <v>141</v>
      </c>
      <c r="E153" t="s">
        <v>181</v>
      </c>
      <c r="F153" t="s">
        <v>36</v>
      </c>
      <c r="G153" t="s">
        <v>180</v>
      </c>
      <c r="H153" t="s">
        <v>32</v>
      </c>
      <c r="I153" t="s">
        <v>7</v>
      </c>
      <c r="J153" t="s">
        <v>49</v>
      </c>
      <c r="K153" t="s">
        <v>143</v>
      </c>
      <c r="L153" t="s">
        <v>52</v>
      </c>
      <c r="M153">
        <v>2</v>
      </c>
    </row>
    <row r="154" spans="1:13" x14ac:dyDescent="0.25">
      <c r="A154" s="2">
        <v>46155</v>
      </c>
      <c r="B154" s="1" t="str">
        <f ca="1">IF(Información1[[#This Row],[Fecha]]='Ajuste de fechas'!$A$2,"Día actual","Día anterior")</f>
        <v>Día anterior</v>
      </c>
      <c r="C154" t="s">
        <v>140</v>
      </c>
      <c r="D154" t="s">
        <v>141</v>
      </c>
      <c r="E154" t="s">
        <v>297</v>
      </c>
      <c r="F154" t="s">
        <v>36</v>
      </c>
      <c r="G154" t="s">
        <v>298</v>
      </c>
      <c r="H154" t="s">
        <v>32</v>
      </c>
      <c r="I154" t="s">
        <v>7</v>
      </c>
      <c r="J154" t="s">
        <v>49</v>
      </c>
      <c r="K154" t="s">
        <v>143</v>
      </c>
      <c r="L154" t="s">
        <v>52</v>
      </c>
      <c r="M154">
        <v>2</v>
      </c>
    </row>
    <row r="155" spans="1:13" x14ac:dyDescent="0.25">
      <c r="A155" s="2">
        <v>46155</v>
      </c>
      <c r="B155" s="1" t="str">
        <f ca="1">IF(Información1[[#This Row],[Fecha]]='Ajuste de fechas'!$A$2,"Día actual","Día anterior")</f>
        <v>Día anterior</v>
      </c>
      <c r="C155" t="s">
        <v>140</v>
      </c>
      <c r="D155" t="s">
        <v>141</v>
      </c>
      <c r="E155" t="s">
        <v>299</v>
      </c>
      <c r="F155" t="s">
        <v>77</v>
      </c>
      <c r="G155" t="s">
        <v>224</v>
      </c>
      <c r="H155" t="s">
        <v>32</v>
      </c>
      <c r="I155" t="s">
        <v>7</v>
      </c>
      <c r="J155" t="s">
        <v>49</v>
      </c>
      <c r="K155" t="s">
        <v>220</v>
      </c>
      <c r="L155" t="s">
        <v>52</v>
      </c>
      <c r="M155">
        <v>1</v>
      </c>
    </row>
    <row r="156" spans="1:13" x14ac:dyDescent="0.25">
      <c r="A156" s="2">
        <v>46155</v>
      </c>
      <c r="B156" s="1" t="str">
        <f ca="1">IF(Información1[[#This Row],[Fecha]]='Ajuste de fechas'!$A$2,"Día actual","Día anterior")</f>
        <v>Día anterior</v>
      </c>
      <c r="C156" t="s">
        <v>140</v>
      </c>
      <c r="D156" t="s">
        <v>141</v>
      </c>
      <c r="E156" t="s">
        <v>300</v>
      </c>
      <c r="F156" t="s">
        <v>70</v>
      </c>
      <c r="G156" t="s">
        <v>263</v>
      </c>
      <c r="H156" t="s">
        <v>32</v>
      </c>
      <c r="I156" t="s">
        <v>7</v>
      </c>
      <c r="J156" t="s">
        <v>24</v>
      </c>
      <c r="K156" t="s">
        <v>220</v>
      </c>
      <c r="L156" t="s">
        <v>50</v>
      </c>
      <c r="M156">
        <v>2</v>
      </c>
    </row>
    <row r="157" spans="1:13" x14ac:dyDescent="0.25">
      <c r="A157" s="2">
        <v>46155</v>
      </c>
      <c r="B157" s="1" t="str">
        <f ca="1">IF(Información1[[#This Row],[Fecha]]='Ajuste de fechas'!$A$2,"Día actual","Día anterior")</f>
        <v>Día anterior</v>
      </c>
      <c r="C157" t="s">
        <v>140</v>
      </c>
      <c r="D157" t="s">
        <v>141</v>
      </c>
      <c r="E157" t="s">
        <v>301</v>
      </c>
      <c r="F157" t="s">
        <v>70</v>
      </c>
      <c r="G157" t="s">
        <v>133</v>
      </c>
      <c r="H157" t="s">
        <v>32</v>
      </c>
      <c r="I157" t="s">
        <v>7</v>
      </c>
      <c r="J157" t="s">
        <v>24</v>
      </c>
      <c r="K157" t="s">
        <v>220</v>
      </c>
      <c r="L157" t="s">
        <v>50</v>
      </c>
      <c r="M157">
        <v>2</v>
      </c>
    </row>
    <row r="158" spans="1:13" x14ac:dyDescent="0.25">
      <c r="A158" s="2">
        <v>46155</v>
      </c>
      <c r="B158" s="1" t="str">
        <f ca="1">IF(Información1[[#This Row],[Fecha]]='Ajuste de fechas'!$A$2,"Día actual","Día anterior")</f>
        <v>Día anterior</v>
      </c>
      <c r="C158" t="s">
        <v>140</v>
      </c>
      <c r="D158" t="s">
        <v>141</v>
      </c>
      <c r="E158" t="s">
        <v>132</v>
      </c>
      <c r="F158" t="s">
        <v>21</v>
      </c>
      <c r="G158" t="s">
        <v>133</v>
      </c>
      <c r="H158" t="s">
        <v>32</v>
      </c>
      <c r="I158" t="s">
        <v>7</v>
      </c>
      <c r="J158" t="s">
        <v>49</v>
      </c>
      <c r="K158" t="s">
        <v>143</v>
      </c>
      <c r="L158" t="s">
        <v>52</v>
      </c>
      <c r="M158">
        <v>2</v>
      </c>
    </row>
    <row r="159" spans="1:13" x14ac:dyDescent="0.25">
      <c r="A159" s="2">
        <v>46155</v>
      </c>
      <c r="B159" s="1" t="str">
        <f ca="1">IF(Información1[[#This Row],[Fecha]]='Ajuste de fechas'!$A$2,"Día actual","Día anterior")</f>
        <v>Día anterior</v>
      </c>
      <c r="C159" t="s">
        <v>140</v>
      </c>
      <c r="D159" t="s">
        <v>141</v>
      </c>
      <c r="E159" t="s">
        <v>154</v>
      </c>
      <c r="F159" t="s">
        <v>15</v>
      </c>
      <c r="G159" t="s">
        <v>153</v>
      </c>
      <c r="H159" t="s">
        <v>32</v>
      </c>
      <c r="I159" t="s">
        <v>7</v>
      </c>
      <c r="J159" t="s">
        <v>49</v>
      </c>
      <c r="K159" t="s">
        <v>143</v>
      </c>
      <c r="L159" t="s">
        <v>52</v>
      </c>
      <c r="M159">
        <v>2</v>
      </c>
    </row>
    <row r="160" spans="1:13" x14ac:dyDescent="0.25">
      <c r="A160" s="2">
        <v>46155</v>
      </c>
      <c r="B160" s="1" t="str">
        <f ca="1">IF(Información1[[#This Row],[Fecha]]='Ajuste de fechas'!$A$2,"Día actual","Día anterior")</f>
        <v>Día anterior</v>
      </c>
      <c r="C160" t="s">
        <v>140</v>
      </c>
      <c r="D160" t="s">
        <v>141</v>
      </c>
      <c r="E160" t="s">
        <v>90</v>
      </c>
      <c r="F160" t="s">
        <v>77</v>
      </c>
      <c r="G160" t="s">
        <v>91</v>
      </c>
      <c r="H160" t="s">
        <v>32</v>
      </c>
      <c r="I160" t="s">
        <v>7</v>
      </c>
      <c r="J160" t="s">
        <v>49</v>
      </c>
      <c r="K160" t="s">
        <v>143</v>
      </c>
      <c r="L160" t="s">
        <v>52</v>
      </c>
      <c r="M160">
        <v>2</v>
      </c>
    </row>
    <row r="161" spans="1:13" x14ac:dyDescent="0.25">
      <c r="A161" s="2">
        <v>46155</v>
      </c>
      <c r="B161" s="1" t="str">
        <f ca="1">IF(Información1[[#This Row],[Fecha]]='Ajuste de fechas'!$A$2,"Día actual","Día anterior")</f>
        <v>Día anterior</v>
      </c>
      <c r="C161" t="s">
        <v>140</v>
      </c>
      <c r="D161" t="s">
        <v>141</v>
      </c>
      <c r="E161" t="s">
        <v>302</v>
      </c>
      <c r="F161" t="s">
        <v>142</v>
      </c>
      <c r="G161" t="s">
        <v>178</v>
      </c>
      <c r="H161" t="s">
        <v>32</v>
      </c>
      <c r="I161" t="s">
        <v>7</v>
      </c>
      <c r="J161" t="s">
        <v>49</v>
      </c>
      <c r="K161" t="s">
        <v>143</v>
      </c>
      <c r="L161" t="s">
        <v>50</v>
      </c>
      <c r="M161">
        <v>2</v>
      </c>
    </row>
    <row r="162" spans="1:13" x14ac:dyDescent="0.25">
      <c r="A162" s="2">
        <v>46155</v>
      </c>
      <c r="B162" s="1" t="str">
        <f ca="1">IF(Información1[[#This Row],[Fecha]]='Ajuste de fechas'!$A$2,"Día actual","Día anterior")</f>
        <v>Día anterior</v>
      </c>
      <c r="C162" t="s">
        <v>140</v>
      </c>
      <c r="D162" t="s">
        <v>141</v>
      </c>
      <c r="E162" t="s">
        <v>110</v>
      </c>
      <c r="F162" t="s">
        <v>26</v>
      </c>
      <c r="G162" t="s">
        <v>97</v>
      </c>
      <c r="H162" t="s">
        <v>32</v>
      </c>
      <c r="I162" t="s">
        <v>7</v>
      </c>
      <c r="J162" t="s">
        <v>49</v>
      </c>
      <c r="K162" t="s">
        <v>143</v>
      </c>
      <c r="L162" t="s">
        <v>52</v>
      </c>
      <c r="M162">
        <v>2</v>
      </c>
    </row>
    <row r="163" spans="1:13" x14ac:dyDescent="0.25">
      <c r="A163" s="2">
        <v>46156</v>
      </c>
      <c r="B163" s="1" t="str">
        <f ca="1">IF(Información1[[#This Row],[Fecha]]='Ajuste de fechas'!$A$2,"Día actual","Día anterior")</f>
        <v>Día actual</v>
      </c>
      <c r="C163" t="s">
        <v>37</v>
      </c>
      <c r="D163" t="s">
        <v>38</v>
      </c>
      <c r="E163" t="s">
        <v>303</v>
      </c>
      <c r="F163" t="s">
        <v>19</v>
      </c>
      <c r="G163" t="s">
        <v>279</v>
      </c>
      <c r="H163" t="s">
        <v>11</v>
      </c>
      <c r="I163" t="s">
        <v>25</v>
      </c>
      <c r="J163" t="s">
        <v>53</v>
      </c>
      <c r="K163" t="s">
        <v>39</v>
      </c>
      <c r="L163" t="s">
        <v>51</v>
      </c>
      <c r="M163">
        <v>2</v>
      </c>
    </row>
    <row r="164" spans="1:13" x14ac:dyDescent="0.25">
      <c r="A164" s="2">
        <v>46155</v>
      </c>
      <c r="B164" s="1" t="str">
        <f ca="1">IF(Información1[[#This Row],[Fecha]]='Ajuste de fechas'!$A$2,"Día actual","Día anterior")</f>
        <v>Día anterior</v>
      </c>
      <c r="C164" t="s">
        <v>140</v>
      </c>
      <c r="D164" t="s">
        <v>141</v>
      </c>
      <c r="E164" t="s">
        <v>299</v>
      </c>
      <c r="F164" t="s">
        <v>77</v>
      </c>
      <c r="G164" t="s">
        <v>224</v>
      </c>
      <c r="H164" t="s">
        <v>32</v>
      </c>
      <c r="I164" t="s">
        <v>7</v>
      </c>
      <c r="J164" t="s">
        <v>49</v>
      </c>
      <c r="K164" t="s">
        <v>143</v>
      </c>
      <c r="L164" t="s">
        <v>52</v>
      </c>
      <c r="M164">
        <v>1</v>
      </c>
    </row>
    <row r="165" spans="1:13" x14ac:dyDescent="0.25">
      <c r="A165" s="2">
        <v>46156</v>
      </c>
      <c r="B165" s="1" t="str">
        <f ca="1">IF(Información1[[#This Row],[Fecha]]='Ajuste de fechas'!$A$2,"Día actual","Día anterior")</f>
        <v>Día actual</v>
      </c>
      <c r="C165" t="s">
        <v>34</v>
      </c>
      <c r="D165" t="s">
        <v>35</v>
      </c>
      <c r="E165" t="s">
        <v>251</v>
      </c>
      <c r="F165" t="s">
        <v>19</v>
      </c>
      <c r="G165" t="s">
        <v>304</v>
      </c>
      <c r="H165" t="s">
        <v>32</v>
      </c>
      <c r="I165" t="s">
        <v>25</v>
      </c>
      <c r="J165" t="s">
        <v>53</v>
      </c>
      <c r="K165" t="s">
        <v>9</v>
      </c>
      <c r="L165" t="s">
        <v>51</v>
      </c>
      <c r="M165">
        <v>1</v>
      </c>
    </row>
    <row r="166" spans="1:13" x14ac:dyDescent="0.25">
      <c r="A166" s="2">
        <v>46156</v>
      </c>
      <c r="B166" s="1" t="str">
        <f ca="1">IF(Información1[[#This Row],[Fecha]]='Ajuste de fechas'!$A$2,"Día actual","Día anterior")</f>
        <v>Día actual</v>
      </c>
      <c r="C166" t="s">
        <v>34</v>
      </c>
      <c r="D166" t="s">
        <v>35</v>
      </c>
      <c r="E166" t="s">
        <v>255</v>
      </c>
      <c r="F166" t="s">
        <v>19</v>
      </c>
      <c r="G166" t="s">
        <v>305</v>
      </c>
      <c r="H166" t="s">
        <v>32</v>
      </c>
      <c r="I166" t="s">
        <v>7</v>
      </c>
      <c r="J166" t="s">
        <v>53</v>
      </c>
      <c r="K166" t="s">
        <v>27</v>
      </c>
      <c r="L166" t="s">
        <v>50</v>
      </c>
      <c r="M166">
        <v>1</v>
      </c>
    </row>
    <row r="167" spans="1:13" x14ac:dyDescent="0.25">
      <c r="A167" s="2">
        <v>46156</v>
      </c>
      <c r="B167" s="1" t="str">
        <f ca="1">IF(Información1[[#This Row],[Fecha]]='Ajuste de fechas'!$A$2,"Día actual","Día anterior")</f>
        <v>Día actual</v>
      </c>
      <c r="C167" t="s">
        <v>34</v>
      </c>
      <c r="D167" t="s">
        <v>35</v>
      </c>
      <c r="E167" t="s">
        <v>265</v>
      </c>
      <c r="F167" t="s">
        <v>26</v>
      </c>
      <c r="G167" t="s">
        <v>277</v>
      </c>
      <c r="H167" t="s">
        <v>32</v>
      </c>
      <c r="I167" t="s">
        <v>7</v>
      </c>
      <c r="J167" t="s">
        <v>49</v>
      </c>
      <c r="K167" t="s">
        <v>27</v>
      </c>
      <c r="L167" t="s">
        <v>52</v>
      </c>
      <c r="M167">
        <v>1</v>
      </c>
    </row>
    <row r="168" spans="1:13" x14ac:dyDescent="0.25">
      <c r="A168" s="2">
        <v>46156</v>
      </c>
      <c r="B168" s="1" t="str">
        <f ca="1">IF(Información1[[#This Row],[Fecha]]='Ajuste de fechas'!$A$2,"Día actual","Día anterior")</f>
        <v>Día actual</v>
      </c>
      <c r="C168" t="s">
        <v>205</v>
      </c>
      <c r="D168" t="s">
        <v>206</v>
      </c>
      <c r="E168" t="s">
        <v>306</v>
      </c>
      <c r="F168" t="s">
        <v>19</v>
      </c>
      <c r="G168" t="s">
        <v>101</v>
      </c>
      <c r="H168" t="s">
        <v>11</v>
      </c>
      <c r="I168" t="s">
        <v>7</v>
      </c>
      <c r="J168" t="s">
        <v>53</v>
      </c>
      <c r="K168" t="s">
        <v>212</v>
      </c>
      <c r="L168" t="s">
        <v>50</v>
      </c>
      <c r="M168">
        <v>1</v>
      </c>
    </row>
    <row r="169" spans="1:13" x14ac:dyDescent="0.25">
      <c r="A169" s="2">
        <v>46156</v>
      </c>
      <c r="B169" s="1" t="str">
        <f ca="1">IF(Información1[[#This Row],[Fecha]]='Ajuste de fechas'!$A$2,"Día actual","Día anterior")</f>
        <v>Día actual</v>
      </c>
      <c r="C169" t="s">
        <v>205</v>
      </c>
      <c r="D169" t="s">
        <v>206</v>
      </c>
      <c r="E169" t="s">
        <v>307</v>
      </c>
      <c r="F169" t="s">
        <v>19</v>
      </c>
      <c r="G169" t="s">
        <v>72</v>
      </c>
      <c r="H169" t="s">
        <v>11</v>
      </c>
      <c r="I169" t="s">
        <v>7</v>
      </c>
      <c r="J169" t="s">
        <v>53</v>
      </c>
      <c r="K169" t="s">
        <v>212</v>
      </c>
      <c r="L169" t="s">
        <v>50</v>
      </c>
      <c r="M169">
        <v>1</v>
      </c>
    </row>
    <row r="170" spans="1:13" x14ac:dyDescent="0.25">
      <c r="A170" s="2">
        <v>46156</v>
      </c>
      <c r="B170" s="1" t="str">
        <f ca="1">IF(Información1[[#This Row],[Fecha]]='Ajuste de fechas'!$A$2,"Día actual","Día anterior")</f>
        <v>Día actual</v>
      </c>
      <c r="C170" t="s">
        <v>205</v>
      </c>
      <c r="D170" t="s">
        <v>206</v>
      </c>
      <c r="E170" t="s">
        <v>308</v>
      </c>
      <c r="F170" t="s">
        <v>17</v>
      </c>
      <c r="G170" t="s">
        <v>64</v>
      </c>
      <c r="H170" t="s">
        <v>11</v>
      </c>
      <c r="I170" t="s">
        <v>7</v>
      </c>
      <c r="J170" t="s">
        <v>49</v>
      </c>
      <c r="K170" t="s">
        <v>212</v>
      </c>
      <c r="L170" t="s">
        <v>51</v>
      </c>
      <c r="M170">
        <v>1</v>
      </c>
    </row>
    <row r="171" spans="1:13" x14ac:dyDescent="0.25">
      <c r="A171" s="2">
        <v>46156</v>
      </c>
      <c r="B171" s="1" t="str">
        <f ca="1">IF(Información1[[#This Row],[Fecha]]='Ajuste de fechas'!$A$2,"Día actual","Día anterior")</f>
        <v>Día actual</v>
      </c>
      <c r="C171" t="s">
        <v>216</v>
      </c>
      <c r="D171" t="s">
        <v>217</v>
      </c>
      <c r="E171" t="s">
        <v>262</v>
      </c>
      <c r="F171" t="s">
        <v>70</v>
      </c>
      <c r="G171" t="s">
        <v>263</v>
      </c>
      <c r="H171" t="s">
        <v>11</v>
      </c>
      <c r="I171" t="s">
        <v>7</v>
      </c>
      <c r="J171" t="s">
        <v>24</v>
      </c>
      <c r="K171" t="s">
        <v>220</v>
      </c>
      <c r="L171" t="s">
        <v>50</v>
      </c>
      <c r="M171">
        <v>1</v>
      </c>
    </row>
    <row r="172" spans="1:13" x14ac:dyDescent="0.25">
      <c r="A172" s="2">
        <v>46156</v>
      </c>
      <c r="B172" s="1" t="str">
        <f ca="1">IF(Información1[[#This Row],[Fecha]]='Ajuste de fechas'!$A$2,"Día actual","Día anterior")</f>
        <v>Día actual</v>
      </c>
      <c r="C172" t="s">
        <v>216</v>
      </c>
      <c r="D172" t="s">
        <v>217</v>
      </c>
      <c r="E172" t="s">
        <v>309</v>
      </c>
      <c r="F172" t="s">
        <v>70</v>
      </c>
      <c r="G172" t="s">
        <v>310</v>
      </c>
      <c r="H172" t="s">
        <v>11</v>
      </c>
      <c r="I172" t="s">
        <v>7</v>
      </c>
      <c r="J172" t="s">
        <v>24</v>
      </c>
      <c r="K172" t="s">
        <v>220</v>
      </c>
      <c r="L172" t="s">
        <v>50</v>
      </c>
      <c r="M172">
        <v>1</v>
      </c>
    </row>
    <row r="173" spans="1:13" x14ac:dyDescent="0.25">
      <c r="A173" s="2">
        <v>46156</v>
      </c>
      <c r="B173" s="1" t="str">
        <f ca="1">IF(Información1[[#This Row],[Fecha]]='Ajuste de fechas'!$A$2,"Día actual","Día anterior")</f>
        <v>Día actual</v>
      </c>
      <c r="C173" t="s">
        <v>216</v>
      </c>
      <c r="D173" t="s">
        <v>217</v>
      </c>
      <c r="E173" t="s">
        <v>311</v>
      </c>
      <c r="F173" t="s">
        <v>77</v>
      </c>
      <c r="G173" t="s">
        <v>312</v>
      </c>
      <c r="H173" t="s">
        <v>11</v>
      </c>
      <c r="I173" t="s">
        <v>7</v>
      </c>
      <c r="J173" t="s">
        <v>49</v>
      </c>
      <c r="K173" t="s">
        <v>220</v>
      </c>
      <c r="L173" t="s">
        <v>52</v>
      </c>
      <c r="M173">
        <v>1</v>
      </c>
    </row>
    <row r="174" spans="1:13" x14ac:dyDescent="0.25">
      <c r="A174" s="2">
        <v>46156</v>
      </c>
      <c r="B174" s="1" t="str">
        <f ca="1">IF(Información1[[#This Row],[Fecha]]='Ajuste de fechas'!$A$2,"Día actual","Día anterior")</f>
        <v>Día actual</v>
      </c>
      <c r="C174" t="s">
        <v>216</v>
      </c>
      <c r="D174" t="s">
        <v>217</v>
      </c>
      <c r="E174" t="s">
        <v>313</v>
      </c>
      <c r="F174" t="s">
        <v>275</v>
      </c>
      <c r="G174" t="s">
        <v>276</v>
      </c>
      <c r="H174" t="s">
        <v>11</v>
      </c>
      <c r="I174" t="s">
        <v>7</v>
      </c>
      <c r="J174" t="s">
        <v>49</v>
      </c>
      <c r="K174" t="s">
        <v>220</v>
      </c>
      <c r="L174" t="s">
        <v>52</v>
      </c>
      <c r="M174">
        <v>1</v>
      </c>
    </row>
    <row r="175" spans="1:13" x14ac:dyDescent="0.25">
      <c r="A175" s="2">
        <v>46156</v>
      </c>
      <c r="B175" s="1" t="str">
        <f ca="1">IF(Información1[[#This Row],[Fecha]]='Ajuste de fechas'!$A$2,"Día actual","Día anterior")</f>
        <v>Día actual</v>
      </c>
      <c r="C175" t="s">
        <v>216</v>
      </c>
      <c r="D175" t="s">
        <v>217</v>
      </c>
      <c r="E175" t="s">
        <v>314</v>
      </c>
      <c r="F175" t="s">
        <v>23</v>
      </c>
      <c r="G175" t="s">
        <v>61</v>
      </c>
      <c r="H175" t="s">
        <v>11</v>
      </c>
      <c r="I175" t="s">
        <v>7</v>
      </c>
      <c r="J175" t="s">
        <v>49</v>
      </c>
      <c r="K175" t="s">
        <v>220</v>
      </c>
      <c r="L175" t="s">
        <v>52</v>
      </c>
      <c r="M175">
        <v>1</v>
      </c>
    </row>
    <row r="176" spans="1:13" x14ac:dyDescent="0.25">
      <c r="A176" s="2">
        <v>46156</v>
      </c>
      <c r="B176" s="1" t="str">
        <f ca="1">IF(Información1[[#This Row],[Fecha]]='Ajuste de fechas'!$A$2,"Día actual","Día anterior")</f>
        <v>Día actual</v>
      </c>
      <c r="C176" t="s">
        <v>216</v>
      </c>
      <c r="D176" t="s">
        <v>217</v>
      </c>
      <c r="E176" t="s">
        <v>257</v>
      </c>
      <c r="F176" t="s">
        <v>21</v>
      </c>
      <c r="G176" t="s">
        <v>258</v>
      </c>
      <c r="H176" t="s">
        <v>11</v>
      </c>
      <c r="I176" t="s">
        <v>7</v>
      </c>
      <c r="J176" t="s">
        <v>49</v>
      </c>
      <c r="K176" t="s">
        <v>220</v>
      </c>
      <c r="L176" t="s">
        <v>52</v>
      </c>
      <c r="M176">
        <v>1</v>
      </c>
    </row>
    <row r="177" spans="1:13" x14ac:dyDescent="0.25">
      <c r="A177" s="2">
        <v>46156</v>
      </c>
      <c r="B177" s="1" t="str">
        <f ca="1">IF(Información1[[#This Row],[Fecha]]='Ajuste de fechas'!$A$2,"Día actual","Día anterior")</f>
        <v>Día actual</v>
      </c>
      <c r="C177" t="s">
        <v>216</v>
      </c>
      <c r="D177" t="s">
        <v>217</v>
      </c>
      <c r="E177" t="s">
        <v>315</v>
      </c>
      <c r="F177" t="s">
        <v>15</v>
      </c>
      <c r="G177" t="s">
        <v>272</v>
      </c>
      <c r="H177" t="s">
        <v>11</v>
      </c>
      <c r="I177" t="s">
        <v>7</v>
      </c>
      <c r="J177" t="s">
        <v>49</v>
      </c>
      <c r="K177" t="s">
        <v>220</v>
      </c>
      <c r="L177" t="s">
        <v>52</v>
      </c>
      <c r="M177">
        <v>1</v>
      </c>
    </row>
    <row r="178" spans="1:13" x14ac:dyDescent="0.25">
      <c r="A178" s="2">
        <v>46156</v>
      </c>
      <c r="B178" s="1" t="str">
        <f ca="1">IF(Información1[[#This Row],[Fecha]]='Ajuste de fechas'!$A$2,"Día actual","Día anterior")</f>
        <v>Día actual</v>
      </c>
      <c r="C178" t="s">
        <v>216</v>
      </c>
      <c r="D178" t="s">
        <v>217</v>
      </c>
      <c r="E178" t="s">
        <v>316</v>
      </c>
      <c r="F178" t="s">
        <v>26</v>
      </c>
      <c r="G178" t="s">
        <v>277</v>
      </c>
      <c r="H178" t="s">
        <v>11</v>
      </c>
      <c r="I178" t="s">
        <v>7</v>
      </c>
      <c r="J178" t="s">
        <v>49</v>
      </c>
      <c r="K178" t="s">
        <v>220</v>
      </c>
      <c r="L178" t="s">
        <v>52</v>
      </c>
      <c r="M178">
        <v>1</v>
      </c>
    </row>
    <row r="179" spans="1:13" x14ac:dyDescent="0.25">
      <c r="A179" s="2">
        <v>46156</v>
      </c>
      <c r="B179" s="1" t="str">
        <f ca="1">IF(Información1[[#This Row],[Fecha]]='Ajuste de fechas'!$A$2,"Día actual","Día anterior")</f>
        <v>Día actual</v>
      </c>
      <c r="C179" t="s">
        <v>216</v>
      </c>
      <c r="D179" t="s">
        <v>217</v>
      </c>
      <c r="E179" t="s">
        <v>317</v>
      </c>
      <c r="F179" t="s">
        <v>142</v>
      </c>
      <c r="G179" t="s">
        <v>318</v>
      </c>
      <c r="H179" t="s">
        <v>11</v>
      </c>
      <c r="I179" t="s">
        <v>7</v>
      </c>
      <c r="J179" t="s">
        <v>49</v>
      </c>
      <c r="K179" t="s">
        <v>220</v>
      </c>
      <c r="L179" t="s">
        <v>52</v>
      </c>
      <c r="M179">
        <v>1</v>
      </c>
    </row>
    <row r="180" spans="1:13" x14ac:dyDescent="0.25">
      <c r="A180" s="2">
        <v>46156</v>
      </c>
      <c r="B180" s="1" t="str">
        <f ca="1">IF(Información1[[#This Row],[Fecha]]='Ajuste de fechas'!$A$2,"Día actual","Día anterior")</f>
        <v>Día actual</v>
      </c>
      <c r="C180" t="s">
        <v>216</v>
      </c>
      <c r="D180" t="s">
        <v>217</v>
      </c>
      <c r="E180" t="s">
        <v>319</v>
      </c>
      <c r="F180" t="s">
        <v>142</v>
      </c>
      <c r="G180" t="s">
        <v>320</v>
      </c>
      <c r="H180" t="s">
        <v>11</v>
      </c>
      <c r="I180" t="s">
        <v>7</v>
      </c>
      <c r="J180" t="s">
        <v>49</v>
      </c>
      <c r="K180" t="s">
        <v>220</v>
      </c>
      <c r="L180" t="s">
        <v>52</v>
      </c>
      <c r="M180">
        <v>1</v>
      </c>
    </row>
    <row r="181" spans="1:13" x14ac:dyDescent="0.25">
      <c r="A181" s="2">
        <v>46156</v>
      </c>
      <c r="B181" s="1" t="str">
        <f ca="1">IF(Información1[[#This Row],[Fecha]]='Ajuste de fechas'!$A$2,"Día actual","Día anterior")</f>
        <v>Día actual</v>
      </c>
      <c r="C181" t="s">
        <v>205</v>
      </c>
      <c r="D181" t="s">
        <v>233</v>
      </c>
      <c r="E181" t="s">
        <v>321</v>
      </c>
      <c r="F181" t="s">
        <v>142</v>
      </c>
      <c r="G181" t="s">
        <v>320</v>
      </c>
      <c r="H181" t="s">
        <v>11</v>
      </c>
      <c r="I181" t="s">
        <v>7</v>
      </c>
      <c r="J181" t="s">
        <v>49</v>
      </c>
      <c r="K181" t="s">
        <v>143</v>
      </c>
      <c r="L181" t="s">
        <v>52</v>
      </c>
      <c r="M181">
        <v>1</v>
      </c>
    </row>
    <row r="182" spans="1:13" x14ac:dyDescent="0.25">
      <c r="A182" s="2">
        <v>46156</v>
      </c>
      <c r="B182" s="1" t="str">
        <f ca="1">IF(Información1[[#This Row],[Fecha]]='Ajuste de fechas'!$A$2,"Día actual","Día anterior")</f>
        <v>Día actual</v>
      </c>
      <c r="C182" t="s">
        <v>205</v>
      </c>
      <c r="D182" t="s">
        <v>233</v>
      </c>
      <c r="E182" t="s">
        <v>322</v>
      </c>
      <c r="F182" t="s">
        <v>19</v>
      </c>
      <c r="G182" t="s">
        <v>323</v>
      </c>
      <c r="H182" t="s">
        <v>11</v>
      </c>
      <c r="I182" t="s">
        <v>7</v>
      </c>
      <c r="J182" t="s">
        <v>53</v>
      </c>
      <c r="K182" t="s">
        <v>143</v>
      </c>
      <c r="L182" t="s">
        <v>50</v>
      </c>
      <c r="M182">
        <v>1</v>
      </c>
    </row>
    <row r="183" spans="1:13" x14ac:dyDescent="0.25">
      <c r="A183" s="2">
        <v>46156</v>
      </c>
      <c r="B183" s="1" t="str">
        <f ca="1">IF(Información1[[#This Row],[Fecha]]='Ajuste de fechas'!$A$2,"Día actual","Día anterior")</f>
        <v>Día actual</v>
      </c>
      <c r="C183" t="s">
        <v>205</v>
      </c>
      <c r="D183" t="s">
        <v>233</v>
      </c>
      <c r="E183" t="s">
        <v>324</v>
      </c>
      <c r="F183" t="s">
        <v>19</v>
      </c>
      <c r="G183" t="s">
        <v>325</v>
      </c>
      <c r="H183" t="s">
        <v>11</v>
      </c>
      <c r="I183" t="s">
        <v>7</v>
      </c>
      <c r="J183" t="s">
        <v>53</v>
      </c>
      <c r="K183" t="s">
        <v>143</v>
      </c>
      <c r="L183" t="s">
        <v>50</v>
      </c>
      <c r="M183">
        <v>1</v>
      </c>
    </row>
    <row r="184" spans="1:13" x14ac:dyDescent="0.25">
      <c r="A184" s="2">
        <v>46156</v>
      </c>
      <c r="B184" s="1" t="str">
        <f ca="1">IF(Información1[[#This Row],[Fecha]]='Ajuste de fechas'!$A$2,"Día actual","Día anterior")</f>
        <v>Día actual</v>
      </c>
      <c r="C184" t="s">
        <v>205</v>
      </c>
      <c r="D184" t="s">
        <v>233</v>
      </c>
      <c r="E184" t="s">
        <v>326</v>
      </c>
      <c r="F184" t="s">
        <v>17</v>
      </c>
      <c r="G184" t="s">
        <v>64</v>
      </c>
      <c r="H184" t="s">
        <v>11</v>
      </c>
      <c r="I184" t="s">
        <v>25</v>
      </c>
      <c r="J184" t="s">
        <v>49</v>
      </c>
      <c r="K184" t="s">
        <v>9</v>
      </c>
      <c r="L184" t="s">
        <v>51</v>
      </c>
      <c r="M184">
        <v>1</v>
      </c>
    </row>
    <row r="185" spans="1:13" x14ac:dyDescent="0.25">
      <c r="A185" s="2">
        <v>46156</v>
      </c>
      <c r="B185" s="1" t="str">
        <f ca="1">IF(Información1[[#This Row],[Fecha]]='Ajuste de fechas'!$A$2,"Día actual","Día anterior")</f>
        <v>Día actual</v>
      </c>
      <c r="C185" t="s">
        <v>205</v>
      </c>
      <c r="D185" t="s">
        <v>233</v>
      </c>
      <c r="E185" t="s">
        <v>327</v>
      </c>
      <c r="F185" t="s">
        <v>67</v>
      </c>
      <c r="G185" t="s">
        <v>272</v>
      </c>
      <c r="H185" t="s">
        <v>11</v>
      </c>
      <c r="I185" t="s">
        <v>25</v>
      </c>
      <c r="J185" t="s">
        <v>49</v>
      </c>
      <c r="K185" t="s">
        <v>212</v>
      </c>
      <c r="L185" t="s">
        <v>50</v>
      </c>
      <c r="M185">
        <v>1</v>
      </c>
    </row>
    <row r="186" spans="1:13" x14ac:dyDescent="0.25">
      <c r="A186" s="2">
        <v>46156</v>
      </c>
      <c r="B186" s="1" t="str">
        <f ca="1">IF(Información1[[#This Row],[Fecha]]='Ajuste de fechas'!$A$2,"Día actual","Día anterior")</f>
        <v>Día actual</v>
      </c>
      <c r="C186" t="s">
        <v>205</v>
      </c>
      <c r="D186" t="s">
        <v>233</v>
      </c>
      <c r="E186" t="s">
        <v>327</v>
      </c>
      <c r="F186" t="s">
        <v>15</v>
      </c>
      <c r="G186" t="s">
        <v>272</v>
      </c>
      <c r="H186" t="s">
        <v>11</v>
      </c>
      <c r="I186" t="s">
        <v>25</v>
      </c>
      <c r="J186" t="s">
        <v>49</v>
      </c>
      <c r="K186" t="s">
        <v>212</v>
      </c>
      <c r="L186" t="s">
        <v>50</v>
      </c>
      <c r="M186">
        <v>1</v>
      </c>
    </row>
    <row r="187" spans="1:13" x14ac:dyDescent="0.25">
      <c r="A187" s="2">
        <v>46156</v>
      </c>
      <c r="B187" s="1" t="str">
        <f ca="1">IF(Información1[[#This Row],[Fecha]]='Ajuste de fechas'!$A$2,"Día actual","Día anterior")</f>
        <v>Día actual</v>
      </c>
      <c r="C187" t="s">
        <v>205</v>
      </c>
      <c r="D187" t="s">
        <v>233</v>
      </c>
      <c r="E187" t="s">
        <v>328</v>
      </c>
      <c r="F187" t="s">
        <v>17</v>
      </c>
      <c r="G187" t="s">
        <v>64</v>
      </c>
      <c r="H187" t="s">
        <v>11</v>
      </c>
      <c r="I187" t="s">
        <v>7</v>
      </c>
      <c r="J187" t="s">
        <v>49</v>
      </c>
      <c r="K187" t="s">
        <v>212</v>
      </c>
      <c r="L187" t="s">
        <v>51</v>
      </c>
      <c r="M187">
        <v>1</v>
      </c>
    </row>
    <row r="188" spans="1:13" x14ac:dyDescent="0.25">
      <c r="A188" s="2">
        <v>46156</v>
      </c>
      <c r="B188" s="1" t="str">
        <f ca="1">IF(Información1[[#This Row],[Fecha]]='Ajuste de fechas'!$A$2,"Día actual","Día anterior")</f>
        <v>Día actual</v>
      </c>
      <c r="C188" t="s">
        <v>205</v>
      </c>
      <c r="D188" t="s">
        <v>233</v>
      </c>
      <c r="E188" t="s">
        <v>329</v>
      </c>
      <c r="F188" t="s">
        <v>23</v>
      </c>
      <c r="G188" t="s">
        <v>93</v>
      </c>
      <c r="H188" t="s">
        <v>11</v>
      </c>
      <c r="I188" t="s">
        <v>7</v>
      </c>
      <c r="J188" t="s">
        <v>49</v>
      </c>
      <c r="K188" t="s">
        <v>143</v>
      </c>
      <c r="L188" t="s">
        <v>52</v>
      </c>
      <c r="M188">
        <v>1</v>
      </c>
    </row>
    <row r="189" spans="1:13" x14ac:dyDescent="0.25">
      <c r="A189" s="2">
        <v>46156</v>
      </c>
      <c r="B189" s="1" t="str">
        <f ca="1">IF(Información1[[#This Row],[Fecha]]='Ajuste de fechas'!$A$2,"Día actual","Día anterior")</f>
        <v>Día actual</v>
      </c>
      <c r="C189" t="s">
        <v>205</v>
      </c>
      <c r="D189" t="s">
        <v>233</v>
      </c>
      <c r="E189" t="s">
        <v>330</v>
      </c>
      <c r="F189" t="s">
        <v>169</v>
      </c>
      <c r="G189" t="s">
        <v>93</v>
      </c>
      <c r="H189" t="s">
        <v>11</v>
      </c>
      <c r="I189" t="s">
        <v>7</v>
      </c>
      <c r="J189" t="s">
        <v>49</v>
      </c>
      <c r="K189" t="s">
        <v>143</v>
      </c>
      <c r="L189" t="s">
        <v>52</v>
      </c>
      <c r="M189">
        <v>1</v>
      </c>
    </row>
    <row r="190" spans="1:13" x14ac:dyDescent="0.25">
      <c r="A190" s="2">
        <v>46156</v>
      </c>
      <c r="B190" s="1" t="str">
        <f ca="1">IF(Información1[[#This Row],[Fecha]]='Ajuste de fechas'!$A$2,"Día actual","Día anterior")</f>
        <v>Día actual</v>
      </c>
      <c r="C190" t="s">
        <v>205</v>
      </c>
      <c r="D190" t="s">
        <v>233</v>
      </c>
      <c r="E190" t="s">
        <v>313</v>
      </c>
      <c r="F190" t="s">
        <v>275</v>
      </c>
      <c r="G190" t="s">
        <v>276</v>
      </c>
      <c r="H190" t="s">
        <v>11</v>
      </c>
      <c r="I190" t="s">
        <v>7</v>
      </c>
      <c r="J190" t="s">
        <v>49</v>
      </c>
      <c r="K190" t="s">
        <v>143</v>
      </c>
      <c r="L190" t="s">
        <v>52</v>
      </c>
      <c r="M190">
        <v>1</v>
      </c>
    </row>
    <row r="191" spans="1:13" x14ac:dyDescent="0.25">
      <c r="A191" s="2">
        <v>46156</v>
      </c>
      <c r="B191" s="1" t="str">
        <f ca="1">IF(Información1[[#This Row],[Fecha]]='Ajuste de fechas'!$A$2,"Día actual","Día anterior")</f>
        <v>Día actual</v>
      </c>
      <c r="C191" t="s">
        <v>205</v>
      </c>
      <c r="D191" t="s">
        <v>233</v>
      </c>
      <c r="E191" t="s">
        <v>317</v>
      </c>
      <c r="F191" t="s">
        <v>142</v>
      </c>
      <c r="G191" t="s">
        <v>318</v>
      </c>
      <c r="H191" t="s">
        <v>11</v>
      </c>
      <c r="I191" t="s">
        <v>7</v>
      </c>
      <c r="J191" t="s">
        <v>49</v>
      </c>
      <c r="K191" t="s">
        <v>143</v>
      </c>
      <c r="L191" t="s">
        <v>52</v>
      </c>
      <c r="M191">
        <v>1</v>
      </c>
    </row>
    <row r="192" spans="1:13" x14ac:dyDescent="0.25">
      <c r="A192" s="2">
        <v>46156</v>
      </c>
      <c r="B192" s="1" t="str">
        <f ca="1">IF(Información1[[#This Row],[Fecha]]='Ajuste de fechas'!$A$2,"Día actual","Día anterior")</f>
        <v>Día actual</v>
      </c>
      <c r="C192" t="s">
        <v>205</v>
      </c>
      <c r="D192" t="s">
        <v>233</v>
      </c>
      <c r="E192" t="s">
        <v>314</v>
      </c>
      <c r="F192" t="s">
        <v>23</v>
      </c>
      <c r="G192" t="s">
        <v>61</v>
      </c>
      <c r="H192" t="s">
        <v>11</v>
      </c>
      <c r="I192" t="s">
        <v>7</v>
      </c>
      <c r="J192" t="s">
        <v>49</v>
      </c>
      <c r="K192" t="s">
        <v>143</v>
      </c>
      <c r="L192" t="s">
        <v>52</v>
      </c>
      <c r="M192">
        <v>1</v>
      </c>
    </row>
    <row r="193" spans="1:13" x14ac:dyDescent="0.25">
      <c r="A193" s="2">
        <v>46156</v>
      </c>
      <c r="B193" s="1" t="str">
        <f ca="1">IF(Información1[[#This Row],[Fecha]]='Ajuste de fechas'!$A$2,"Día actual","Día anterior")</f>
        <v>Día actual</v>
      </c>
      <c r="C193" t="s">
        <v>205</v>
      </c>
      <c r="D193" t="s">
        <v>233</v>
      </c>
      <c r="E193" t="s">
        <v>316</v>
      </c>
      <c r="F193" t="s">
        <v>26</v>
      </c>
      <c r="G193" t="s">
        <v>277</v>
      </c>
      <c r="H193" t="s">
        <v>11</v>
      </c>
      <c r="I193" t="s">
        <v>7</v>
      </c>
      <c r="J193" t="s">
        <v>49</v>
      </c>
      <c r="K193" t="s">
        <v>143</v>
      </c>
      <c r="L193" t="s">
        <v>52</v>
      </c>
      <c r="M193">
        <v>1</v>
      </c>
    </row>
    <row r="194" spans="1:13" x14ac:dyDescent="0.25">
      <c r="A194" s="2">
        <v>46156</v>
      </c>
      <c r="B194" s="1" t="str">
        <f ca="1">IF(Información1[[#This Row],[Fecha]]='Ajuste de fechas'!$A$2,"Día actual","Día anterior")</f>
        <v>Día actual</v>
      </c>
      <c r="C194" t="s">
        <v>205</v>
      </c>
      <c r="D194" t="s">
        <v>233</v>
      </c>
      <c r="E194" t="s">
        <v>331</v>
      </c>
      <c r="F194" t="s">
        <v>15</v>
      </c>
      <c r="G194" t="s">
        <v>272</v>
      </c>
      <c r="H194" t="s">
        <v>11</v>
      </c>
      <c r="I194" t="s">
        <v>7</v>
      </c>
      <c r="J194" t="s">
        <v>49</v>
      </c>
      <c r="K194" t="s">
        <v>212</v>
      </c>
      <c r="L194" t="s">
        <v>50</v>
      </c>
      <c r="M194">
        <v>1</v>
      </c>
    </row>
    <row r="195" spans="1:13" x14ac:dyDescent="0.25">
      <c r="A195" s="2">
        <v>46156</v>
      </c>
      <c r="B195" s="1" t="str">
        <f ca="1">IF(Información1[[#This Row],[Fecha]]='Ajuste de fechas'!$A$2,"Día actual","Día anterior")</f>
        <v>Día actual</v>
      </c>
      <c r="C195" t="s">
        <v>205</v>
      </c>
      <c r="D195" t="s">
        <v>233</v>
      </c>
      <c r="E195" t="s">
        <v>332</v>
      </c>
      <c r="F195" t="s">
        <v>21</v>
      </c>
      <c r="G195" t="s">
        <v>296</v>
      </c>
      <c r="H195" t="s">
        <v>11</v>
      </c>
      <c r="I195" t="s">
        <v>12</v>
      </c>
      <c r="J195" t="s">
        <v>49</v>
      </c>
      <c r="K195" t="s">
        <v>143</v>
      </c>
      <c r="L195" t="s">
        <v>55</v>
      </c>
      <c r="M19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57</v>
      </c>
      <c r="B1" t="s">
        <v>58</v>
      </c>
    </row>
    <row r="2" spans="1:2" x14ac:dyDescent="0.25">
      <c r="A2" s="2">
        <f ca="1">TODAY()</f>
        <v>46156</v>
      </c>
      <c r="B2" s="2">
        <f ca="1">A2-1</f>
        <v>46155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2026-05-14T23:56:39Z</dcterms:modified>
</cp:coreProperties>
</file>