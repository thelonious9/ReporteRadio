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D89C88F5-68A5-4CA7-B819-2E1AC8D5D368}"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109" i="2"/>
  <c r="B111" i="2"/>
  <c r="B172" i="2"/>
  <c r="B175" i="2"/>
  <c r="B177" i="2"/>
  <c r="B181" i="2"/>
  <c r="B183" i="2"/>
  <c r="B186" i="2"/>
  <c r="B189" i="2"/>
  <c r="B192" i="2"/>
  <c r="B196" i="2"/>
  <c r="B199" i="2"/>
  <c r="B202" i="2"/>
  <c r="B205" i="2"/>
  <c r="B208" i="2"/>
  <c r="B211" i="2"/>
  <c r="B214" i="2"/>
  <c r="B216" i="2"/>
  <c r="B217" i="2"/>
  <c r="B220" i="2"/>
  <c r="B222"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10" i="2"/>
  <c r="B112" i="2"/>
  <c r="B174" i="2"/>
  <c r="B179" i="2"/>
  <c r="B182" i="2"/>
  <c r="B185" i="2"/>
  <c r="B188" i="2"/>
  <c r="B191" i="2"/>
  <c r="B194" i="2"/>
  <c r="B197" i="2"/>
  <c r="B200" i="2"/>
  <c r="B203" i="2"/>
  <c r="B206" i="2"/>
  <c r="B209" i="2"/>
  <c r="B212" i="2"/>
  <c r="B215" i="2"/>
  <c r="B218" i="2"/>
  <c r="B219" i="2"/>
  <c r="B221" i="2"/>
  <c r="B223"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3" i="2"/>
  <c r="B176" i="2"/>
  <c r="B178" i="2"/>
  <c r="B180" i="2"/>
  <c r="B184" i="2"/>
  <c r="B187" i="2"/>
  <c r="B190" i="2"/>
  <c r="B193" i="2"/>
  <c r="B195" i="2"/>
  <c r="B198" i="2"/>
  <c r="B201" i="2"/>
  <c r="B204" i="2"/>
  <c r="B207" i="2"/>
  <c r="B210" i="2"/>
  <c r="B213"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<sst xmlns="http://schemas.openxmlformats.org/spreadsheetml/2006/main" count="2235" uniqueCount="379">
  <si>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</si>
  <si>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</si>
  <si>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</si>
  <si>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</si>
  <si>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</si>
  <si>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</si>
  <si>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</si>
  <si>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</si>
  <si>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</si>
  <si>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</si>
  <si>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</si>
  <si>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</si>
  <si>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</si>
  <si>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</si>
  <si>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</si>
  <si>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</si>
  <si>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</si>
  <si>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</si>
  <si>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</si>
  <si>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</si>
  <si>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</si>
  <si>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</si>
  <si>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</si>
  <si>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</si>
  <si>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</si>
  <si>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</si>
  <si>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</si>
  <si>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</si>
  <si>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</si>
  <si>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</si>
  <si>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</si>
  <si>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</si>
  <si>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</si>
  <si>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</si>
  <si>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</si>
  <si>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</si>
  <si>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</si>
  <si>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</si>
  <si>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</si>
  <si>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</si>
  <si>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</si>
  <si>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</si>
  <si>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</si>
  <si>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</si>
  <si>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</si>
  <si>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</si>
  <si>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</si>
  <si>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</si>
  <si>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</si>
  <si>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</si>
  <si>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</si>
  <si>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</si>
  <si>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</si>
  <si>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</si>
  <si>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</si>
  <si>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</si>
  <si>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</si>
  <si>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</si>
  <si>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</si>
  <si>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</si>
  <si>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</si>
  <si>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</si>
  <si>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</si>
  <si>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</si>
  <si>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</si>
  <si>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</si>
  <si>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</si>
  <si>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</si>
  <si>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</si>
  <si>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</si>
  <si>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</si>
  <si>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</si>
  <si>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</si>
  <si>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</si>
  <si>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</si>
  <si>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</si>
  <si>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Rutas de la Reconstrucción</t>
  </si>
  <si>
    <t>OCSAD</t>
  </si>
  <si>
    <t>Feria Del Libro</t>
  </si>
  <si>
    <t>Turismo</t>
  </si>
  <si>
    <t>Sedeco</t>
  </si>
  <si>
    <t>Enlace Noticias</t>
  </si>
  <si>
    <t>Eulalio Larrieta agradece a Carlos Gamiño por estar al pendiente de temas.</t>
  </si>
  <si>
    <t>Combate Al Huachicol</t>
  </si>
  <si>
    <t>Reubicación de viviendas</t>
  </si>
  <si>
    <t>SSH</t>
  </si>
  <si>
    <t>Entrevista pautada</t>
  </si>
  <si>
    <t>Cultura</t>
  </si>
  <si>
    <t>STPSH</t>
  </si>
  <si>
    <t>Rehabilitación Vial</t>
  </si>
  <si>
    <t>Combate Al Narcomenudeo</t>
  </si>
  <si>
    <t>Bienestar</t>
  </si>
  <si>
    <t>Ataque Armado</t>
  </si>
  <si>
    <t>Semarnath</t>
  </si>
  <si>
    <t>Drenaje</t>
  </si>
  <si>
    <t>Apicultura</t>
  </si>
  <si>
    <t>Unidad Médica Móvil</t>
  </si>
  <si>
    <t>Detención de policía</t>
  </si>
  <si>
    <t>Imagen Urbana</t>
  </si>
  <si>
    <t>Vialidad En Mal Estado</t>
  </si>
  <si>
    <t>Fuga De Agua</t>
  </si>
  <si>
    <t>Índice De Actividad Industrial</t>
  </si>
  <si>
    <t>Localización de cuerpo</t>
  </si>
  <si>
    <t>Gina Lorenzo</t>
  </si>
  <si>
    <t>Radioescucha Sr. Juan, dicen que arreglen las fisuras del paso hacia el Barrio La Españita</t>
  </si>
  <si>
    <t>Feria Patronal</t>
  </si>
  <si>
    <t>Accidente de tren</t>
  </si>
  <si>
    <t>Reelección</t>
  </si>
  <si>
    <t>Andrés Torres recuerda que están por entra las multas para los automóviles que invadan el carril del Tuzobús, esto a partir de la semana que entra. De momento solo se está haciendo un llamado de atención.</t>
  </si>
  <si>
    <t>Carril confinado</t>
  </si>
  <si>
    <t>Milton Cortés</t>
  </si>
  <si>
    <t>TV Cable hidalguense Canal 6</t>
  </si>
  <si>
    <t>Contigo Noticias</t>
  </si>
  <si>
    <t>Control de incendio</t>
  </si>
  <si>
    <t>Parlamento Infantil</t>
  </si>
  <si>
    <t>Morena</t>
  </si>
  <si>
    <t>Partidos</t>
  </si>
  <si>
    <t>Informe De Gobierno</t>
  </si>
  <si>
    <t>Eulalio Larrieta agradece a Edith Balderas de la Secretaria de Educación Pública.</t>
  </si>
  <si>
    <t>Inconformidad por obra</t>
  </si>
  <si>
    <t>Restauración Ecológica</t>
  </si>
  <si>
    <t>Zanjas Caasim</t>
  </si>
  <si>
    <t>Festival Cultural</t>
  </si>
  <si>
    <t>Informe de actividades</t>
  </si>
  <si>
    <t>Queja padres de familia</t>
  </si>
  <si>
    <t>Mes de la Juventud</t>
  </si>
  <si>
    <t>Un hombre de 44 años perdió la vida después de ser atacado con arma de fuego durante la madrugada de este jueves 13 de agosto, en la comunidad de Binola, perteneciente al municipio de Tezontepec de Aldama. El hecho se registró alrededor de las 02:00 horas en un domicilio ubicado sobre la calle Niños Héroes. De acuerdo con los primeros reportes, el ataque habría comenzado afuera de la vivienda y continuado cuando la víctima intentó regresar al inmueble. Elementos de seguridad que acudieron al lugar se entrevistaron con una mujer de 38 años, quien se identificó como esposa del fallecido. Según su testimonio, ambos escucharon ruidos en el exterior de la casa, por lo que el hombre salió para averiguar qué ocurría. Momentos después, la mujer escuchó varias detonaciones. El hombre habría conseguido entrar nuevamente a la vivienda, pero fue seguido hasta el acceso de una habitación, donde presuntamente se realizaron más disparos. Tras recibir el reporte, personal de Protección Civil municipal se trasladó al domicilio para brindar atención. Los paramédicos localizaron al hombre tendido en el interior de la casa y, después de revisarlo, confirmaron que ya no presentaba signos vitales. La víctima fue identificada mediante las iniciales F.F.C. Hasta ahora no se ha difundido mayor información sobre su identidad.</t>
  </si>
  <si>
    <t>Ya hay fecha para el segundo informe de gobierno de la presidenta municipal de Tulancingo, Lorena García Cázares, quien confirmó también la sede para su rendición de cuentas. Cuestionada al término del segundo informe legislativo de la senadora Simey Olvera, la alcaldesa tulancinguense confirmó que será el próximo 10 de septiembre cuando comparezca ante la asamblea en la Presidencia Municipal. Asimismo, dio a conocer que la presentación del informe de los regidores será el próximo 31 de agosto, aunque tampoco se precisó la hora de la sesión de cabildo donde ocurrirá tal evento.</t>
  </si>
  <si>
    <t>Locutor Jesús Riveros da lectura a comentario de radioescucha que reporta, llevó a verificar su carro al centro de verificación La Joya de Tulancingo, ya van dos veces que no pasa, ya llevó su carro al mecánico y todo está bien, pero, en el verificentro no le explican porque no pasa, hace seis meses pasó bien, pregunta, qué puede hacer: locutor responde que los inspectores le tienen que comentar cuál es la situación por la que no está pasando su vehículo la verificación.</t>
  </si>
  <si>
    <t>Verificación vehicular</t>
  </si>
  <si>
    <t>Docente de la UTMZ estudiará posgrado en España</t>
  </si>
  <si>
    <t>Becas De Posgrado</t>
  </si>
  <si>
    <t>Vecinos de distintas colonias y comunidades de Tulancingo fueron capacitados para supervisar de manera directa el avance de obras públicas y vigilar el uso de los recursos destinados a estos proyectos. Este martes 12 de agosto se llevó a cabo una jornada de capacitación en Contraloría Social, en la que participaron integrantes de 13 Comités de Obra. Con esta actividad suman cuatro capacitaciones realizadas durante el año para beneficiarios de proyectos ejecutados en el municipio. Los comités corresponden a obras en Medias Tierras, Nuevo Tulancingo, Ahuehuetitla, Paraíso, colonia Ferrocarrilera, Accesos para Tulancingo y Francisco Villa, principalmente relacionadas con drenaje, agua potable, alcantarillado y la construcción de un Paseo Artesanal. Durante la capacitación, los participantes conocieron sus derechos y obligaciones, así como las herramientas que tienen para dar seguimiento a los trabajos y reportar posibles irregularidades. La vigilancia ciudadana puede realizarse a través de los comités o de manera individual. Entre sus funciones está verificar que las obras se ejecuten conforme a lo establecido, plantear dudas directamente a los responsables y dar seguimiento al desarrollo de los proyectos. La capacitación fue impartida por personal de la Secretaría de Contraloría de Hidalgo, en coordinación con el Órgano Interno de Control municipal y la Secretaría de Desarrollo Urbano, Obras Públicas y Medio Ambiente.</t>
  </si>
  <si>
    <t>Contraloría Social</t>
  </si>
  <si>
    <t>El Congreso del Estado de Hidalgo fue sede de la entrega de recursos del Fondo de Aportaciones para la Infraestructura Social (FAIS), otorgados mediante financiamiento del Banco Nacional de Obras y Servicios Públicos (Banobras), por un monto conjunto de 17 millones 749 mil 640 pesos para los municipios de San Agustín Tlaxiaca y Huazalingo. De acuerdo con la información presentada durante el acto, San Agustín Tlaxiaca recibió 5 millones 68 mil 178 pesos, mientras que Huazalingo obtuvo 12 millones 681 mil 462 pesos, recursos que serán destinados a proyectos de infraestructura social. El presidente de la Junta de Gobierno del Congreso estatal, Andrés Velázquez Vázquez, señaló que el financiamiento tiene un sentido social y debe traducirse en obras, servicios y mejores condiciones de vida para las familias. Subrayó que los recursos están etiquetados y sujetos a auditoría y mecanismos de transparencia, por lo que deberán ejercerse exclusivamente para los fines establecidos. Por su parte, la presidenta de la Diputación Permanente, María del Rosario Guerrero Martínez, destacó la responsabilidad de las autoridades para utilizar de manera eficiente cada peso destinado a los municipios, con el objetivo de que el gasto público se refleje en mejores condiciones de vida para la población.</t>
  </si>
  <si>
    <t>inanciamiento municipios</t>
  </si>
  <si>
    <t>Gobierno de México invertirá 2 mil 277 millones de pesos en la carretera Pachuca-Huejutla</t>
  </si>
  <si>
    <t>Carretera Huejutla</t>
  </si>
  <si>
    <t>SSPH asegura 7 mil 500 litros de hidrocarburo ilegal y desmantela punto de venta de narcóticos en Tula de Allende</t>
  </si>
  <si>
    <t>La 26.ª FILIJ Hidalgo fortalece el acceso a la cultura en comunidades de distintas regiones del estado</t>
  </si>
  <si>
    <t>Fortalece Hidalgo acciones para la prevención, diagnóstico y tratamiento del cáncer en las mujeres</t>
  </si>
  <si>
    <t>Cáncer de la mujer</t>
  </si>
  <si>
    <t>Hidalgo, líder en crecimiento industrial: Julio Menchaca</t>
  </si>
  <si>
    <t>Expo industrial</t>
  </si>
  <si>
    <t>La senadora de Morena por Hidalgo, Simey Olvera Bautista, presentó su segundo informe legislativo en el jardín La Floresta de Tulancingo, durante la presentación de su segundo informe legislativo, Olvera Bautista expuso los resultados que atribuyó a sus dos primeros años de trabajo en el Senado de la República. La morenista informó que durante este periodo participó en más de 80 sesiones plenarias, equivalentes a más de 300 horas de trabajo legislativo, además de formar parte de ocho comisiones. De acuerdo con las cifras presentadas, durante el último periodo fueron aprobadas seis reformas constitucionales, ocho nuevas leyes y 66 modificaciones a distintos ordenamientos. Al considerar sus dos primeros años en el cargo, reportó un acumulado de 29 reformas constitucionales, 21 leyes de nueva creación y 98 reformas legales.</t>
  </si>
  <si>
    <t>El senador de Morena, Cuauhtémoc Ochoa, manifestó su respaldo a habitantes de Tezontepec de Aldama que rechazan el proyecto de relleno sanitario que el municipio de Tula de Allende pretende instalar en el sitio conocido como Siete Mezquites, en la comunidad de Teocalco. Durante una reunión celebrada en el Senado de la República, pobladores expusieron al legislador sus preocupaciones por los posibles impactos ambientales que tendría el proyecto, debido a las características del terreno y su cercanía con infraestructura y zonas consideradas de importancia para la región. Los habitantes señalaron que el proyecto presuntamente incumpliría con disposiciones de la NOM-083-SEMARNAT, al ubicarse cerca de manantiales, vías ferroviarias, gasolineras, ductos de Pemex y el área protegida del Cerro del Xicuco. También advirtieron que el polígono señalado es utilizado para actividades agrícolas, particularmente para el cultivo de hortalizas, por lo que consideran que la instalación de un sitio para la disposición final de residuos podría representar un riesgo para el entorno y para las actividades productivas de la zona. Otro de los reclamos planteados durante el encuentro fue la falta de información sobre el Manifiesto de Impacto Ambiental. Los habitantes aseguraron que ninguna autoridad estatal les ha presentado dicho documento y pidieron la intervención de dependencias federales para revisar el proyecto.</t>
  </si>
  <si>
    <t>Relleno Sanitario</t>
  </si>
  <si>
    <t>Con un rally deportivo y la Expo Feria Juvenil “Jóvenes con Corazón”, el Gobierno Municipal de Tulancingo inició las actividades conmemorativas por el Día Internacional de la Juventud; una jornada enfocada en promover la participación, el desarrollo y la expresión de las nuevas generaciones. Como parte de la celebración también se llevó a cabo la Expo Feria Juvenil “Jóvenes con Corazón”, concebida como un espacio de encuentro, participación y expresión para las juventudes tulancinguenses. Uno de los momentos centrales de la jornada fue la entrega del Premio Municipal de la Juventud, además de la premiación a quienes obtuvieron los primeros lugares en el rally deportivo. En representación de la presidenta municipal, Lorena García Cázares, la secretaria de Cultura, Deporte y Juventud, Guadalupe Rodríguez Uribe, destacó el talento y potencial de las y los jóvenes de Tulancingo, así como el compromiso de la administración municipal para generar espacios que contribuyan a su desarrollo integral.</t>
  </si>
  <si>
    <t>En Tulancingo, a través de la Escuela de Campo para la Producción de Miel, se impulsa la formación de productores y personas interesadas en la actividad apícola, además de promover el aprovechamiento y la transformación de la miel para generar productos con valor agregado. La Médico Veterinario Guadalupe Escamilla y técnico agroecológico del programa de acompañamiento técnico de las escuelas de campo, señaló que este es un programa de gobierno federal, con el cual están trabajando con apicultores del estado de Hidalgo, conformando escuelas de campo aquí en Tulancingo y en otros cinco municipios. Señaló que buscan integrar más productores a la escuela de campo para que estos adopten una colmena y en la medida de lo posible, se vayan haciendo de más de ellas. Refirió que los principales beneficios para los productores son la miel y otros derivados de la colmena, como puede ser el polen, el propóleo, la jalea real; pero lo más importante es que estos productores están cuidando a los polinizadores. Aseguró que también están difundiendo ese cuidado de las abejas, porque no solamente es el beneficio de la miel, sino también todo lo que aportan al entorno que es la polinización. La escuela del Campo en Tulancingo cuenta actualmente con 12 productores que fungen como alumnos, y en el estado de Hidalgo, estas escuelas están a cargo de tres técnicos; uno en la Huasteca, otro en la Otomí-Tepehua. En otros municipios donde hay escuelas del campo en Hidalgo son: Acaxochitlán, Acatlán, San Agustín Tlaxiaca, Cardonal, Zimapán, Tulancingo y Nopala. Actualmente, en las escuelas del Campo también se trabaja con la difusión de la importancia de las abejas, los polinizadores. Finalmente, refirió que en Hidalgo se está trabajando ya con Protección Civil práctica en todos los municipios, para que ellos vayan a hacer el resguardo de estos enjambres. Durante 2026 se han rescatado 12 enjambres, los cuales fueron entregados a apicultores locales para su adecuado manejo. Las intervenciones se han realizado en comunidades y colonias como San Nicolás Cebolletas, Ejido Zapotlán de Allende, Rincones de la Hacienda, Jardín La Floresta, Panteón San Miguel, Santa Ana Hueytlalpan y Ejido Santa María Asunción, así como en distintos puntos de la periferia de la ciudad. El caso más reciente se registró en la colonia Vicente Guerrero. La estrategia municipal no se limita al rescate de enjambres. El fortalecimiento del sector apícola también contempla capacitación, acompañamiento técnico y generación de alternativas productivas. En este sentido, el presupuesto que Tulancingo destina al fomento agropecuario pasó de 82 mil pesos a más de 600 mil pesos, lo que representa un incremento destinado a ampliar las acciones de apoyo al campo, capacitación, producción y protección de los recursos naturales.</t>
  </si>
  <si>
    <t>El robo de celulares es una de las principales problemáticas de seguridad reportadas en la Expo Feria Internacional Ganadera Tulancingo 2026, operando de forma similar a eventos de años anteriores. Los incidentes se concentran masivamente en las zonas de mayor aglomeración, como el Teatro del Pueblo y el Palenque, durante los conciertos de artistas estelares.</t>
  </si>
  <si>
    <t>Expo feria</t>
  </si>
  <si>
    <t>Locutor Jesús Riveros da lectura a comentario de radioescucha que reporta altos cobros en la escuela Guadalupe Victoria, dice, los están obligando a pagar danza cuando no están de acuerdo porque no a todos los niños les gusta participar, también señala, los están obligando a tomar taller de inglés y computación, pero, sin ninguna junta previa sin que les expliquen la situación.</t>
  </si>
  <si>
    <t>Icathi y Geoparque Comarca Minera fortalecen alianza para impulsar el desarrollo regional de Hidalgo</t>
  </si>
  <si>
    <t>Geoparque Comarca Minera</t>
  </si>
  <si>
    <t>PECDA Hidalgo 2025 acerca al público el trabajo de 37 creadores</t>
  </si>
  <si>
    <t>PECDA</t>
  </si>
  <si>
    <t>Hidalgo, líder en crecimiento industrial: Julio Menchaca (AUDIO JMS).</t>
  </si>
  <si>
    <t>En Pachuca de Soto, AIC detiene a cinco personas por narcomenudeo</t>
  </si>
  <si>
    <t>Con la participación confirmada de 17 tríos provenientes de Hidalgo, Querétaro, San Luis Potosí, Veracruz, Tamaulipas y Puebla, la Secretaría de Cultura estatal anunció la realización del 15° Festival del Son Huasteco en Atlapexco los días 14 y 15 de agosto. El encuentro cultural reunirá a ejecutantes tradicionales en la Galera Pública municipal para revalorar la tradición musical de la región.</t>
  </si>
  <si>
    <t>La Sebiso informó sobre la apertura de las nuevas instalaciones de la Dirección General de Inclusión para las Personas con Discapacidad, situadas en el Centro Administrativo de Bienestar de la colonia Revolución, en Pachuca. La sede cuenta con infraestructura accesible para la impartición de talleres de Lengua de Señas Mexicana, lectura Braille y vinculación laboral para personas con discapacidad y sus cuidadores. AUDIO DE APOYO</t>
  </si>
  <si>
    <t>Atención a personas con discapacidad</t>
  </si>
  <si>
    <t>La Secretaría de Bienestar e Inclusión Social inició la dispersión de tarjetas bancarias del programa Desarrollo Inclusivo, beneficiando a más de 300 personas de la población LGBTTTIQ+ con montos de hasta 20 mil pesos. El esquema busca incentivar proyectos productivos, iniciativas de autoempleo y promoción de derechos humanos para aminorar las brechas de discriminación laboral.</t>
  </si>
  <si>
    <t>Desarrollo inclusivo</t>
  </si>
  <si>
    <t>La presidenta municipal de Molango, María Isabel Ramírez Mercado, responsabilizó públicamente a un ciudadano identificado como Gerardo N. por orquestar campañas de difamación, amenazas y acoso en plataformas digitales con fines de chantaje económico. La edil enfatizó que no accederá a pagos de cuotas para detener las publicaciones y responsabilizó al imputado de cualquier atentado contra su integridad física o familiar. AUDIO DE APOYO</t>
  </si>
  <si>
    <t>Amenazas a alcalde</t>
  </si>
  <si>
    <t>Un tráiler que transportaba bagazo de cebada fue impactado en la parte posterior de su segundo remolque por una locomotora al intentar cruzar las vías ferroviarias en la comunidad de Acopinalco, municipio de Apan. El accidente originó daños materiales e interrupción temporal del tránsito sin reportar operarios lesionados</t>
  </si>
  <si>
    <t>Accidente Vial</t>
  </si>
  <si>
    <t>Agentes de la División de Investigación Criminal ejecutaron un cateo derivado de denuncias anónimas en una finca del barrio El Arbolito, en Pachuca. La intervención concluyó con la captura de tres hombres y dos mujeres, además de la incautación de dosis de marihuana, metanfetaminas, LSD, piedra, un arma de fuego, una réplica de aire y dos automóviles.</t>
  </si>
  <si>
    <t>En un operativo conjunto desplegado en la colonia Benito Juárez del municipio de Tula de Allende, fuerzas estatales y federales aseguraron 7,500 litros de combustible presuntamente ilícito, equipos de bombeo y mangueras de trasiego. En el sitio también se decomisaron 120 dosis de marihuana, 33 de cristal, una báscula gramera y dos vehículos, uno de ellos con reporte de robo.</t>
  </si>
  <si>
    <t>Autoridades ministeriales de Hidalgo y del Estado de México abrieron una carpeta de investigación coordinada tras la localización del cuerpo sin vida de una joven reportada en Tizayuca, hallada en el municipio mexiquense de Temascalapa junto al cadáver de su pareja sentimental, un elemento activo del Ejército Mexicano. Las corporaciones periciales mantienen abiertas diversas líneas de investigación, entre ellas un presunto feminicidio seguido de suicidio, a la espera de los dictámenes de necropsia.</t>
  </si>
  <si>
    <t>La Procuraduría General de Justicia del Estado de Hidalgo obtuvo la vinculación a proceso en contra del oficial en activo J.V.P.V. y de A.M.M., detenidos en cateos llevados a cabo en Villa de Tezontepec por delitos contra la salud en su modalidad de narcomenudeo agravado. El Juez de Control les dictó prisión preventiva justificada con dos meses para la investigación complementaria, mientras se desahoga la audiencia de un tercer implicado.</t>
  </si>
  <si>
    <t>Tras un reporte de auxilio en la cabecera municipal de Huichapan, personal de emergencias logró el rescate de ocho crías de tlacuache. En coordinación con la Comisión Nacional de Áreas Naturales Protegidas (Conanp), los ejemplares fueron canalizados al Parque Nacional de Tula para recibir atención especializada en vida silvestre previa a su posterior liberación en su hábitat.</t>
  </si>
  <si>
    <t>Rescate Animal</t>
  </si>
  <si>
    <t>Integrantes del Frente Unidos Por Nopala de Villagrán convocaron a una manifestación para el sábado 15 de agosto en rechazo al trazo carretero proyectado por la SICT. Los inconformes argumentaron que la construcción de la vía afectará hectáreas del ejido El Jagüey y señalar que los planes técnicos consideran un solo paso inferior para la comunidad, infraestructura que consideran insuficiente para la movilidad del centro poblacional. AUDIO DE APOYO."Los planes que me dieron sobre la movilidad respecto a la autopista que va a dividir prácticamente nuestro poblado es la idea de colocar un bajopuente por los cuales podamos transitar. En su plan solo viene contemplado un bajopuente para la comunidad, que me parece totalmente un atropello considerando la cantidad de pobladores".</t>
  </si>
  <si>
    <t>El titular de la Unidad de Planeación y Prospectiva, Miguel Ángel Tello Vargas, anunció una inversión federal por 2,277 millones de pesos destinada a las obras de modernización sobre la carretera Pachuca-Huejutla, en el tramo Zacualtipán-Tehuetlán. Los trabajos iniciarán en octubre bajo la ejecución de la SICT, optimizando la conectividad vial de 250 mil habitantes en la Sierra y Huasteca, además de acortar los tiempos de recorrido hacia el puerto de Tampico. AUDIO DE APOYO.</t>
  </si>
  <si>
    <t>El Boletín Epidemiológico de la Secretaría de Salud Federal reveló que al corte de la semana 30 de 2026, Hidalgo contabiliza 43,734 diagnósticos por enfermedades infecciosas intestinales, cifra que supera en 6,021 casos lo reportado en el mismo lapso del año anterior. Las autoridades del sector salud reiteraron el llamado a la población a extremar el lavado de manos, desinfectar alimentos y evitar el consumo de comida en puestos de la vía pública con exposición al ambiente.</t>
  </si>
  <si>
    <t>Vigilancia Epidemiológica</t>
  </si>
  <si>
    <t>El Poder Judicial del Estado de Hidalgo, encabezado por la magistrada presidenta Rebeca Aladro Echeverría, presentó en el Centro Cultural del Ferrocarril la obra de teatro Mujeres sin alas, montaje interpretado por ocho mujeres privadas de la libertad que aborda la justicia, la empatía y la reconstrucción de proyectos de vida. Durante el acto protocolario se recalcó la importancia de involucrar a la sociedad en los procesos de reinserción social y segundas oportunidades.</t>
  </si>
  <si>
    <t>TSJEH</t>
  </si>
  <si>
    <t>Cuotas escolares</t>
  </si>
  <si>
    <t>Con el regreso a clases a la puerta, padres de familia expresaron inquietudes ante las cuotas de inscripción y mantenimiento solicitadas en planteles públicos, las cuales oscilan entre los 700 y más de 1,400 pesos por alumno al sumar cobros adicionales como clases complementarias o insumos de examen. Aunque algunos tutores comprenden que las aportaciones financian servicios como agua e internet, coinciden en la necesidad de moderar los montos ante el impacto acumulado de útiles y uniformes.</t>
  </si>
  <si>
    <t>El gobernador Julio Menchaca Salazar rechazó que la detención de cerca de 15 elementos de policías municipales durante 2026 por presunta comisión de delitos sea síntoma de tolerancia a la corrupción. Sostuvo que la aprehensión de servidores públicos evidencia que los mecanismos de control e investigación operan sin distinción de cargo ni complicidades. AUDIO DE APOYO</t>
  </si>
  <si>
    <t>El gobernador Julio Menchaca Salazar confirmó que antes de que concluya el mes de agosto se dará a conocer el noveno paquete de inversiones privadas para Hidalgo, consolidando la vocación productiva de la entidad. El mandatario sostuvo que la política industrial busca generar empleos formales que retengan el talento de egresados de nivel superior y frenen la migración juvenil hacia otras regiones. AUDIO DE APOYO</t>
  </si>
  <si>
    <t>Anuncio de inversiones</t>
  </si>
  <si>
    <t>Al encabezar la apertura de la Momentum Expo Industrial Hidalgo 2026 en Pachuca, el gobernador Julio Menchaca Salazar destacó que la entidad registra un crecimiento en el sector industrial superior al 21 %, ubicándose como líder nacional muy por encima de la media del país (2.4 %). El encuentro de negocios reúne a más de 60 empresas para sostener más de 500 citas comerciales, marco en el que se anunció además que Pachuca será la sede del Congreso Nacional de la Industria del Vestido del 21 al 24 de octubre. AUDIO DE APOYO.</t>
  </si>
  <si>
    <t>Radioescucha reporta a un taxi, al parecer 2 muchachos que roban en la colonia Nueva Francisco I. Madero y después de los atracos el taxi los espera y se van; ya varias cámaras de vecinos los grabaron.</t>
  </si>
  <si>
    <t>Queja transporte público</t>
  </si>
  <si>
    <t>Radioescucha comenta que en el CRIH, ubicado en la zona de Blvd. Colosio en Pachuca, no tienen papel los baños.</t>
  </si>
  <si>
    <t>Centros de Rehabilitación</t>
  </si>
  <si>
    <t>Conductor Eulalio Larrieta pide quitar el paso peatonal frente a las instalaciones de Grupo Acir, no tiene razón de ser, aparentemente se puede cruzar, pero no es muy peligroso. Preguntamos ya al municipio y dice que es la Semot, quien maneja este semáforo.</t>
  </si>
  <si>
    <t>Seguridad peatonal</t>
  </si>
  <si>
    <t>Radioescucha que los elevadores que están en el puente peatonal en la estación de hospitales de Tuzobús están en desuso, y el área está muy sucia, se tiene mucha necesidad de los pacientes para subir y bajar</t>
  </si>
  <si>
    <t>Elevadores Tuzobús</t>
  </si>
  <si>
    <t>Radioescucha reporta que se robaron la tapa de la válvula, que se encuentra sobre Colosio esquina con la calle de las Luisas, en fraccionamiento Río de la Soledad, esto en el puente de San Lunes.</t>
  </si>
  <si>
    <t>Alcantarillado</t>
  </si>
  <si>
    <t>Radioescucha reporta que en calle Ciprés de la colonia El Roble en Mineral de la Reforma, Caasim rompe la calle en varios puntos; ya lleva varios meses y solo le ponen tierrita y con las lluvias se va.</t>
  </si>
  <si>
    <t>Radioescucha reporta una gran fuga de agua limpia en el Saucillo, en la colonia Felipe Ángeles.</t>
  </si>
  <si>
    <t>Radioescucha reporta falta de agua en Valle del Palmar, ya lleva más de 2 meses con este problema</t>
  </si>
  <si>
    <t>Radioescucha agradece a Caasim por su apoyo de atender el hundimiento en la calle La Raza en Barrio San Clemente.</t>
  </si>
  <si>
    <t>Radioescucha checar que en la calle Violeta y Magnolia en la colonia Francisco I. Madero; vecinos tapan con cemento las coladeras.</t>
  </si>
  <si>
    <t>El Gobierno de México, a través de Leche para el Bienestar, llevó a cabo una Jornada de Afiliación en el municipio de Tezontepec de Aldama, con el objetivo de ampliar la cobertura del programa social y garantizar el acceso a leche fortificada a bajo costo.La jornada fue presidida por la representante Federal de Leche para el Bienestar en Hidalgo, Sharon Macotela Cisneros quien resaltó que ninguna leche comercial cuenta con la calidad que brinda Leche para el Bienestar al ser un lácteo fortificado con vitaminas y minerales esenciales, como hierro, calcio, zinc, ácido fólico y vitaminas A, B2, B12, C, D y E que permiten combatir la desnutrición a precio subsidiado</t>
  </si>
  <si>
    <t>Leche para el Bienestar</t>
  </si>
  <si>
    <t>El Congreso de Hidalgo fue sede de la entrega de los recursos correspondientes al Fondo de Aportaciones para la Infraestructura Social (FAIS), otorgados por el Banco Nacional de Obras y Servicios Públicos (Banobras), al municipio de San Agustín Tlaxiaca por un monto de 5 millones 68 mil 178 pesos, así como al municipio de Huazalingo por un monto de 12 millones 681 mil 462 pesos.El diputado Andrés Velázquez Vázquez, presidente de la Junta de Gobierno, precisó que los recursos provenientes del financiamiento para infraestructura tienen un profundo sentido social, pues deben traducirse en obras, servicios y bienestar para las familias. Asimismo, especificó que están etiquetados, sujetos a auditoría y mecanismos de transparencia, por lo que deben ejercerse exclusivamente para los fines establecidos.</t>
  </si>
  <si>
    <t>Financiamiento municipios</t>
  </si>
  <si>
    <t>A través del programa “Huellas que Protegen”, el presidente municipal de Mineral de la Reforma, Eduardo Medécigo Rubio, entregó tres agentes caninos especializados y certificados por la Federación Canófila Mexicana A. C. a los ayuntamientos de Atotonilco de Tula, Mineral del Monte y Villa de Tezontepec.Ante la presencia de la y los presidentes municipales, el alcalde de Mineral de la Reforma aseguró que los canes están especializados en la búsqueda de personas, restos humanos y detección de narcóticos; con estas acciones, señaló, se comparten capacidades para fortalecer la seguridad.Eduardo Medécigo puntualizó que con este tipo de actividades se busca compartir experiencias, reforzar la profesionalización y, sobre todo, mantener un trabajo coordinado al servicio de la ciudadanía.</t>
  </si>
  <si>
    <t>Unidad canina</t>
  </si>
  <si>
    <t>El Instituto Mexicano del Seguro Social (IMSS) en Hidalgo exhortó a las personas que viven con diabetes tipo 1 o tipo 2 a extremar los cuidados de sus pies, debido a que la disminución de la sensibilidad y los problemas de circulación pueden favorecer lesiones que, si no son atendidas oportunamente, pueden derivar en complicaciones graves.Una de las principales complicaciones asociadas con la diabetes es la neuropatía periférica, trastorno que afecta los nervios de las extremidades, principalmente manos y pies, y que puede provocar debilidad, pérdida de sensibilidad, dolor intenso o sensación de ardor.Lizeth Elena Aguilar Niño, enfermera responsable de la Clínica de Heridas del Hospital General de Zona con Medicina Familiar (HGZ/MF) No. 1 de Pachuca, explicó que esta pérdida de sensibilidad puede impedir que las personas detecten oportunamente lesiones ocasionadas por objetos punzantes, superficies demasiado calientes o cualquier elemento que pueda encontrarse en el suelo.</t>
  </si>
  <si>
    <t>Prevención De Enfermedades</t>
  </si>
  <si>
    <t>Vía telefónica presidente municipal, Jorge Reyes con el tema imagen urbana, prepara un plan para transformar progresivamente la imagen urbana de Pachuca, con trabajos de pintura y rehabilitación en puentes, vialidades, postes de luminarias y pasos peatonales de distintos puntos de la capital.</t>
  </si>
  <si>
    <t>Vía telefonica secretario general de Pachuca, Eduardo Trejo Lino, informó sobre la campaña del día de ayer “Colonia x Colonia” en San Antonio el Desmonte y las activididades que realizaron</t>
  </si>
  <si>
    <t>El día de hoy las Jornadas de Unidades Médicas Móviles, con servicios de salud gratuitos para las familias estará hoy en el Polítgono Guadalupe; mañana en el Parque de la Avioneta.</t>
  </si>
  <si>
    <t>En Pachuca de Soto, AIC detiene por narcomenudeo a cinco personas</t>
  </si>
  <si>
    <t>Una intensa movilización de los servicios de emergencia se registró la noche del martes 11 de agosto en el municipio de Tepeji del Río, luego de que un incendio consumiera casi en su totalidad un inmueble habilitado como bodega en la localidad de Dos Peñas. El fuego se originó al interior de la propiedad privada y rápidamente se propagó, tras lo cual los vecinos de la zona solicitaron el apoyo de corporaciones de atención a emergencias. Tras intensas maniobras de control y enfriamiento, los cuerpos de rescate lograron sofocar el siniestro en su totalidad, evitando que el fuego se extendiera a los predios colindantes. Pese a la magnitud de la conflagración y las considerables pérdidas económicas reportadas por el propietario, las autoridades confirmaron que no se registraron personas lesionadas ni víctimas mortales. Hasta el momento, se desconocen los factores que dieron origen al fuego, por lo que será a partir de la investigación respectiva que se aclarará lo ocurrido, esperando a su vez que se establezcan las responsabilidades legales respectivas.</t>
  </si>
  <si>
    <t>Un hombre de la tercera edad perdió la vida la tarde de este miércoles tras ser atropellado por un autobús de pasajeros en el Libramiento de Tizayuca, Hidalgo, frente a una gasolinera G-500.</t>
  </si>
  <si>
    <t>Atropellamiento</t>
  </si>
  <si>
    <t>Habitantes de la comunidad de Huixquilititla, en Huejutla, retuvieron a un ingeniero del Comité Estatal de Sanidad Vegetal de Hidalgo (Cesaveh), señalado por una estudiante de presuntamente realizarle tocamientos sin su consentimiento mientras ambos viajaban en una camioneta oficial. De acuerdo con la denuncia de la joven, quien realiza su servicio en la dependencia, los hechos ocurrieron la tarde del martes 11 de agosto cuando regresaban solos de realizar actividades relacionadas con su servicio. Según su relato, el ingeniero, identificado por las iniciales de su nombre, A.T.H., presuntamente la tocó partes de su cuerpo durante el trayecto entre Atlapexco y Huejutla. La joven descendió en el entronque conocido como Tres Huastecas y posteriormente informó a sus familiares, quienes avisaron a las autoridades comunitarias. Este miércoles 12, pobladores interceptaron al trabajador en el mismo punto y lo trasladaron, junto con el vehículo oficial, hasta la galera de Huixquilititla, donde fue confrontado por la denunciante. Hasta el corte de información, el ingeniero adscrito a la instancia oficial señalada, permanecía retenido en la localidad. Los habitantes señalaron que pretenden imponerle una multa y exigieron la presencia de representantes del Cesaveh para atender el caso. La acusación permanece en calidad de señalamiento, en tanto las autoridades competentes realizan las investigaciones correspondientes.</t>
  </si>
  <si>
    <t>Retención</t>
  </si>
  <si>
    <t>Participarán 30 niños de hasta 12 años: 18 serán representantes de los distritos electorales y 12 ocuparán escaños de acción afirmativa para garantizar la participación de menores con discapacidad, indígenas, de Conafe y de Centros Pilares. El Parlamento Infantil estará integrado por 18 legisladores infantiles, uno por cada distrito, y 12 escaños serán de acción afirmativa para garantizar la representación de grupos de atención prioritaria, entre ellos 3 con discapacidad, 3 del sector indígena, 3 de Conafe y 3 de Centros Pilares.</t>
  </si>
  <si>
    <t>El Instituto Estatal Electoral de Hidalgo (IEEH) solicitó al Congreso de Hidalgo ampliar el periodo para el registro de candidaturas rumbo a las elecciones de 2027, debido al incremento de partidos políticos que participarán en la contienda y, con ello, al número de postulaciones que deberá procesar la autoridad electoral. El consejero electoral Carlos Emmanuel Duran Marmolejo explicó que la propuesta fue planteada por el Instituto durante las mesas técnicas en las que participó para analizar la reforma electoral, con el objetivo de contar con tiempo adicional para realizar el registro y procesamiento de las candidaturas. Señaló que la petición responde a la cantidad de postulaciones que se prevé recibir, pues en la elección estarán en juego los ayuntamientos de los 84 municipios y las diputaciones locales de los 18 distritos, además de las candidaturas independientes. A esto se suma, indicó, la incorporación de dos partidos políticos locales y dos partidos políticos nacionales al escenario electoral, lo que incrementará el número de candidaturas que deberá revisar y registrar el organismo.</t>
  </si>
  <si>
    <t>IEEH</t>
  </si>
  <si>
    <t>Candidaturas</t>
  </si>
  <si>
    <t>El sector industrial de Hidalgo continúa consolidando su posición como uno de los más dinámicos del país. De acuerdo con cifras del Instituto Nacional de Estadística y Geografía (INEGI), la actividad industrial de la entidad registró un crecimiento anual de 21%. Este resultado colocó a Hidalgo por encima del comportamiento nacional y mantuvo la tendencia positiva que la industria estatal ha registrado durante 2026. De acuerdo con el gobierno estatal, este dinamismo está relacionado con las políticas públicas implementadas durante la administración del gobernador Julio Menchaca Salazar para impulsar el desarrollo industrial, fortalecer la infraestructura estratégica e integrar al estado a las cadenas globales de valor. Asimismo, la administración estatal señaló que la actividad industrial se encuentra respaldada por una inversión privada de 125 mil 800 millones de pesos distribuida en 120 proyectos.</t>
  </si>
  <si>
    <t>El gobernador de Hidalgo, Julio Menchaca Salazar, reconoció que ha fallado la socialización de diversos proyectos de inversión impulsados por la administración estatal y el gobierno federal, situación que ha derivado en el rechazo de comunidades y, en consecuencia, en la cancelación o reubicación de iniciativas como el parque fotovoltaico proyectado en Tecozautla y el Parque de Economía Circular de Tula. Señaló que, si bien en algunos casos existe una preocupación legítima de la población, también ha faltado acercamiento de las autoridades para explicar los alcances y beneficios de las obras. "En algunos casos hay una preocupación real de las personas y están en todo su derecho. En otros ha faltado socializar los proyectos y es en lo que vamos a estar trabajando más: platicar con todas las personas alrededor de un proyecto para que vean los beneficios", expresó. Menchaca aseguró que su administración no impulsará ninguna obra que represente un perjuicio para las comunidades o que se imponga en contra de la voluntad de la población. "Nunca vamos a hacer en esta administración ninguna obra, ninguna acción en perjuicio de las personas, de la comunidad ni contra su voluntad", afirmó. El gobernador consideró que estos casos representan una minoría frente al número de inversiones que, dijo, sí han logrado establecerse en la entidad y que han contribuido a la generación de empleos y al crecimiento económico de Hidalgo. Respecto al proyecto de una empresa española para desarrollar un parque fotovoltaico, explicó que es atendido por la Secretaría de Desarrollo Económico y señaló que la decisión sobre su ubicación corresponde a los inversionistas, aunque el gobierno tiene la obligación de advertirles sobre posibles conflictos sociales o limitaciones de infraestructura. "Nosotros proponemos, pero la decisión es de los empresarios. Cada inversión implica que ellos arriesgan su capital y su experiencia. Nosotros les proporcionamos toda la información y las alternativas", indicó. Añadió que cuando existen restricciones por disponibilidad de agua, capacidad eléctrica o conflictos sociales, el gobierno estatal informa a las empresas para que valoren otras opciones. En ese contexto, destacó que Hidalgo ocupa el segundo lugar nacional en radiación solar, únicamente por debajo de Tamaulipas, lo que representa una ventaja para el desarrollo de proyectos de generación de energía limpia. Incluso adelantó que dentro del Polo del Bienestar una empresa analiza destina alrededor de 100 hectáreas para instalar infraestructura que abastezca de energía al complejo industrial. Finalmente, insistió en que la prioridad será encontrar ubicaciones donde exista viabilidad social y suficiente información para evitar que nuevos proyectos enfrenten el mismo rechazo que otras inversiones que no lograron concretarse.</t>
  </si>
  <si>
    <t>Cancelación de proyectos</t>
  </si>
  <si>
    <t>El titular de la Secretaría de Desarrollo Económico (Sedeco), Carlos Henkel Escorza, negó que el crimen se encuentre infiltrado en empresas de Hidalgo; esto, luego de que la Fiscalía General de la República (FGR) localizó un centro de procesamiento ilícito de combustible en una zona industrial de Tizayuca. “No, por supuesto que no, no hay una sola queja, una sola información al respecto. Al contrario, somos uno de los estados más seguros del país, aquí está el reflejo en el crecimiento económico (…) creció 2.4% la actividad industrial en el país y nosotros tenemos el 21%, es decir, prácticamente 10 veces más", afirmó. Henkel Escorza señaló que este caso corresponde a la FGR, mientras que la Sedeco solo proporcionó información sobre el giro de la empresa, dedicada al procesamiento de químicos. Recordó que el inmueble tenía aproximadamente medio año clausurado por la Secretaría de Medio Ambiente y Recursos Naturales (Semarnat) ante el incumplimiento de normas relacionadas con los procesos químicos que realizaba. Asimismo, rechazó que el caso de Tizayuca represente un riesgo para la actividad económica de Hidalgo. Respecto a reforzar las revisiones para detectar actividades ilícitas en otras empresas, el secretario indicó que las investigaciones corresponden a las fiscalías y que, regularmente parten de denuncias ciudadanas. En otros temas, adelantó que el noveno anuncio de inversiones para Hidalgo incluirá al desarrollador del Polo de Bienestar de Zapotlán, lo cual se divulgará antes del cuarto informe de gobierno previsto para la primera semana de septiembre.</t>
  </si>
  <si>
    <t>Huachicol</t>
  </si>
  <si>
    <t>Los exámenes de control y confianza no son una garantía de que los elementos de Seguridad Pública no abusarán de su puesto, señaló en entrevista con medios de comunicación, el Gobernador del Estado de Hidalgo, Julio Menchaca Salazar. Las declaraciones se ofrecen en el contexto de la reciente detención del responsable del C2 municipal de Villa de Tezontepec, confirmada por las autoridades. Además, en los tres meses más recientes se han detenido 15 elementos policiacos en otros puntos del Estado de Hidalgo. Las primeras nueve detenciones ocurrieron en mayo, a nueve elementos de Progreso de Obregón, señalados por lesiones y homicidio. Días después se realizó la detención del director y al subdirector de la Policía municipal de Tezontepec de Aldama, acusados por narcomenudeo. Mientras que el pasado mes de junio, también fueron detenidos dos oficiales policiacos de Tizayuca por su probable participación en robo. Y en lo que va de agosto, dos de Villa de Tezontepec, vinculados con un presunto grupo delictivo. “No hay una garantía de que no cometan errores o de que no sean deshonestas las personas, pero finalmente asumen sus consecuencias”, externó el mandatario. Sin embargo, Menchaca Salazar consideró que dichas detenciones no son indicio de corrupción, sino que más bien significan que existe una lucha contra la impunidad. “Si hubiera intención de disculpar o de hacerse de la vista gorda por cualquier funcionario, dígase policía o de cualquier nivel, sería aceptar y ser parte de la corrupción”, enfatizó. Respecto a la reciente detención del encargado del C2 municipal de Villa de Tezontepec, Menchaca Salazar confirmó que existe una investigación relacionada con dicho personal de seguridad pública. Señaló que las investigaciones permitieron identificar líneas de parentesco relacionadas con los acontecimientos registrados en el municipio, aunque evitó revelar mayores detalles al señalar que forman parte de una carpeta de investigación. El Gobernador del Estado de Hidalgo insistió que la detención de servidores públicos vinculados con posibles actos ilícitos no representa una falla de la estrategia de seguridad; por el contrario, es una muestra de que existe una política de combate a la corrupción y a la impunidad en la entidad.</t>
  </si>
  <si>
    <t>La presidenta municipal de Molango, Isabel Ramírez Mercado, denunció públicamente que ha recibido amenazas directas de muerte y sostuvo que su integridad y la de su familia se encuentran en riesgo debido a una serie de publicaciones difundidas en redes sociales. A través de un video, la alcaldesa responsabilizó públicamente a Gerardo Espadas de cualquier situación que pudiera ocurrirle a ella o a algún integrante de su familia. El señalamiento fue realizado después de dialogar con el equipo que la acompaña en el gobierno municipal, según explicó al comienzo de la grabación. Ramírez Mercado acusó a esta persona de utilizar las plataformas digitales para intimidar, ejercer presión y difundir información que calificó como falsa. También señaló un presunto intento de obtener dinero a cambio de detener los ataques en su contra. “Dejo constancia y hago públicamente responsable a Gerardo Espadas de cualquier situación que pudiera llegar a presentarse en contra de mi persona o de algún integrante de mi familia”, expresó. La presidenta municipal reconoció que su cargo la mantiene expuesta a críticas, señalamientos y opiniones contrarias. Sin embargo, consideró que las publicaciones recientes rebasaron ese ámbito al provocar comentarios de odio y hostilidad, algunos de los cuales, de acuerdo con su testimonio, escalaron hasta convertirse en amenazas de muerte. Alcaldesa se reserva el derecho de presentar una denuncia Durante el mensaje, Isabel Ramírez Mercado afirmó que no entregará dinero para detener las publicaciones ni negociará bajo presión. También aseguró que el temor generado por esta situación no condicionará sus decisiones como servidora pública ni modificará su trabajo al frente del ayuntamiento de Molango.</t>
  </si>
  <si>
    <t>Estudiantes de UTVAM obtienen certificación internacional en diseño mecánico</t>
  </si>
  <si>
    <t>Certificación</t>
  </si>
  <si>
    <t>De 25 negocios que fueron autorizados para vender bebidas alcohólicas durante la tradicional feria de Los Angelitos, en Tulancingo, hasta el momento uno ha sido clausurado por no acatar las medidas establecidas para su funcionamiento. Lo anterior fue informado por Òscar Javier Serrano Hernández, titular de la dirección municipal de Reglamentos y Espectáculos, instancia que aplicó la sanción. Señaló que el negocio clausurado derivó de rebasar el horario de funcionamiento para la venta de bebidas embriagantes, así como por colocar mesas y sillas fuera del local. El funcionario recordó que en una reunión realizada con las personas que obtuvieron dichos permisos, ya se les había señalado de estas y otras medidas que deberían acatar para poder realizar sus actividades comerciales. Otro de los negocios fue sancionado, pero sin llegar a la clausura, debido a que también desacató las medidas establecidas, pero tras la amonestación, se regularizó. Sobre los espacios que fueron autorizados para este tipo de venta, el funcionario municipal señalo que “hablamos sobre todo de casas habitación que tienen garaje y en cada feria lo habilitan para expender comida y alcohol”. Aseguró que el personal de Reglamentos y Espectáculos está realizando recorridos constantes para revisar y confirmar que las medidas establecidas sean acatadas. Hasta el momento, ninguno de los expositores en el tradicional festejo ha infringido las normativas establecidas, por lo cual no existen sanciones hacia dicho sector. Respecto a sanciones hacia comerciantes instalados en el recinto de la Expo Feria, ubicado en Jaltepec, Serrano Hernández aseguró que no ha existido aplicación alguna.</t>
  </si>
  <si>
    <t>23 casos de sarampión se han registrado en el Estado de Hidalgo, en el acumulado de este año, de los cuales, Pachuca encabeza el listado con 4, seguido de Tizayuca y Santiago Tulantepec, con tres casos cada municipio. Los datos recopilados por el Sistema Especial de Vigilancia Epidemiológica, señalan que Santiago de Anaya, Actopan, Tula de Allende y Zapotlán de Juárez tienen dos casos cada municipio citado. Tlaxcoapan, Mineral de la Reforma, Tasquillo y Acaxochitlán registran un caso cada uno, así como uno más, proveniente de Zumpango, Estado de México, siendo atendido en Hidalgo. En todas las situaciones los pacientes se reportan como recuperados, por lo que en este momento no existen casos activos en el Estado de Hidalgo. De los casos registrados, 6 corresponden a niños menores de 5 años de edad; en tres casos, se trata de bebés de 6, 7 y 8 meses de edad, estos dos últimos ubicados y atendidos en Santiago Tulantepec; así como otro niño de un año de edad. Respecto a esquemas de vacunación, la Plataforma SISCENCIA señala que durante el año pasado, se han aplicado 174 mil 670 dosis contra sarampión, de las cuales, 66 mil 214 fueron doble viral SR y 108 mil 456 fueron dosis de triple viral SRP. Del 1 de enero al 15 de julio de este año, se han aplicado 518 mil 60 dosis de vacuna contra el sarampión, de las cuales, 293 mil 287 corresponden a la vacuna doble viral (SR) y 224 mil 773, a la vacuna triple viral (SRP).</t>
  </si>
  <si>
    <t>Sarampión</t>
  </si>
  <si>
    <t>Vía telefónica Milton Cortés informa que el presidente municipal de Pachuca, Jorge Reyes, brindó atención a vecinas y vecinos de San Antonio durante la jornada de Colonia x Colonia, donde recibió personalmente sus solicitudes y escuchó las necesidades de las familias de esta zona de la ciudad. Las peticiones más sentidas fueron de seguridad, el tráfico vehicular y los servicios básicos.</t>
  </si>
  <si>
    <t>Atención a la ciudadanía</t>
  </si>
  <si>
    <t>Vía telefónica Milton Cortés informa que prestadores de servicio de Huasca de Ocampo señalan que hay una baja de visitantes y este periodo vacacional no ha resultado satisfactorio y esperan que en estas últimas semanas de vacaciones esto cambie. Aseguran que cuentan con la infraestructura y muchos atractivos.</t>
  </si>
  <si>
    <t>Afluencia Turística</t>
  </si>
  <si>
    <t>La encuestadora Massive Caller publicó su medición de intención de voto para la alcaldía de Pachuca, Hidalgo, con corte al 12 de agosto de 2026. El estudio evalúa el panorama político de la capital de cara al próximo relevo municipal. La medición confirma que Morena encabeza sólidamente las preferencias electorales en el municipio con el 35.4%, seguido por el PRI con el 20.5%y por el PAN con. Dentro de las opciones evaluadas, el alcalde Jorge Alberto Reyes Hernández se mantiene como la figura principal y con mayor proyección de respaldo ciudadano dentro de su partido. El levantamiento fue realizado por Massive Caller de manera cuantitativa mediante su sistema robótico de encuestas telefónicas automatizadas a población mayor de edad en Pachuca. Intención de voto por partido político: Ante la pregunta de por cuál partido votaría el ciudadano si hoy fueran las elecciones, el panorama quedó de la siguiente manera: MORENA: 35.4%, PRI: 20.5%, Aún no decide: 18.1% PAN: 13.3%, Movimiento Ciudadano (MC): 6.5%, PT: 3.6% y PVEM: 2.6%2. Preferencia de candidatos internos por partido: A los encuestados que manifestaron su simpatía por un partido en particular, se les preguntó quién preferirían que fuera su candidato: Por MORENA: Jorge Alberto Reyes Hernández encabeza con el 19.2% de las preferencias. Le siguen Andrés Velázquez Vázquez (11.9%), Miguel Ángel Osorio Vargas (11.3%), otra opción (21.5%) y un alto número de indecisos (36.1%). Por el PRI: Mirna Hernández Morales lidera con un 23.6%. Detrás se posicionan Víctor Omar Santander Vargas (13.3%), Bernardo Arista Velasco (13.1%), Geraldina García Gordillo (9.1%), Cecilia Pérez Barranco (4.2%), otra opción (17.6%) y el 19.1% aún no decide. Por el PAN: La opción "Otro" domina con el 49.4%. Entre los nombres sugeridos figuran Ruth León Cruz (16.2%), Jenny Marlú Melgarejo Chino (9.7%), mientras que el 24.7% no ha decidido. Por Movimiento Ciudadano: Memo Peredo obtiene el 19.2%, seguido por Adriana Flores Torres con 15.4%. Un 38.5% opta por "Otro" y un 26.9% permanece indeciso.</t>
  </si>
  <si>
    <t>Despacho</t>
  </si>
  <si>
    <t>Sucesión alcaldía</t>
  </si>
  <si>
    <t>Intención del voto</t>
  </si>
  <si>
    <t>Radioescucha: vivo cerca del Bulevar Las Torres donde se están realizando los trabajos. Se agradecen las mejoras, sin embargo, las pocas luminarias que habían puesto fueron retiradas y nunca piensan en poner banquetas. Espero que regresen las pocas luminarias y que en algún momento piensen en poner banquetas al menos en las zonas pobladas.</t>
  </si>
  <si>
    <t>Invertirán 2 mil 277 mdp en la carretera Pachuca-Huejutla</t>
  </si>
  <si>
    <t>El Día de hoy el gobernador julio Menchaca, encabezará las Rutas de la Transformación para la Transformación en el municipio de Juárez Hidago a las 10:45 de la mañana en el Auditorio Municipal. Ahí, entregará a poyos.</t>
  </si>
  <si>
    <t>Al intentar ganarle el paso al tren, un tráiler que transportaba bagazo de cebada fue impactado en parte de su caja la mañana del martes, en la comunidad de Acopinalco, en Apan.</t>
  </si>
  <si>
    <t>Tres usuarios resultaron heridos este miércoles, luego de que una unidad de la Sedena invadiera el carril exclusivo y le cortara la circulación a un autobús del Transporte Metropolitano a la altura del Puente Colonias. Este accidente complicó el tránsito vial.</t>
  </si>
  <si>
    <t>Accidente Tuzobús</t>
  </si>
  <si>
    <t>Hidalgo volvió a demostrar su fortaleza y crecimiento en las artes marciales mixtas al conquistar un total de 35 medallas durante el Nacional de MMA 2026, celebrado en Córdoba, Veracruz. La delegación hidalguense tuvo una destacada participación al subir al podio en 35 ocasiones, resultado del esfuerzo, disciplina, preparación y compromiso de cada uno de los atletas que representaron dignamente al estado, repartidas en 15 medallas de oro, 11 de plata y nueve bronces.</t>
  </si>
  <si>
    <t>Justa Deportiva</t>
  </si>
  <si>
    <t>Centro de las Artes de Hidalgo abre convocatoria de admisión en cinco disciplinas artísticas</t>
  </si>
  <si>
    <t>Convocatoria</t>
  </si>
  <si>
    <t>Sebiso invita a personas con discapacidad a acceder a sus servicios</t>
  </si>
  <si>
    <t>El gobierno municipal de Tepeji del Río cabildea la venta de cuatro calles de dominio público y de la comunidad de Cantera de Villagran a una empresa transnacional. Ayer por la tarde en sesión de cabildo se iba a votar la desincorporación de 4 calles para su venta a la empresa HEB, votación que aparentemente ya estaba pactada para pasar sin contratiempos, sin embargo, dos regidoras de morena, que pertenecen a la fracción de la propia presidenta municipal Tania Valdez Cuéllar no se presentaron a la sesión. Tenían que aprobar el dictamen de desincorporación de dominio público de las calles, que posteriormente la empresa de supermercados estadounidense HEB pretende comprar para construir un centro de distribución. La presidenta municipal Tania Valdez Cuéllar, al no conseguir los votos necesarios para la aprobación, solicitó un receso de la sesión por tiempo indefinido para dialogar con pobladores de Cantera de Villagran a quienes detalló las acciones a seguir y los beneficios que traerán a la comunidad y al municipio. La noche del pasado martes, previo a la sesión de cabildo algunos regidores (Sin precisar quienes, ni de qué partido), presuntamente habían recibido sobornos por 500 mil pesos cada uno, para aprobar el dictamen, hecho que lamentablemente ensucia el proceso de enajenación de las 4 calles en Cantera de Villagrán. También se informó que la empresa Inversiones HEB S.A. de C.V. pagará 680 pesos por metro cuadrado de las cuatro calles, siendo un total de 12 MDP por 1.7 hectáreas de terreno. La presidenta municipal, Tania Valdez Cuellar explicó a los vecinos de Cantera de Villagrán que el 50 por ciento de este dinero se destinará a obras de infraestructura de la comunidad, pero hasta el momento no se sabe con exactitud qué pasará con el otro 50 por ciento de los recursos que se obtengan de la operación. Hasta hoy, la sesión de Cabildo para aprobar la venta de las calles Sur Seis, Sur Ocho, Oriente Once y Oriente Trece en Cantera de Villagrán, sigue en receso indefinido.</t>
  </si>
  <si>
    <t>Corrupción</t>
  </si>
  <si>
    <t>Edson Vélez</t>
  </si>
  <si>
    <t>Apoyos de Desarrollo Inclusivo fortalecen más de 300 proyectos en Hidalgo</t>
  </si>
  <si>
    <t>En sesión de la diputación permanente, el Diputado Arturo Gomes Canales propuso a la iniciativa que busca establecer un marco jurídico qué garantice condiciones mínimas de seguridad para las personas usuarias de establecimientos deportivos en materia de responsabilidad civil atención de emergencias y mecanismos del cumplimiento. La diputada María Guadalupe Cruz presentó un acuerdo económico que exhorta al titular de la Secretaría de Cultura Federal a promover la preservación y el desarrollo de las leguas indígenas en el territorio nacional.</t>
  </si>
  <si>
    <t>Iniciativa</t>
  </si>
  <si>
    <t>Radioescucha: un llamado a la presidenta municipal de Santiago Tulantepec, para que voltee a ver Habitación de bosque porque hace falta bacheo en la avenida principal.</t>
  </si>
  <si>
    <t>Bacheo</t>
  </si>
  <si>
    <t>Desarticula SSPH centro de almacenamiento ilegal de combustible en Tepeapulco</t>
  </si>
  <si>
    <t>El Gobernador de Hidalgo, Julio Menchaca Salazar, señaló que está a la espera de información de las autoridades federales respecto al aseguramiento de una mini refinería ilegal, asegurada hace unos días en el municipio de Tizayuca. Aclaró que ni el destacamento militar en la entidad, ni la Guardia Nacional, ni la Procuraduría General de Justicia del Estado de Hidalgo ni el propio gobierno estatal tenían información previa sobre la operación de este lugar. Puntualizó que la administración a su cargo está a la espera de información de las autoridades federales sobre el operativo realizado, pues fueron estas las que realizaron el operativo. Explicó que, aunque se les ha denominado “mini refinería”, todavía no existe información suficiente para determinar exactamente qué actividad se realizaba en el predio. Por lo que rechazó tener alguna conclusión legal sobre el operativo y sus consecuencias. La semana pasada se reportó un operativo de la FGR en un predio de la zona industrial de Tizayuca, el cual presuntamente era usado para el almacenamiento y procesamiento de combustible obtenido de forma ilegal. En el lugar se encontraron 32 contenedores con capacidad de mil litros y 25 contenedores con capacidad de cinco mil litros, lo que resultó con el aseguramiento de alrededor de 456 mil 300 litros de hidrocarburo, según la información oficial. Además del hidrocarburo presuntamente ilegal, también se decomisaron documentos, equipo de cómputo, monitores y un dispositivo electrónico. El inmueble quedó bajo el resguardo de las autoridades federales para realizar las investigaciones correspondientes. En el contexto, el Gobernador Menchaca Salazar señaló que la administración a su cargo mantendrá una política de cero tolerancia a actos ilegales cometidos por servidores públicos, incluidos los responsables de garantizar la seguridad de la población.</t>
  </si>
  <si>
    <t>En cabina Guadalupe Rodríguez Uribe, titular de la Secretaría de Cultura, Educación, Deporte y Juventud de Tulancingo, in formó que como parte de las actividades de la Feria de Tulencingo se está convocando a una Coreografía Masiva de Danzón. Lo anterior el 16 de Agosto a la 1:00 PM, en el Foro Cultural del Recinto Ferial de la Expo Feria Ganadera Internacional Tulancingo 2026. Se debe pagar el acceso a la Feria.</t>
  </si>
  <si>
    <t>Hidalgo obtiene reconocimientos nacionales en “Escuelas por la Tierra 2026”</t>
  </si>
  <si>
    <t>Educación Ambiental</t>
  </si>
  <si>
    <t>Ixmiquilpan es el municipio del Estado de Hidalgo que recibió la mayor cantidad de remesas de connacionales en el extranjero durante el segundo semestre del 2026, de acuerdo a datos recopilados y difundidos por el Banco de México. El reporte señala que en dicho municipio se recibieron entre los meses de abril a junio, 67.232 millones de dólares. En dicho periodo de tiempo, Tulancingo se ubicó en segundo lugar estatal por captación de remesas, con un monto por 66.899 millones de dólares, seguido de Pachuca, donde la cantidad ascendió a 45.957 millones de dólares. Zacualtipán recibió 25.580 millones de dólares durante el segundo semestre de este año, seguido de Actopan, con 23.989; Zimapán reporta 22.202; Atotonilco El Grande, 19.334; Huichapan, 12.92; Huejutla con 15.317 y Cuautepec con 11.359 millones de dólares. El informe del banco central señala que durante el segundo semestre de este año, la llegada de remesas al Estado de Hidalgo incrementó 14.4 por ciento en comparación con los tres primeros meses de este mismo 2026. En total, entre los meses de abril a junio, en la entidad se recibieron 460.911 millones de dólares, cantidad que aumentó respecto de los 402.739 millones de dólares recibidos en el trimestre enero-marzo. Con ello, Hidalgo fue el estado 13 a nivel nacional en recibir más remesas, ya que en el primer semestre del año captó 863.650 millones de dólares. En el comparativo anual, el Banco de México indicó que los 863.650 millones de dólares de remesas recibidas en la primera mitad del año, aumentó en comparación con los 849.789 millones de dólares registrados de enero a junio del 2025. Los informes del Banco de México permiten conocer la tendencia en cuanto a la recepción de divisas en las diversas regiones del país.</t>
  </si>
  <si>
    <t>Remesas</t>
  </si>
  <si>
    <t>El Mobiliario Urbano para Información (Mupis), colocados en diversos puntos de la ciudad de Tulancingo, serán retirados, al no estar acordes a lo dispuesto en la Ley de Imagen Urbana para el Estado de Hidalgo. Armando Pérez Alcibar, titular de la Secretaría municipal de Desarrollo Urbano, Obras Públicas y Medio Ambiente, señaló que dichas estructuras para exhibir publicidad, fueron colocadas en espacios que no son adecuados. Incluso hace unos meses, los Mupis que estaban en el jardín La Floresta, en el centro de la ciudad, fueron retirados para conocer quiénes serían sus propietarios y establecer con estos las normativas legales dentro de la citada Ley estatal de Imagen Urbana. Posteriormente, a las restantes estructuras se les colocaron sellos de clausura, por parte de la Dirección municipal de Licencias y Permisos de Construcción. Hasta el momento, ningún particular ha acudido ante las autoridades municipales para reclamar tanto el retiro como la clausura de las estructuras. De acuerdo a Pérez Alcibar, los Mupis habrían sido colocados por la empresa Mucom, a la que también se le otorgó la concesión por 15 años para el uso de los puentes peatonales ubicados sobre Corredor Vial San José para la instalación de estructuras para la exhibición de publicidad. Dichas estructuras ya fueron retiradas por Mucom, luego de que las autoridades municipales les hicieron saber que no podrían seguir con la concesión, en apego a la ya citada Ley estatal de Imagen Urbana.</t>
  </si>
  <si>
    <t>Andy López Beltrán ya no tiene visa, el gobierno de EUA se la canceló: el político informó que recibió la notificación, más tarde publicó una carta de tres páginas en sus redes sociales y etiquetó a Trump; calificó la decisión de “hitleriana y de enfermiza fobia conservadora contra Morena”. El hijo del expresidente López Obrador le solicitó al mandatario estadounidense las cabezas de Marco Rubio, secretario de Estado de EUA, y de Christopher Landau, subsecretario de Estado de ese mismo país; hasta el momento el presidente republicano no ha respondido a esta carta, pero quien sí lo hizo fue el PAN.</t>
  </si>
  <si>
    <t>Visa</t>
  </si>
  <si>
    <t>La Comisión Nacional de los Derechos Humanos emitió recomendación al Instituto Mexicano del Seguro Social para el Bienestar, tras acreditar violación en a los derechos humanos de una mujer que sufrió violencia obstétrica y deficiencia en la atención médica Hospital General de Tula. Situación que derivó en la pérdida de su bebé. De acuerdo con el organismo nacional la víctima presentó la queja por los hechos ocurridos el 18 agosto del 2024 en la que denunció que solicitó atención médica por dolores de parto y fue atendida también hasta que ella y su bebé dejaron tener frecuencia cardíaca. Tras ser notificada que el producto de la gestación había fallecido, a los familiares se les informó que se le había extirpado la matriz, a pesar de que no se tuvo el consentimiento para ello, además de que en estudios se constató que tenía perforados los intestinos; además de recibir malos tratos y amenazas por parte de personal médico y directivos del Hospital. En su investigación, la CNDH acreditó violaciones a los derechos humanos a la protección de la salud materna, al trato digno, a una vida libre de violencia obstétrica y al acceso a la información en materia de salud; también determinó afectaciones al proyecto de vida de la paciente y de otra persona, derivadas de la falta de una atención médica adecuada, oportuna y de calidad. El organismo nacional señaló que el personal del hospital tenía conocimiento de las condiciones de vulnerabilidad de la mujer, entre ellas la falta de empleo, escasos ingresos económicos, limitaciones en materia de protección social y el hecho de ser madre soltera. A la par, se constató que la víctima presenta afectaciones emocionales derivadas de los malos tratos recibidos durante la atención médica, de la falta de acompañamiento psicológico al momento de conocer el fallecimiento de su bebé y de las amenazas que refiere haber recibido por parte de trabajadores del nosocomio. Ante estas circunstancias, la CNDH solicitó al IMSS Bienestar implementar medidas para reparar integralmente el daño ocasionado y garantizar que la paciente reciba seguimiento y atención médica especializada y de calidad. Asimismo, pidió colaborar para que la víctima indirecta reciba atención psicológica y tanatológica, de acuerdo con las necesidades que presente como consecuencia de los hechos. Entre las medidas recomendadas también se encuentra la colaboración con el Órgano Interno de Control para el trámite y seguimiento del expediente iniciado por lo ocurrido, así como la implementación de un proceso de profesionalización en materia de derechos humanos y perspectiva de género dirigido al personal médico del área de ginecología y obstetricia del Hospital General de Tula.</t>
  </si>
  <si>
    <t>Violencia obstétrica</t>
  </si>
  <si>
    <t>Premio Municipal</t>
  </si>
  <si>
    <t>Abner Yáñez</t>
  </si>
  <si>
    <t>A fin de mes personal de la Secretaría de Desarrollo Agrario, Territorial y Urbano (Sedatu) acudirá nuevamente a la comunidad de Tlacolula, en el municipio de Tianguistengo para corroborar el censo de viviendas que serán reconstruidas, ya que fueron afectadas por la vaguada monzónica ocurrida en octubre del año pasado. A mediados de julio de este año, la Sedatu en Hidalgo notificó el conteo de 2 mil 866 inmuebles afectados en la Huasteca, Sierra y la región Otomí-Tepehua e indicó que a finales del mes iniciarían asambleas para informales acerca de los apoyos económicos que oscilarán en los 500 mil pesos, aproximadamente. En el caso de Tlacolula, 70 habitantes fueron censados y de este total, el 71% que equivale a 50 personas, resultaron beneficiarios, según le informó la autoridad durante la primera semana de agosto. Pobladores, solicitaron una reunión con autoridades de la Sedatu, la cual se llevó a cabo el pasado miércoles 5 de agosto. El acuerdo fue que, durante los siguientes 20 y 25 días, personal de la Secretaría federal acudirá nuevamente a dichas viviendas a corroborar la información.</t>
  </si>
  <si>
    <t>Hidalgo se posicionó como la tercera entidad del país con mayor proporción de personal de seguridad pública estatal en relación con su población, al registrar 1.7 elementos por cada mil habitantes durante 2025, según cifras del INEGI en su actualización de este 2026. Durante ese año, las corporaciones estatales contaban con 5 mil 525 integrantes, de los cuales 33.6 por ciento eran mujeres y 66.4 por ciento hombres. La cifra representa un aumento frente a 2024, cuando la entidad registró 1.3 elementos por cada mil habitantes. Con el resultado de 2025, Hidalgo quedó solo detrás de Tabasco, con 2.1, y Oaxaca, con 1.8. Los datos forman parte de los Censos Nacionales de Seguridad Pública Federal y Estatal 2026, que reúnen información sobre la estructura y desempeño de las instituciones encargadas de la seguridad pública en el país.</t>
  </si>
  <si>
    <t>Tasa de policías</t>
  </si>
  <si>
    <t>Los accidentes de motocicleta continúan siendo un problema de seguridad vial en Tulancingo, donde durante los primeros siete meses de 2026 se registraron 156 percances, de acuerdo con datos proporcionados por Bomberos y Protección Civil del municipio. Las cifras muestran una incidencia constante a lo largo del año. En enero se contabilizaron 20 accidentes; febrero cerró con 27; marzo registró la cifra más alta del periodo, con 29; abril tuvo 21; mayo, 20; junio, 19, y julio, nuevamente 20. Con estos registros, marzo se posicionó como el mes con mayor número de accidentes, mientras que junio presentó la cifra más baja, aunque la diferencia entre ambos meses fue de apenas 10 casos, lo que refleja que los percances se mantienen de manera recurrente. En promedio, Tulancingo registró alrededor de 22 accidentes de motocicleta al mes durante este periodo, es decir, prácticamente tres percances cada cuatro días. La situación se suma a los reportes de otros municipios de Hidalgo, como Pachuca, Tizayuca y Huejutla, donde también se han documentado accidentes relacionados con motocicletas durante 2026. Aunque todavía no existe un corte estatal consolidado sobre todos los accidentes de motocicleta ocurridos en Hidalgo durante este año, los datos disponibles muestran la magnitud del problema y la necesidad de reforzar las medidas de prevención.</t>
  </si>
  <si>
    <t>Siniestralidad</t>
  </si>
  <si>
    <t>A casi 4 años, seguimos empeñados en la transformación real de Hidalgo: Julio Menchaca</t>
  </si>
  <si>
    <t>Ayer se presentaron fuertes lluvias en Zempoala y Huasca, ocasionando encharcamientos, accidentes viales y tráfico vial.</t>
  </si>
  <si>
    <t>Afectaciones Por Lluvias</t>
  </si>
  <si>
    <t>CECyTE Hidalgo mejora infraestructura en sus 42 planteles</t>
  </si>
  <si>
    <t>Infraestructura escolar</t>
  </si>
  <si>
    <t>Radioescucha: los invitamos a visitar la Unidad Básica de Rehabilitación de Tasquillo, para que vena el mal servicio que tienen.</t>
  </si>
  <si>
    <t>Mala atención médica</t>
  </si>
  <si>
    <t>El próximo lunes iniciarán las multas por invadir el carril confinado del Tuzobús y el costo máximo de la multa será de 3,519 pesos, que deberán pagarse en el momento de la sanción o de lo contrario se llevarán el automóvil al corralón. Se recomienda a al población a evitar ser sancionado y respetar este carril.</t>
  </si>
  <si>
    <t>Milton Cortés informa que esta tarde el Parque Cultural Hidalguense se iluminará con el Festival Internacional del Papalote a las 18 horas y esto será un extracto de lo que se vivirá en el Festival Internacional del Papalote que se realizará en Chilcuautla. El país invitad es Colombia y se podrá disfrutar de muchas actividades.</t>
  </si>
  <si>
    <t>Se reporta en este momento la volcadura de un vehículo a la altura de San Agustín Tlaxiaca. Los cuerpos de emergencia ya están en el lugar.</t>
  </si>
  <si>
    <t>Andrés Torres señala que ayer la encuestadora Massive Caller, se puso en contacto con él y le comentaron que harán medición de intención de voto para la alcaldía en Tulancingo e Ixmiquilpan, pero el problema que tienen es que en Tulancingo hay 40 y tantos aspirantes de Morena para la presidencia municipal. En Ixmiquilpan hay cerca de 70 aspirantes. Asimismo, dijo que los alcaldes que quieran reelegirse tienen hasta abril del año próximo para solicitar licencia.</t>
  </si>
  <si>
    <t>Programa de Vivienda para el Bienestar contribuirá a reducir el rezago habitacional en Hidalgo: Miguel Tello</t>
  </si>
  <si>
    <t>Plan Nacional De Vivienda</t>
  </si>
  <si>
    <t>Realiza Segobh sesión de respuestas a la ciudadanía en Molango</t>
  </si>
  <si>
    <t>Mesas de acercamiento</t>
  </si>
  <si>
    <t>Radioescucha, Leonardo Ángeles: a ver si el secretario de Salud de Hidalgo (sic) se da una vuelta por el Centro de Salud de Actopan, ya que solo cuentan con dos médicos para una población muy grande. Tienen que esperar 4 o 5 horas para una consulta. Ojalá pudieran poner más médicos.</t>
  </si>
  <si>
    <t>Déficit De Personal</t>
  </si>
  <si>
    <t>Menchaca regresa a Eloxochitlán con las Rutas para la Reconstrucción</t>
  </si>
  <si>
    <t>Un video en redes sociales, que muestra un altercado ocurrido dentro de las instalaciones de la Feria Ixmiquilpan 2026, donde presuntamente estuvo involucrado Diego Corona, secretario de Desarrollo Social municipal y presidente del comité organizador del evento.Testigos señalaron una posible agresión contra una joven, ya que el secretario se ecnontraba en estado etilico.</t>
  </si>
  <si>
    <t>Funcionario ebrio</t>
  </si>
  <si>
    <t>La Comisión Nacional de los Derechos Humanos emitió la Recomendación 23/2026 al IMSS-Bienestar tras acreditar violaciones graves a los derechos humanos y violencia obstétrica por parte de personal del Hospital General de Tula, Hidalgo, lo que ocasionó la muerte de un bebé y afectaciones permanentes a la madre.Comento conductor que no todo es malo en el Hostioal, tambiene xiste gente buena.</t>
  </si>
  <si>
    <t>Recomendaciones CDHEH</t>
  </si>
  <si>
    <t>Siguen los problemas entre regidores y la presidenta municipal Citlaly Zúñiga de Ajacuba, ayer durante la sesión extraordinaria de Cabildo, donde se tenía que aprobar el bando de policía y buen gobierno, el cual, según los regidores de oposición, hay un exceso en los capítulos de faltas y sanciones, AUDIO APOYO</t>
  </si>
  <si>
    <t>Bando de policía y gobierno</t>
  </si>
  <si>
    <t>La senadora por Hidalgo, Simey Olvera, leva a cabo su segundo informe legislativo en distintas regiones de Hidalgo, agradeció al gobernador Julio Menchaca por su apoyo y coordinación para seguir haciendo historia, por el pueblo y con el pueblo. AUDIO APOYO</t>
  </si>
  <si>
    <t>Aspirantes</t>
  </si>
  <si>
    <t>Sucesión gubernamental</t>
  </si>
  <si>
    <t>Este domingo 16 de agosto, van a iniciar las sanciones económicas contra los automovilistas que invadan el carril confinado del sistema de transporte metropolitano. Si usted llega a invadir, va a tener que pagar desde los 2.346 pesos a los 3.519 pesos.estará prohibido ingresar al carril desde la zona de Téllez, en donde se ubica la primera estación que está en Zempoala, al entronque con el bulevar Javier Rojo Gómez, que está en Pachuca, AUDIO APOYO</t>
  </si>
  <si>
    <t>Hidalgo se suma a este domingo 16 de agosto a la clase nacional de "Boxeo Puños de Transformación", una actividad impulsada a nivel nacional para fomentar la práctica deportiva y que tendrá participación en seis municipios de Hidalgo, informó el director del Instituto Hidalguense del Deporte, Óscar Pérez Rojas. La clase comenzará a las ocho de la mañana y tendrá como sede principal la Ciudad Deportiva de Alto Rendimiento de Pachuca. Además de realizarse de manera simultánea en las plazas principales de Ajacuba, Tula, Tizayuca, El Arenal y San Agustín, Mezquititlán.</t>
  </si>
  <si>
    <t>Fomento Al Deporte</t>
  </si>
  <si>
    <t>La Feria Internacional del Libro Infantil y Juvenil Hidalgo (FILIJ), finaliza hoy viernes , luego de luego de acercar actividades de fomento a la lectura, literatura, teatro, música, y expresiones artísticas a niñas, niños, jóvenes, y familias de distintas regiones de Hidalgo. Con esta iniciativa, el gobierno del estado de Hidalgo, encabezado por Julio Menchaca Salazar, a través de la Secretaría de Cultura, reafirma su compromiso con la promoción de la lectura y el fortalecimiento de la vida cultural de la entidad.</t>
  </si>
  <si>
    <t>Menchaca Salazar regresa a Eloxochitlán con las Rutas para la Reconstrucción, AUDIO APOYO</t>
  </si>
  <si>
    <t>A casi 4 años, seguimos empeñados en la transformación real de Hidalgo: Julio Menchaca , AUDIO APOYO</t>
  </si>
  <si>
    <t>SEDECO dignifica el comercio local con el Programa de Fortalecimiento a Mercados Municipales</t>
  </si>
  <si>
    <t>Rehabilitación De Mercados</t>
  </si>
  <si>
    <t>Icathi y Geoparque Comarca Minera fortalecen alianza para impulsar el desarrollo regional de Hidalgo, AUDIO APOYO</t>
  </si>
  <si>
    <t>A casi 4 años, seguimos empeñados en la transformación real de Hidalgo: Julio Menchaca, AUDIO APOYO</t>
  </si>
  <si>
    <t>Miled 97.1 FM</t>
  </si>
  <si>
    <t>Línea en Alta Tensión</t>
  </si>
  <si>
    <t>Vía telefónica Ricardo Perea Gómez presidente municipal de Acaxochitlán con el tema Caravana cultural</t>
  </si>
  <si>
    <t>Caravanas Culturales</t>
  </si>
  <si>
    <t>María Antonieta Islas</t>
  </si>
  <si>
    <t>A través de los micrófonos del programa Enfoque Regional, el señor Anselmo Montiel, habitante de Tula de Allende, reportó que el paradero del transporte público en la colonia La Guitarra carece de iluminación vial. El usuario hizo un llamado urgente a las autoridades municipales para reparar las luminarias, señalando que la falta de luz representa un riesgo de seguridad para las personas que se desplazan a sus centros de trabajo desde las 06:00 horas.</t>
  </si>
  <si>
    <t>Luminarias</t>
  </si>
  <si>
    <t>La Secretaría de Cultura del Estado de Hidalgo fijó para este viernes 14 de agosto el cierre de la fase de preregistro para ingresar al ciclo agosto-diciembre 2026 en el Centro de las Artes, ofertando programas en artes visuales, danza, música, teatro y literatura. Los resultados de admisión se publicarán el 20 de agosto, manteniendo costos de 1,173 pesos para la modalidad escolarizada y 1,047 pesos para talleres libres, a la par de la continuidad del programa gratuito Música para el Pueblo.</t>
  </si>
  <si>
    <t>El secretario de Desarrollo Económico, Carlos Henkel Escorza, anunció la aplicación de una bolsa por 10 millones de pesos perteneciente al Programa Estatal para el Fortalecimiento de la Infraestructura de los Mercados Municipales 2026. La inversión se destinará a la rehabilitación de los centros de abasto en Actopan, Agua Blanca, Huichapan, Mixquiahuala, San Bartolo Tutotepec y Singuilucan, acumulando más de 19 millones de pesos ejercidos en 12 municipios al cierre del año.</t>
  </si>
  <si>
    <t>El Jardín de Niños Octavio Paz, ubicado en Mineral de la Reforma, y la Escuela Primaria Jaime Nunó, del municipio de Alfajayucan, obtuvieron el segundo y tercer lugar nacional, respectivamente, dentro del certamen Escuelas por la Tierra 2026. En la convocatoria promovida para impulsar la educación ambiental desde las aulas participaron más de 400 planteles educativos de la entidad durante el ciclo escolar 2025-2026.</t>
  </si>
  <si>
    <t>Personal de Protección Civil del municipio de Atitalaquia acudió al tramo carretero Jorobas-Tula, a la altura de los semáforos de Petroquímica, para atender un accidente vehicular provocado por un tractocamión que impactó por alcance a una camioneta particular. El conductor del vehículo menor resultó con lesiones leves y recibió atención médica en el sitio sin requerir traslado hospitalario.</t>
  </si>
  <si>
    <t>Fuerzas de seguridad estatales y federales ejecutaron un cateo en un predio de la colonia Los Reyes, en Tepeapulco, logrando el aseguramiento de 9,700 litros de combustible, 145 contenedores, 35 metros de manguera de alta presión y una cisterna artesanal con capacidad de 20 mil litros. En el despliegue operativo coordinado por la SSPH, la PGJEH, la Defensa y Guardia Nacional se incautaron además seis vehículos —dos con reporte de robo—, 140 dosis de marihuana y 33 de cristal.</t>
  </si>
  <si>
    <t>Cifras del Censo Nacional de Seguridad Pública del INEGI revelan que Hidalgo concentró el 15.9 % del total de hidrocarburo asegurado por la Guardia Nacional en el país durante 2025, alcanzando un volumen acumulado de 2,794,550 litros decomisados. La estadística representa un incremento del 297.9 % en comparación con los volúmenes recuperados por la corporación federal durante el ejercicio 2024.</t>
  </si>
  <si>
    <t>El titular de la Unidad de Planeación y Prospectiva, Miguel Ángel Tello Vargas, destacó que Hidalgo albergará uno de los cinco desarrollos habitacionales más importantes impulsados por el Gobierno Federal a través del Programa de Vivienda para el Bienestar. El plan contempla la entrega de créditos accesibles para familias con ingresos de hasta tres salarios mínimos sin seguridad social, acompañando la edificación de casas con infraestructura de transporte, comercios, escuelas y servicios básicos.</t>
  </si>
  <si>
    <t>La Asociación Mexicana de Mujeres Jefas de Empresa (AMGE) alista la toma de protesta formal de su delegación regional Tula-Tepeji programada para el 27 de agosto. La presidenta fundadora de la filial, Alma Delia Álvarez García, indicó que la representación enfocará su agenda en esquemas de capacitación, vinculación institucional y la consolidación de redes de negocios para emprendedoras locales. AUDIO DE APOYO</t>
  </si>
  <si>
    <t>Toma de protesta</t>
  </si>
  <si>
    <t>La agrupación ciudadana Unidos por Tepeji ingresó diversos oficios dirigidos a las autoridades del Ayuntamiento de Tepeji del Río para demandar atención prioritaria en materia de abastecimiento de agua potable, saneamiento del río, seguridad pública y ejecución de obra pública en barrios y colonias de la demarcación. AUDIO DE APOYO</t>
  </si>
  <si>
    <t>Exigencia de obra</t>
  </si>
  <si>
    <t>Autoridades de la Comisión Nacional del Agua y la alcaldía de Tepetitlán acordaron reforzar las brigadas del Plan Maestro de Recuperación de la Presa Endó para combatir la plaga del mosco Culex y la extracción de lirio acuático. La gerenta de Planificación Hídrica de la Conagua, Mayela Godínez Alarcón, y la presidenta municipal, Ana Elsa Castillo Sea, programaron además fumigaciones preventivas en los centros educativos antes del reinicio de clases. AUDIO DE APOYO</t>
  </si>
  <si>
    <t>En atención a los compromisos asumidos en las mesas de concertación dirigidas por el secretario de Gobierno, Guillermo Olivares Reyna, funcionarios estatales sostuvieron una reunión de evaluación en el municipio de Molango. La jornada de trabajo estuvo coordinada por la directora del Centro de Justicia para Mujeres de Hidalgo, Isabel Sepúlveda Montaño, con la finalidad de revisar el estatus de las solicitudes ciudadanas presentadas por la población.</t>
  </si>
  <si>
    <t>Ante el incremento exponencial en el tránsito de motocicletas de bajo cilindraje, monopatines y bicicletas eléctricas, la Comisión de Comunicaciones y Transportes del Congreso del Estado de Hidalgo analiza una reforma legal para constreñir a las agencias a entregar los vehículos de dos ruedas con placas de circulación expedidas. El diputado Juan Pablo Escalante Urban precisó que la iniciativa pretende inhibir conductas delictivas mediante un padrón vehicular actualizado. AUDIO DE APOYO</t>
  </si>
  <si>
    <t>A varios meses de que arranquen formalmente las precampañas correspondientes al proceso electoral local 2026-2027, el Instituto Estatal Electoral de Hidalgo registra 11 denuncias por la presunta entrega extemporánea de insumos como leche, huevo y despensas con fines proselitistas; 10 expedientes corresponden a Pachuca y uno a Tula de Allende. Ante este escenario, la consejera presidenta del organismo, María Magdalena González Escalona, exhortó a los actores políticos a ceñirse al marco normativo vigente.</t>
  </si>
  <si>
    <t>Actos anticipados de campaña</t>
  </si>
  <si>
    <t>A pesar de que la Comisión Nacional de Cultura Física y Deporte (Conade) descartó la posibilidad de otorgar la totalidad de la Olimpiada Nacional 2027 a una sola entidad dada la logística que demandan 51 disciplinas y 40 mil atletas, Hidalgo sostiene su postulación para recibir un bloque de disciplinas deportivas. La adjudicación final de las sedes compartidas se definirá mediante votación del pleno durante el próximo congreso del Sistema Nacional del Deporte (Sinade).</t>
  </si>
  <si>
    <t>Nacionales Conade</t>
  </si>
  <si>
    <t>El Administrador Desconcentrado de Recaudación en la entidad, Ismael Islas Lerma, dio a conocer que el Programa de Regularización Fiscal 2026 ha generado una recaudación por estímulo de casi 70 millones de pesos en Hidalgo, superando los 48 millones registrados al cierre del periodo anterior. El esquema otorga una condonación de hasta el 100 % en multas y recargos para adeudos del ejercicio 2024 o anteriores, manteniendo como fecha límite el 31 de octubre de 2026. AUDIO DE APOYO</t>
  </si>
  <si>
    <t>Regularización Fiscal</t>
  </si>
  <si>
    <t>Previo al vencimiento fijado para este sábado 15 de agosto, la Comisión Reguladora de Telecomunicaciones evaluará si concede una prórroga o procede al corte del servicio de hasta 8 millones de líneas celulares no identificadas en el país. Sobre la medida preventiva orientada a frenar la extorsión telefónica, la presidenta de México, Claudia Sheinbaum Pardo, subrayó que los registros de datos biométricos y personales quedan bajo resguardo exclusivo de las compañías operadoras. AUDIO DE APOYO. CSP</t>
  </si>
  <si>
    <t>Registro de celulares</t>
  </si>
  <si>
    <t>Durante su despliegue por Juárez Hidalgo, el gobernador Julio Menchaca Salazar constató la dispersión de programas sociales por más de 8.3 millones de pesos en favor de 836 personas, así como la entrega de apoyos del sector agropecuario por 1.5 millones de pesos a 260 productores. El mandatario detalló que la inversión estatal acumulada en la demarcación sobrepasa los 83 millones de pesos orientados a carreteras, redes de agua potable, drenaje y muros de contención. AUDIO DE APOYO</t>
  </si>
  <si>
    <t>Como parte de la estrategia Rutas de la Transformación para la Reconstrucción, el gobernador Julio Menchaca Salazar realizó una gira de trabajo por el municipio de Eloxochitlán para inspeccionar las obras de infraestructura dañadas por la vaguada monzónica de octubre de 2025. El gobierno federal destinará un techo presupuestal superior a 73 millones de pesos para la rehabilitación de tramos clave como Eloxochitlán-Molango. AUDIO DE APOYO</t>
  </si>
  <si>
    <t>Radioescucha reporta que en el IMSS de Mineral del Monte no les dan medicamento, dicen que la próxima semana; las filas son largas y las personas que atienden son muy déspotas.</t>
  </si>
  <si>
    <t>Abasto De Medicamentos</t>
  </si>
  <si>
    <t>Radioescucha reporta que en Fraccionamiento Colosio, pasa el camiñon de la basura pero no toca la campana</t>
  </si>
  <si>
    <t>Recolección De Basura</t>
  </si>
  <si>
    <t>Radioescucha reporta que los taxis, colectivas y camiones no hacen válida la credencial del adulto mayor y se molestan.</t>
  </si>
  <si>
    <t>Radioescucha reporta que Caasim dejo el drenaje sin hacerle nada,esto en la calle Canal esquina con Pirul en Santa Julia</t>
  </si>
  <si>
    <t>Radioescucha pide vigilancia en la calle Minero y Santiago, colonia Cruz de los Ciegos, ya que por la noche esta gente está tomando y drogándose en las calles.</t>
  </si>
  <si>
    <t>Exigen seguridad</t>
  </si>
  <si>
    <t>Radioescucha del Fraccionamiento Renacimiento: piden a las autoridades podar los árboles.</t>
  </si>
  <si>
    <t>Limpieza Urbana</t>
  </si>
  <si>
    <t>El Ayuntamiento de Pachuca retiró una estructura publicitaria en el bulevar Everardo Márquez, a la altura de la zona de El Trébol. Esta acción forma parte de un programa municipal para ordenar la imagen urbana, cumplir con la normatividad vigente y eliminar elementos obsoletos instalados desde años anteriores</t>
  </si>
  <si>
    <t>Menchaca Salazar regresa a Eloxochitlán con las Rutas para la Reconstrucción</t>
  </si>
  <si>
    <t>Un total de 336 microcréditos por 3 millones 360 mil pesos han sido otorgados a emprendedores de Tulancingo, de los cuales 210 apoyos fueron destinados a mujeres emprendedoras, informó Minerva Rosales Gayosso, titular de la Secretaría de Desarrollo Económico municipal, durante la conferencia de prensa Agenda Tulancingo. Detalló que los microcréditos forman parte de una estrategia en apoyo a micro, pequeñas y medianas empresas, para la cual el municipio gestiona una bolsa anual de 2 millones de pesos.</t>
  </si>
  <si>
    <t>Apoyo A Mipymes</t>
  </si>
  <si>
    <t>Durante la presentación de la banda La Arrolladora la noche del pasado miércoles 12 de agosto, en el Teatro del Pueblo de la Expo Feria Tulancingo, decenas de personas reportaron el robo de sus celulares, por los amantes de lo ajeno que aprovecharon la aglomeración en la zona de los conciertos. “Ayer me robaron mi celular y a muchas personas más. Nos pidieron un número de teléfono porque las autoridades iban a realizar un grupo de WhatsApp donde iban a subir los equipos que se estuvieran recuperando pero hasta el momento no ha habido respuesta”, señaló uno de los afectados. Al respecto, el gobierno municipal de Tulancingo refirió que, el Mando Coordinado mantiene un operativo permanente de prevención y vigilancia durante la Expo Feria Internacional Ganadera Tulancingo 2026, con presencia policial, recorridos operativos, monitoreo mediante drones y apoyo del C2 Móvil en las zonas de mayor concentración de visitantes. Como parte de estas acciones, se logró la detención y puesta a disposición de la Procuraduría General de Justicia del Estado de Hidalgo (PGJEH) a una mujer, presuntamente relacionada con el robo de teléfonos celulares registrado al interior del recinto ferial. Por lo anterior, se exhorta a las personas que hayan sido afectadas por la sustracción de sus dispositivos a acudir al módulo del Ministerio Público, para presentar la denuncia correspondiente y, en su caso, realizar las diligencias necesarias para la recuperación de sus pertenencias. Como parte de la estrategia preventiva, mediante drones y recorridos se emiten recomendaciones a los asistentes para mantener bajo resguardo celulares y objetos de valor, así como identificar las salidas de emergencia. Desde el inicio de la feria, el recinto cuenta además con Ministerio Público, juez calificador y médico legista, a fin de brindar atención oportuna ante faltas administrativas o hechos posiblemente constitutivos de delito.</t>
  </si>
  <si>
    <t>Infra</t>
  </si>
  <si>
    <t>La alcaldesa de Huichapan, Yeymi Solís manifestó su compromiso por la asignación de gobierno de Hidalgo 10 MDP para rehabilitar mercados en seis municipios, específicamente porque dicho programa beneficiará a su municipio manifestó su agradecimiento hacia el gobernador Julio Menchaca y al sectario de Desarrollo Económico, Carlos Henkel. (AUDIO YEYMI SOLIS).</t>
  </si>
  <si>
    <t>Con una inversión superior a los 32 millones de pesos, la presidenta municipal de Tizayuca, Gretchen Atilano, puso formalmente en operación el Centro de Coordinación para la Paz y la Seguridad (C4 CECOPAS), un nuevo espacio estratégico desde el cual el municipio coordinará, vigilará y analizará información para responder con mayor rapidez ante emergencias y hechos delictivos. Acompañada del titular de la Secretaría de Seguridad Pública de Hidalgo, Salvador Cruz Neri, la presidenta municipal explicó que el proyecto contempló una inversión inicial de 7.7 millones de pesos tan sólo en la construcción de las instalaciones, a lo que se sumaron 16.6 millones destinados a tecnología y fortalecimiento operativo. Con este C4, Tizayuca fortalece su red de videovigilancia mediante cámaras fijas, móviles y lectoras de placas, además de 105 postes inteligentes, con cobertura en 47 colonias. De acuerdo con la información municipal, esta infraestructura beneficia directamente al 61 por ciento de la población y permite mantener bajo vigilancia cerca del 50 por ciento del territorio de Tizayuca. El C4 CECOPAS opera las 24 horas del día, los siete días de la semana, con 19 operadoras y operadores distribuidos en tres turnos. A esta tecnología se suma una nueva Unidad de Análisis Criminal, integrada por cinco especialistas encargados de elaborar radiografías delictivas, fichas criminales y mapas de incidencia.</t>
  </si>
  <si>
    <t>Videovigilancia</t>
  </si>
  <si>
    <t>Asigna gobierno de Hidalgo 10 MDP para rehabilitar mercados en seis municipios.</t>
  </si>
  <si>
    <t>SSPH recupera 33 unidades robadas de autotransporte federal, tras desmantelar un predio clandestino entre Mineral de la Reforma y Epazoyucan</t>
  </si>
  <si>
    <t>Recuperación De Vehículos Robados</t>
  </si>
  <si>
    <t>SSPH detiene a ocho personas por presunta tala clandestina en Tenango de Doria</t>
  </si>
  <si>
    <t>Tala clandestina</t>
  </si>
  <si>
    <t>SSPH desarticula centro de almacenamiento ilegal de combustible en Tepeapulco</t>
  </si>
  <si>
    <t>Menchaca Salazar regresa a Eloxochitlán con las Rutas para la Reconstrucción. (AUDIO JMS)</t>
  </si>
  <si>
    <t>A casi 4 años, seguimos empeñados en la transformación real de Hidalgo: Julio Menchaca. (AUDIO JMS)</t>
  </si>
  <si>
    <t>La Presidencia Municipal de Mineral de la Reforma, a través de la Dirección de Protección Civil Municipal, alertó a propietarios de establecimientos comerciales ante posibles intentos de extorsión por parte de personas que se hacen pasar por gestores o supuestos representantes de la dependencia. De acuerdo con reportes recibidos, individuos se han presentado en negocios del municipio para solicitar dinero a cambio de realizar supuestas gestiones o agilizar trámites de Protección Civil, bajo el argumento falso de que los pagos son requeridos por el titular de la dependencia. Ante esta situación, Protección Civil Municipal aclaró que ningún servidor público está autorizado para solicitar pagos fuera de los procedimientos oficiales, ni para requerir depósitos o entregas de dinero a cuentas o personas ajenas a los mecanismos establecidos por el gobierno municipal. Asimismo, el presidente municipal, Eduardo Medécigo Rubio, instruyó a la Contraloría Municipal a realizar una investigación para determinar si algún funcionario local pudiera estar involucrado en estos actos.</t>
  </si>
  <si>
    <t>Prevención de Extorsión</t>
  </si>
  <si>
    <t>Como parte de las acciones para atender distintos aspectos del entorno urbano, se realizaron intervenciones en dos puntos de la ciudad. En el bulevar Everardo Márquez, a la altura de El Trébol, fue retirada una estructura publicitaria instalada desde 2016. El retiro forma parte de las acciones de ordenamiento y mejora de la imagen urbana, al eliminar elementos que durante años permanecieron en este importante acceso de Pachuca. Mientras que en el bulevar Ramón G. Bonfil se retiró un tope vehicular como parte de una intervención enfocada en mejorar la movilidad. En este punto será colocado un cruce semafórico inteligente para regular el paso de vehículos y favorecer una circulación más eficiente. Se trata de acciones con objetivos distintos, pero que contribuyen a mejorar las condiciones de la ciudad, una enfocada en recuperar el orden visual de la vía pública y otra en generar mejores condiciones para el tránsito vehicular.</t>
  </si>
  <si>
    <t>El día de mañana concluye el plazo de amonestaciones por invadir el carril exclusivo para el Transporte Metropolitano, a partir del próximo domingo 16 ya habrá multas, que van desde los dos mil 300 a poco más de tres mil 500 para que lo tome en consideración y que se respeten estos carriles del Transporte Metropolitano, comentó locutor Juan Carlos Santamaría.</t>
  </si>
  <si>
    <t>Concluye este viernes FILIJ Hidalgo tras acercar literatura, arte y cultura a distintas regiones del estado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</si>
</sst>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23" tableType="queryTable" totalsRowShown="0">
  <autoFilter ref="A1:M223"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23"/>
  <sheetViews>
    <sheetView tabSelected="1" topLeftCell="A189" workbookViewId="0">
      <selection activeCell="A224" sqref="A224"/>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5.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46247</v>
      </c>
      <c r="B2" s="1" t="str">
        <f ca="1">IF(Información1[[#This Row],[Fecha]]='Ajuste de fechas'!$A$2,"Día actual","Día anterior")</f>
        <v>Día anterior</v>
      </c>
      <c r="C2" t="s">
        <v>50</v>
      </c>
      <c r="D2" t="s">
        <v>55</v>
      </c>
      <c r="E2" t="s">
        <v>126</v>
      </c>
      <c r="F2" t="s">
        <v>19</v>
      </c>
      <c r="G2" t="s">
        <v>92</v>
      </c>
      <c r="H2" t="s">
        <v>11</v>
      </c>
      <c r="I2" t="s">
        <v>7</v>
      </c>
      <c r="J2" t="s">
        <v>43</v>
      </c>
      <c r="K2" t="s">
        <v>51</v>
      </c>
      <c r="L2" t="s">
        <v>40</v>
      </c>
      <c r="M2">
        <v>1</v>
      </c>
    </row>
    <row r="3" spans="1:13" x14ac:dyDescent="0.25">
      <c r="A3" s="2">
        <v>46247</v>
      </c>
      <c r="B3" s="1" t="str">
        <f ca="1">IF(Información1[[#This Row],[Fecha]]='Ajuste de fechas'!$A$2,"Día actual","Día anterior")</f>
        <v>Día anterior</v>
      </c>
      <c r="C3" t="s">
        <v>50</v>
      </c>
      <c r="D3" t="s">
        <v>55</v>
      </c>
      <c r="E3" t="s">
        <v>127</v>
      </c>
      <c r="F3" t="s">
        <v>19</v>
      </c>
      <c r="G3" t="s">
        <v>117</v>
      </c>
      <c r="H3" t="s">
        <v>11</v>
      </c>
      <c r="I3" t="s">
        <v>7</v>
      </c>
      <c r="J3" t="s">
        <v>43</v>
      </c>
      <c r="K3" t="s">
        <v>51</v>
      </c>
      <c r="L3" t="s">
        <v>40</v>
      </c>
      <c r="M3">
        <v>1</v>
      </c>
    </row>
    <row r="4" spans="1:13" x14ac:dyDescent="0.25">
      <c r="A4" s="2">
        <v>46247</v>
      </c>
      <c r="B4" s="1" t="str">
        <f ca="1">IF(Información1[[#This Row],[Fecha]]='Ajuste de fechas'!$A$2,"Día actual","Día anterior")</f>
        <v>Día anterior</v>
      </c>
      <c r="C4" t="s">
        <v>50</v>
      </c>
      <c r="D4" t="s">
        <v>55</v>
      </c>
      <c r="E4" t="s">
        <v>128</v>
      </c>
      <c r="F4" t="s">
        <v>93</v>
      </c>
      <c r="G4" t="s">
        <v>129</v>
      </c>
      <c r="H4" t="s">
        <v>11</v>
      </c>
      <c r="I4" t="s">
        <v>25</v>
      </c>
      <c r="J4" t="s">
        <v>39</v>
      </c>
      <c r="K4" t="s">
        <v>9</v>
      </c>
      <c r="L4" t="s">
        <v>41</v>
      </c>
      <c r="M4">
        <v>1</v>
      </c>
    </row>
    <row r="5" spans="1:13" x14ac:dyDescent="0.25">
      <c r="A5" s="2">
        <v>46247</v>
      </c>
      <c r="B5" s="1" t="str">
        <f ca="1">IF(Información1[[#This Row],[Fecha]]='Ajuste de fechas'!$A$2,"Día actual","Día anterior")</f>
        <v>Día anterior</v>
      </c>
      <c r="C5" t="s">
        <v>50</v>
      </c>
      <c r="D5" t="s">
        <v>55</v>
      </c>
      <c r="E5" t="s">
        <v>130</v>
      </c>
      <c r="F5" t="s">
        <v>21</v>
      </c>
      <c r="G5" t="s">
        <v>131</v>
      </c>
      <c r="H5" t="s">
        <v>11</v>
      </c>
      <c r="I5" t="s">
        <v>7</v>
      </c>
      <c r="J5" t="s">
        <v>39</v>
      </c>
      <c r="K5" t="s">
        <v>51</v>
      </c>
      <c r="L5" t="s">
        <v>42</v>
      </c>
      <c r="M5">
        <v>1</v>
      </c>
    </row>
    <row r="6" spans="1:13" x14ac:dyDescent="0.25">
      <c r="A6" s="2">
        <v>46247</v>
      </c>
      <c r="B6" s="1" t="str">
        <f ca="1">IF(Información1[[#This Row],[Fecha]]='Ajuste de fechas'!$A$2,"Día actual","Día anterior")</f>
        <v>Día anterior</v>
      </c>
      <c r="C6" t="s">
        <v>62</v>
      </c>
      <c r="D6" t="s">
        <v>63</v>
      </c>
      <c r="E6" t="s">
        <v>132</v>
      </c>
      <c r="F6" t="s">
        <v>19</v>
      </c>
      <c r="G6" t="s">
        <v>133</v>
      </c>
      <c r="H6" t="s">
        <v>11</v>
      </c>
      <c r="I6" t="s">
        <v>7</v>
      </c>
      <c r="J6" t="s">
        <v>43</v>
      </c>
      <c r="K6" t="s">
        <v>64</v>
      </c>
      <c r="L6" t="s">
        <v>40</v>
      </c>
      <c r="M6">
        <v>1</v>
      </c>
    </row>
    <row r="7" spans="1:13" x14ac:dyDescent="0.25">
      <c r="A7" s="2">
        <v>46247</v>
      </c>
      <c r="B7" s="1" t="str">
        <f ca="1">IF(Información1[[#This Row],[Fecha]]='Ajuste de fechas'!$A$2,"Día actual","Día anterior")</f>
        <v>Día anterior</v>
      </c>
      <c r="C7" t="s">
        <v>62</v>
      </c>
      <c r="D7" t="s">
        <v>63</v>
      </c>
      <c r="E7" t="s">
        <v>134</v>
      </c>
      <c r="F7" t="s">
        <v>54</v>
      </c>
      <c r="G7" t="s">
        <v>135</v>
      </c>
      <c r="H7" t="s">
        <v>11</v>
      </c>
      <c r="I7" t="s">
        <v>7</v>
      </c>
      <c r="J7" t="s">
        <v>24</v>
      </c>
      <c r="K7" t="s">
        <v>64</v>
      </c>
      <c r="L7" t="s">
        <v>40</v>
      </c>
      <c r="M7">
        <v>1</v>
      </c>
    </row>
    <row r="8" spans="1:13" x14ac:dyDescent="0.25">
      <c r="A8" s="2">
        <v>46247</v>
      </c>
      <c r="B8" s="1" t="str">
        <f ca="1">IF(Información1[[#This Row],[Fecha]]='Ajuste de fechas'!$A$2,"Día actual","Día anterior")</f>
        <v>Día anterior</v>
      </c>
      <c r="C8" t="s">
        <v>62</v>
      </c>
      <c r="D8" t="s">
        <v>63</v>
      </c>
      <c r="E8" t="s">
        <v>136</v>
      </c>
      <c r="F8" t="s">
        <v>31</v>
      </c>
      <c r="G8" t="s">
        <v>137</v>
      </c>
      <c r="H8" t="s">
        <v>11</v>
      </c>
      <c r="I8" t="s">
        <v>7</v>
      </c>
      <c r="J8" t="s">
        <v>39</v>
      </c>
      <c r="K8" t="s">
        <v>64</v>
      </c>
      <c r="L8" t="s">
        <v>42</v>
      </c>
      <c r="M8">
        <v>1</v>
      </c>
    </row>
    <row r="9" spans="1:13" x14ac:dyDescent="0.25">
      <c r="A9" s="2">
        <v>46247</v>
      </c>
      <c r="B9" s="1" t="str">
        <f ca="1">IF(Información1[[#This Row],[Fecha]]='Ajuste de fechas'!$A$2,"Día actual","Día anterior")</f>
        <v>Día anterior</v>
      </c>
      <c r="C9" t="s">
        <v>62</v>
      </c>
      <c r="D9" t="s">
        <v>63</v>
      </c>
      <c r="E9" t="s">
        <v>138</v>
      </c>
      <c r="F9" t="s">
        <v>23</v>
      </c>
      <c r="G9" t="s">
        <v>83</v>
      </c>
      <c r="H9" t="s">
        <v>11</v>
      </c>
      <c r="I9" t="s">
        <v>7</v>
      </c>
      <c r="J9" t="s">
        <v>39</v>
      </c>
      <c r="K9" t="s">
        <v>64</v>
      </c>
      <c r="L9" t="s">
        <v>42</v>
      </c>
      <c r="M9">
        <v>1</v>
      </c>
    </row>
    <row r="10" spans="1:13" x14ac:dyDescent="0.25">
      <c r="A10" s="2">
        <v>46247</v>
      </c>
      <c r="B10" s="1" t="str">
        <f ca="1">IF(Información1[[#This Row],[Fecha]]='Ajuste de fechas'!$A$2,"Día actual","Día anterior")</f>
        <v>Día anterior</v>
      </c>
      <c r="C10" t="s">
        <v>62</v>
      </c>
      <c r="D10" t="s">
        <v>63</v>
      </c>
      <c r="E10" t="s">
        <v>139</v>
      </c>
      <c r="F10" t="s">
        <v>77</v>
      </c>
      <c r="G10" t="s">
        <v>78</v>
      </c>
      <c r="H10" t="s">
        <v>11</v>
      </c>
      <c r="I10" t="s">
        <v>7</v>
      </c>
      <c r="J10" t="s">
        <v>39</v>
      </c>
      <c r="K10" t="s">
        <v>64</v>
      </c>
      <c r="L10" t="s">
        <v>42</v>
      </c>
      <c r="M10">
        <v>1</v>
      </c>
    </row>
    <row r="11" spans="1:13" x14ac:dyDescent="0.25">
      <c r="A11" s="2">
        <v>46247</v>
      </c>
      <c r="B11" s="1" t="str">
        <f ca="1">IF(Información1[[#This Row],[Fecha]]='Ajuste de fechas'!$A$2,"Día actual","Día anterior")</f>
        <v>Día anterior</v>
      </c>
      <c r="C11" t="s">
        <v>62</v>
      </c>
      <c r="D11" t="s">
        <v>63</v>
      </c>
      <c r="E11" t="s">
        <v>140</v>
      </c>
      <c r="F11" t="s">
        <v>85</v>
      </c>
      <c r="G11" t="s">
        <v>141</v>
      </c>
      <c r="H11" t="s">
        <v>11</v>
      </c>
      <c r="I11" t="s">
        <v>7</v>
      </c>
      <c r="J11" t="s">
        <v>39</v>
      </c>
      <c r="K11" t="s">
        <v>64</v>
      </c>
      <c r="L11" t="s">
        <v>42</v>
      </c>
      <c r="M11">
        <v>1</v>
      </c>
    </row>
    <row r="12" spans="1:13" x14ac:dyDescent="0.25">
      <c r="A12" s="2">
        <v>46247</v>
      </c>
      <c r="B12" s="1" t="str">
        <f ca="1">IF(Información1[[#This Row],[Fecha]]='Ajuste de fechas'!$A$2,"Día actual","Día anterior")</f>
        <v>Día anterior</v>
      </c>
      <c r="C12" t="s">
        <v>62</v>
      </c>
      <c r="D12" t="s">
        <v>63</v>
      </c>
      <c r="E12" t="s">
        <v>142</v>
      </c>
      <c r="F12" t="s">
        <v>26</v>
      </c>
      <c r="G12" t="s">
        <v>143</v>
      </c>
      <c r="H12" t="s">
        <v>11</v>
      </c>
      <c r="I12" t="s">
        <v>7</v>
      </c>
      <c r="J12" t="s">
        <v>39</v>
      </c>
      <c r="K12" t="s">
        <v>64</v>
      </c>
      <c r="L12" t="s">
        <v>42</v>
      </c>
      <c r="M12">
        <v>1</v>
      </c>
    </row>
    <row r="13" spans="1:13" x14ac:dyDescent="0.25">
      <c r="A13" s="2">
        <v>46247</v>
      </c>
      <c r="B13" s="1" t="str">
        <f ca="1">IF(Información1[[#This Row],[Fecha]]='Ajuste de fechas'!$A$2,"Día actual","Día anterior")</f>
        <v>Día anterior</v>
      </c>
      <c r="C13" t="s">
        <v>50</v>
      </c>
      <c r="D13" t="s">
        <v>52</v>
      </c>
      <c r="E13" t="s">
        <v>144</v>
      </c>
      <c r="F13" t="s">
        <v>24</v>
      </c>
      <c r="G13" t="s">
        <v>123</v>
      </c>
      <c r="H13" t="s">
        <v>11</v>
      </c>
      <c r="I13" t="s">
        <v>7</v>
      </c>
      <c r="J13" t="s">
        <v>24</v>
      </c>
      <c r="K13" t="s">
        <v>51</v>
      </c>
      <c r="L13" t="s">
        <v>40</v>
      </c>
      <c r="M13">
        <v>1</v>
      </c>
    </row>
    <row r="14" spans="1:13" x14ac:dyDescent="0.25">
      <c r="A14" s="2">
        <v>46247</v>
      </c>
      <c r="B14" s="1" t="str">
        <f ca="1">IF(Información1[[#This Row],[Fecha]]='Ajuste de fechas'!$A$2,"Día actual","Día anterior")</f>
        <v>Día anterior</v>
      </c>
      <c r="C14" t="s">
        <v>50</v>
      </c>
      <c r="D14" t="s">
        <v>52</v>
      </c>
      <c r="E14" t="s">
        <v>145</v>
      </c>
      <c r="F14" t="s">
        <v>24</v>
      </c>
      <c r="G14" t="s">
        <v>146</v>
      </c>
      <c r="H14" t="s">
        <v>11</v>
      </c>
      <c r="I14" t="s">
        <v>7</v>
      </c>
      <c r="J14" t="s">
        <v>24</v>
      </c>
      <c r="K14" t="s">
        <v>51</v>
      </c>
      <c r="L14" t="s">
        <v>40</v>
      </c>
      <c r="M14">
        <v>1</v>
      </c>
    </row>
    <row r="15" spans="1:13" x14ac:dyDescent="0.25">
      <c r="A15" s="2">
        <v>46247</v>
      </c>
      <c r="B15" s="1" t="str">
        <f ca="1">IF(Información1[[#This Row],[Fecha]]='Ajuste de fechas'!$A$2,"Día actual","Día anterior")</f>
        <v>Día anterior</v>
      </c>
      <c r="C15" t="s">
        <v>50</v>
      </c>
      <c r="D15" t="s">
        <v>52</v>
      </c>
      <c r="E15" t="s">
        <v>147</v>
      </c>
      <c r="F15" t="s">
        <v>19</v>
      </c>
      <c r="G15" t="s">
        <v>125</v>
      </c>
      <c r="H15" t="s">
        <v>11</v>
      </c>
      <c r="I15" t="s">
        <v>7</v>
      </c>
      <c r="J15" t="s">
        <v>43</v>
      </c>
      <c r="K15" t="s">
        <v>51</v>
      </c>
      <c r="L15" t="s">
        <v>40</v>
      </c>
      <c r="M15">
        <v>1</v>
      </c>
    </row>
    <row r="16" spans="1:13" x14ac:dyDescent="0.25">
      <c r="A16" s="2">
        <v>46247</v>
      </c>
      <c r="B16" s="1" t="str">
        <f ca="1">IF(Información1[[#This Row],[Fecha]]='Ajuste de fechas'!$A$2,"Día actual","Día anterior")</f>
        <v>Día anterior</v>
      </c>
      <c r="C16" t="s">
        <v>50</v>
      </c>
      <c r="D16" t="s">
        <v>52</v>
      </c>
      <c r="E16" t="s">
        <v>148</v>
      </c>
      <c r="F16" t="s">
        <v>19</v>
      </c>
      <c r="G16" t="s">
        <v>95</v>
      </c>
      <c r="H16" t="s">
        <v>11</v>
      </c>
      <c r="I16" t="s">
        <v>7</v>
      </c>
      <c r="J16" t="s">
        <v>43</v>
      </c>
      <c r="K16" t="s">
        <v>51</v>
      </c>
      <c r="L16" t="s">
        <v>40</v>
      </c>
      <c r="M16">
        <v>1</v>
      </c>
    </row>
    <row r="17" spans="1:13" x14ac:dyDescent="0.25">
      <c r="A17" s="2">
        <v>46247</v>
      </c>
      <c r="B17" s="1" t="str">
        <f ca="1">IF(Información1[[#This Row],[Fecha]]='Ajuste de fechas'!$A$2,"Día actual","Día anterior")</f>
        <v>Día anterior</v>
      </c>
      <c r="C17" t="s">
        <v>50</v>
      </c>
      <c r="D17" t="s">
        <v>52</v>
      </c>
      <c r="E17" t="s">
        <v>149</v>
      </c>
      <c r="F17" t="s">
        <v>19</v>
      </c>
      <c r="G17" t="s">
        <v>150</v>
      </c>
      <c r="H17" t="s">
        <v>11</v>
      </c>
      <c r="I17" t="s">
        <v>25</v>
      </c>
      <c r="J17" t="s">
        <v>43</v>
      </c>
      <c r="K17" t="s">
        <v>51</v>
      </c>
      <c r="L17" t="s">
        <v>40</v>
      </c>
      <c r="M17">
        <v>1</v>
      </c>
    </row>
    <row r="18" spans="1:13" x14ac:dyDescent="0.25">
      <c r="A18" s="2">
        <v>46247</v>
      </c>
      <c r="B18" s="1" t="str">
        <f ca="1">IF(Información1[[#This Row],[Fecha]]='Ajuste de fechas'!$A$2,"Día actual","Día anterior")</f>
        <v>Día anterior</v>
      </c>
      <c r="C18" t="s">
        <v>50</v>
      </c>
      <c r="D18" t="s">
        <v>52</v>
      </c>
      <c r="E18" t="s">
        <v>151</v>
      </c>
      <c r="F18" t="s">
        <v>21</v>
      </c>
      <c r="G18" t="s">
        <v>124</v>
      </c>
      <c r="H18" t="s">
        <v>11</v>
      </c>
      <c r="I18" t="s">
        <v>25</v>
      </c>
      <c r="J18" t="s">
        <v>39</v>
      </c>
      <c r="K18" t="s">
        <v>9</v>
      </c>
      <c r="L18" t="s">
        <v>41</v>
      </c>
      <c r="M18">
        <v>1</v>
      </c>
    </row>
    <row r="19" spans="1:13" x14ac:dyDescent="0.25">
      <c r="A19" s="2">
        <v>46247</v>
      </c>
      <c r="B19" s="1" t="str">
        <f ca="1">IF(Información1[[#This Row],[Fecha]]='Ajuste de fechas'!$A$2,"Día actual","Día anterior")</f>
        <v>Día anterior</v>
      </c>
      <c r="C19" t="s">
        <v>50</v>
      </c>
      <c r="D19" t="s">
        <v>52</v>
      </c>
      <c r="E19" t="s">
        <v>140</v>
      </c>
      <c r="F19" t="s">
        <v>85</v>
      </c>
      <c r="G19" t="s">
        <v>141</v>
      </c>
      <c r="H19" t="s">
        <v>11</v>
      </c>
      <c r="I19" t="s">
        <v>7</v>
      </c>
      <c r="J19" t="s">
        <v>39</v>
      </c>
      <c r="K19" t="s">
        <v>49</v>
      </c>
      <c r="L19" t="s">
        <v>42</v>
      </c>
      <c r="M19">
        <v>1</v>
      </c>
    </row>
    <row r="20" spans="1:13" x14ac:dyDescent="0.25">
      <c r="A20" s="2">
        <v>46247</v>
      </c>
      <c r="B20" s="1" t="str">
        <f ca="1">IF(Información1[[#This Row],[Fecha]]='Ajuste de fechas'!$A$2,"Día actual","Día anterior")</f>
        <v>Día anterior</v>
      </c>
      <c r="C20" t="s">
        <v>50</v>
      </c>
      <c r="D20" t="s">
        <v>52</v>
      </c>
      <c r="E20" t="s">
        <v>152</v>
      </c>
      <c r="F20" t="s">
        <v>88</v>
      </c>
      <c r="G20" t="s">
        <v>153</v>
      </c>
      <c r="H20" t="s">
        <v>11</v>
      </c>
      <c r="I20" t="s">
        <v>7</v>
      </c>
      <c r="J20" t="s">
        <v>39</v>
      </c>
      <c r="K20" t="s">
        <v>49</v>
      </c>
      <c r="L20" t="s">
        <v>42</v>
      </c>
      <c r="M20">
        <v>1</v>
      </c>
    </row>
    <row r="21" spans="1:13" x14ac:dyDescent="0.25">
      <c r="A21" s="2">
        <v>46247</v>
      </c>
      <c r="B21" s="1" t="str">
        <f ca="1">IF(Información1[[#This Row],[Fecha]]='Ajuste de fechas'!$A$2,"Día actual","Día anterior")</f>
        <v>Día anterior</v>
      </c>
      <c r="C21" t="s">
        <v>50</v>
      </c>
      <c r="D21" t="s">
        <v>52</v>
      </c>
      <c r="E21" t="s">
        <v>154</v>
      </c>
      <c r="F21" t="s">
        <v>87</v>
      </c>
      <c r="G21" t="s">
        <v>155</v>
      </c>
      <c r="H21" t="s">
        <v>11</v>
      </c>
      <c r="I21" t="s">
        <v>7</v>
      </c>
      <c r="J21" t="s">
        <v>39</v>
      </c>
      <c r="K21" t="s">
        <v>49</v>
      </c>
      <c r="L21" t="s">
        <v>42</v>
      </c>
      <c r="M21">
        <v>1</v>
      </c>
    </row>
    <row r="22" spans="1:13" x14ac:dyDescent="0.25">
      <c r="A22" s="2">
        <v>46247</v>
      </c>
      <c r="B22" s="1" t="str">
        <f ca="1">IF(Información1[[#This Row],[Fecha]]='Ajuste de fechas'!$A$2,"Día actual","Día anterior")</f>
        <v>Día anterior</v>
      </c>
      <c r="C22" t="s">
        <v>50</v>
      </c>
      <c r="D22" t="s">
        <v>52</v>
      </c>
      <c r="E22" t="s">
        <v>139</v>
      </c>
      <c r="F22" t="s">
        <v>77</v>
      </c>
      <c r="G22" t="s">
        <v>78</v>
      </c>
      <c r="H22" t="s">
        <v>11</v>
      </c>
      <c r="I22" t="s">
        <v>7</v>
      </c>
      <c r="J22" t="s">
        <v>39</v>
      </c>
      <c r="K22" t="s">
        <v>49</v>
      </c>
      <c r="L22" t="s">
        <v>42</v>
      </c>
      <c r="M22">
        <v>1</v>
      </c>
    </row>
    <row r="23" spans="1:13" x14ac:dyDescent="0.25">
      <c r="A23" s="2">
        <v>46247</v>
      </c>
      <c r="B23" s="1" t="str">
        <f ca="1">IF(Información1[[#This Row],[Fecha]]='Ajuste de fechas'!$A$2,"Día actual","Día anterior")</f>
        <v>Día anterior</v>
      </c>
      <c r="C23" t="s">
        <v>50</v>
      </c>
      <c r="D23" t="s">
        <v>52</v>
      </c>
      <c r="E23" t="s">
        <v>136</v>
      </c>
      <c r="F23" t="s">
        <v>31</v>
      </c>
      <c r="G23" t="s">
        <v>137</v>
      </c>
      <c r="H23" t="s">
        <v>11</v>
      </c>
      <c r="I23" t="s">
        <v>7</v>
      </c>
      <c r="J23" t="s">
        <v>39</v>
      </c>
      <c r="K23" t="s">
        <v>49</v>
      </c>
      <c r="L23" t="s">
        <v>42</v>
      </c>
      <c r="M23">
        <v>1</v>
      </c>
    </row>
    <row r="24" spans="1:13" x14ac:dyDescent="0.25">
      <c r="A24" s="2">
        <v>46247</v>
      </c>
      <c r="B24" s="1" t="str">
        <f ca="1">IF(Información1[[#This Row],[Fecha]]='Ajuste de fechas'!$A$2,"Día actual","Día anterior")</f>
        <v>Día anterior</v>
      </c>
      <c r="C24" t="s">
        <v>50</v>
      </c>
      <c r="D24" t="s">
        <v>52</v>
      </c>
      <c r="E24" t="s">
        <v>156</v>
      </c>
      <c r="F24" t="s">
        <v>26</v>
      </c>
      <c r="G24" t="s">
        <v>143</v>
      </c>
      <c r="H24" t="s">
        <v>11</v>
      </c>
      <c r="I24" t="s">
        <v>7</v>
      </c>
      <c r="J24" t="s">
        <v>39</v>
      </c>
      <c r="K24" t="s">
        <v>49</v>
      </c>
      <c r="L24" t="s">
        <v>42</v>
      </c>
      <c r="M24">
        <v>1</v>
      </c>
    </row>
    <row r="25" spans="1:13" x14ac:dyDescent="0.25">
      <c r="A25" s="2">
        <v>46247</v>
      </c>
      <c r="B25" s="1" t="str">
        <f ca="1">IF(Información1[[#This Row],[Fecha]]='Ajuste de fechas'!$A$2,"Día actual","Día anterior")</f>
        <v>Día anterior</v>
      </c>
      <c r="C25" t="s">
        <v>50</v>
      </c>
      <c r="D25" t="s">
        <v>52</v>
      </c>
      <c r="E25" t="s">
        <v>138</v>
      </c>
      <c r="F25" t="s">
        <v>23</v>
      </c>
      <c r="G25" t="s">
        <v>83</v>
      </c>
      <c r="H25" t="s">
        <v>11</v>
      </c>
      <c r="I25" t="s">
        <v>7</v>
      </c>
      <c r="J25" t="s">
        <v>39</v>
      </c>
      <c r="K25" t="s">
        <v>49</v>
      </c>
      <c r="L25" t="s">
        <v>42</v>
      </c>
      <c r="M25">
        <v>1</v>
      </c>
    </row>
    <row r="26" spans="1:13" x14ac:dyDescent="0.25">
      <c r="A26" s="2">
        <v>46247</v>
      </c>
      <c r="B26" s="1" t="str">
        <f ca="1">IF(Información1[[#This Row],[Fecha]]='Ajuste de fechas'!$A$2,"Día actual","Día anterior")</f>
        <v>Día anterior</v>
      </c>
      <c r="C26" t="s">
        <v>50</v>
      </c>
      <c r="D26" t="s">
        <v>52</v>
      </c>
      <c r="E26" t="s">
        <v>157</v>
      </c>
      <c r="F26" t="s">
        <v>48</v>
      </c>
      <c r="G26" t="s">
        <v>90</v>
      </c>
      <c r="H26" t="s">
        <v>11</v>
      </c>
      <c r="I26" t="s">
        <v>7</v>
      </c>
      <c r="J26" t="s">
        <v>39</v>
      </c>
      <c r="K26" t="s">
        <v>49</v>
      </c>
      <c r="L26" t="s">
        <v>42</v>
      </c>
      <c r="M26">
        <v>1</v>
      </c>
    </row>
    <row r="27" spans="1:13" x14ac:dyDescent="0.25">
      <c r="A27" s="2">
        <v>46247</v>
      </c>
      <c r="B27" s="1" t="str">
        <f ca="1">IF(Información1[[#This Row],[Fecha]]='Ajuste de fechas'!$A$2,"Día actual","Día anterior")</f>
        <v>Día anterior</v>
      </c>
      <c r="C27" t="s">
        <v>28</v>
      </c>
      <c r="D27" t="s">
        <v>72</v>
      </c>
      <c r="E27" t="s">
        <v>158</v>
      </c>
      <c r="F27" t="s">
        <v>87</v>
      </c>
      <c r="G27" t="s">
        <v>122</v>
      </c>
      <c r="H27" t="s">
        <v>11</v>
      </c>
      <c r="I27" t="s">
        <v>7</v>
      </c>
      <c r="J27" t="s">
        <v>39</v>
      </c>
      <c r="K27" t="s">
        <v>73</v>
      </c>
      <c r="L27" t="s">
        <v>40</v>
      </c>
      <c r="M27">
        <v>1</v>
      </c>
    </row>
    <row r="28" spans="1:13" x14ac:dyDescent="0.25">
      <c r="A28" s="2">
        <v>46247</v>
      </c>
      <c r="B28" s="1" t="str">
        <f ca="1">IF(Información1[[#This Row],[Fecha]]='Ajuste de fechas'!$A$2,"Día actual","Día anterior")</f>
        <v>Día anterior</v>
      </c>
      <c r="C28" t="s">
        <v>28</v>
      </c>
      <c r="D28" t="s">
        <v>72</v>
      </c>
      <c r="E28" t="s">
        <v>159</v>
      </c>
      <c r="F28" t="s">
        <v>91</v>
      </c>
      <c r="G28" t="s">
        <v>160</v>
      </c>
      <c r="H28" t="s">
        <v>11</v>
      </c>
      <c r="I28" t="s">
        <v>7</v>
      </c>
      <c r="J28" t="s">
        <v>39</v>
      </c>
      <c r="K28" t="s">
        <v>73</v>
      </c>
      <c r="L28" t="s">
        <v>40</v>
      </c>
      <c r="M28">
        <v>1</v>
      </c>
    </row>
    <row r="29" spans="1:13" x14ac:dyDescent="0.25">
      <c r="A29" s="2">
        <v>46247</v>
      </c>
      <c r="B29" s="1" t="str">
        <f ca="1">IF(Información1[[#This Row],[Fecha]]='Ajuste de fechas'!$A$2,"Día actual","Día anterior")</f>
        <v>Día anterior</v>
      </c>
      <c r="C29" t="s">
        <v>28</v>
      </c>
      <c r="D29" t="s">
        <v>72</v>
      </c>
      <c r="E29" t="s">
        <v>161</v>
      </c>
      <c r="F29" t="s">
        <v>91</v>
      </c>
      <c r="G29" t="s">
        <v>162</v>
      </c>
      <c r="H29" t="s">
        <v>11</v>
      </c>
      <c r="I29" t="s">
        <v>7</v>
      </c>
      <c r="J29" t="s">
        <v>39</v>
      </c>
      <c r="K29" t="s">
        <v>73</v>
      </c>
      <c r="L29" t="s">
        <v>40</v>
      </c>
      <c r="M29">
        <v>1</v>
      </c>
    </row>
    <row r="30" spans="1:13" x14ac:dyDescent="0.25">
      <c r="A30" s="2">
        <v>46247</v>
      </c>
      <c r="B30" s="1" t="str">
        <f ca="1">IF(Información1[[#This Row],[Fecha]]='Ajuste de fechas'!$A$2,"Día actual","Día anterior")</f>
        <v>Día anterior</v>
      </c>
      <c r="C30" t="s">
        <v>28</v>
      </c>
      <c r="D30" t="s">
        <v>72</v>
      </c>
      <c r="E30" t="s">
        <v>163</v>
      </c>
      <c r="F30" t="s">
        <v>19</v>
      </c>
      <c r="G30" t="s">
        <v>164</v>
      </c>
      <c r="H30" t="s">
        <v>11</v>
      </c>
      <c r="I30" t="s">
        <v>7</v>
      </c>
      <c r="J30" t="s">
        <v>43</v>
      </c>
      <c r="K30" t="s">
        <v>73</v>
      </c>
      <c r="L30" t="s">
        <v>40</v>
      </c>
      <c r="M30">
        <v>1</v>
      </c>
    </row>
    <row r="31" spans="1:13" x14ac:dyDescent="0.25">
      <c r="A31" s="2">
        <v>46247</v>
      </c>
      <c r="B31" s="1" t="str">
        <f ca="1">IF(Información1[[#This Row],[Fecha]]='Ajuste de fechas'!$A$2,"Día actual","Día anterior")</f>
        <v>Día anterior</v>
      </c>
      <c r="C31" t="s">
        <v>28</v>
      </c>
      <c r="D31" t="s">
        <v>72</v>
      </c>
      <c r="E31" t="s">
        <v>165</v>
      </c>
      <c r="F31" t="s">
        <v>19</v>
      </c>
      <c r="G31" t="s">
        <v>166</v>
      </c>
      <c r="H31" t="s">
        <v>11</v>
      </c>
      <c r="I31" t="s">
        <v>7</v>
      </c>
      <c r="J31" t="s">
        <v>43</v>
      </c>
      <c r="K31" t="s">
        <v>73</v>
      </c>
      <c r="L31" t="s">
        <v>40</v>
      </c>
      <c r="M31">
        <v>1</v>
      </c>
    </row>
    <row r="32" spans="1:13" x14ac:dyDescent="0.25">
      <c r="A32" s="2">
        <v>46247</v>
      </c>
      <c r="B32" s="1" t="str">
        <f ca="1">IF(Información1[[#This Row],[Fecha]]='Ajuste de fechas'!$A$2,"Día actual","Día anterior")</f>
        <v>Día anterior</v>
      </c>
      <c r="C32" t="s">
        <v>28</v>
      </c>
      <c r="D32" t="s">
        <v>72</v>
      </c>
      <c r="E32" t="s">
        <v>167</v>
      </c>
      <c r="F32" t="s">
        <v>48</v>
      </c>
      <c r="G32" t="s">
        <v>90</v>
      </c>
      <c r="H32" t="s">
        <v>11</v>
      </c>
      <c r="I32" t="s">
        <v>7</v>
      </c>
      <c r="J32" t="s">
        <v>39</v>
      </c>
      <c r="K32" t="s">
        <v>73</v>
      </c>
      <c r="L32" t="s">
        <v>40</v>
      </c>
      <c r="M32">
        <v>1</v>
      </c>
    </row>
    <row r="33" spans="1:13" x14ac:dyDescent="0.25">
      <c r="A33" s="2">
        <v>46247</v>
      </c>
      <c r="B33" s="1" t="str">
        <f ca="1">IF(Información1[[#This Row],[Fecha]]='Ajuste de fechas'!$A$2,"Día actual","Día anterior")</f>
        <v>Día anterior</v>
      </c>
      <c r="C33" t="s">
        <v>28</v>
      </c>
      <c r="D33" t="s">
        <v>72</v>
      </c>
      <c r="E33" t="s">
        <v>168</v>
      </c>
      <c r="F33" t="s">
        <v>23</v>
      </c>
      <c r="G33" t="s">
        <v>83</v>
      </c>
      <c r="H33" t="s">
        <v>11</v>
      </c>
      <c r="I33" t="s">
        <v>7</v>
      </c>
      <c r="J33" t="s">
        <v>39</v>
      </c>
      <c r="K33" t="s">
        <v>73</v>
      </c>
      <c r="L33" t="s">
        <v>40</v>
      </c>
      <c r="M33">
        <v>1</v>
      </c>
    </row>
    <row r="34" spans="1:13" x14ac:dyDescent="0.25">
      <c r="A34" s="2">
        <v>46247</v>
      </c>
      <c r="B34" s="1" t="str">
        <f ca="1">IF(Información1[[#This Row],[Fecha]]='Ajuste de fechas'!$A$2,"Día actual","Día anterior")</f>
        <v>Día anterior</v>
      </c>
      <c r="C34" t="s">
        <v>28</v>
      </c>
      <c r="D34" t="s">
        <v>72</v>
      </c>
      <c r="E34" t="s">
        <v>169</v>
      </c>
      <c r="F34" t="s">
        <v>48</v>
      </c>
      <c r="G34" t="s">
        <v>102</v>
      </c>
      <c r="H34" t="s">
        <v>11</v>
      </c>
      <c r="I34" t="s">
        <v>7</v>
      </c>
      <c r="J34" t="s">
        <v>39</v>
      </c>
      <c r="K34" t="s">
        <v>73</v>
      </c>
      <c r="L34" t="s">
        <v>40</v>
      </c>
      <c r="M34">
        <v>1</v>
      </c>
    </row>
    <row r="35" spans="1:13" x14ac:dyDescent="0.25">
      <c r="A35" s="2">
        <v>46247</v>
      </c>
      <c r="B35" s="1" t="str">
        <f ca="1">IF(Información1[[#This Row],[Fecha]]='Ajuste de fechas'!$A$2,"Día actual","Día anterior")</f>
        <v>Día anterior</v>
      </c>
      <c r="C35" t="s">
        <v>28</v>
      </c>
      <c r="D35" t="s">
        <v>72</v>
      </c>
      <c r="E35" t="s">
        <v>170</v>
      </c>
      <c r="F35" t="s">
        <v>48</v>
      </c>
      <c r="G35" t="s">
        <v>97</v>
      </c>
      <c r="H35" t="s">
        <v>11</v>
      </c>
      <c r="I35" t="s">
        <v>7</v>
      </c>
      <c r="J35" t="s">
        <v>39</v>
      </c>
      <c r="K35" t="s">
        <v>73</v>
      </c>
      <c r="L35" t="s">
        <v>40</v>
      </c>
      <c r="M35">
        <v>1</v>
      </c>
    </row>
    <row r="36" spans="1:13" x14ac:dyDescent="0.25">
      <c r="A36" s="2">
        <v>46247</v>
      </c>
      <c r="B36" s="1" t="str">
        <f ca="1">IF(Información1[[#This Row],[Fecha]]='Ajuste de fechas'!$A$2,"Día actual","Día anterior")</f>
        <v>Día anterior</v>
      </c>
      <c r="C36" t="s">
        <v>28</v>
      </c>
      <c r="D36" t="s">
        <v>72</v>
      </c>
      <c r="E36" t="s">
        <v>171</v>
      </c>
      <c r="F36" t="s">
        <v>19</v>
      </c>
      <c r="G36" t="s">
        <v>172</v>
      </c>
      <c r="H36" t="s">
        <v>11</v>
      </c>
      <c r="I36" t="s">
        <v>7</v>
      </c>
      <c r="J36" t="s">
        <v>43</v>
      </c>
      <c r="K36" t="s">
        <v>73</v>
      </c>
      <c r="L36" t="s">
        <v>40</v>
      </c>
      <c r="M36">
        <v>1</v>
      </c>
    </row>
    <row r="37" spans="1:13" x14ac:dyDescent="0.25">
      <c r="A37" s="2">
        <v>46247</v>
      </c>
      <c r="B37" s="1" t="str">
        <f ca="1">IF(Información1[[#This Row],[Fecha]]='Ajuste de fechas'!$A$2,"Día actual","Día anterior")</f>
        <v>Día anterior</v>
      </c>
      <c r="C37" t="s">
        <v>28</v>
      </c>
      <c r="D37" t="s">
        <v>72</v>
      </c>
      <c r="E37" t="s">
        <v>173</v>
      </c>
      <c r="F37" t="s">
        <v>22</v>
      </c>
      <c r="G37" t="s">
        <v>119</v>
      </c>
      <c r="H37" t="s">
        <v>11</v>
      </c>
      <c r="I37" t="s">
        <v>7</v>
      </c>
      <c r="J37" t="s">
        <v>44</v>
      </c>
      <c r="K37" t="s">
        <v>73</v>
      </c>
      <c r="L37" t="s">
        <v>40</v>
      </c>
      <c r="M37">
        <v>1</v>
      </c>
    </row>
    <row r="38" spans="1:13" x14ac:dyDescent="0.25">
      <c r="A38" s="2">
        <v>46247</v>
      </c>
      <c r="B38" s="1" t="str">
        <f ca="1">IF(Información1[[#This Row],[Fecha]]='Ajuste de fechas'!$A$2,"Día actual","Día anterior")</f>
        <v>Día anterior</v>
      </c>
      <c r="C38" t="s">
        <v>28</v>
      </c>
      <c r="D38" t="s">
        <v>72</v>
      </c>
      <c r="E38" t="s">
        <v>174</v>
      </c>
      <c r="F38" t="s">
        <v>31</v>
      </c>
      <c r="G38" t="s">
        <v>137</v>
      </c>
      <c r="H38" t="s">
        <v>11</v>
      </c>
      <c r="I38" t="s">
        <v>7</v>
      </c>
      <c r="J38" t="s">
        <v>39</v>
      </c>
      <c r="K38" t="s">
        <v>73</v>
      </c>
      <c r="L38" t="s">
        <v>40</v>
      </c>
      <c r="M38">
        <v>1</v>
      </c>
    </row>
    <row r="39" spans="1:13" x14ac:dyDescent="0.25">
      <c r="A39" s="2">
        <v>46247</v>
      </c>
      <c r="B39" s="1" t="str">
        <f ca="1">IF(Información1[[#This Row],[Fecha]]='Ajuste de fechas'!$A$2,"Día actual","Día anterior")</f>
        <v>Día anterior</v>
      </c>
      <c r="C39" t="s">
        <v>28</v>
      </c>
      <c r="D39" t="s">
        <v>72</v>
      </c>
      <c r="E39" t="s">
        <v>175</v>
      </c>
      <c r="F39" t="s">
        <v>85</v>
      </c>
      <c r="G39" t="s">
        <v>176</v>
      </c>
      <c r="H39" t="s">
        <v>11</v>
      </c>
      <c r="I39" t="s">
        <v>7</v>
      </c>
      <c r="J39" t="s">
        <v>39</v>
      </c>
      <c r="K39" t="s">
        <v>73</v>
      </c>
      <c r="L39" t="s">
        <v>40</v>
      </c>
      <c r="M39">
        <v>1</v>
      </c>
    </row>
    <row r="40" spans="1:13" x14ac:dyDescent="0.25">
      <c r="A40" s="2">
        <v>46247</v>
      </c>
      <c r="B40" s="1" t="str">
        <f ca="1">IF(Información1[[#This Row],[Fecha]]='Ajuste de fechas'!$A$2,"Día actual","Día anterior")</f>
        <v>Día anterior</v>
      </c>
      <c r="C40" t="s">
        <v>28</v>
      </c>
      <c r="D40" t="s">
        <v>72</v>
      </c>
      <c r="E40" t="s">
        <v>177</v>
      </c>
      <c r="F40" t="s">
        <v>178</v>
      </c>
      <c r="G40" t="s">
        <v>179</v>
      </c>
      <c r="H40" t="s">
        <v>11</v>
      </c>
      <c r="I40" t="s">
        <v>7</v>
      </c>
      <c r="J40" t="s">
        <v>24</v>
      </c>
      <c r="K40" t="s">
        <v>73</v>
      </c>
      <c r="L40" t="s">
        <v>40</v>
      </c>
      <c r="M40">
        <v>1</v>
      </c>
    </row>
    <row r="41" spans="1:13" x14ac:dyDescent="0.25">
      <c r="A41" s="2">
        <v>46247</v>
      </c>
      <c r="B41" s="1" t="str">
        <f ca="1">IF(Información1[[#This Row],[Fecha]]='Ajuste de fechas'!$A$2,"Día actual","Día anterior")</f>
        <v>Día anterior</v>
      </c>
      <c r="C41" t="s">
        <v>28</v>
      </c>
      <c r="D41" t="s">
        <v>72</v>
      </c>
      <c r="E41" t="s">
        <v>180</v>
      </c>
      <c r="F41" t="s">
        <v>21</v>
      </c>
      <c r="G41" t="s">
        <v>179</v>
      </c>
      <c r="H41" t="s">
        <v>11</v>
      </c>
      <c r="I41" t="s">
        <v>7</v>
      </c>
      <c r="J41" t="s">
        <v>39</v>
      </c>
      <c r="K41" t="s">
        <v>73</v>
      </c>
      <c r="L41" t="s">
        <v>40</v>
      </c>
      <c r="M41">
        <v>1</v>
      </c>
    </row>
    <row r="42" spans="1:13" x14ac:dyDescent="0.25">
      <c r="A42" s="2">
        <v>46247</v>
      </c>
      <c r="B42" s="1" t="str">
        <f ca="1">IF(Información1[[#This Row],[Fecha]]='Ajuste de fechas'!$A$2,"Día actual","Día anterior")</f>
        <v>Día anterior</v>
      </c>
      <c r="C42" t="s">
        <v>28</v>
      </c>
      <c r="D42" t="s">
        <v>72</v>
      </c>
      <c r="E42" t="s">
        <v>181</v>
      </c>
      <c r="F42" t="s">
        <v>26</v>
      </c>
      <c r="G42" t="s">
        <v>97</v>
      </c>
      <c r="H42" t="s">
        <v>11</v>
      </c>
      <c r="I42" t="s">
        <v>7</v>
      </c>
      <c r="J42" t="s">
        <v>39</v>
      </c>
      <c r="K42" t="s">
        <v>73</v>
      </c>
      <c r="L42" t="s">
        <v>40</v>
      </c>
      <c r="M42">
        <v>1</v>
      </c>
    </row>
    <row r="43" spans="1:13" x14ac:dyDescent="0.25">
      <c r="A43" s="2">
        <v>46247</v>
      </c>
      <c r="B43" s="1" t="str">
        <f ca="1">IF(Información1[[#This Row],[Fecha]]='Ajuste de fechas'!$A$2,"Día actual","Día anterior")</f>
        <v>Día anterior</v>
      </c>
      <c r="C43" t="s">
        <v>28</v>
      </c>
      <c r="D43" t="s">
        <v>72</v>
      </c>
      <c r="E43" t="s">
        <v>182</v>
      </c>
      <c r="F43" t="s">
        <v>26</v>
      </c>
      <c r="G43" t="s">
        <v>183</v>
      </c>
      <c r="H43" t="s">
        <v>11</v>
      </c>
      <c r="I43" t="s">
        <v>7</v>
      </c>
      <c r="J43" t="s">
        <v>39</v>
      </c>
      <c r="K43" t="s">
        <v>73</v>
      </c>
      <c r="L43" t="s">
        <v>40</v>
      </c>
      <c r="M43">
        <v>1</v>
      </c>
    </row>
    <row r="44" spans="1:13" x14ac:dyDescent="0.25">
      <c r="A44" s="2">
        <v>46247</v>
      </c>
      <c r="B44" s="1" t="str">
        <f ca="1">IF(Información1[[#This Row],[Fecha]]='Ajuste de fechas'!$A$2,"Día actual","Día anterior")</f>
        <v>Día anterior</v>
      </c>
      <c r="C44" t="s">
        <v>28</v>
      </c>
      <c r="D44" t="s">
        <v>72</v>
      </c>
      <c r="E44" t="s">
        <v>184</v>
      </c>
      <c r="F44" t="s">
        <v>26</v>
      </c>
      <c r="G44" t="s">
        <v>143</v>
      </c>
      <c r="H44" t="s">
        <v>11</v>
      </c>
      <c r="I44" t="s">
        <v>7</v>
      </c>
      <c r="J44" t="s">
        <v>39</v>
      </c>
      <c r="K44" t="s">
        <v>73</v>
      </c>
      <c r="L44" t="s">
        <v>40</v>
      </c>
      <c r="M44">
        <v>1</v>
      </c>
    </row>
    <row r="45" spans="1:13" x14ac:dyDescent="0.25">
      <c r="A45" s="2">
        <v>46247</v>
      </c>
      <c r="B45" s="1" t="str">
        <f ca="1">IF(Información1[[#This Row],[Fecha]]='Ajuste de fechas'!$A$2,"Día actual","Día anterior")</f>
        <v>Día anterior</v>
      </c>
      <c r="C45" t="s">
        <v>8</v>
      </c>
      <c r="D45" t="s">
        <v>10</v>
      </c>
      <c r="E45" t="s">
        <v>185</v>
      </c>
      <c r="F45" t="s">
        <v>17</v>
      </c>
      <c r="G45" t="s">
        <v>186</v>
      </c>
      <c r="H45" t="s">
        <v>11</v>
      </c>
      <c r="I45" t="s">
        <v>25</v>
      </c>
      <c r="J45" t="s">
        <v>39</v>
      </c>
      <c r="K45" t="s">
        <v>9</v>
      </c>
      <c r="L45" t="s">
        <v>41</v>
      </c>
      <c r="M45">
        <v>1</v>
      </c>
    </row>
    <row r="46" spans="1:13" x14ac:dyDescent="0.25">
      <c r="A46" s="2">
        <v>46247</v>
      </c>
      <c r="B46" s="1" t="str">
        <f ca="1">IF(Información1[[#This Row],[Fecha]]='Ajuste de fechas'!$A$2,"Día actual","Día anterior")</f>
        <v>Día anterior</v>
      </c>
      <c r="C46" t="s">
        <v>8</v>
      </c>
      <c r="D46" t="s">
        <v>10</v>
      </c>
      <c r="E46" t="s">
        <v>187</v>
      </c>
      <c r="F46" t="s">
        <v>85</v>
      </c>
      <c r="G46" t="s">
        <v>188</v>
      </c>
      <c r="H46" t="s">
        <v>11</v>
      </c>
      <c r="I46" t="s">
        <v>25</v>
      </c>
      <c r="J46" t="s">
        <v>39</v>
      </c>
      <c r="K46" t="s">
        <v>9</v>
      </c>
      <c r="L46" t="s">
        <v>41</v>
      </c>
      <c r="M46">
        <v>1</v>
      </c>
    </row>
    <row r="47" spans="1:13" x14ac:dyDescent="0.25">
      <c r="A47" s="2">
        <v>46247</v>
      </c>
      <c r="B47" s="1" t="str">
        <f ca="1">IF(Información1[[#This Row],[Fecha]]='Ajuste de fechas'!$A$2,"Día actual","Día anterior")</f>
        <v>Día anterior</v>
      </c>
      <c r="C47" t="s">
        <v>8</v>
      </c>
      <c r="D47" t="s">
        <v>10</v>
      </c>
      <c r="E47" t="s">
        <v>189</v>
      </c>
      <c r="F47" t="s">
        <v>6</v>
      </c>
      <c r="G47" t="s">
        <v>190</v>
      </c>
      <c r="H47" t="s">
        <v>11</v>
      </c>
      <c r="I47" t="s">
        <v>25</v>
      </c>
      <c r="J47" t="s">
        <v>39</v>
      </c>
      <c r="K47" t="s">
        <v>9</v>
      </c>
      <c r="L47" t="s">
        <v>41</v>
      </c>
      <c r="M47">
        <v>1</v>
      </c>
    </row>
    <row r="48" spans="1:13" x14ac:dyDescent="0.25">
      <c r="A48" s="2">
        <v>46247</v>
      </c>
      <c r="B48" s="1" t="str">
        <f ca="1">IF(Información1[[#This Row],[Fecha]]='Ajuste de fechas'!$A$2,"Día actual","Día anterior")</f>
        <v>Día anterior</v>
      </c>
      <c r="C48" t="s">
        <v>8</v>
      </c>
      <c r="D48" t="s">
        <v>10</v>
      </c>
      <c r="E48" t="s">
        <v>191</v>
      </c>
      <c r="F48" t="s">
        <v>6</v>
      </c>
      <c r="G48" t="s">
        <v>192</v>
      </c>
      <c r="H48" t="s">
        <v>11</v>
      </c>
      <c r="I48" t="s">
        <v>25</v>
      </c>
      <c r="J48" t="s">
        <v>39</v>
      </c>
      <c r="K48" t="s">
        <v>9</v>
      </c>
      <c r="L48" t="s">
        <v>41</v>
      </c>
      <c r="M48">
        <v>1</v>
      </c>
    </row>
    <row r="49" spans="1:13" x14ac:dyDescent="0.25">
      <c r="A49" s="2">
        <v>46247</v>
      </c>
      <c r="B49" s="1" t="str">
        <f ca="1">IF(Información1[[#This Row],[Fecha]]='Ajuste de fechas'!$A$2,"Día actual","Día anterior")</f>
        <v>Día anterior</v>
      </c>
      <c r="C49" t="s">
        <v>8</v>
      </c>
      <c r="D49" t="s">
        <v>10</v>
      </c>
      <c r="E49" t="s">
        <v>193</v>
      </c>
      <c r="F49" t="s">
        <v>6</v>
      </c>
      <c r="G49" t="s">
        <v>194</v>
      </c>
      <c r="H49" t="s">
        <v>11</v>
      </c>
      <c r="I49" t="s">
        <v>25</v>
      </c>
      <c r="J49" t="s">
        <v>39</v>
      </c>
      <c r="K49" t="s">
        <v>9</v>
      </c>
      <c r="L49" t="s">
        <v>41</v>
      </c>
      <c r="M49">
        <v>1</v>
      </c>
    </row>
    <row r="50" spans="1:13" x14ac:dyDescent="0.25">
      <c r="A50" s="2">
        <v>46247</v>
      </c>
      <c r="B50" s="1" t="str">
        <f ca="1">IF(Información1[[#This Row],[Fecha]]='Ajuste de fechas'!$A$2,"Día actual","Día anterior")</f>
        <v>Día anterior</v>
      </c>
      <c r="C50" t="s">
        <v>8</v>
      </c>
      <c r="D50" t="s">
        <v>10</v>
      </c>
      <c r="E50" t="s">
        <v>195</v>
      </c>
      <c r="F50" t="s">
        <v>6</v>
      </c>
      <c r="G50" t="s">
        <v>121</v>
      </c>
      <c r="H50" t="s">
        <v>11</v>
      </c>
      <c r="I50" t="s">
        <v>25</v>
      </c>
      <c r="J50" t="s">
        <v>39</v>
      </c>
      <c r="K50" t="s">
        <v>9</v>
      </c>
      <c r="L50" t="s">
        <v>41</v>
      </c>
      <c r="M50">
        <v>1</v>
      </c>
    </row>
    <row r="51" spans="1:13" x14ac:dyDescent="0.25">
      <c r="A51" s="2">
        <v>46247</v>
      </c>
      <c r="B51" s="1" t="str">
        <f ca="1">IF(Información1[[#This Row],[Fecha]]='Ajuste de fechas'!$A$2,"Día actual","Día anterior")</f>
        <v>Día anterior</v>
      </c>
      <c r="C51" t="s">
        <v>8</v>
      </c>
      <c r="D51" t="s">
        <v>10</v>
      </c>
      <c r="E51" t="s">
        <v>196</v>
      </c>
      <c r="F51" t="s">
        <v>6</v>
      </c>
      <c r="G51" t="s">
        <v>100</v>
      </c>
      <c r="H51" t="s">
        <v>11</v>
      </c>
      <c r="I51" t="s">
        <v>25</v>
      </c>
      <c r="J51" t="s">
        <v>39</v>
      </c>
      <c r="K51" t="s">
        <v>9</v>
      </c>
      <c r="L51" t="s">
        <v>41</v>
      </c>
      <c r="M51">
        <v>1</v>
      </c>
    </row>
    <row r="52" spans="1:13" x14ac:dyDescent="0.25">
      <c r="A52" s="2">
        <v>46247</v>
      </c>
      <c r="B52" s="1" t="str">
        <f ca="1">IF(Información1[[#This Row],[Fecha]]='Ajuste de fechas'!$A$2,"Día actual","Día anterior")</f>
        <v>Día anterior</v>
      </c>
      <c r="C52" t="s">
        <v>8</v>
      </c>
      <c r="D52" t="s">
        <v>10</v>
      </c>
      <c r="E52" t="s">
        <v>197</v>
      </c>
      <c r="F52" t="s">
        <v>6</v>
      </c>
      <c r="G52" t="s">
        <v>71</v>
      </c>
      <c r="H52" t="s">
        <v>11</v>
      </c>
      <c r="I52" t="s">
        <v>25</v>
      </c>
      <c r="J52" t="s">
        <v>39</v>
      </c>
      <c r="K52" t="s">
        <v>9</v>
      </c>
      <c r="L52" t="s">
        <v>41</v>
      </c>
      <c r="M52">
        <v>1</v>
      </c>
    </row>
    <row r="53" spans="1:13" x14ac:dyDescent="0.25">
      <c r="A53" s="2">
        <v>46247</v>
      </c>
      <c r="B53" s="1" t="str">
        <f ca="1">IF(Información1[[#This Row],[Fecha]]='Ajuste de fechas'!$A$2,"Día actual","Día anterior")</f>
        <v>Día anterior</v>
      </c>
      <c r="C53" t="s">
        <v>8</v>
      </c>
      <c r="D53" t="s">
        <v>10</v>
      </c>
      <c r="E53" t="s">
        <v>198</v>
      </c>
      <c r="F53" t="s">
        <v>6</v>
      </c>
      <c r="G53" t="s">
        <v>32</v>
      </c>
      <c r="H53" t="s">
        <v>11</v>
      </c>
      <c r="I53" t="s">
        <v>12</v>
      </c>
      <c r="J53" t="s">
        <v>39</v>
      </c>
      <c r="K53" t="s">
        <v>9</v>
      </c>
      <c r="L53" t="s">
        <v>41</v>
      </c>
      <c r="M53">
        <v>1</v>
      </c>
    </row>
    <row r="54" spans="1:13" x14ac:dyDescent="0.25">
      <c r="A54" s="2">
        <v>46247</v>
      </c>
      <c r="B54" s="1" t="str">
        <f ca="1">IF(Información1[[#This Row],[Fecha]]='Ajuste de fechas'!$A$2,"Día actual","Día anterior")</f>
        <v>Día anterior</v>
      </c>
      <c r="C54" t="s">
        <v>8</v>
      </c>
      <c r="D54" t="s">
        <v>10</v>
      </c>
      <c r="E54" t="s">
        <v>199</v>
      </c>
      <c r="F54" t="s">
        <v>6</v>
      </c>
      <c r="G54" t="s">
        <v>194</v>
      </c>
      <c r="H54" t="s">
        <v>11</v>
      </c>
      <c r="I54" t="s">
        <v>7</v>
      </c>
      <c r="J54" t="s">
        <v>39</v>
      </c>
      <c r="K54" t="s">
        <v>9</v>
      </c>
      <c r="L54" t="s">
        <v>41</v>
      </c>
      <c r="M54">
        <v>1</v>
      </c>
    </row>
    <row r="55" spans="1:13" x14ac:dyDescent="0.25">
      <c r="A55" s="2">
        <v>46247</v>
      </c>
      <c r="B55" s="1" t="str">
        <f ca="1">IF(Información1[[#This Row],[Fecha]]='Ajuste de fechas'!$A$2,"Día actual","Día anterior")</f>
        <v>Día anterior</v>
      </c>
      <c r="C55" t="s">
        <v>8</v>
      </c>
      <c r="D55" t="s">
        <v>10</v>
      </c>
      <c r="E55" t="s">
        <v>200</v>
      </c>
      <c r="F55" t="s">
        <v>22</v>
      </c>
      <c r="G55" t="s">
        <v>201</v>
      </c>
      <c r="H55" t="s">
        <v>11</v>
      </c>
      <c r="I55" t="s">
        <v>7</v>
      </c>
      <c r="J55" t="s">
        <v>44</v>
      </c>
      <c r="K55" t="s">
        <v>14</v>
      </c>
      <c r="L55" t="s">
        <v>40</v>
      </c>
      <c r="M55">
        <v>1</v>
      </c>
    </row>
    <row r="56" spans="1:13" x14ac:dyDescent="0.25">
      <c r="A56" s="2">
        <v>46247</v>
      </c>
      <c r="B56" s="1" t="str">
        <f ca="1">IF(Información1[[#This Row],[Fecha]]='Ajuste de fechas'!$A$2,"Día actual","Día anterior")</f>
        <v>Día anterior</v>
      </c>
      <c r="C56" t="s">
        <v>8</v>
      </c>
      <c r="D56" t="s">
        <v>10</v>
      </c>
      <c r="E56" t="s">
        <v>202</v>
      </c>
      <c r="F56" t="s">
        <v>54</v>
      </c>
      <c r="G56" t="s">
        <v>203</v>
      </c>
      <c r="H56" t="s">
        <v>11</v>
      </c>
      <c r="I56" t="s">
        <v>7</v>
      </c>
      <c r="J56" t="s">
        <v>24</v>
      </c>
      <c r="K56" t="s">
        <v>14</v>
      </c>
      <c r="L56" t="s">
        <v>40</v>
      </c>
      <c r="M56">
        <v>1</v>
      </c>
    </row>
    <row r="57" spans="1:13" x14ac:dyDescent="0.25">
      <c r="A57" s="2">
        <v>46247</v>
      </c>
      <c r="B57" s="1" t="str">
        <f ca="1">IF(Información1[[#This Row],[Fecha]]='Ajuste de fechas'!$A$2,"Día actual","Día anterior")</f>
        <v>Día anterior</v>
      </c>
      <c r="C57" t="s">
        <v>8</v>
      </c>
      <c r="D57" t="s">
        <v>10</v>
      </c>
      <c r="E57" t="s">
        <v>204</v>
      </c>
      <c r="F57" t="s">
        <v>19</v>
      </c>
      <c r="G57" t="s">
        <v>205</v>
      </c>
      <c r="H57" t="s">
        <v>11</v>
      </c>
      <c r="I57" t="s">
        <v>7</v>
      </c>
      <c r="J57" t="s">
        <v>43</v>
      </c>
      <c r="K57" t="s">
        <v>14</v>
      </c>
      <c r="L57" t="s">
        <v>40</v>
      </c>
      <c r="M57">
        <v>1</v>
      </c>
    </row>
    <row r="58" spans="1:13" x14ac:dyDescent="0.25">
      <c r="A58" s="2">
        <v>46247</v>
      </c>
      <c r="B58" s="1" t="str">
        <f ca="1">IF(Información1[[#This Row],[Fecha]]='Ajuste de fechas'!$A$2,"Día actual","Día anterior")</f>
        <v>Día anterior</v>
      </c>
      <c r="C58" t="s">
        <v>8</v>
      </c>
      <c r="D58" t="s">
        <v>10</v>
      </c>
      <c r="E58" t="s">
        <v>206</v>
      </c>
      <c r="F58" t="s">
        <v>22</v>
      </c>
      <c r="G58" t="s">
        <v>207</v>
      </c>
      <c r="H58" t="s">
        <v>11</v>
      </c>
      <c r="I58" t="s">
        <v>7</v>
      </c>
      <c r="J58" t="s">
        <v>44</v>
      </c>
      <c r="K58" t="s">
        <v>14</v>
      </c>
      <c r="L58" t="s">
        <v>40</v>
      </c>
      <c r="M58">
        <v>1</v>
      </c>
    </row>
    <row r="59" spans="1:13" x14ac:dyDescent="0.25">
      <c r="A59" s="2">
        <v>46247</v>
      </c>
      <c r="B59" s="1" t="str">
        <f ca="1">IF(Información1[[#This Row],[Fecha]]='Ajuste de fechas'!$A$2,"Día actual","Día anterior")</f>
        <v>Día anterior</v>
      </c>
      <c r="C59" t="s">
        <v>8</v>
      </c>
      <c r="D59" t="s">
        <v>10</v>
      </c>
      <c r="E59" t="s">
        <v>208</v>
      </c>
      <c r="F59" t="s">
        <v>19</v>
      </c>
      <c r="G59" t="s">
        <v>98</v>
      </c>
      <c r="H59" t="s">
        <v>11</v>
      </c>
      <c r="I59" t="s">
        <v>7</v>
      </c>
      <c r="J59" t="s">
        <v>43</v>
      </c>
      <c r="K59" t="s">
        <v>14</v>
      </c>
      <c r="L59" t="s">
        <v>70</v>
      </c>
      <c r="M59">
        <v>1</v>
      </c>
    </row>
    <row r="60" spans="1:13" x14ac:dyDescent="0.25">
      <c r="A60" s="2">
        <v>46247</v>
      </c>
      <c r="B60" s="1" t="str">
        <f ca="1">IF(Información1[[#This Row],[Fecha]]='Ajuste de fechas'!$A$2,"Día actual","Día anterior")</f>
        <v>Día anterior</v>
      </c>
      <c r="C60" t="s">
        <v>8</v>
      </c>
      <c r="D60" t="s">
        <v>10</v>
      </c>
      <c r="E60" t="s">
        <v>209</v>
      </c>
      <c r="F60" t="s">
        <v>19</v>
      </c>
      <c r="G60" t="s">
        <v>32</v>
      </c>
      <c r="H60" t="s">
        <v>11</v>
      </c>
      <c r="I60" t="s">
        <v>7</v>
      </c>
      <c r="J60" t="s">
        <v>43</v>
      </c>
      <c r="K60" t="s">
        <v>14</v>
      </c>
      <c r="L60" t="s">
        <v>70</v>
      </c>
      <c r="M60">
        <v>1</v>
      </c>
    </row>
    <row r="61" spans="1:13" x14ac:dyDescent="0.25">
      <c r="A61" s="2">
        <v>46247</v>
      </c>
      <c r="B61" s="1" t="str">
        <f ca="1">IF(Información1[[#This Row],[Fecha]]='Ajuste de fechas'!$A$2,"Día actual","Día anterior")</f>
        <v>Día anterior</v>
      </c>
      <c r="C61" t="s">
        <v>8</v>
      </c>
      <c r="D61" t="s">
        <v>10</v>
      </c>
      <c r="E61" t="s">
        <v>136</v>
      </c>
      <c r="F61" t="s">
        <v>31</v>
      </c>
      <c r="G61" t="s">
        <v>137</v>
      </c>
      <c r="H61" t="s">
        <v>11</v>
      </c>
      <c r="I61" t="s">
        <v>7</v>
      </c>
      <c r="J61" t="s">
        <v>39</v>
      </c>
      <c r="K61" t="s">
        <v>14</v>
      </c>
      <c r="L61" t="s">
        <v>42</v>
      </c>
      <c r="M61">
        <v>1</v>
      </c>
    </row>
    <row r="62" spans="1:13" x14ac:dyDescent="0.25">
      <c r="A62" s="2">
        <v>46247</v>
      </c>
      <c r="B62" s="1" t="str">
        <f ca="1">IF(Información1[[#This Row],[Fecha]]='Ajuste de fechas'!$A$2,"Día actual","Día anterior")</f>
        <v>Día anterior</v>
      </c>
      <c r="C62" t="s">
        <v>8</v>
      </c>
      <c r="D62" t="s">
        <v>10</v>
      </c>
      <c r="E62" t="s">
        <v>138</v>
      </c>
      <c r="F62" t="s">
        <v>23</v>
      </c>
      <c r="G62" t="s">
        <v>83</v>
      </c>
      <c r="H62" t="s">
        <v>11</v>
      </c>
      <c r="I62" t="s">
        <v>7</v>
      </c>
      <c r="J62" t="s">
        <v>39</v>
      </c>
      <c r="K62" t="s">
        <v>14</v>
      </c>
      <c r="L62" t="s">
        <v>42</v>
      </c>
      <c r="M62">
        <v>1</v>
      </c>
    </row>
    <row r="63" spans="1:13" x14ac:dyDescent="0.25">
      <c r="A63" s="2">
        <v>46247</v>
      </c>
      <c r="B63" s="1" t="str">
        <f ca="1">IF(Información1[[#This Row],[Fecha]]='Ajuste de fechas'!$A$2,"Día actual","Día anterior")</f>
        <v>Día anterior</v>
      </c>
      <c r="C63" t="s">
        <v>8</v>
      </c>
      <c r="D63" t="s">
        <v>10</v>
      </c>
      <c r="E63" t="s">
        <v>142</v>
      </c>
      <c r="F63" t="s">
        <v>26</v>
      </c>
      <c r="G63" t="s">
        <v>143</v>
      </c>
      <c r="H63" t="s">
        <v>11</v>
      </c>
      <c r="I63" t="s">
        <v>12</v>
      </c>
      <c r="J63" t="s">
        <v>39</v>
      </c>
      <c r="K63" t="s">
        <v>14</v>
      </c>
      <c r="L63" t="s">
        <v>42</v>
      </c>
      <c r="M63">
        <v>1</v>
      </c>
    </row>
    <row r="64" spans="1:13" x14ac:dyDescent="0.25">
      <c r="A64" s="2">
        <v>46247</v>
      </c>
      <c r="B64" s="1" t="str">
        <f ca="1">IF(Información1[[#This Row],[Fecha]]='Ajuste de fechas'!$A$2,"Día actual","Día anterior")</f>
        <v>Día anterior</v>
      </c>
      <c r="C64" t="s">
        <v>8</v>
      </c>
      <c r="D64" t="s">
        <v>10</v>
      </c>
      <c r="E64" t="s">
        <v>20</v>
      </c>
      <c r="F64" t="s">
        <v>19</v>
      </c>
      <c r="G64" t="s">
        <v>32</v>
      </c>
      <c r="H64" t="s">
        <v>11</v>
      </c>
      <c r="I64" t="s">
        <v>12</v>
      </c>
      <c r="J64" t="s">
        <v>43</v>
      </c>
      <c r="K64" t="s">
        <v>14</v>
      </c>
      <c r="L64" t="s">
        <v>41</v>
      </c>
      <c r="M64">
        <v>1</v>
      </c>
    </row>
    <row r="65" spans="1:13" x14ac:dyDescent="0.25">
      <c r="A65" s="2">
        <v>46247</v>
      </c>
      <c r="B65" s="1" t="str">
        <f ca="1">IF(Información1[[#This Row],[Fecha]]='Ajuste de fechas'!$A$2,"Día actual","Día anterior")</f>
        <v>Día anterior</v>
      </c>
      <c r="C65" t="s">
        <v>8</v>
      </c>
      <c r="D65" t="s">
        <v>10</v>
      </c>
      <c r="E65" t="s">
        <v>18</v>
      </c>
      <c r="F65" t="s">
        <v>19</v>
      </c>
      <c r="G65" t="s">
        <v>32</v>
      </c>
      <c r="H65" t="s">
        <v>11</v>
      </c>
      <c r="I65" t="s">
        <v>12</v>
      </c>
      <c r="J65" t="s">
        <v>43</v>
      </c>
      <c r="K65" t="s">
        <v>14</v>
      </c>
      <c r="L65" t="s">
        <v>41</v>
      </c>
      <c r="M65">
        <v>1</v>
      </c>
    </row>
    <row r="66" spans="1:13" x14ac:dyDescent="0.25">
      <c r="A66" s="2">
        <v>46247</v>
      </c>
      <c r="B66" s="1" t="str">
        <f ca="1">IF(Información1[[#This Row],[Fecha]]='Ajuste de fechas'!$A$2,"Día actual","Día anterior")</f>
        <v>Día anterior</v>
      </c>
      <c r="C66" t="s">
        <v>8</v>
      </c>
      <c r="D66" t="s">
        <v>10</v>
      </c>
      <c r="E66" t="s">
        <v>82</v>
      </c>
      <c r="F66" t="s">
        <v>54</v>
      </c>
      <c r="G66" t="s">
        <v>32</v>
      </c>
      <c r="H66" t="s">
        <v>11</v>
      </c>
      <c r="I66" t="s">
        <v>12</v>
      </c>
      <c r="J66" t="s">
        <v>24</v>
      </c>
      <c r="K66" t="s">
        <v>14</v>
      </c>
      <c r="L66" t="s">
        <v>41</v>
      </c>
      <c r="M66">
        <v>1</v>
      </c>
    </row>
    <row r="67" spans="1:13" x14ac:dyDescent="0.25">
      <c r="A67" s="2">
        <v>46247</v>
      </c>
      <c r="B67" s="1" t="str">
        <f ca="1">IF(Información1[[#This Row],[Fecha]]='Ajuste de fechas'!$A$2,"Día actual","Día anterior")</f>
        <v>Día anterior</v>
      </c>
      <c r="C67" t="s">
        <v>8</v>
      </c>
      <c r="D67" t="s">
        <v>10</v>
      </c>
      <c r="E67" t="s">
        <v>118</v>
      </c>
      <c r="F67" t="s">
        <v>21</v>
      </c>
      <c r="G67" t="s">
        <v>32</v>
      </c>
      <c r="H67" t="s">
        <v>11</v>
      </c>
      <c r="I67" t="s">
        <v>12</v>
      </c>
      <c r="J67" t="s">
        <v>39</v>
      </c>
      <c r="K67" t="s">
        <v>14</v>
      </c>
      <c r="L67" t="s">
        <v>41</v>
      </c>
      <c r="M67">
        <v>1</v>
      </c>
    </row>
    <row r="68" spans="1:13" x14ac:dyDescent="0.25">
      <c r="A68" s="2">
        <v>46247</v>
      </c>
      <c r="B68" s="1" t="str">
        <f ca="1">IF(Información1[[#This Row],[Fecha]]='Ajuste de fechas'!$A$2,"Día actual","Día anterior")</f>
        <v>Día anterior</v>
      </c>
      <c r="C68" t="s">
        <v>8</v>
      </c>
      <c r="D68" t="s">
        <v>10</v>
      </c>
      <c r="E68" t="s">
        <v>13</v>
      </c>
      <c r="F68" t="s">
        <v>15</v>
      </c>
      <c r="G68" t="s">
        <v>32</v>
      </c>
      <c r="H68" t="s">
        <v>11</v>
      </c>
      <c r="I68" t="s">
        <v>12</v>
      </c>
      <c r="J68" t="s">
        <v>39</v>
      </c>
      <c r="K68" t="s">
        <v>14</v>
      </c>
      <c r="L68" t="s">
        <v>41</v>
      </c>
      <c r="M68">
        <v>1</v>
      </c>
    </row>
    <row r="69" spans="1:13" x14ac:dyDescent="0.25">
      <c r="A69" s="2">
        <v>46247</v>
      </c>
      <c r="B69" s="1" t="str">
        <f ca="1">IF(Información1[[#This Row],[Fecha]]='Ajuste de fechas'!$A$2,"Día actual","Día anterior")</f>
        <v>Día anterior</v>
      </c>
      <c r="C69" t="s">
        <v>8</v>
      </c>
      <c r="D69" t="s">
        <v>10</v>
      </c>
      <c r="E69" t="s">
        <v>16</v>
      </c>
      <c r="F69" t="s">
        <v>17</v>
      </c>
      <c r="G69" t="s">
        <v>32</v>
      </c>
      <c r="H69" t="s">
        <v>11</v>
      </c>
      <c r="I69" t="s">
        <v>12</v>
      </c>
      <c r="J69" t="s">
        <v>39</v>
      </c>
      <c r="K69" t="s">
        <v>14</v>
      </c>
      <c r="L69" t="s">
        <v>41</v>
      </c>
      <c r="M69">
        <v>1</v>
      </c>
    </row>
    <row r="70" spans="1:13" x14ac:dyDescent="0.25">
      <c r="A70" s="2">
        <v>46247</v>
      </c>
      <c r="B70" s="1" t="str">
        <f ca="1">IF(Información1[[#This Row],[Fecha]]='Ajuste de fechas'!$A$2,"Día actual","Día anterior")</f>
        <v>Día anterior</v>
      </c>
      <c r="C70" t="s">
        <v>8</v>
      </c>
      <c r="D70" t="s">
        <v>10</v>
      </c>
      <c r="E70" t="s">
        <v>53</v>
      </c>
      <c r="F70" t="s">
        <v>6</v>
      </c>
      <c r="G70" t="s">
        <v>32</v>
      </c>
      <c r="H70" t="s">
        <v>11</v>
      </c>
      <c r="I70" t="s">
        <v>12</v>
      </c>
      <c r="J70" t="s">
        <v>39</v>
      </c>
      <c r="K70" t="s">
        <v>14</v>
      </c>
      <c r="L70" t="s">
        <v>41</v>
      </c>
      <c r="M70">
        <v>1</v>
      </c>
    </row>
    <row r="71" spans="1:13" x14ac:dyDescent="0.25">
      <c r="A71" s="2">
        <v>46247</v>
      </c>
      <c r="B71" s="1" t="str">
        <f ca="1">IF(Información1[[#This Row],[Fecha]]='Ajuste de fechas'!$A$2,"Día actual","Día anterior")</f>
        <v>Día anterior</v>
      </c>
      <c r="C71" t="s">
        <v>58</v>
      </c>
      <c r="D71" t="s">
        <v>59</v>
      </c>
      <c r="E71" t="s">
        <v>210</v>
      </c>
      <c r="F71" t="s">
        <v>19</v>
      </c>
      <c r="G71" t="s">
        <v>96</v>
      </c>
      <c r="H71" t="s">
        <v>11</v>
      </c>
      <c r="I71" t="s">
        <v>7</v>
      </c>
      <c r="J71" t="s">
        <v>43</v>
      </c>
      <c r="K71" t="s">
        <v>60</v>
      </c>
      <c r="L71" t="s">
        <v>40</v>
      </c>
      <c r="M71">
        <v>1</v>
      </c>
    </row>
    <row r="72" spans="1:13" x14ac:dyDescent="0.25">
      <c r="A72" s="2">
        <v>46247</v>
      </c>
      <c r="B72" s="1" t="str">
        <f ca="1">IF(Información1[[#This Row],[Fecha]]='Ajuste de fechas'!$A$2,"Día actual","Día anterior")</f>
        <v>Día anterior</v>
      </c>
      <c r="C72" t="s">
        <v>58</v>
      </c>
      <c r="D72" t="s">
        <v>59</v>
      </c>
      <c r="E72" t="s">
        <v>211</v>
      </c>
      <c r="F72" t="s">
        <v>48</v>
      </c>
      <c r="G72" t="s">
        <v>90</v>
      </c>
      <c r="H72" t="s">
        <v>11</v>
      </c>
      <c r="I72" t="s">
        <v>7</v>
      </c>
      <c r="J72" t="s">
        <v>39</v>
      </c>
      <c r="K72" t="s">
        <v>60</v>
      </c>
      <c r="L72" t="s">
        <v>42</v>
      </c>
      <c r="M72">
        <v>1</v>
      </c>
    </row>
    <row r="73" spans="1:13" x14ac:dyDescent="0.25">
      <c r="A73" s="2">
        <v>46247</v>
      </c>
      <c r="B73" s="1" t="str">
        <f ca="1">IF(Información1[[#This Row],[Fecha]]='Ajuste de fechas'!$A$2,"Día actual","Día anterior")</f>
        <v>Día anterior</v>
      </c>
      <c r="C73" t="s">
        <v>58</v>
      </c>
      <c r="D73" t="s">
        <v>59</v>
      </c>
      <c r="E73" t="s">
        <v>138</v>
      </c>
      <c r="F73" t="s">
        <v>23</v>
      </c>
      <c r="G73" t="s">
        <v>83</v>
      </c>
      <c r="H73" t="s">
        <v>11</v>
      </c>
      <c r="I73" t="s">
        <v>7</v>
      </c>
      <c r="J73" t="s">
        <v>39</v>
      </c>
      <c r="K73" t="s">
        <v>60</v>
      </c>
      <c r="L73" t="s">
        <v>42</v>
      </c>
      <c r="M73">
        <v>1</v>
      </c>
    </row>
    <row r="74" spans="1:13" x14ac:dyDescent="0.25">
      <c r="A74" s="2">
        <v>46247</v>
      </c>
      <c r="B74" s="1" t="str">
        <f ca="1">IF(Información1[[#This Row],[Fecha]]='Ajuste de fechas'!$A$2,"Día actual","Día anterior")</f>
        <v>Día anterior</v>
      </c>
      <c r="C74" t="s">
        <v>58</v>
      </c>
      <c r="D74" t="s">
        <v>59</v>
      </c>
      <c r="E74" t="s">
        <v>212</v>
      </c>
      <c r="F74" t="s">
        <v>19</v>
      </c>
      <c r="G74" t="s">
        <v>113</v>
      </c>
      <c r="H74" t="s">
        <v>11</v>
      </c>
      <c r="I74" t="s">
        <v>7</v>
      </c>
      <c r="J74" t="s">
        <v>43</v>
      </c>
      <c r="K74" t="s">
        <v>60</v>
      </c>
      <c r="L74" t="s">
        <v>40</v>
      </c>
      <c r="M74">
        <v>1</v>
      </c>
    </row>
    <row r="75" spans="1:13" x14ac:dyDescent="0.25">
      <c r="A75" s="2">
        <v>46247</v>
      </c>
      <c r="B75" s="1" t="str">
        <f ca="1">IF(Información1[[#This Row],[Fecha]]='Ajuste de fechas'!$A$2,"Día actual","Día anterior")</f>
        <v>Día anterior</v>
      </c>
      <c r="C75" t="s">
        <v>58</v>
      </c>
      <c r="D75" t="s">
        <v>59</v>
      </c>
      <c r="E75" t="s">
        <v>213</v>
      </c>
      <c r="F75" t="s">
        <v>19</v>
      </c>
      <c r="G75" t="s">
        <v>214</v>
      </c>
      <c r="H75" t="s">
        <v>11</v>
      </c>
      <c r="I75" t="s">
        <v>7</v>
      </c>
      <c r="J75" t="s">
        <v>43</v>
      </c>
      <c r="K75" t="s">
        <v>60</v>
      </c>
      <c r="L75" t="s">
        <v>40</v>
      </c>
      <c r="M75">
        <v>1</v>
      </c>
    </row>
    <row r="76" spans="1:13" x14ac:dyDescent="0.25">
      <c r="A76" s="2">
        <v>46247</v>
      </c>
      <c r="B76" s="1" t="str">
        <f ca="1">IF(Información1[[#This Row],[Fecha]]='Ajuste de fechas'!$A$2,"Día actual","Día anterior")</f>
        <v>Día anterior</v>
      </c>
      <c r="C76" t="s">
        <v>58</v>
      </c>
      <c r="D76" t="s">
        <v>59</v>
      </c>
      <c r="E76" t="s">
        <v>215</v>
      </c>
      <c r="F76" t="s">
        <v>22</v>
      </c>
      <c r="G76" t="s">
        <v>216</v>
      </c>
      <c r="H76" t="s">
        <v>11</v>
      </c>
      <c r="I76" t="s">
        <v>25</v>
      </c>
      <c r="J76" t="s">
        <v>44</v>
      </c>
      <c r="K76" t="s">
        <v>60</v>
      </c>
      <c r="L76" t="s">
        <v>40</v>
      </c>
      <c r="M76">
        <v>1</v>
      </c>
    </row>
    <row r="77" spans="1:13" x14ac:dyDescent="0.25">
      <c r="A77" s="2">
        <v>46247</v>
      </c>
      <c r="B77" s="1" t="str">
        <f ca="1">IF(Información1[[#This Row],[Fecha]]='Ajuste de fechas'!$A$2,"Día actual","Día anterior")</f>
        <v>Día anterior</v>
      </c>
      <c r="C77" t="s">
        <v>58</v>
      </c>
      <c r="D77" t="s">
        <v>59</v>
      </c>
      <c r="E77" t="s">
        <v>217</v>
      </c>
      <c r="F77" t="s">
        <v>54</v>
      </c>
      <c r="G77" t="s">
        <v>114</v>
      </c>
      <c r="H77" t="s">
        <v>11</v>
      </c>
      <c r="I77" t="s">
        <v>7</v>
      </c>
      <c r="J77" t="s">
        <v>24</v>
      </c>
      <c r="K77" t="s">
        <v>60</v>
      </c>
      <c r="L77" t="s">
        <v>40</v>
      </c>
      <c r="M77">
        <v>1</v>
      </c>
    </row>
    <row r="78" spans="1:13" x14ac:dyDescent="0.25">
      <c r="A78" s="2">
        <v>46247</v>
      </c>
      <c r="B78" s="1" t="str">
        <f ca="1">IF(Información1[[#This Row],[Fecha]]='Ajuste de fechas'!$A$2,"Día actual","Día anterior")</f>
        <v>Día anterior</v>
      </c>
      <c r="C78" t="s">
        <v>58</v>
      </c>
      <c r="D78" t="s">
        <v>59</v>
      </c>
      <c r="E78" t="s">
        <v>218</v>
      </c>
      <c r="F78" t="s">
        <v>219</v>
      </c>
      <c r="G78" t="s">
        <v>220</v>
      </c>
      <c r="H78" t="s">
        <v>11</v>
      </c>
      <c r="I78" t="s">
        <v>7</v>
      </c>
      <c r="J78" t="s">
        <v>24</v>
      </c>
      <c r="K78" t="s">
        <v>60</v>
      </c>
      <c r="L78" t="s">
        <v>40</v>
      </c>
      <c r="M78">
        <v>1</v>
      </c>
    </row>
    <row r="79" spans="1:13" x14ac:dyDescent="0.25">
      <c r="A79" s="2">
        <v>46247</v>
      </c>
      <c r="B79" s="1" t="str">
        <f ca="1">IF(Información1[[#This Row],[Fecha]]='Ajuste de fechas'!$A$2,"Día actual","Día anterior")</f>
        <v>Día anterior</v>
      </c>
      <c r="C79" t="s">
        <v>58</v>
      </c>
      <c r="D79" t="s">
        <v>59</v>
      </c>
      <c r="E79" t="s">
        <v>221</v>
      </c>
      <c r="F79" t="s">
        <v>80</v>
      </c>
      <c r="G79" t="s">
        <v>101</v>
      </c>
      <c r="H79" t="s">
        <v>11</v>
      </c>
      <c r="I79" t="s">
        <v>7</v>
      </c>
      <c r="J79" t="s">
        <v>39</v>
      </c>
      <c r="K79" t="s">
        <v>60</v>
      </c>
      <c r="L79" t="s">
        <v>40</v>
      </c>
      <c r="M79">
        <v>1</v>
      </c>
    </row>
    <row r="80" spans="1:13" x14ac:dyDescent="0.25">
      <c r="A80" s="2">
        <v>46247</v>
      </c>
      <c r="B80" s="1" t="str">
        <f ca="1">IF(Información1[[#This Row],[Fecha]]='Ajuste de fechas'!$A$2,"Día actual","Día anterior")</f>
        <v>Día anterior</v>
      </c>
      <c r="C80" t="s">
        <v>58</v>
      </c>
      <c r="D80" t="s">
        <v>59</v>
      </c>
      <c r="E80" t="s">
        <v>222</v>
      </c>
      <c r="F80" t="s">
        <v>26</v>
      </c>
      <c r="G80" t="s">
        <v>223</v>
      </c>
      <c r="H80" t="s">
        <v>11</v>
      </c>
      <c r="I80" t="s">
        <v>7</v>
      </c>
      <c r="J80" t="s">
        <v>39</v>
      </c>
      <c r="K80" t="s">
        <v>60</v>
      </c>
      <c r="L80" t="s">
        <v>40</v>
      </c>
      <c r="M80">
        <v>1</v>
      </c>
    </row>
    <row r="81" spans="1:13" x14ac:dyDescent="0.25">
      <c r="A81" s="2">
        <v>46247</v>
      </c>
      <c r="B81" s="1" t="str">
        <f ca="1">IF(Información1[[#This Row],[Fecha]]='Ajuste de fechas'!$A$2,"Día actual","Día anterior")</f>
        <v>Día anterior</v>
      </c>
      <c r="C81" t="s">
        <v>58</v>
      </c>
      <c r="D81" t="s">
        <v>59</v>
      </c>
      <c r="E81" t="s">
        <v>224</v>
      </c>
      <c r="F81" t="s">
        <v>80</v>
      </c>
      <c r="G81" t="s">
        <v>225</v>
      </c>
      <c r="H81" t="s">
        <v>11</v>
      </c>
      <c r="I81" t="s">
        <v>7</v>
      </c>
      <c r="J81" t="s">
        <v>39</v>
      </c>
      <c r="K81" t="s">
        <v>60</v>
      </c>
      <c r="L81" t="s">
        <v>40</v>
      </c>
      <c r="M81">
        <v>1</v>
      </c>
    </row>
    <row r="82" spans="1:13" x14ac:dyDescent="0.25">
      <c r="A82" s="2">
        <v>46247</v>
      </c>
      <c r="B82" s="1" t="str">
        <f ca="1">IF(Información1[[#This Row],[Fecha]]='Ajuste de fechas'!$A$2,"Día actual","Día anterior")</f>
        <v>Día anterior</v>
      </c>
      <c r="C82" t="s">
        <v>58</v>
      </c>
      <c r="D82" t="s">
        <v>59</v>
      </c>
      <c r="E82" t="s">
        <v>226</v>
      </c>
      <c r="F82" t="s">
        <v>26</v>
      </c>
      <c r="G82" t="s">
        <v>97</v>
      </c>
      <c r="H82" t="s">
        <v>11</v>
      </c>
      <c r="I82" t="s">
        <v>7</v>
      </c>
      <c r="J82" t="s">
        <v>39</v>
      </c>
      <c r="K82" t="s">
        <v>60</v>
      </c>
      <c r="L82" t="s">
        <v>40</v>
      </c>
      <c r="M82">
        <v>1</v>
      </c>
    </row>
    <row r="83" spans="1:13" x14ac:dyDescent="0.25">
      <c r="A83" s="2">
        <v>46247</v>
      </c>
      <c r="B83" s="1" t="str">
        <f ca="1">IF(Información1[[#This Row],[Fecha]]='Ajuste de fechas'!$A$2,"Día actual","Día anterior")</f>
        <v>Día anterior</v>
      </c>
      <c r="C83" t="s">
        <v>58</v>
      </c>
      <c r="D83" t="s">
        <v>59</v>
      </c>
      <c r="E83" t="s">
        <v>227</v>
      </c>
      <c r="F83" t="s">
        <v>19</v>
      </c>
      <c r="G83" t="s">
        <v>164</v>
      </c>
      <c r="H83" t="s">
        <v>11</v>
      </c>
      <c r="I83" t="s">
        <v>7</v>
      </c>
      <c r="J83" t="s">
        <v>43</v>
      </c>
      <c r="K83" t="s">
        <v>60</v>
      </c>
      <c r="L83" t="s">
        <v>40</v>
      </c>
      <c r="M83">
        <v>1</v>
      </c>
    </row>
    <row r="84" spans="1:13" x14ac:dyDescent="0.25">
      <c r="A84" s="2">
        <v>46247</v>
      </c>
      <c r="B84" s="1" t="str">
        <f ca="1">IF(Información1[[#This Row],[Fecha]]='Ajuste de fechas'!$A$2,"Día actual","Día anterior")</f>
        <v>Día anterior</v>
      </c>
      <c r="C84" t="s">
        <v>58</v>
      </c>
      <c r="D84" t="s">
        <v>59</v>
      </c>
      <c r="E84" t="s">
        <v>61</v>
      </c>
      <c r="F84" t="s">
        <v>19</v>
      </c>
      <c r="G84" t="s">
        <v>56</v>
      </c>
      <c r="H84" t="s">
        <v>11</v>
      </c>
      <c r="I84" t="s">
        <v>7</v>
      </c>
      <c r="J84" t="s">
        <v>43</v>
      </c>
      <c r="K84" t="s">
        <v>60</v>
      </c>
      <c r="L84" t="s">
        <v>74</v>
      </c>
      <c r="M84">
        <v>1</v>
      </c>
    </row>
    <row r="85" spans="1:13" x14ac:dyDescent="0.25">
      <c r="A85" s="2">
        <v>46247</v>
      </c>
      <c r="B85" s="1" t="str">
        <f ca="1">IF(Información1[[#This Row],[Fecha]]='Ajuste de fechas'!$A$2,"Día actual","Día anterior")</f>
        <v>Día anterior</v>
      </c>
      <c r="C85" t="s">
        <v>58</v>
      </c>
      <c r="D85" t="s">
        <v>59</v>
      </c>
      <c r="E85" t="s">
        <v>228</v>
      </c>
      <c r="F85" t="s">
        <v>21</v>
      </c>
      <c r="G85" t="s">
        <v>229</v>
      </c>
      <c r="H85" t="s">
        <v>11</v>
      </c>
      <c r="I85" t="s">
        <v>7</v>
      </c>
      <c r="J85" t="s">
        <v>39</v>
      </c>
      <c r="K85" t="s">
        <v>60</v>
      </c>
      <c r="L85" t="s">
        <v>42</v>
      </c>
      <c r="M85">
        <v>1</v>
      </c>
    </row>
    <row r="86" spans="1:13" x14ac:dyDescent="0.25">
      <c r="A86" s="2">
        <v>46247</v>
      </c>
      <c r="B86" s="1" t="str">
        <f ca="1">IF(Información1[[#This Row],[Fecha]]='Ajuste de fechas'!$A$2,"Día actual","Día anterior")</f>
        <v>Día anterior</v>
      </c>
      <c r="C86" t="s">
        <v>58</v>
      </c>
      <c r="D86" t="s">
        <v>59</v>
      </c>
      <c r="E86" t="s">
        <v>230</v>
      </c>
      <c r="F86" t="s">
        <v>19</v>
      </c>
      <c r="G86" t="s">
        <v>105</v>
      </c>
      <c r="H86" t="s">
        <v>11</v>
      </c>
      <c r="I86" t="s">
        <v>7</v>
      </c>
      <c r="J86" t="s">
        <v>43</v>
      </c>
      <c r="K86" t="s">
        <v>60</v>
      </c>
      <c r="L86" t="s">
        <v>40</v>
      </c>
      <c r="M86">
        <v>1</v>
      </c>
    </row>
    <row r="87" spans="1:13" x14ac:dyDescent="0.25">
      <c r="A87" s="2">
        <v>46247</v>
      </c>
      <c r="B87" s="1" t="str">
        <f ca="1">IF(Información1[[#This Row],[Fecha]]='Ajuste de fechas'!$A$2,"Día actual","Día anterior")</f>
        <v>Día anterior</v>
      </c>
      <c r="C87" t="s">
        <v>58</v>
      </c>
      <c r="D87" t="s">
        <v>59</v>
      </c>
      <c r="E87" t="s">
        <v>231</v>
      </c>
      <c r="F87" t="s">
        <v>23</v>
      </c>
      <c r="G87" t="s">
        <v>232</v>
      </c>
      <c r="H87" t="s">
        <v>11</v>
      </c>
      <c r="I87" t="s">
        <v>7</v>
      </c>
      <c r="J87" t="s">
        <v>39</v>
      </c>
      <c r="K87" t="s">
        <v>60</v>
      </c>
      <c r="L87" t="s">
        <v>40</v>
      </c>
      <c r="M87">
        <v>1</v>
      </c>
    </row>
    <row r="88" spans="1:13" x14ac:dyDescent="0.25">
      <c r="A88" s="2">
        <v>46247</v>
      </c>
      <c r="B88" s="1" t="str">
        <f ca="1">IF(Información1[[#This Row],[Fecha]]='Ajuste de fechas'!$A$2,"Día actual","Día anterior")</f>
        <v>Día anterior</v>
      </c>
      <c r="C88" t="s">
        <v>29</v>
      </c>
      <c r="D88" t="s">
        <v>30</v>
      </c>
      <c r="E88" t="s">
        <v>233</v>
      </c>
      <c r="F88" t="s">
        <v>19</v>
      </c>
      <c r="G88" t="s">
        <v>234</v>
      </c>
      <c r="H88" t="s">
        <v>57</v>
      </c>
      <c r="I88" t="s">
        <v>7</v>
      </c>
      <c r="J88" t="s">
        <v>43</v>
      </c>
      <c r="K88" t="s">
        <v>110</v>
      </c>
      <c r="L88" t="s">
        <v>40</v>
      </c>
      <c r="M88">
        <v>1</v>
      </c>
    </row>
    <row r="89" spans="1:13" x14ac:dyDescent="0.25">
      <c r="A89" s="2">
        <v>46247</v>
      </c>
      <c r="B89" s="1" t="str">
        <f ca="1">IF(Información1[[#This Row],[Fecha]]='Ajuste de fechas'!$A$2,"Día actual","Día anterior")</f>
        <v>Día anterior</v>
      </c>
      <c r="C89" t="s">
        <v>29</v>
      </c>
      <c r="D89" t="s">
        <v>30</v>
      </c>
      <c r="E89" t="s">
        <v>235</v>
      </c>
      <c r="F89" t="s">
        <v>79</v>
      </c>
      <c r="G89" t="s">
        <v>236</v>
      </c>
      <c r="H89" t="s">
        <v>57</v>
      </c>
      <c r="I89" t="s">
        <v>25</v>
      </c>
      <c r="J89" t="s">
        <v>39</v>
      </c>
      <c r="K89" t="s">
        <v>110</v>
      </c>
      <c r="L89" t="s">
        <v>40</v>
      </c>
      <c r="M89">
        <v>1</v>
      </c>
    </row>
    <row r="90" spans="1:13" x14ac:dyDescent="0.25">
      <c r="A90" s="2">
        <v>46247</v>
      </c>
      <c r="B90" s="1" t="str">
        <f ca="1">IF(Información1[[#This Row],[Fecha]]='Ajuste de fechas'!$A$2,"Día actual","Día anterior")</f>
        <v>Día anterior</v>
      </c>
      <c r="C90" t="s">
        <v>29</v>
      </c>
      <c r="D90" t="s">
        <v>30</v>
      </c>
      <c r="E90" t="s">
        <v>237</v>
      </c>
      <c r="F90" t="s">
        <v>19</v>
      </c>
      <c r="G90" t="s">
        <v>107</v>
      </c>
      <c r="H90" t="s">
        <v>57</v>
      </c>
      <c r="I90" t="s">
        <v>7</v>
      </c>
      <c r="J90" t="s">
        <v>43</v>
      </c>
      <c r="K90" t="s">
        <v>27</v>
      </c>
      <c r="L90" t="s">
        <v>40</v>
      </c>
      <c r="M90">
        <v>1</v>
      </c>
    </row>
    <row r="91" spans="1:13" x14ac:dyDescent="0.25">
      <c r="A91" s="2">
        <v>46247</v>
      </c>
      <c r="B91" s="1" t="str">
        <f ca="1">IF(Información1[[#This Row],[Fecha]]='Ajuste de fechas'!$A$2,"Día actual","Día anterior")</f>
        <v>Día anterior</v>
      </c>
      <c r="C91" t="s">
        <v>29</v>
      </c>
      <c r="D91" t="s">
        <v>30</v>
      </c>
      <c r="E91" t="s">
        <v>237</v>
      </c>
      <c r="F91" t="s">
        <v>238</v>
      </c>
      <c r="G91" t="s">
        <v>239</v>
      </c>
      <c r="H91" t="s">
        <v>57</v>
      </c>
      <c r="I91" t="s">
        <v>7</v>
      </c>
      <c r="J91" t="s">
        <v>39</v>
      </c>
      <c r="K91" t="s">
        <v>27</v>
      </c>
      <c r="L91" t="s">
        <v>40</v>
      </c>
      <c r="M91">
        <v>1</v>
      </c>
    </row>
    <row r="92" spans="1:13" x14ac:dyDescent="0.25">
      <c r="A92" s="2">
        <v>46247</v>
      </c>
      <c r="B92" s="1" t="str">
        <f ca="1">IF(Información1[[#This Row],[Fecha]]='Ajuste de fechas'!$A$2,"Día actual","Día anterior")</f>
        <v>Día anterior</v>
      </c>
      <c r="C92" t="s">
        <v>29</v>
      </c>
      <c r="D92" t="s">
        <v>30</v>
      </c>
      <c r="E92" t="s">
        <v>237</v>
      </c>
      <c r="F92" t="s">
        <v>115</v>
      </c>
      <c r="G92" t="s">
        <v>240</v>
      </c>
      <c r="H92" t="s">
        <v>57</v>
      </c>
      <c r="I92" t="s">
        <v>7</v>
      </c>
      <c r="J92" t="s">
        <v>116</v>
      </c>
      <c r="K92" t="s">
        <v>27</v>
      </c>
      <c r="L92" t="s">
        <v>40</v>
      </c>
      <c r="M92">
        <v>1</v>
      </c>
    </row>
    <row r="93" spans="1:13" x14ac:dyDescent="0.25">
      <c r="A93" s="2">
        <v>46247</v>
      </c>
      <c r="B93" s="1" t="str">
        <f ca="1">IF(Información1[[#This Row],[Fecha]]='Ajuste de fechas'!$A$2,"Día actual","Día anterior")</f>
        <v>Día anterior</v>
      </c>
      <c r="C93" t="s">
        <v>29</v>
      </c>
      <c r="D93" t="s">
        <v>30</v>
      </c>
      <c r="E93" t="s">
        <v>140</v>
      </c>
      <c r="F93" t="s">
        <v>85</v>
      </c>
      <c r="G93" t="s">
        <v>141</v>
      </c>
      <c r="H93" t="s">
        <v>57</v>
      </c>
      <c r="I93" t="s">
        <v>7</v>
      </c>
      <c r="J93" t="s">
        <v>39</v>
      </c>
      <c r="K93" t="s">
        <v>27</v>
      </c>
      <c r="L93" t="s">
        <v>42</v>
      </c>
      <c r="M93">
        <v>1</v>
      </c>
    </row>
    <row r="94" spans="1:13" x14ac:dyDescent="0.25">
      <c r="A94" s="2">
        <v>46247</v>
      </c>
      <c r="B94" s="1" t="str">
        <f ca="1">IF(Información1[[#This Row],[Fecha]]='Ajuste de fechas'!$A$2,"Día actual","Día anterior")</f>
        <v>Día anterior</v>
      </c>
      <c r="C94" t="s">
        <v>29</v>
      </c>
      <c r="D94" t="s">
        <v>30</v>
      </c>
      <c r="E94" t="s">
        <v>241</v>
      </c>
      <c r="F94" t="s">
        <v>6</v>
      </c>
      <c r="G94" t="s">
        <v>89</v>
      </c>
      <c r="H94" t="s">
        <v>57</v>
      </c>
      <c r="I94" t="s">
        <v>25</v>
      </c>
      <c r="J94" t="s">
        <v>39</v>
      </c>
      <c r="K94" t="s">
        <v>9</v>
      </c>
      <c r="L94" t="s">
        <v>41</v>
      </c>
      <c r="M94">
        <v>1</v>
      </c>
    </row>
    <row r="95" spans="1:13" x14ac:dyDescent="0.25">
      <c r="A95" s="2">
        <v>46247</v>
      </c>
      <c r="B95" s="1" t="str">
        <f ca="1">IF(Información1[[#This Row],[Fecha]]='Ajuste de fechas'!$A$2,"Día actual","Día anterior")</f>
        <v>Día anterior</v>
      </c>
      <c r="C95" t="s">
        <v>29</v>
      </c>
      <c r="D95" t="s">
        <v>30</v>
      </c>
      <c r="E95" t="s">
        <v>130</v>
      </c>
      <c r="F95" t="s">
        <v>21</v>
      </c>
      <c r="G95" t="s">
        <v>131</v>
      </c>
      <c r="H95" t="s">
        <v>57</v>
      </c>
      <c r="I95" t="s">
        <v>7</v>
      </c>
      <c r="J95" t="s">
        <v>39</v>
      </c>
      <c r="K95" t="s">
        <v>27</v>
      </c>
      <c r="L95" t="s">
        <v>42</v>
      </c>
      <c r="M95">
        <v>1</v>
      </c>
    </row>
    <row r="96" spans="1:13" x14ac:dyDescent="0.25">
      <c r="A96" s="2">
        <v>46247</v>
      </c>
      <c r="B96" s="1" t="str">
        <f ca="1">IF(Información1[[#This Row],[Fecha]]='Ajuste de fechas'!$A$2,"Día actual","Día anterior")</f>
        <v>Día anterior</v>
      </c>
      <c r="C96" t="s">
        <v>29</v>
      </c>
      <c r="D96" t="s">
        <v>30</v>
      </c>
      <c r="E96" t="s">
        <v>228</v>
      </c>
      <c r="F96" t="s">
        <v>21</v>
      </c>
      <c r="G96" t="s">
        <v>229</v>
      </c>
      <c r="H96" t="s">
        <v>57</v>
      </c>
      <c r="I96" t="s">
        <v>7</v>
      </c>
      <c r="J96" t="s">
        <v>39</v>
      </c>
      <c r="K96" t="s">
        <v>27</v>
      </c>
      <c r="L96" t="s">
        <v>42</v>
      </c>
      <c r="M96">
        <v>1</v>
      </c>
    </row>
    <row r="97" spans="1:13" x14ac:dyDescent="0.25">
      <c r="A97" s="2">
        <v>46247</v>
      </c>
      <c r="B97" s="1" t="str">
        <f ca="1">IF(Información1[[#This Row],[Fecha]]='Ajuste de fechas'!$A$2,"Día actual","Día anterior")</f>
        <v>Día anterior</v>
      </c>
      <c r="C97" t="s">
        <v>29</v>
      </c>
      <c r="D97" t="s">
        <v>30</v>
      </c>
      <c r="E97" t="s">
        <v>242</v>
      </c>
      <c r="F97" t="s">
        <v>31</v>
      </c>
      <c r="G97" t="s">
        <v>137</v>
      </c>
      <c r="H97" t="s">
        <v>57</v>
      </c>
      <c r="I97" t="s">
        <v>7</v>
      </c>
      <c r="J97" t="s">
        <v>39</v>
      </c>
      <c r="K97" t="s">
        <v>27</v>
      </c>
      <c r="L97" t="s">
        <v>42</v>
      </c>
      <c r="M97">
        <v>1</v>
      </c>
    </row>
    <row r="98" spans="1:13" x14ac:dyDescent="0.25">
      <c r="A98" s="2">
        <v>46247</v>
      </c>
      <c r="B98" s="1" t="str">
        <f ca="1">IF(Información1[[#This Row],[Fecha]]='Ajuste de fechas'!$A$2,"Día actual","Día anterior")</f>
        <v>Día anterior</v>
      </c>
      <c r="C98" t="s">
        <v>29</v>
      </c>
      <c r="D98" t="s">
        <v>30</v>
      </c>
      <c r="E98" t="s">
        <v>243</v>
      </c>
      <c r="F98" t="s">
        <v>26</v>
      </c>
      <c r="G98" t="s">
        <v>76</v>
      </c>
      <c r="H98" t="s">
        <v>57</v>
      </c>
      <c r="I98" t="s">
        <v>7</v>
      </c>
      <c r="J98" t="s">
        <v>39</v>
      </c>
      <c r="K98" t="s">
        <v>27</v>
      </c>
      <c r="L98" t="s">
        <v>40</v>
      </c>
      <c r="M98">
        <v>1</v>
      </c>
    </row>
    <row r="99" spans="1:13" x14ac:dyDescent="0.25">
      <c r="A99" s="2">
        <v>46247</v>
      </c>
      <c r="B99" s="1" t="str">
        <f ca="1">IF(Información1[[#This Row],[Fecha]]='Ajuste de fechas'!$A$2,"Día actual","Día anterior")</f>
        <v>Día anterior</v>
      </c>
      <c r="C99" t="s">
        <v>29</v>
      </c>
      <c r="D99" t="s">
        <v>30</v>
      </c>
      <c r="E99" t="s">
        <v>142</v>
      </c>
      <c r="F99" t="s">
        <v>26</v>
      </c>
      <c r="G99" t="s">
        <v>143</v>
      </c>
      <c r="H99" t="s">
        <v>57</v>
      </c>
      <c r="I99" t="s">
        <v>7</v>
      </c>
      <c r="J99" t="s">
        <v>39</v>
      </c>
      <c r="K99" t="s">
        <v>27</v>
      </c>
      <c r="L99" t="s">
        <v>42</v>
      </c>
      <c r="M99">
        <v>1</v>
      </c>
    </row>
    <row r="100" spans="1:13" x14ac:dyDescent="0.25">
      <c r="A100" s="2">
        <v>46247</v>
      </c>
      <c r="B100" s="1" t="str">
        <f ca="1">IF(Información1[[#This Row],[Fecha]]='Ajuste de fechas'!$A$2,"Día actual","Día anterior")</f>
        <v>Día anterior</v>
      </c>
      <c r="C100" t="s">
        <v>29</v>
      </c>
      <c r="D100" t="s">
        <v>30</v>
      </c>
      <c r="E100" t="s">
        <v>244</v>
      </c>
      <c r="F100" t="s">
        <v>19</v>
      </c>
      <c r="G100" t="s">
        <v>106</v>
      </c>
      <c r="H100" t="s">
        <v>57</v>
      </c>
      <c r="I100" t="s">
        <v>7</v>
      </c>
      <c r="J100" t="s">
        <v>43</v>
      </c>
      <c r="K100" t="s">
        <v>27</v>
      </c>
      <c r="L100" t="s">
        <v>40</v>
      </c>
      <c r="M100">
        <v>1</v>
      </c>
    </row>
    <row r="101" spans="1:13" x14ac:dyDescent="0.25">
      <c r="A101" s="2">
        <v>46247</v>
      </c>
      <c r="B101" s="1" t="str">
        <f ca="1">IF(Información1[[#This Row],[Fecha]]='Ajuste de fechas'!$A$2,"Día actual","Día anterior")</f>
        <v>Día anterior</v>
      </c>
      <c r="C101" t="s">
        <v>29</v>
      </c>
      <c r="D101" t="s">
        <v>30</v>
      </c>
      <c r="E101" t="s">
        <v>245</v>
      </c>
      <c r="F101" t="s">
        <v>17</v>
      </c>
      <c r="G101" t="s">
        <v>246</v>
      </c>
      <c r="H101" t="s">
        <v>57</v>
      </c>
      <c r="I101" t="s">
        <v>7</v>
      </c>
      <c r="J101" t="s">
        <v>39</v>
      </c>
      <c r="K101" t="s">
        <v>27</v>
      </c>
      <c r="L101" t="s">
        <v>40</v>
      </c>
      <c r="M101">
        <v>1</v>
      </c>
    </row>
    <row r="102" spans="1:13" x14ac:dyDescent="0.25">
      <c r="A102" s="2">
        <v>46247</v>
      </c>
      <c r="B102" s="1" t="str">
        <f ca="1">IF(Información1[[#This Row],[Fecha]]='Ajuste de fechas'!$A$2,"Día actual","Día anterior")</f>
        <v>Día anterior</v>
      </c>
      <c r="C102" t="s">
        <v>29</v>
      </c>
      <c r="D102" t="s">
        <v>30</v>
      </c>
      <c r="E102" t="s">
        <v>108</v>
      </c>
      <c r="F102" t="s">
        <v>17</v>
      </c>
      <c r="G102" t="s">
        <v>109</v>
      </c>
      <c r="H102" t="s">
        <v>57</v>
      </c>
      <c r="I102" t="s">
        <v>7</v>
      </c>
      <c r="J102" t="s">
        <v>39</v>
      </c>
      <c r="K102" t="s">
        <v>27</v>
      </c>
      <c r="L102" t="s">
        <v>40</v>
      </c>
      <c r="M102">
        <v>1</v>
      </c>
    </row>
    <row r="103" spans="1:13" x14ac:dyDescent="0.25">
      <c r="A103" s="2">
        <v>46247</v>
      </c>
      <c r="B103" s="1" t="str">
        <f ca="1">IF(Información1[[#This Row],[Fecha]]='Ajuste de fechas'!$A$2,"Día actual","Día anterior")</f>
        <v>Día anterior</v>
      </c>
      <c r="C103" t="s">
        <v>111</v>
      </c>
      <c r="D103" t="s">
        <v>112</v>
      </c>
      <c r="E103" t="s">
        <v>247</v>
      </c>
      <c r="F103" t="s">
        <v>21</v>
      </c>
      <c r="G103" t="s">
        <v>248</v>
      </c>
      <c r="H103" t="s">
        <v>57</v>
      </c>
      <c r="I103" t="s">
        <v>7</v>
      </c>
      <c r="J103" t="s">
        <v>39</v>
      </c>
      <c r="K103" t="s">
        <v>49</v>
      </c>
      <c r="L103" t="s">
        <v>40</v>
      </c>
      <c r="M103">
        <v>1</v>
      </c>
    </row>
    <row r="104" spans="1:13" x14ac:dyDescent="0.25">
      <c r="A104" s="2">
        <v>46247</v>
      </c>
      <c r="B104" s="1" t="str">
        <f ca="1">IF(Información1[[#This Row],[Fecha]]='Ajuste de fechas'!$A$2,"Día actual","Día anterior")</f>
        <v>Día anterior</v>
      </c>
      <c r="C104" t="s">
        <v>111</v>
      </c>
      <c r="D104" t="s">
        <v>112</v>
      </c>
      <c r="E104" t="s">
        <v>138</v>
      </c>
      <c r="F104" t="s">
        <v>23</v>
      </c>
      <c r="G104" t="s">
        <v>83</v>
      </c>
      <c r="H104" t="s">
        <v>57</v>
      </c>
      <c r="I104" t="s">
        <v>7</v>
      </c>
      <c r="J104" t="s">
        <v>39</v>
      </c>
      <c r="K104" t="s">
        <v>49</v>
      </c>
      <c r="L104" t="s">
        <v>42</v>
      </c>
      <c r="M104">
        <v>1</v>
      </c>
    </row>
    <row r="105" spans="1:13" x14ac:dyDescent="0.25">
      <c r="A105" s="2">
        <v>46247</v>
      </c>
      <c r="B105" s="1" t="str">
        <f ca="1">IF(Información1[[#This Row],[Fecha]]='Ajuste de fechas'!$A$2,"Día actual","Día anterior")</f>
        <v>Día anterior</v>
      </c>
      <c r="C105" t="s">
        <v>111</v>
      </c>
      <c r="D105" t="s">
        <v>112</v>
      </c>
      <c r="E105" t="s">
        <v>211</v>
      </c>
      <c r="F105" t="s">
        <v>48</v>
      </c>
      <c r="G105" t="s">
        <v>90</v>
      </c>
      <c r="H105" t="s">
        <v>57</v>
      </c>
      <c r="I105" t="s">
        <v>7</v>
      </c>
      <c r="J105" t="s">
        <v>39</v>
      </c>
      <c r="K105" t="s">
        <v>49</v>
      </c>
      <c r="L105" t="s">
        <v>42</v>
      </c>
      <c r="M105">
        <v>1</v>
      </c>
    </row>
    <row r="106" spans="1:13" x14ac:dyDescent="0.25">
      <c r="A106" s="2">
        <v>46247</v>
      </c>
      <c r="B106" s="1" t="str">
        <f ca="1">IF(Información1[[#This Row],[Fecha]]='Ajuste de fechas'!$A$2,"Día actual","Día anterior")</f>
        <v>Día anterior</v>
      </c>
      <c r="C106" t="s">
        <v>111</v>
      </c>
      <c r="D106" t="s">
        <v>112</v>
      </c>
      <c r="E106" t="s">
        <v>249</v>
      </c>
      <c r="F106" t="s">
        <v>87</v>
      </c>
      <c r="G106" t="s">
        <v>250</v>
      </c>
      <c r="H106" t="s">
        <v>57</v>
      </c>
      <c r="I106" t="s">
        <v>7</v>
      </c>
      <c r="J106" t="s">
        <v>39</v>
      </c>
      <c r="K106" t="s">
        <v>49</v>
      </c>
      <c r="L106" t="s">
        <v>42</v>
      </c>
      <c r="M106">
        <v>1</v>
      </c>
    </row>
    <row r="107" spans="1:13" x14ac:dyDescent="0.25">
      <c r="A107" s="2">
        <v>46247</v>
      </c>
      <c r="B107" s="1" t="str">
        <f ca="1">IF(Información1[[#This Row],[Fecha]]='Ajuste de fechas'!$A$2,"Día actual","Día anterior")</f>
        <v>Día anterior</v>
      </c>
      <c r="C107" t="s">
        <v>111</v>
      </c>
      <c r="D107" t="s">
        <v>112</v>
      </c>
      <c r="E107" t="s">
        <v>130</v>
      </c>
      <c r="F107" t="s">
        <v>21</v>
      </c>
      <c r="G107" t="s">
        <v>131</v>
      </c>
      <c r="H107" t="s">
        <v>57</v>
      </c>
      <c r="I107" t="s">
        <v>7</v>
      </c>
      <c r="J107" t="s">
        <v>39</v>
      </c>
      <c r="K107" t="s">
        <v>49</v>
      </c>
      <c r="L107" t="s">
        <v>42</v>
      </c>
      <c r="M107">
        <v>1</v>
      </c>
    </row>
    <row r="108" spans="1:13" x14ac:dyDescent="0.25">
      <c r="A108" s="2">
        <v>46247</v>
      </c>
      <c r="B108" s="1" t="str">
        <f ca="1">IF(Información1[[#This Row],[Fecha]]='Ajuste de fechas'!$A$2,"Día actual","Día anterior")</f>
        <v>Día anterior</v>
      </c>
      <c r="C108" t="s">
        <v>111</v>
      </c>
      <c r="D108" t="s">
        <v>112</v>
      </c>
      <c r="E108" t="s">
        <v>152</v>
      </c>
      <c r="F108" t="s">
        <v>88</v>
      </c>
      <c r="G108" t="s">
        <v>153</v>
      </c>
      <c r="H108" t="s">
        <v>57</v>
      </c>
      <c r="I108" t="s">
        <v>7</v>
      </c>
      <c r="J108" t="s">
        <v>39</v>
      </c>
      <c r="K108" t="s">
        <v>49</v>
      </c>
      <c r="L108" t="s">
        <v>42</v>
      </c>
      <c r="M108">
        <v>1</v>
      </c>
    </row>
    <row r="109" spans="1:13" x14ac:dyDescent="0.25">
      <c r="A109" s="2">
        <v>46247</v>
      </c>
      <c r="B109" s="1" t="str">
        <f ca="1">IF(Información1[[#This Row],[Fecha]]='Ajuste de fechas'!$A$2,"Día actual","Día anterior")</f>
        <v>Día anterior</v>
      </c>
      <c r="C109" t="s">
        <v>111</v>
      </c>
      <c r="D109" t="s">
        <v>112</v>
      </c>
      <c r="E109" t="s">
        <v>251</v>
      </c>
      <c r="F109" t="s">
        <v>91</v>
      </c>
      <c r="G109" t="s">
        <v>160</v>
      </c>
      <c r="H109" t="s">
        <v>57</v>
      </c>
      <c r="I109" t="s">
        <v>7</v>
      </c>
      <c r="J109" t="s">
        <v>39</v>
      </c>
      <c r="K109" t="s">
        <v>49</v>
      </c>
      <c r="L109" t="s">
        <v>42</v>
      </c>
      <c r="M109">
        <v>1</v>
      </c>
    </row>
    <row r="110" spans="1:13" x14ac:dyDescent="0.25">
      <c r="A110" s="2">
        <v>46247</v>
      </c>
      <c r="B110" s="1" t="str">
        <f ca="1">IF(Información1[[#This Row],[Fecha]]='Ajuste de fechas'!$A$2,"Día actual","Día anterior")</f>
        <v>Día anterior</v>
      </c>
      <c r="C110" t="s">
        <v>111</v>
      </c>
      <c r="D110" t="s">
        <v>112</v>
      </c>
      <c r="E110" t="s">
        <v>252</v>
      </c>
      <c r="F110" t="s">
        <v>19</v>
      </c>
      <c r="G110" t="s">
        <v>253</v>
      </c>
      <c r="H110" t="s">
        <v>57</v>
      </c>
      <c r="I110" t="s">
        <v>25</v>
      </c>
      <c r="J110" t="s">
        <v>43</v>
      </c>
      <c r="K110" t="s">
        <v>254</v>
      </c>
      <c r="L110" t="s">
        <v>40</v>
      </c>
      <c r="M110">
        <v>1</v>
      </c>
    </row>
    <row r="111" spans="1:13" x14ac:dyDescent="0.25">
      <c r="A111" s="2">
        <v>46247</v>
      </c>
      <c r="B111" s="1" t="str">
        <f ca="1">IF(Información1[[#This Row],[Fecha]]='Ajuste de fechas'!$A$2,"Día actual","Día anterior")</f>
        <v>Día anterior</v>
      </c>
      <c r="C111" t="s">
        <v>111</v>
      </c>
      <c r="D111" t="s">
        <v>112</v>
      </c>
      <c r="E111" t="s">
        <v>255</v>
      </c>
      <c r="F111" t="s">
        <v>91</v>
      </c>
      <c r="G111" t="s">
        <v>162</v>
      </c>
      <c r="H111" t="s">
        <v>57</v>
      </c>
      <c r="I111" t="s">
        <v>7</v>
      </c>
      <c r="J111" t="s">
        <v>39</v>
      </c>
      <c r="K111" t="s">
        <v>49</v>
      </c>
      <c r="L111" t="s">
        <v>42</v>
      </c>
      <c r="M111">
        <v>1</v>
      </c>
    </row>
    <row r="112" spans="1:13" x14ac:dyDescent="0.25">
      <c r="A112" s="2">
        <v>46247</v>
      </c>
      <c r="B112" s="1" t="str">
        <f ca="1">IF(Información1[[#This Row],[Fecha]]='Ajuste de fechas'!$A$2,"Día actual","Día anterior")</f>
        <v>Día anterior</v>
      </c>
      <c r="C112" t="s">
        <v>111</v>
      </c>
      <c r="D112" t="s">
        <v>112</v>
      </c>
      <c r="E112" t="s">
        <v>136</v>
      </c>
      <c r="F112" t="s">
        <v>31</v>
      </c>
      <c r="G112" t="s">
        <v>137</v>
      </c>
      <c r="H112" t="s">
        <v>57</v>
      </c>
      <c r="I112" t="s">
        <v>7</v>
      </c>
      <c r="J112" t="s">
        <v>39</v>
      </c>
      <c r="K112" t="s">
        <v>49</v>
      </c>
      <c r="L112" t="s">
        <v>42</v>
      </c>
      <c r="M112">
        <v>1</v>
      </c>
    </row>
    <row r="113" spans="1:13" x14ac:dyDescent="0.25">
      <c r="A113" s="2">
        <v>46247</v>
      </c>
      <c r="B113" s="1" t="str">
        <f ca="1">IF(Información1[[#This Row],[Fecha]]='Ajuste de fechas'!$A$2,"Día actual","Día anterior")</f>
        <v>Día anterior</v>
      </c>
      <c r="C113" t="s">
        <v>111</v>
      </c>
      <c r="D113" t="s">
        <v>112</v>
      </c>
      <c r="E113" t="s">
        <v>256</v>
      </c>
      <c r="F113" t="s">
        <v>54</v>
      </c>
      <c r="G113" t="s">
        <v>257</v>
      </c>
      <c r="H113" t="s">
        <v>57</v>
      </c>
      <c r="I113" t="s">
        <v>7</v>
      </c>
      <c r="J113" t="s">
        <v>24</v>
      </c>
      <c r="K113" t="s">
        <v>49</v>
      </c>
      <c r="L113" t="s">
        <v>40</v>
      </c>
      <c r="M113">
        <v>1</v>
      </c>
    </row>
    <row r="114" spans="1:13" x14ac:dyDescent="0.25">
      <c r="A114" s="2">
        <v>46248</v>
      </c>
      <c r="B114" s="1" t="str">
        <f ca="1">IF(Información1[[#This Row],[Fecha]]='Ajuste de fechas'!$A$2,"Día actual","Día anterior")</f>
        <v>Día actual</v>
      </c>
      <c r="C114" t="s">
        <v>58</v>
      </c>
      <c r="D114" t="s">
        <v>59</v>
      </c>
      <c r="E114" t="s">
        <v>258</v>
      </c>
      <c r="F114" t="s">
        <v>19</v>
      </c>
      <c r="G114" t="s">
        <v>259</v>
      </c>
      <c r="H114" t="s">
        <v>11</v>
      </c>
      <c r="I114" t="s">
        <v>25</v>
      </c>
      <c r="J114" t="s">
        <v>43</v>
      </c>
      <c r="K114" t="s">
        <v>9</v>
      </c>
      <c r="L114" t="s">
        <v>41</v>
      </c>
      <c r="M114">
        <v>1</v>
      </c>
    </row>
    <row r="115" spans="1:13" x14ac:dyDescent="0.25">
      <c r="A115" s="2">
        <v>46248</v>
      </c>
      <c r="B115" s="1" t="str">
        <f ca="1">IF(Información1[[#This Row],[Fecha]]='Ajuste de fechas'!$A$2,"Día actual","Día anterior")</f>
        <v>Día actual</v>
      </c>
      <c r="C115" t="s">
        <v>58</v>
      </c>
      <c r="D115" t="s">
        <v>59</v>
      </c>
      <c r="E115" t="s">
        <v>260</v>
      </c>
      <c r="F115" t="s">
        <v>23</v>
      </c>
      <c r="G115" t="s">
        <v>83</v>
      </c>
      <c r="H115" t="s">
        <v>11</v>
      </c>
      <c r="I115" t="s">
        <v>7</v>
      </c>
      <c r="J115" t="s">
        <v>39</v>
      </c>
      <c r="K115" t="s">
        <v>60</v>
      </c>
      <c r="L115" t="s">
        <v>42</v>
      </c>
      <c r="M115">
        <v>1</v>
      </c>
    </row>
    <row r="116" spans="1:13" x14ac:dyDescent="0.25">
      <c r="A116" s="2">
        <v>46248</v>
      </c>
      <c r="B116" s="1" t="str">
        <f ca="1">IF(Información1[[#This Row],[Fecha]]='Ajuste de fechas'!$A$2,"Día actual","Día anterior")</f>
        <v>Día actual</v>
      </c>
      <c r="C116" t="s">
        <v>58</v>
      </c>
      <c r="D116" t="s">
        <v>59</v>
      </c>
      <c r="E116" t="s">
        <v>261</v>
      </c>
      <c r="F116" t="s">
        <v>26</v>
      </c>
      <c r="G116" t="s">
        <v>83</v>
      </c>
      <c r="H116" t="s">
        <v>11</v>
      </c>
      <c r="I116" t="s">
        <v>7</v>
      </c>
      <c r="J116" t="s">
        <v>39</v>
      </c>
      <c r="K116" t="s">
        <v>60</v>
      </c>
      <c r="L116" t="s">
        <v>40</v>
      </c>
      <c r="M116">
        <v>1</v>
      </c>
    </row>
    <row r="117" spans="1:13" x14ac:dyDescent="0.25">
      <c r="A117" s="2">
        <v>46248</v>
      </c>
      <c r="B117" s="1" t="str">
        <f ca="1">IF(Información1[[#This Row],[Fecha]]='Ajuste de fechas'!$A$2,"Día actual","Día anterior")</f>
        <v>Día actual</v>
      </c>
      <c r="C117" t="s">
        <v>58</v>
      </c>
      <c r="D117" t="s">
        <v>59</v>
      </c>
      <c r="E117" t="s">
        <v>262</v>
      </c>
      <c r="F117" t="s">
        <v>19</v>
      </c>
      <c r="G117" t="s">
        <v>150</v>
      </c>
      <c r="H117" t="s">
        <v>11</v>
      </c>
      <c r="I117" t="s">
        <v>7</v>
      </c>
      <c r="J117" t="s">
        <v>43</v>
      </c>
      <c r="K117" t="s">
        <v>60</v>
      </c>
      <c r="L117" t="s">
        <v>70</v>
      </c>
      <c r="M117">
        <v>1</v>
      </c>
    </row>
    <row r="118" spans="1:13" x14ac:dyDescent="0.25">
      <c r="A118" s="2">
        <v>46248</v>
      </c>
      <c r="B118" s="1" t="str">
        <f ca="1">IF(Información1[[#This Row],[Fecha]]='Ajuste de fechas'!$A$2,"Día actual","Día anterior")</f>
        <v>Día actual</v>
      </c>
      <c r="C118" t="s">
        <v>58</v>
      </c>
      <c r="D118" t="s">
        <v>59</v>
      </c>
      <c r="E118" t="s">
        <v>263</v>
      </c>
      <c r="F118" t="s">
        <v>21</v>
      </c>
      <c r="G118" t="s">
        <v>264</v>
      </c>
      <c r="H118" t="s">
        <v>11</v>
      </c>
      <c r="I118" t="s">
        <v>7</v>
      </c>
      <c r="J118" t="s">
        <v>39</v>
      </c>
      <c r="K118" t="s">
        <v>60</v>
      </c>
      <c r="L118" t="s">
        <v>42</v>
      </c>
      <c r="M118">
        <v>1</v>
      </c>
    </row>
    <row r="119" spans="1:13" x14ac:dyDescent="0.25">
      <c r="A119" s="2">
        <v>46248</v>
      </c>
      <c r="B119" s="1" t="str">
        <f ca="1">IF(Información1[[#This Row],[Fecha]]='Ajuste de fechas'!$A$2,"Día actual","Día anterior")</f>
        <v>Día actual</v>
      </c>
      <c r="C119" t="s">
        <v>58</v>
      </c>
      <c r="D119" t="s">
        <v>59</v>
      </c>
      <c r="E119" t="s">
        <v>265</v>
      </c>
      <c r="F119" t="s">
        <v>24</v>
      </c>
      <c r="G119" t="s">
        <v>266</v>
      </c>
      <c r="H119" t="s">
        <v>11</v>
      </c>
      <c r="I119" t="s">
        <v>7</v>
      </c>
      <c r="J119" t="s">
        <v>24</v>
      </c>
      <c r="K119" t="s">
        <v>60</v>
      </c>
      <c r="L119" t="s">
        <v>40</v>
      </c>
      <c r="M119">
        <v>1</v>
      </c>
    </row>
    <row r="120" spans="1:13" x14ac:dyDescent="0.25">
      <c r="A120" s="2">
        <v>46248</v>
      </c>
      <c r="B120" s="1" t="str">
        <f ca="1">IF(Información1[[#This Row],[Fecha]]='Ajuste de fechas'!$A$2,"Día actual","Día anterior")</f>
        <v>Día actual</v>
      </c>
      <c r="C120" t="s">
        <v>58</v>
      </c>
      <c r="D120" t="s">
        <v>59</v>
      </c>
      <c r="E120" t="s">
        <v>267</v>
      </c>
      <c r="F120" t="s">
        <v>19</v>
      </c>
      <c r="G120" t="s">
        <v>98</v>
      </c>
      <c r="H120" t="s">
        <v>11</v>
      </c>
      <c r="I120" t="s">
        <v>7</v>
      </c>
      <c r="J120" t="s">
        <v>43</v>
      </c>
      <c r="K120" t="s">
        <v>60</v>
      </c>
      <c r="L120" t="s">
        <v>40</v>
      </c>
      <c r="M120">
        <v>1</v>
      </c>
    </row>
    <row r="121" spans="1:13" x14ac:dyDescent="0.25">
      <c r="A121" s="2">
        <v>46248</v>
      </c>
      <c r="B121" s="1" t="str">
        <f ca="1">IF(Información1[[#This Row],[Fecha]]='Ajuste de fechas'!$A$2,"Día actual","Día anterior")</f>
        <v>Día actual</v>
      </c>
      <c r="C121" t="s">
        <v>58</v>
      </c>
      <c r="D121" t="s">
        <v>59</v>
      </c>
      <c r="E121" t="s">
        <v>268</v>
      </c>
      <c r="F121" t="s">
        <v>115</v>
      </c>
      <c r="G121" t="s">
        <v>269</v>
      </c>
      <c r="H121" t="s">
        <v>11</v>
      </c>
      <c r="I121" t="s">
        <v>7</v>
      </c>
      <c r="J121" t="s">
        <v>116</v>
      </c>
      <c r="K121" t="s">
        <v>60</v>
      </c>
      <c r="L121" t="s">
        <v>40</v>
      </c>
      <c r="M121">
        <v>1</v>
      </c>
    </row>
    <row r="122" spans="1:13" x14ac:dyDescent="0.25">
      <c r="A122" s="2">
        <v>46248</v>
      </c>
      <c r="B122" s="1" t="str">
        <f ca="1">IF(Información1[[#This Row],[Fecha]]='Ajuste de fechas'!$A$2,"Día actual","Día anterior")</f>
        <v>Día actual</v>
      </c>
      <c r="C122" t="s">
        <v>58</v>
      </c>
      <c r="D122" t="s">
        <v>59</v>
      </c>
      <c r="E122" t="s">
        <v>270</v>
      </c>
      <c r="F122" t="s">
        <v>22</v>
      </c>
      <c r="G122" t="s">
        <v>271</v>
      </c>
      <c r="H122" t="s">
        <v>11</v>
      </c>
      <c r="I122" t="s">
        <v>7</v>
      </c>
      <c r="J122" t="s">
        <v>44</v>
      </c>
      <c r="K122" t="s">
        <v>60</v>
      </c>
      <c r="L122" t="s">
        <v>40</v>
      </c>
      <c r="M122">
        <v>1</v>
      </c>
    </row>
    <row r="123" spans="1:13" x14ac:dyDescent="0.25">
      <c r="A123" s="2">
        <v>46248</v>
      </c>
      <c r="B123" s="1" t="str">
        <f ca="1">IF(Información1[[#This Row],[Fecha]]='Ajuste de fechas'!$A$2,"Día actual","Día anterior")</f>
        <v>Día actual</v>
      </c>
      <c r="C123" t="s">
        <v>58</v>
      </c>
      <c r="D123" t="s">
        <v>59</v>
      </c>
      <c r="E123" t="s">
        <v>147</v>
      </c>
      <c r="F123" t="s">
        <v>19</v>
      </c>
      <c r="G123" t="s">
        <v>272</v>
      </c>
      <c r="H123" t="s">
        <v>11</v>
      </c>
      <c r="I123" t="s">
        <v>7</v>
      </c>
      <c r="J123" t="s">
        <v>43</v>
      </c>
      <c r="K123" t="s">
        <v>60</v>
      </c>
      <c r="L123" t="s">
        <v>40</v>
      </c>
      <c r="M123">
        <v>1</v>
      </c>
    </row>
    <row r="124" spans="1:13" x14ac:dyDescent="0.25">
      <c r="A124" s="2">
        <v>46248</v>
      </c>
      <c r="B124" s="1" t="str">
        <f ca="1">IF(Información1[[#This Row],[Fecha]]='Ajuste de fechas'!$A$2,"Día actual","Día anterior")</f>
        <v>Día actual</v>
      </c>
      <c r="C124" t="s">
        <v>58</v>
      </c>
      <c r="D124" t="s">
        <v>59</v>
      </c>
      <c r="E124" t="s">
        <v>61</v>
      </c>
      <c r="F124" t="s">
        <v>19</v>
      </c>
      <c r="G124" t="s">
        <v>56</v>
      </c>
      <c r="H124" t="s">
        <v>11</v>
      </c>
      <c r="I124" t="s">
        <v>7</v>
      </c>
      <c r="J124" t="s">
        <v>43</v>
      </c>
      <c r="K124" t="s">
        <v>273</v>
      </c>
      <c r="L124" t="s">
        <v>74</v>
      </c>
      <c r="M124">
        <v>1</v>
      </c>
    </row>
    <row r="125" spans="1:13" x14ac:dyDescent="0.25">
      <c r="A125" s="2">
        <v>46248</v>
      </c>
      <c r="B125" s="1" t="str">
        <f ca="1">IF(Información1[[#This Row],[Fecha]]='Ajuste de fechas'!$A$2,"Día actual","Día anterior")</f>
        <v>Día actual</v>
      </c>
      <c r="C125" t="s">
        <v>58</v>
      </c>
      <c r="D125" t="s">
        <v>59</v>
      </c>
      <c r="E125" t="s">
        <v>274</v>
      </c>
      <c r="F125" t="s">
        <v>22</v>
      </c>
      <c r="G125" t="s">
        <v>84</v>
      </c>
      <c r="H125" t="s">
        <v>11</v>
      </c>
      <c r="I125" t="s">
        <v>7</v>
      </c>
      <c r="J125" t="s">
        <v>44</v>
      </c>
      <c r="K125" t="s">
        <v>60</v>
      </c>
      <c r="L125" t="s">
        <v>40</v>
      </c>
      <c r="M125">
        <v>1</v>
      </c>
    </row>
    <row r="126" spans="1:13" x14ac:dyDescent="0.25">
      <c r="A126" s="2">
        <v>46248</v>
      </c>
      <c r="B126" s="1" t="str">
        <f ca="1">IF(Información1[[#This Row],[Fecha]]='Ajuste de fechas'!$A$2,"Día actual","Día anterior")</f>
        <v>Día actual</v>
      </c>
      <c r="C126" t="s">
        <v>58</v>
      </c>
      <c r="D126" t="s">
        <v>59</v>
      </c>
      <c r="E126" t="s">
        <v>275</v>
      </c>
      <c r="F126" t="s">
        <v>23</v>
      </c>
      <c r="G126" t="s">
        <v>276</v>
      </c>
      <c r="H126" t="s">
        <v>11</v>
      </c>
      <c r="I126" t="s">
        <v>7</v>
      </c>
      <c r="J126" t="s">
        <v>39</v>
      </c>
      <c r="K126" t="s">
        <v>60</v>
      </c>
      <c r="L126" t="s">
        <v>40</v>
      </c>
      <c r="M126">
        <v>1</v>
      </c>
    </row>
    <row r="127" spans="1:13" x14ac:dyDescent="0.25">
      <c r="A127" s="2">
        <v>46248</v>
      </c>
      <c r="B127" s="1" t="str">
        <f ca="1">IF(Información1[[#This Row],[Fecha]]='Ajuste de fechas'!$A$2,"Día actual","Día anterior")</f>
        <v>Día actual</v>
      </c>
      <c r="C127" t="s">
        <v>58</v>
      </c>
      <c r="D127" t="s">
        <v>59</v>
      </c>
      <c r="E127" t="s">
        <v>277</v>
      </c>
      <c r="F127" t="s">
        <v>19</v>
      </c>
      <c r="G127" t="s">
        <v>278</v>
      </c>
      <c r="H127" t="s">
        <v>11</v>
      </c>
      <c r="I127" t="s">
        <v>7</v>
      </c>
      <c r="J127" t="s">
        <v>43</v>
      </c>
      <c r="K127" t="s">
        <v>60</v>
      </c>
      <c r="L127" t="s">
        <v>40</v>
      </c>
      <c r="M127">
        <v>1</v>
      </c>
    </row>
    <row r="128" spans="1:13" x14ac:dyDescent="0.25">
      <c r="A128" s="2">
        <v>46248</v>
      </c>
      <c r="B128" s="1" t="str">
        <f ca="1">IF(Información1[[#This Row],[Fecha]]='Ajuste de fechas'!$A$2,"Día actual","Día anterior")</f>
        <v>Día actual</v>
      </c>
      <c r="C128" t="s">
        <v>29</v>
      </c>
      <c r="D128" t="s">
        <v>30</v>
      </c>
      <c r="E128" t="s">
        <v>279</v>
      </c>
      <c r="F128" t="s">
        <v>26</v>
      </c>
      <c r="G128" t="s">
        <v>76</v>
      </c>
      <c r="H128" t="s">
        <v>57</v>
      </c>
      <c r="I128" t="s">
        <v>7</v>
      </c>
      <c r="J128" t="s">
        <v>39</v>
      </c>
      <c r="K128" t="s">
        <v>27</v>
      </c>
      <c r="L128" t="s">
        <v>42</v>
      </c>
      <c r="M128">
        <v>1</v>
      </c>
    </row>
    <row r="129" spans="1:13" x14ac:dyDescent="0.25">
      <c r="A129" s="2">
        <v>46248</v>
      </c>
      <c r="B129" s="1" t="str">
        <f ca="1">IF(Información1[[#This Row],[Fecha]]='Ajuste de fechas'!$A$2,"Día actual","Día anterior")</f>
        <v>Día actual</v>
      </c>
      <c r="C129" t="s">
        <v>29</v>
      </c>
      <c r="D129" t="s">
        <v>30</v>
      </c>
      <c r="E129" t="s">
        <v>280</v>
      </c>
      <c r="F129" t="s">
        <v>19</v>
      </c>
      <c r="G129" t="s">
        <v>281</v>
      </c>
      <c r="H129" t="s">
        <v>57</v>
      </c>
      <c r="I129" t="s">
        <v>7</v>
      </c>
      <c r="J129" t="s">
        <v>43</v>
      </c>
      <c r="K129" t="s">
        <v>27</v>
      </c>
      <c r="L129" t="s">
        <v>40</v>
      </c>
      <c r="M129">
        <v>1</v>
      </c>
    </row>
    <row r="130" spans="1:13" x14ac:dyDescent="0.25">
      <c r="A130" s="2">
        <v>46248</v>
      </c>
      <c r="B130" s="1" t="str">
        <f ca="1">IF(Información1[[#This Row],[Fecha]]='Ajuste de fechas'!$A$2,"Día actual","Día anterior")</f>
        <v>Día actual</v>
      </c>
      <c r="C130" t="s">
        <v>29</v>
      </c>
      <c r="D130" t="s">
        <v>30</v>
      </c>
      <c r="E130" t="s">
        <v>282</v>
      </c>
      <c r="F130" t="s">
        <v>21</v>
      </c>
      <c r="G130" t="s">
        <v>283</v>
      </c>
      <c r="H130" t="s">
        <v>57</v>
      </c>
      <c r="I130" t="s">
        <v>7</v>
      </c>
      <c r="J130" t="s">
        <v>39</v>
      </c>
      <c r="K130" t="s">
        <v>27</v>
      </c>
      <c r="L130" t="s">
        <v>42</v>
      </c>
      <c r="M130">
        <v>1</v>
      </c>
    </row>
    <row r="131" spans="1:13" x14ac:dyDescent="0.25">
      <c r="A131" s="2">
        <v>46248</v>
      </c>
      <c r="B131" s="1" t="str">
        <f ca="1">IF(Información1[[#This Row],[Fecha]]='Ajuste de fechas'!$A$2,"Día actual","Día anterior")</f>
        <v>Día actual</v>
      </c>
      <c r="C131" t="s">
        <v>29</v>
      </c>
      <c r="D131" t="s">
        <v>30</v>
      </c>
      <c r="E131" t="s">
        <v>284</v>
      </c>
      <c r="F131" t="s">
        <v>19</v>
      </c>
      <c r="G131" t="s">
        <v>285</v>
      </c>
      <c r="H131" t="s">
        <v>57</v>
      </c>
      <c r="I131" t="s">
        <v>25</v>
      </c>
      <c r="J131" t="s">
        <v>43</v>
      </c>
      <c r="K131" t="s">
        <v>9</v>
      </c>
      <c r="L131" t="s">
        <v>41</v>
      </c>
      <c r="M131">
        <v>1</v>
      </c>
    </row>
    <row r="132" spans="1:13" x14ac:dyDescent="0.25">
      <c r="A132" s="2">
        <v>46248</v>
      </c>
      <c r="B132" s="1" t="str">
        <f ca="1">IF(Información1[[#This Row],[Fecha]]='Ajuste de fechas'!$A$2,"Día actual","Día anterior")</f>
        <v>Día actual</v>
      </c>
      <c r="C132" t="s">
        <v>29</v>
      </c>
      <c r="D132" t="s">
        <v>30</v>
      </c>
      <c r="E132" t="s">
        <v>286</v>
      </c>
      <c r="F132" t="s">
        <v>17</v>
      </c>
      <c r="G132" t="s">
        <v>109</v>
      </c>
      <c r="H132" t="s">
        <v>57</v>
      </c>
      <c r="I132" t="s">
        <v>7</v>
      </c>
      <c r="J132" t="s">
        <v>39</v>
      </c>
      <c r="K132" t="s">
        <v>27</v>
      </c>
      <c r="L132" t="s">
        <v>40</v>
      </c>
      <c r="M132">
        <v>1</v>
      </c>
    </row>
    <row r="133" spans="1:13" x14ac:dyDescent="0.25">
      <c r="A133" s="2">
        <v>46248</v>
      </c>
      <c r="B133" s="1" t="str">
        <f ca="1">IF(Información1[[#This Row],[Fecha]]='Ajuste de fechas'!$A$2,"Día actual","Día anterior")</f>
        <v>Día actual</v>
      </c>
      <c r="C133" t="s">
        <v>29</v>
      </c>
      <c r="D133" t="s">
        <v>30</v>
      </c>
      <c r="E133" t="s">
        <v>287</v>
      </c>
      <c r="F133" t="s">
        <v>87</v>
      </c>
      <c r="G133" t="s">
        <v>122</v>
      </c>
      <c r="H133" t="s">
        <v>57</v>
      </c>
      <c r="I133" t="s">
        <v>7</v>
      </c>
      <c r="J133" t="s">
        <v>39</v>
      </c>
      <c r="K133" t="s">
        <v>110</v>
      </c>
      <c r="L133" t="s">
        <v>40</v>
      </c>
      <c r="M133">
        <v>1</v>
      </c>
    </row>
    <row r="134" spans="1:13" x14ac:dyDescent="0.25">
      <c r="A134" s="2">
        <v>46248</v>
      </c>
      <c r="B134" s="1" t="str">
        <f ca="1">IF(Información1[[#This Row],[Fecha]]='Ajuste de fechas'!$A$2,"Día actual","Día anterior")</f>
        <v>Día actual</v>
      </c>
      <c r="C134" t="s">
        <v>29</v>
      </c>
      <c r="D134" t="s">
        <v>30</v>
      </c>
      <c r="E134" t="s">
        <v>288</v>
      </c>
      <c r="F134" t="s">
        <v>19</v>
      </c>
      <c r="G134" t="s">
        <v>56</v>
      </c>
      <c r="H134" t="s">
        <v>57</v>
      </c>
      <c r="I134" t="s">
        <v>7</v>
      </c>
      <c r="J134" t="s">
        <v>43</v>
      </c>
      <c r="K134" t="s">
        <v>27</v>
      </c>
      <c r="L134" t="s">
        <v>40</v>
      </c>
      <c r="M134">
        <v>1</v>
      </c>
    </row>
    <row r="135" spans="1:13" x14ac:dyDescent="0.25">
      <c r="A135" s="2">
        <v>46248</v>
      </c>
      <c r="B135" s="1" t="str">
        <f ca="1">IF(Información1[[#This Row],[Fecha]]='Ajuste de fechas'!$A$2,"Día actual","Día anterior")</f>
        <v>Día actual</v>
      </c>
      <c r="C135" t="s">
        <v>29</v>
      </c>
      <c r="D135" t="s">
        <v>30</v>
      </c>
      <c r="E135" t="s">
        <v>289</v>
      </c>
      <c r="F135" t="s">
        <v>19</v>
      </c>
      <c r="G135" t="s">
        <v>240</v>
      </c>
      <c r="H135" t="s">
        <v>57</v>
      </c>
      <c r="I135" t="s">
        <v>7</v>
      </c>
      <c r="J135" t="s">
        <v>43</v>
      </c>
      <c r="K135" t="s">
        <v>27</v>
      </c>
      <c r="L135" t="s">
        <v>40</v>
      </c>
      <c r="M135">
        <v>1</v>
      </c>
    </row>
    <row r="136" spans="1:13" x14ac:dyDescent="0.25">
      <c r="A136" s="2">
        <v>46248</v>
      </c>
      <c r="B136" s="1" t="str">
        <f ca="1">IF(Información1[[#This Row],[Fecha]]='Ajuste de fechas'!$A$2,"Día actual","Día anterior")</f>
        <v>Día actual</v>
      </c>
      <c r="C136" t="s">
        <v>29</v>
      </c>
      <c r="D136" t="s">
        <v>30</v>
      </c>
      <c r="E136" t="s">
        <v>290</v>
      </c>
      <c r="F136" t="s">
        <v>31</v>
      </c>
      <c r="G136" t="s">
        <v>291</v>
      </c>
      <c r="H136" t="s">
        <v>57</v>
      </c>
      <c r="I136" t="s">
        <v>7</v>
      </c>
      <c r="J136" t="s">
        <v>39</v>
      </c>
      <c r="K136" t="s">
        <v>27</v>
      </c>
      <c r="L136" t="s">
        <v>42</v>
      </c>
      <c r="M136">
        <v>1</v>
      </c>
    </row>
    <row r="137" spans="1:13" x14ac:dyDescent="0.25">
      <c r="A137" s="2">
        <v>46248</v>
      </c>
      <c r="B137" s="1" t="str">
        <f ca="1">IF(Información1[[#This Row],[Fecha]]='Ajuste de fechas'!$A$2,"Día actual","Día anterior")</f>
        <v>Día actual</v>
      </c>
      <c r="C137" t="s">
        <v>29</v>
      </c>
      <c r="D137" t="s">
        <v>30</v>
      </c>
      <c r="E137" t="s">
        <v>292</v>
      </c>
      <c r="F137" t="s">
        <v>15</v>
      </c>
      <c r="G137" t="s">
        <v>293</v>
      </c>
      <c r="H137" t="s">
        <v>57</v>
      </c>
      <c r="I137" t="s">
        <v>7</v>
      </c>
      <c r="J137" t="s">
        <v>39</v>
      </c>
      <c r="K137" t="s">
        <v>27</v>
      </c>
      <c r="L137" t="s">
        <v>42</v>
      </c>
      <c r="M137">
        <v>1</v>
      </c>
    </row>
    <row r="138" spans="1:13" x14ac:dyDescent="0.25">
      <c r="A138" s="2">
        <v>46248</v>
      </c>
      <c r="B138" s="1" t="str">
        <f ca="1">IF(Información1[[#This Row],[Fecha]]='Ajuste de fechas'!$A$2,"Día actual","Día anterior")</f>
        <v>Día actual</v>
      </c>
      <c r="C138" t="s">
        <v>29</v>
      </c>
      <c r="D138" t="s">
        <v>30</v>
      </c>
      <c r="E138" t="s">
        <v>294</v>
      </c>
      <c r="F138" t="s">
        <v>22</v>
      </c>
      <c r="G138" t="s">
        <v>295</v>
      </c>
      <c r="H138" t="s">
        <v>57</v>
      </c>
      <c r="I138" t="s">
        <v>25</v>
      </c>
      <c r="J138" t="s">
        <v>44</v>
      </c>
      <c r="K138" t="s">
        <v>9</v>
      </c>
      <c r="L138" t="s">
        <v>41</v>
      </c>
      <c r="M138">
        <v>1</v>
      </c>
    </row>
    <row r="139" spans="1:13" x14ac:dyDescent="0.25">
      <c r="A139" s="2">
        <v>46248</v>
      </c>
      <c r="B139" s="1" t="str">
        <f ca="1">IF(Información1[[#This Row],[Fecha]]='Ajuste de fechas'!$A$2,"Día actual","Día anterior")</f>
        <v>Día actual</v>
      </c>
      <c r="C139" t="s">
        <v>29</v>
      </c>
      <c r="D139" t="s">
        <v>30</v>
      </c>
      <c r="E139" t="s">
        <v>296</v>
      </c>
      <c r="F139" t="s">
        <v>26</v>
      </c>
      <c r="G139" t="s">
        <v>76</v>
      </c>
      <c r="H139" t="s">
        <v>57</v>
      </c>
      <c r="I139" t="s">
        <v>7</v>
      </c>
      <c r="J139" t="s">
        <v>39</v>
      </c>
      <c r="K139" t="s">
        <v>9</v>
      </c>
      <c r="L139" t="s">
        <v>42</v>
      </c>
      <c r="M139">
        <v>1</v>
      </c>
    </row>
    <row r="140" spans="1:13" x14ac:dyDescent="0.25">
      <c r="A140" s="2">
        <v>46248</v>
      </c>
      <c r="B140" s="1" t="str">
        <f ca="1">IF(Información1[[#This Row],[Fecha]]='Ajuste de fechas'!$A$2,"Día actual","Día anterior")</f>
        <v>Día actual</v>
      </c>
      <c r="C140" t="s">
        <v>28</v>
      </c>
      <c r="D140" t="s">
        <v>65</v>
      </c>
      <c r="E140" t="s">
        <v>297</v>
      </c>
      <c r="F140" t="s">
        <v>19</v>
      </c>
      <c r="G140" t="s">
        <v>298</v>
      </c>
      <c r="H140" t="s">
        <v>11</v>
      </c>
      <c r="I140" t="s">
        <v>25</v>
      </c>
      <c r="J140" t="s">
        <v>43</v>
      </c>
      <c r="K140" t="s">
        <v>66</v>
      </c>
      <c r="L140" t="s">
        <v>40</v>
      </c>
      <c r="M140">
        <v>1</v>
      </c>
    </row>
    <row r="141" spans="1:13" x14ac:dyDescent="0.25">
      <c r="A141" s="2">
        <v>46248</v>
      </c>
      <c r="B141" s="1" t="str">
        <f ca="1">IF(Información1[[#This Row],[Fecha]]='Ajuste de fechas'!$A$2,"Día actual","Día anterior")</f>
        <v>Día actual</v>
      </c>
      <c r="C141" t="s">
        <v>28</v>
      </c>
      <c r="D141" t="s">
        <v>65</v>
      </c>
      <c r="E141" t="s">
        <v>299</v>
      </c>
      <c r="F141" t="s">
        <v>22</v>
      </c>
      <c r="G141" t="s">
        <v>300</v>
      </c>
      <c r="H141" t="s">
        <v>11</v>
      </c>
      <c r="I141" t="s">
        <v>25</v>
      </c>
      <c r="J141" t="s">
        <v>44</v>
      </c>
      <c r="K141" t="s">
        <v>66</v>
      </c>
      <c r="L141" t="s">
        <v>40</v>
      </c>
      <c r="M141">
        <v>1</v>
      </c>
    </row>
    <row r="142" spans="1:13" x14ac:dyDescent="0.25">
      <c r="A142" s="2">
        <v>46248</v>
      </c>
      <c r="B142" s="1" t="str">
        <f ca="1">IF(Información1[[#This Row],[Fecha]]='Ajuste de fechas'!$A$2,"Día actual","Día anterior")</f>
        <v>Día actual</v>
      </c>
      <c r="C142" t="s">
        <v>28</v>
      </c>
      <c r="D142" t="s">
        <v>65</v>
      </c>
      <c r="E142" t="s">
        <v>301</v>
      </c>
      <c r="F142" t="s">
        <v>19</v>
      </c>
      <c r="G142" t="s">
        <v>302</v>
      </c>
      <c r="H142" t="s">
        <v>11</v>
      </c>
      <c r="I142" t="s">
        <v>25</v>
      </c>
      <c r="J142" t="s">
        <v>43</v>
      </c>
      <c r="K142" t="s">
        <v>66</v>
      </c>
      <c r="L142" t="s">
        <v>40</v>
      </c>
      <c r="M142">
        <v>1</v>
      </c>
    </row>
    <row r="143" spans="1:13" x14ac:dyDescent="0.25">
      <c r="A143" s="2">
        <v>46248</v>
      </c>
      <c r="B143" s="1" t="str">
        <f ca="1">IF(Información1[[#This Row],[Fecha]]='Ajuste de fechas'!$A$2,"Día actual","Día anterior")</f>
        <v>Día actual</v>
      </c>
      <c r="C143" t="s">
        <v>28</v>
      </c>
      <c r="D143" t="s">
        <v>65</v>
      </c>
      <c r="E143" t="s">
        <v>303</v>
      </c>
      <c r="F143" t="s">
        <v>304</v>
      </c>
      <c r="G143" t="s">
        <v>123</v>
      </c>
      <c r="H143" t="s">
        <v>11</v>
      </c>
      <c r="I143" t="s">
        <v>7</v>
      </c>
      <c r="J143" t="s">
        <v>305</v>
      </c>
      <c r="K143" t="s">
        <v>66</v>
      </c>
      <c r="L143" t="s">
        <v>40</v>
      </c>
      <c r="M143">
        <v>1</v>
      </c>
    </row>
    <row r="144" spans="1:13" x14ac:dyDescent="0.25">
      <c r="A144" s="2">
        <v>46248</v>
      </c>
      <c r="B144" s="1" t="str">
        <f ca="1">IF(Información1[[#This Row],[Fecha]]='Ajuste de fechas'!$A$2,"Día actual","Día anterior")</f>
        <v>Día actual</v>
      </c>
      <c r="C144" t="s">
        <v>28</v>
      </c>
      <c r="D144" t="s">
        <v>65</v>
      </c>
      <c r="E144" t="s">
        <v>306</v>
      </c>
      <c r="F144" t="s">
        <v>238</v>
      </c>
      <c r="G144" t="s">
        <v>109</v>
      </c>
      <c r="H144" t="s">
        <v>11</v>
      </c>
      <c r="I144" t="s">
        <v>7</v>
      </c>
      <c r="J144" t="s">
        <v>39</v>
      </c>
      <c r="K144" t="s">
        <v>66</v>
      </c>
      <c r="L144" t="s">
        <v>40</v>
      </c>
      <c r="M144">
        <v>1</v>
      </c>
    </row>
    <row r="145" spans="1:13" x14ac:dyDescent="0.25">
      <c r="A145" s="2">
        <v>46248</v>
      </c>
      <c r="B145" s="1" t="str">
        <f ca="1">IF(Información1[[#This Row],[Fecha]]='Ajuste de fechas'!$A$2,"Día actual","Día anterior")</f>
        <v>Día actual</v>
      </c>
      <c r="C145" t="s">
        <v>28</v>
      </c>
      <c r="D145" t="s">
        <v>65</v>
      </c>
      <c r="E145" t="s">
        <v>307</v>
      </c>
      <c r="F145" t="s">
        <v>21</v>
      </c>
      <c r="G145" t="s">
        <v>308</v>
      </c>
      <c r="H145" t="s">
        <v>11</v>
      </c>
      <c r="I145" t="s">
        <v>7</v>
      </c>
      <c r="J145" t="s">
        <v>39</v>
      </c>
      <c r="K145" t="s">
        <v>66</v>
      </c>
      <c r="L145" t="s">
        <v>40</v>
      </c>
      <c r="M145">
        <v>1</v>
      </c>
    </row>
    <row r="146" spans="1:13" x14ac:dyDescent="0.25">
      <c r="A146" s="2">
        <v>46248</v>
      </c>
      <c r="B146" s="1" t="str">
        <f ca="1">IF(Información1[[#This Row],[Fecha]]='Ajuste de fechas'!$A$2,"Día actual","Día anterior")</f>
        <v>Día actual</v>
      </c>
      <c r="C146" t="s">
        <v>28</v>
      </c>
      <c r="D146" t="s">
        <v>65</v>
      </c>
      <c r="E146" t="s">
        <v>309</v>
      </c>
      <c r="F146" t="s">
        <v>87</v>
      </c>
      <c r="G146" t="s">
        <v>78</v>
      </c>
      <c r="H146" t="s">
        <v>11</v>
      </c>
      <c r="I146" t="s">
        <v>7</v>
      </c>
      <c r="J146" t="s">
        <v>39</v>
      </c>
      <c r="K146" t="s">
        <v>66</v>
      </c>
      <c r="L146" t="s">
        <v>40</v>
      </c>
      <c r="M146">
        <v>1</v>
      </c>
    </row>
    <row r="147" spans="1:13" x14ac:dyDescent="0.25">
      <c r="A147" s="2">
        <v>46248</v>
      </c>
      <c r="B147" s="1" t="str">
        <f ca="1">IF(Información1[[#This Row],[Fecha]]='Ajuste de fechas'!$A$2,"Día actual","Día anterior")</f>
        <v>Día actual</v>
      </c>
      <c r="C147" t="s">
        <v>28</v>
      </c>
      <c r="D147" t="s">
        <v>65</v>
      </c>
      <c r="E147" t="s">
        <v>292</v>
      </c>
      <c r="F147" t="s">
        <v>15</v>
      </c>
      <c r="G147" t="s">
        <v>293</v>
      </c>
      <c r="H147" t="s">
        <v>11</v>
      </c>
      <c r="I147" t="s">
        <v>7</v>
      </c>
      <c r="J147" t="s">
        <v>39</v>
      </c>
      <c r="K147" t="s">
        <v>66</v>
      </c>
      <c r="L147" t="s">
        <v>42</v>
      </c>
      <c r="M147">
        <v>1</v>
      </c>
    </row>
    <row r="148" spans="1:13" x14ac:dyDescent="0.25">
      <c r="A148" s="2">
        <v>46248</v>
      </c>
      <c r="B148" s="1" t="str">
        <f ca="1">IF(Información1[[#This Row],[Fecha]]='Ajuste de fechas'!$A$2,"Día actual","Día anterior")</f>
        <v>Día actual</v>
      </c>
      <c r="C148" t="s">
        <v>28</v>
      </c>
      <c r="D148" t="s">
        <v>65</v>
      </c>
      <c r="E148" t="s">
        <v>310</v>
      </c>
      <c r="F148" t="s">
        <v>26</v>
      </c>
      <c r="G148" t="s">
        <v>76</v>
      </c>
      <c r="H148" t="s">
        <v>11</v>
      </c>
      <c r="I148" t="s">
        <v>7</v>
      </c>
      <c r="J148" t="s">
        <v>39</v>
      </c>
      <c r="K148" t="s">
        <v>66</v>
      </c>
      <c r="L148" t="s">
        <v>42</v>
      </c>
      <c r="M148">
        <v>1</v>
      </c>
    </row>
    <row r="149" spans="1:13" x14ac:dyDescent="0.25">
      <c r="A149" s="2">
        <v>46248</v>
      </c>
      <c r="B149" s="1" t="str">
        <f ca="1">IF(Información1[[#This Row],[Fecha]]='Ajuste de fechas'!$A$2,"Día actual","Día anterior")</f>
        <v>Día actual</v>
      </c>
      <c r="C149" t="s">
        <v>28</v>
      </c>
      <c r="D149" t="s">
        <v>65</v>
      </c>
      <c r="E149" t="s">
        <v>311</v>
      </c>
      <c r="F149" t="s">
        <v>26</v>
      </c>
      <c r="G149" t="s">
        <v>76</v>
      </c>
      <c r="H149" t="s">
        <v>11</v>
      </c>
      <c r="I149" t="s">
        <v>7</v>
      </c>
      <c r="J149" t="s">
        <v>39</v>
      </c>
      <c r="K149" t="s">
        <v>66</v>
      </c>
      <c r="L149" t="s">
        <v>42</v>
      </c>
      <c r="M149">
        <v>1</v>
      </c>
    </row>
    <row r="150" spans="1:13" x14ac:dyDescent="0.25">
      <c r="A150" s="2">
        <v>46248</v>
      </c>
      <c r="B150" s="1" t="str">
        <f ca="1">IF(Información1[[#This Row],[Fecha]]='Ajuste de fechas'!$A$2,"Día actual","Día anterior")</f>
        <v>Día actual</v>
      </c>
      <c r="C150" t="s">
        <v>28</v>
      </c>
      <c r="D150" t="s">
        <v>65</v>
      </c>
      <c r="E150" t="s">
        <v>312</v>
      </c>
      <c r="F150" t="s">
        <v>80</v>
      </c>
      <c r="G150" t="s">
        <v>313</v>
      </c>
      <c r="H150" t="s">
        <v>11</v>
      </c>
      <c r="I150" t="s">
        <v>7</v>
      </c>
      <c r="J150" t="s">
        <v>39</v>
      </c>
      <c r="K150" t="s">
        <v>66</v>
      </c>
      <c r="L150" t="s">
        <v>42</v>
      </c>
      <c r="M150">
        <v>1</v>
      </c>
    </row>
    <row r="151" spans="1:13" x14ac:dyDescent="0.25">
      <c r="A151" s="2">
        <v>46248</v>
      </c>
      <c r="B151" s="1" t="str">
        <f ca="1">IF(Información1[[#This Row],[Fecha]]='Ajuste de fechas'!$A$2,"Día actual","Día anterior")</f>
        <v>Día actual</v>
      </c>
      <c r="C151" t="s">
        <v>75</v>
      </c>
      <c r="D151" t="s">
        <v>81</v>
      </c>
      <c r="E151" t="s">
        <v>311</v>
      </c>
      <c r="F151" t="s">
        <v>26</v>
      </c>
      <c r="G151" t="s">
        <v>76</v>
      </c>
      <c r="H151" t="s">
        <v>11</v>
      </c>
      <c r="I151" t="s">
        <v>7</v>
      </c>
      <c r="J151" t="s">
        <v>39</v>
      </c>
      <c r="K151" t="s">
        <v>103</v>
      </c>
      <c r="L151" t="s">
        <v>42</v>
      </c>
      <c r="M151">
        <v>1</v>
      </c>
    </row>
    <row r="152" spans="1:13" x14ac:dyDescent="0.25">
      <c r="A152" s="2">
        <v>46248</v>
      </c>
      <c r="B152" s="1" t="str">
        <f ca="1">IF(Información1[[#This Row],[Fecha]]='Ajuste de fechas'!$A$2,"Día actual","Día anterior")</f>
        <v>Día actual</v>
      </c>
      <c r="C152" t="s">
        <v>67</v>
      </c>
      <c r="D152" t="s">
        <v>68</v>
      </c>
      <c r="E152" t="s">
        <v>314</v>
      </c>
      <c r="F152" t="s">
        <v>88</v>
      </c>
      <c r="G152" t="s">
        <v>153</v>
      </c>
      <c r="H152" t="s">
        <v>11</v>
      </c>
      <c r="I152" t="s">
        <v>7</v>
      </c>
      <c r="J152" t="s">
        <v>39</v>
      </c>
      <c r="K152" t="s">
        <v>69</v>
      </c>
      <c r="L152" t="s">
        <v>42</v>
      </c>
      <c r="M152">
        <v>1</v>
      </c>
    </row>
    <row r="153" spans="1:13" x14ac:dyDescent="0.25">
      <c r="A153" s="2">
        <v>46248</v>
      </c>
      <c r="B153" s="1" t="str">
        <f ca="1">IF(Información1[[#This Row],[Fecha]]='Ajuste de fechas'!$A$2,"Día actual","Día anterior")</f>
        <v>Día actual</v>
      </c>
      <c r="C153" t="s">
        <v>67</v>
      </c>
      <c r="D153" t="s">
        <v>68</v>
      </c>
      <c r="E153" t="s">
        <v>315</v>
      </c>
      <c r="F153" t="s">
        <v>26</v>
      </c>
      <c r="G153" t="s">
        <v>76</v>
      </c>
      <c r="H153" t="s">
        <v>11</v>
      </c>
      <c r="I153" t="s">
        <v>7</v>
      </c>
      <c r="J153" t="s">
        <v>39</v>
      </c>
      <c r="K153" t="s">
        <v>69</v>
      </c>
      <c r="L153" t="s">
        <v>42</v>
      </c>
      <c r="M153">
        <v>1</v>
      </c>
    </row>
    <row r="154" spans="1:13" x14ac:dyDescent="0.25">
      <c r="A154" s="2">
        <v>46248</v>
      </c>
      <c r="B154" s="1" t="str">
        <f ca="1">IF(Información1[[#This Row],[Fecha]]='Ajuste de fechas'!$A$2,"Día actual","Día anterior")</f>
        <v>Día actual</v>
      </c>
      <c r="C154" t="s">
        <v>67</v>
      </c>
      <c r="D154" t="s">
        <v>68</v>
      </c>
      <c r="E154" t="s">
        <v>310</v>
      </c>
      <c r="F154" t="s">
        <v>26</v>
      </c>
      <c r="G154" t="s">
        <v>76</v>
      </c>
      <c r="H154" t="s">
        <v>11</v>
      </c>
      <c r="I154" t="s">
        <v>7</v>
      </c>
      <c r="J154" t="s">
        <v>39</v>
      </c>
      <c r="K154" t="s">
        <v>69</v>
      </c>
      <c r="L154" t="s">
        <v>42</v>
      </c>
      <c r="M154">
        <v>1</v>
      </c>
    </row>
    <row r="155" spans="1:13" x14ac:dyDescent="0.25">
      <c r="A155" s="2">
        <v>46248</v>
      </c>
      <c r="B155" s="1" t="str">
        <f ca="1">IF(Información1[[#This Row],[Fecha]]='Ajuste de fechas'!$A$2,"Día actual","Día anterior")</f>
        <v>Día actual</v>
      </c>
      <c r="C155" t="s">
        <v>316</v>
      </c>
      <c r="D155" t="s">
        <v>317</v>
      </c>
      <c r="E155" t="s">
        <v>318</v>
      </c>
      <c r="F155" t="s">
        <v>87</v>
      </c>
      <c r="G155" t="s">
        <v>319</v>
      </c>
      <c r="H155" t="s">
        <v>11</v>
      </c>
      <c r="I155" t="s">
        <v>12</v>
      </c>
      <c r="J155" t="s">
        <v>39</v>
      </c>
      <c r="K155" t="s">
        <v>320</v>
      </c>
      <c r="L155" t="s">
        <v>86</v>
      </c>
      <c r="M155">
        <v>1</v>
      </c>
    </row>
    <row r="156" spans="1:13" x14ac:dyDescent="0.25">
      <c r="A156" s="2">
        <v>46248</v>
      </c>
      <c r="B156" s="1" t="str">
        <f ca="1">IF(Información1[[#This Row],[Fecha]]='Ajuste de fechas'!$A$2,"Día actual","Día anterior")</f>
        <v>Día actual</v>
      </c>
      <c r="C156" t="s">
        <v>28</v>
      </c>
      <c r="D156" t="s">
        <v>72</v>
      </c>
      <c r="E156" t="s">
        <v>321</v>
      </c>
      <c r="F156" t="s">
        <v>19</v>
      </c>
      <c r="G156" t="s">
        <v>322</v>
      </c>
      <c r="H156" t="s">
        <v>11</v>
      </c>
      <c r="I156" t="s">
        <v>7</v>
      </c>
      <c r="J156" t="s">
        <v>43</v>
      </c>
      <c r="K156" t="s">
        <v>9</v>
      </c>
      <c r="L156" t="s">
        <v>40</v>
      </c>
      <c r="M156">
        <v>1</v>
      </c>
    </row>
    <row r="157" spans="1:13" x14ac:dyDescent="0.25">
      <c r="A157" s="2">
        <v>46248</v>
      </c>
      <c r="B157" s="1" t="str">
        <f ca="1">IF(Información1[[#This Row],[Fecha]]='Ajuste de fechas'!$A$2,"Día actual","Día anterior")</f>
        <v>Día actual</v>
      </c>
      <c r="C157" t="s">
        <v>28</v>
      </c>
      <c r="D157" t="s">
        <v>72</v>
      </c>
      <c r="E157" t="s">
        <v>323</v>
      </c>
      <c r="F157" t="s">
        <v>87</v>
      </c>
      <c r="G157" t="s">
        <v>250</v>
      </c>
      <c r="H157" t="s">
        <v>11</v>
      </c>
      <c r="I157" t="s">
        <v>7</v>
      </c>
      <c r="J157" t="s">
        <v>39</v>
      </c>
      <c r="K157" t="s">
        <v>73</v>
      </c>
      <c r="L157" t="s">
        <v>40</v>
      </c>
      <c r="M157">
        <v>1</v>
      </c>
    </row>
    <row r="158" spans="1:13" x14ac:dyDescent="0.25">
      <c r="A158" s="2">
        <v>46248</v>
      </c>
      <c r="B158" s="1" t="str">
        <f ca="1">IF(Información1[[#This Row],[Fecha]]='Ajuste de fechas'!$A$2,"Día actual","Día anterior")</f>
        <v>Día actual</v>
      </c>
      <c r="C158" t="s">
        <v>28</v>
      </c>
      <c r="D158" t="s">
        <v>72</v>
      </c>
      <c r="E158" t="s">
        <v>324</v>
      </c>
      <c r="F158" t="s">
        <v>80</v>
      </c>
      <c r="G158" t="s">
        <v>313</v>
      </c>
      <c r="H158" t="s">
        <v>11</v>
      </c>
      <c r="I158" t="s">
        <v>7</v>
      </c>
      <c r="J158" t="s">
        <v>39</v>
      </c>
      <c r="K158" t="s">
        <v>73</v>
      </c>
      <c r="L158" t="s">
        <v>40</v>
      </c>
      <c r="M158">
        <v>1</v>
      </c>
    </row>
    <row r="159" spans="1:13" x14ac:dyDescent="0.25">
      <c r="A159" s="2">
        <v>46248</v>
      </c>
      <c r="B159" s="1" t="str">
        <f ca="1">IF(Información1[[#This Row],[Fecha]]='Ajuste de fechas'!$A$2,"Día actual","Día anterior")</f>
        <v>Día actual</v>
      </c>
      <c r="C159" t="s">
        <v>28</v>
      </c>
      <c r="D159" t="s">
        <v>72</v>
      </c>
      <c r="E159" t="s">
        <v>325</v>
      </c>
      <c r="F159" t="s">
        <v>21</v>
      </c>
      <c r="G159" t="s">
        <v>264</v>
      </c>
      <c r="H159" t="s">
        <v>11</v>
      </c>
      <c r="I159" t="s">
        <v>7</v>
      </c>
      <c r="J159" t="s">
        <v>39</v>
      </c>
      <c r="K159" t="s">
        <v>73</v>
      </c>
      <c r="L159" t="s">
        <v>40</v>
      </c>
      <c r="M159">
        <v>1</v>
      </c>
    </row>
    <row r="160" spans="1:13" x14ac:dyDescent="0.25">
      <c r="A160" s="2">
        <v>46248</v>
      </c>
      <c r="B160" s="1" t="str">
        <f ca="1">IF(Información1[[#This Row],[Fecha]]='Ajuste de fechas'!$A$2,"Día actual","Día anterior")</f>
        <v>Día actual</v>
      </c>
      <c r="C160" t="s">
        <v>28</v>
      </c>
      <c r="D160" t="s">
        <v>72</v>
      </c>
      <c r="E160" t="s">
        <v>326</v>
      </c>
      <c r="F160" t="s">
        <v>19</v>
      </c>
      <c r="G160" t="s">
        <v>166</v>
      </c>
      <c r="H160" t="s">
        <v>11</v>
      </c>
      <c r="I160" t="s">
        <v>7</v>
      </c>
      <c r="J160" t="s">
        <v>43</v>
      </c>
      <c r="K160" t="s">
        <v>73</v>
      </c>
      <c r="L160" t="s">
        <v>40</v>
      </c>
      <c r="M160">
        <v>1</v>
      </c>
    </row>
    <row r="161" spans="1:13" x14ac:dyDescent="0.25">
      <c r="A161" s="2">
        <v>46248</v>
      </c>
      <c r="B161" s="1" t="str">
        <f ca="1">IF(Información1[[#This Row],[Fecha]]='Ajuste de fechas'!$A$2,"Día actual","Día anterior")</f>
        <v>Día actual</v>
      </c>
      <c r="C161" t="s">
        <v>28</v>
      </c>
      <c r="D161" t="s">
        <v>72</v>
      </c>
      <c r="E161" t="s">
        <v>327</v>
      </c>
      <c r="F161" t="s">
        <v>23</v>
      </c>
      <c r="G161" t="s">
        <v>83</v>
      </c>
      <c r="H161" t="s">
        <v>11</v>
      </c>
      <c r="I161" t="s">
        <v>7</v>
      </c>
      <c r="J161" t="s">
        <v>39</v>
      </c>
      <c r="K161" t="s">
        <v>73</v>
      </c>
      <c r="L161" t="s">
        <v>40</v>
      </c>
      <c r="M161">
        <v>1</v>
      </c>
    </row>
    <row r="162" spans="1:13" x14ac:dyDescent="0.25">
      <c r="A162" s="2">
        <v>46248</v>
      </c>
      <c r="B162" s="1" t="str">
        <f ca="1">IF(Información1[[#This Row],[Fecha]]='Ajuste de fechas'!$A$2,"Día actual","Día anterior")</f>
        <v>Día actual</v>
      </c>
      <c r="C162" t="s">
        <v>28</v>
      </c>
      <c r="D162" t="s">
        <v>72</v>
      </c>
      <c r="E162" t="s">
        <v>328</v>
      </c>
      <c r="F162" t="s">
        <v>22</v>
      </c>
      <c r="G162" t="s">
        <v>225</v>
      </c>
      <c r="H162" t="s">
        <v>11</v>
      </c>
      <c r="I162" t="s">
        <v>7</v>
      </c>
      <c r="J162" t="s">
        <v>44</v>
      </c>
      <c r="K162" t="s">
        <v>73</v>
      </c>
      <c r="L162" t="s">
        <v>40</v>
      </c>
      <c r="M162">
        <v>1</v>
      </c>
    </row>
    <row r="163" spans="1:13" x14ac:dyDescent="0.25">
      <c r="A163" s="2">
        <v>46248</v>
      </c>
      <c r="B163" s="1" t="str">
        <f ca="1">IF(Información1[[#This Row],[Fecha]]='Ajuste de fechas'!$A$2,"Día actual","Día anterior")</f>
        <v>Día actual</v>
      </c>
      <c r="C163" t="s">
        <v>28</v>
      </c>
      <c r="D163" t="s">
        <v>72</v>
      </c>
      <c r="E163" t="s">
        <v>329</v>
      </c>
      <c r="F163" t="s">
        <v>31</v>
      </c>
      <c r="G163" t="s">
        <v>291</v>
      </c>
      <c r="H163" t="s">
        <v>11</v>
      </c>
      <c r="I163" t="s">
        <v>7</v>
      </c>
      <c r="J163" t="s">
        <v>39</v>
      </c>
      <c r="K163" t="s">
        <v>73</v>
      </c>
      <c r="L163" t="s">
        <v>40</v>
      </c>
      <c r="M163">
        <v>1</v>
      </c>
    </row>
    <row r="164" spans="1:13" x14ac:dyDescent="0.25">
      <c r="A164" s="2">
        <v>46248</v>
      </c>
      <c r="B164" s="1" t="str">
        <f ca="1">IF(Información1[[#This Row],[Fecha]]='Ajuste de fechas'!$A$2,"Día actual","Día anterior")</f>
        <v>Día actual</v>
      </c>
      <c r="C164" t="s">
        <v>28</v>
      </c>
      <c r="D164" t="s">
        <v>72</v>
      </c>
      <c r="E164" t="s">
        <v>330</v>
      </c>
      <c r="F164" t="s">
        <v>24</v>
      </c>
      <c r="G164" t="s">
        <v>331</v>
      </c>
      <c r="H164" t="s">
        <v>11</v>
      </c>
      <c r="I164" t="s">
        <v>7</v>
      </c>
      <c r="J164" t="s">
        <v>24</v>
      </c>
      <c r="K164" t="s">
        <v>73</v>
      </c>
      <c r="L164" t="s">
        <v>40</v>
      </c>
      <c r="M164">
        <v>1</v>
      </c>
    </row>
    <row r="165" spans="1:13" x14ac:dyDescent="0.25">
      <c r="A165" s="2">
        <v>46248</v>
      </c>
      <c r="B165" s="1" t="str">
        <f ca="1">IF(Información1[[#This Row],[Fecha]]='Ajuste de fechas'!$A$2,"Día actual","Día anterior")</f>
        <v>Día actual</v>
      </c>
      <c r="C165" t="s">
        <v>28</v>
      </c>
      <c r="D165" t="s">
        <v>72</v>
      </c>
      <c r="E165" t="s">
        <v>332</v>
      </c>
      <c r="F165" t="s">
        <v>19</v>
      </c>
      <c r="G165" t="s">
        <v>333</v>
      </c>
      <c r="H165" t="s">
        <v>11</v>
      </c>
      <c r="I165" t="s">
        <v>7</v>
      </c>
      <c r="J165" t="s">
        <v>43</v>
      </c>
      <c r="K165" t="s">
        <v>73</v>
      </c>
      <c r="L165" t="s">
        <v>40</v>
      </c>
      <c r="M165">
        <v>1</v>
      </c>
    </row>
    <row r="166" spans="1:13" x14ac:dyDescent="0.25">
      <c r="A166" s="2">
        <v>46248</v>
      </c>
      <c r="B166" s="1" t="str">
        <f ca="1">IF(Información1[[#This Row],[Fecha]]='Ajuste de fechas'!$A$2,"Día actual","Día anterior")</f>
        <v>Día actual</v>
      </c>
      <c r="C166" t="s">
        <v>28</v>
      </c>
      <c r="D166" t="s">
        <v>72</v>
      </c>
      <c r="E166" t="s">
        <v>334</v>
      </c>
      <c r="F166" t="s">
        <v>19</v>
      </c>
      <c r="G166" t="s">
        <v>120</v>
      </c>
      <c r="H166" t="s">
        <v>11</v>
      </c>
      <c r="I166" t="s">
        <v>7</v>
      </c>
      <c r="J166" t="s">
        <v>43</v>
      </c>
      <c r="K166" t="s">
        <v>73</v>
      </c>
      <c r="L166" t="s">
        <v>40</v>
      </c>
      <c r="M166">
        <v>1</v>
      </c>
    </row>
    <row r="167" spans="1:13" x14ac:dyDescent="0.25">
      <c r="A167" s="2">
        <v>46248</v>
      </c>
      <c r="B167" s="1" t="str">
        <f ca="1">IF(Información1[[#This Row],[Fecha]]='Ajuste de fechas'!$A$2,"Día actual","Día anterior")</f>
        <v>Día actual</v>
      </c>
      <c r="C167" t="s">
        <v>28</v>
      </c>
      <c r="D167" t="s">
        <v>72</v>
      </c>
      <c r="E167" t="s">
        <v>335</v>
      </c>
      <c r="F167" t="s">
        <v>15</v>
      </c>
      <c r="G167" t="s">
        <v>293</v>
      </c>
      <c r="H167" t="s">
        <v>11</v>
      </c>
      <c r="I167" t="s">
        <v>7</v>
      </c>
      <c r="J167" t="s">
        <v>39</v>
      </c>
      <c r="K167" t="s">
        <v>73</v>
      </c>
      <c r="L167" t="s">
        <v>40</v>
      </c>
      <c r="M167">
        <v>1</v>
      </c>
    </row>
    <row r="168" spans="1:13" x14ac:dyDescent="0.25">
      <c r="A168" s="2">
        <v>46248</v>
      </c>
      <c r="B168" s="1" t="str">
        <f ca="1">IF(Información1[[#This Row],[Fecha]]='Ajuste de fechas'!$A$2,"Día actual","Día anterior")</f>
        <v>Día actual</v>
      </c>
      <c r="C168" t="s">
        <v>28</v>
      </c>
      <c r="D168" t="s">
        <v>72</v>
      </c>
      <c r="E168" t="s">
        <v>336</v>
      </c>
      <c r="F168" t="s">
        <v>54</v>
      </c>
      <c r="G168" t="s">
        <v>257</v>
      </c>
      <c r="H168" t="s">
        <v>11</v>
      </c>
      <c r="I168" t="s">
        <v>7</v>
      </c>
      <c r="J168" t="s">
        <v>24</v>
      </c>
      <c r="K168" t="s">
        <v>73</v>
      </c>
      <c r="L168" t="s">
        <v>40</v>
      </c>
      <c r="M168">
        <v>1</v>
      </c>
    </row>
    <row r="169" spans="1:13" x14ac:dyDescent="0.25">
      <c r="A169" s="2">
        <v>46248</v>
      </c>
      <c r="B169" s="1" t="str">
        <f ca="1">IF(Información1[[#This Row],[Fecha]]='Ajuste de fechas'!$A$2,"Día actual","Día anterior")</f>
        <v>Día actual</v>
      </c>
      <c r="C169" t="s">
        <v>28</v>
      </c>
      <c r="D169" t="s">
        <v>72</v>
      </c>
      <c r="E169" t="s">
        <v>337</v>
      </c>
      <c r="F169" t="s">
        <v>219</v>
      </c>
      <c r="G169" t="s">
        <v>338</v>
      </c>
      <c r="H169" t="s">
        <v>11</v>
      </c>
      <c r="I169" t="s">
        <v>7</v>
      </c>
      <c r="J169" t="s">
        <v>24</v>
      </c>
      <c r="K169" t="s">
        <v>73</v>
      </c>
      <c r="L169" t="s">
        <v>40</v>
      </c>
      <c r="M169">
        <v>1</v>
      </c>
    </row>
    <row r="170" spans="1:13" x14ac:dyDescent="0.25">
      <c r="A170" s="2">
        <v>46248</v>
      </c>
      <c r="B170" s="1" t="str">
        <f ca="1">IF(Información1[[#This Row],[Fecha]]='Ajuste de fechas'!$A$2,"Día actual","Día anterior")</f>
        <v>Día actual</v>
      </c>
      <c r="C170" t="s">
        <v>28</v>
      </c>
      <c r="D170" t="s">
        <v>72</v>
      </c>
      <c r="E170" t="s">
        <v>339</v>
      </c>
      <c r="F170" t="s">
        <v>21</v>
      </c>
      <c r="G170" t="s">
        <v>340</v>
      </c>
      <c r="H170" t="s">
        <v>11</v>
      </c>
      <c r="I170" t="s">
        <v>7</v>
      </c>
      <c r="J170" t="s">
        <v>39</v>
      </c>
      <c r="K170" t="s">
        <v>73</v>
      </c>
      <c r="L170" t="s">
        <v>40</v>
      </c>
      <c r="M170">
        <v>1</v>
      </c>
    </row>
    <row r="171" spans="1:13" x14ac:dyDescent="0.25">
      <c r="A171" s="2">
        <v>46248</v>
      </c>
      <c r="B171" s="1" t="str">
        <f ca="1">IF(Información1[[#This Row],[Fecha]]='Ajuste de fechas'!$A$2,"Día actual","Día anterior")</f>
        <v>Día actual</v>
      </c>
      <c r="C171" t="s">
        <v>28</v>
      </c>
      <c r="D171" t="s">
        <v>72</v>
      </c>
      <c r="E171" t="s">
        <v>341</v>
      </c>
      <c r="F171" t="s">
        <v>22</v>
      </c>
      <c r="G171" t="s">
        <v>342</v>
      </c>
      <c r="H171" t="s">
        <v>11</v>
      </c>
      <c r="I171" t="s">
        <v>7</v>
      </c>
      <c r="J171" t="s">
        <v>44</v>
      </c>
      <c r="K171" t="s">
        <v>73</v>
      </c>
      <c r="L171" t="s">
        <v>40</v>
      </c>
      <c r="M171">
        <v>1</v>
      </c>
    </row>
    <row r="172" spans="1:13" x14ac:dyDescent="0.25">
      <c r="A172" s="2">
        <v>46248</v>
      </c>
      <c r="B172" s="1" t="str">
        <f ca="1">IF(Información1[[#This Row],[Fecha]]='Ajuste de fechas'!$A$2,"Día actual","Día anterior")</f>
        <v>Día actual</v>
      </c>
      <c r="C172" t="s">
        <v>28</v>
      </c>
      <c r="D172" t="s">
        <v>72</v>
      </c>
      <c r="E172" t="s">
        <v>343</v>
      </c>
      <c r="F172" t="s">
        <v>22</v>
      </c>
      <c r="G172" t="s">
        <v>344</v>
      </c>
      <c r="H172" t="s">
        <v>11</v>
      </c>
      <c r="I172" t="s">
        <v>7</v>
      </c>
      <c r="J172" t="s">
        <v>44</v>
      </c>
      <c r="K172" t="s">
        <v>73</v>
      </c>
      <c r="L172" t="s">
        <v>40</v>
      </c>
      <c r="M172">
        <v>1</v>
      </c>
    </row>
    <row r="173" spans="1:13" x14ac:dyDescent="0.25">
      <c r="A173" s="2">
        <v>46248</v>
      </c>
      <c r="B173" s="1" t="str">
        <f ca="1">IF(Información1[[#This Row],[Fecha]]='Ajuste de fechas'!$A$2,"Día actual","Día anterior")</f>
        <v>Día actual</v>
      </c>
      <c r="C173" t="s">
        <v>28</v>
      </c>
      <c r="D173" t="s">
        <v>72</v>
      </c>
      <c r="E173" t="s">
        <v>345</v>
      </c>
      <c r="F173" t="s">
        <v>26</v>
      </c>
      <c r="G173" t="s">
        <v>76</v>
      </c>
      <c r="H173" t="s">
        <v>11</v>
      </c>
      <c r="I173" t="s">
        <v>7</v>
      </c>
      <c r="J173" t="s">
        <v>39</v>
      </c>
      <c r="K173" t="s">
        <v>73</v>
      </c>
      <c r="L173" t="s">
        <v>40</v>
      </c>
      <c r="M173">
        <v>1</v>
      </c>
    </row>
    <row r="174" spans="1:13" x14ac:dyDescent="0.25">
      <c r="A174" s="2">
        <v>46248</v>
      </c>
      <c r="B174" s="1" t="str">
        <f ca="1">IF(Información1[[#This Row],[Fecha]]='Ajuste de fechas'!$A$2,"Día actual","Día anterior")</f>
        <v>Día actual</v>
      </c>
      <c r="C174" t="s">
        <v>28</v>
      </c>
      <c r="D174" t="s">
        <v>72</v>
      </c>
      <c r="E174" t="s">
        <v>346</v>
      </c>
      <c r="F174" t="s">
        <v>26</v>
      </c>
      <c r="G174" t="s">
        <v>76</v>
      </c>
      <c r="H174" t="s">
        <v>11</v>
      </c>
      <c r="I174" t="s">
        <v>7</v>
      </c>
      <c r="J174" t="s">
        <v>39</v>
      </c>
      <c r="K174" t="s">
        <v>73</v>
      </c>
      <c r="L174" t="s">
        <v>40</v>
      </c>
      <c r="M174">
        <v>1</v>
      </c>
    </row>
    <row r="175" spans="1:13" x14ac:dyDescent="0.25">
      <c r="A175" s="2">
        <v>46247</v>
      </c>
      <c r="B175" s="1" t="str">
        <f ca="1">IF(Información1[[#This Row],[Fecha]]='Ajuste de fechas'!$A$2,"Día actual","Día anterior")</f>
        <v>Día anterior</v>
      </c>
      <c r="C175" t="s">
        <v>67</v>
      </c>
      <c r="D175" t="s">
        <v>68</v>
      </c>
      <c r="E175" t="s">
        <v>251</v>
      </c>
      <c r="F175" t="s">
        <v>91</v>
      </c>
      <c r="G175" t="s">
        <v>160</v>
      </c>
      <c r="H175" t="s">
        <v>11</v>
      </c>
      <c r="I175" t="s">
        <v>7</v>
      </c>
      <c r="J175" t="s">
        <v>39</v>
      </c>
      <c r="K175" t="s">
        <v>69</v>
      </c>
      <c r="L175" t="s">
        <v>42</v>
      </c>
      <c r="M175">
        <v>1</v>
      </c>
    </row>
    <row r="176" spans="1:13" x14ac:dyDescent="0.25">
      <c r="A176" s="2">
        <v>46247</v>
      </c>
      <c r="B176" s="1" t="str">
        <f ca="1">IF(Información1[[#This Row],[Fecha]]='Ajuste de fechas'!$A$2,"Día actual","Día anterior")</f>
        <v>Día anterior</v>
      </c>
      <c r="C176" t="s">
        <v>67</v>
      </c>
      <c r="D176" t="s">
        <v>68</v>
      </c>
      <c r="E176" t="s">
        <v>156</v>
      </c>
      <c r="F176" t="s">
        <v>26</v>
      </c>
      <c r="G176" t="s">
        <v>143</v>
      </c>
      <c r="H176" t="s">
        <v>11</v>
      </c>
      <c r="I176" t="s">
        <v>7</v>
      </c>
      <c r="J176" t="s">
        <v>39</v>
      </c>
      <c r="K176" t="s">
        <v>69</v>
      </c>
      <c r="L176" t="s">
        <v>42</v>
      </c>
      <c r="M176">
        <v>1</v>
      </c>
    </row>
    <row r="177" spans="1:13" x14ac:dyDescent="0.25">
      <c r="A177" s="2">
        <v>46247</v>
      </c>
      <c r="B177" s="1" t="str">
        <f ca="1">IF(Información1[[#This Row],[Fecha]]='Ajuste de fechas'!$A$2,"Día actual","Día anterior")</f>
        <v>Día anterior</v>
      </c>
      <c r="C177" t="s">
        <v>67</v>
      </c>
      <c r="D177" t="s">
        <v>68</v>
      </c>
      <c r="E177" t="s">
        <v>136</v>
      </c>
      <c r="F177" t="s">
        <v>31</v>
      </c>
      <c r="G177" t="s">
        <v>137</v>
      </c>
      <c r="H177" t="s">
        <v>11</v>
      </c>
      <c r="I177" t="s">
        <v>7</v>
      </c>
      <c r="J177" t="s">
        <v>39</v>
      </c>
      <c r="K177" t="s">
        <v>69</v>
      </c>
      <c r="L177" t="s">
        <v>42</v>
      </c>
      <c r="M177">
        <v>1</v>
      </c>
    </row>
    <row r="178" spans="1:13" x14ac:dyDescent="0.25">
      <c r="A178" s="2">
        <v>46247</v>
      </c>
      <c r="B178" s="1" t="str">
        <f ca="1">IF(Información1[[#This Row],[Fecha]]='Ajuste de fechas'!$A$2,"Día actual","Día anterior")</f>
        <v>Día anterior</v>
      </c>
      <c r="C178" t="s">
        <v>75</v>
      </c>
      <c r="D178" t="s">
        <v>81</v>
      </c>
      <c r="E178" t="s">
        <v>228</v>
      </c>
      <c r="F178" t="s">
        <v>21</v>
      </c>
      <c r="G178" t="s">
        <v>229</v>
      </c>
      <c r="H178" t="s">
        <v>11</v>
      </c>
      <c r="I178" t="s">
        <v>7</v>
      </c>
      <c r="J178" t="s">
        <v>39</v>
      </c>
      <c r="K178" t="s">
        <v>103</v>
      </c>
      <c r="L178" t="s">
        <v>42</v>
      </c>
      <c r="M178">
        <v>1</v>
      </c>
    </row>
    <row r="179" spans="1:13" x14ac:dyDescent="0.25">
      <c r="A179" s="2">
        <v>46248</v>
      </c>
      <c r="B179" s="1" t="str">
        <f ca="1">IF(Información1[[#This Row],[Fecha]]='Ajuste de fechas'!$A$2,"Día actual","Día anterior")</f>
        <v>Día actual</v>
      </c>
      <c r="C179" t="s">
        <v>8</v>
      </c>
      <c r="D179" t="s">
        <v>10</v>
      </c>
      <c r="E179" t="s">
        <v>104</v>
      </c>
      <c r="F179" t="s">
        <v>19</v>
      </c>
      <c r="G179" t="s">
        <v>99</v>
      </c>
      <c r="H179" t="s">
        <v>11</v>
      </c>
      <c r="I179" t="s">
        <v>25</v>
      </c>
      <c r="J179" t="s">
        <v>43</v>
      </c>
      <c r="K179" t="s">
        <v>9</v>
      </c>
      <c r="L179" t="s">
        <v>41</v>
      </c>
      <c r="M179">
        <v>1</v>
      </c>
    </row>
    <row r="180" spans="1:13" x14ac:dyDescent="0.25">
      <c r="A180" s="2">
        <v>46248</v>
      </c>
      <c r="B180" s="1" t="str">
        <f ca="1">IF(Información1[[#This Row],[Fecha]]='Ajuste de fechas'!$A$2,"Día actual","Día anterior")</f>
        <v>Día actual</v>
      </c>
      <c r="C180" t="s">
        <v>8</v>
      </c>
      <c r="D180" t="s">
        <v>10</v>
      </c>
      <c r="E180" t="s">
        <v>347</v>
      </c>
      <c r="F180" t="s">
        <v>22</v>
      </c>
      <c r="G180" t="s">
        <v>348</v>
      </c>
      <c r="H180" t="s">
        <v>11</v>
      </c>
      <c r="I180" t="s">
        <v>25</v>
      </c>
      <c r="J180" t="s">
        <v>44</v>
      </c>
      <c r="K180" t="s">
        <v>9</v>
      </c>
      <c r="L180" t="s">
        <v>41</v>
      </c>
      <c r="M180">
        <v>1</v>
      </c>
    </row>
    <row r="181" spans="1:13" x14ac:dyDescent="0.25">
      <c r="A181" s="2">
        <v>46248</v>
      </c>
      <c r="B181" s="1" t="str">
        <f ca="1">IF(Información1[[#This Row],[Fecha]]='Ajuste de fechas'!$A$2,"Día actual","Día anterior")</f>
        <v>Día actual</v>
      </c>
      <c r="C181" t="s">
        <v>8</v>
      </c>
      <c r="D181" t="s">
        <v>10</v>
      </c>
      <c r="E181" t="s">
        <v>349</v>
      </c>
      <c r="F181" t="s">
        <v>19</v>
      </c>
      <c r="G181" t="s">
        <v>350</v>
      </c>
      <c r="H181" t="s">
        <v>11</v>
      </c>
      <c r="I181" t="s">
        <v>25</v>
      </c>
      <c r="J181" t="s">
        <v>43</v>
      </c>
      <c r="K181" t="s">
        <v>9</v>
      </c>
      <c r="L181" t="s">
        <v>41</v>
      </c>
      <c r="M181">
        <v>1</v>
      </c>
    </row>
    <row r="182" spans="1:13" x14ac:dyDescent="0.25">
      <c r="A182" s="2">
        <v>46248</v>
      </c>
      <c r="B182" s="1" t="str">
        <f ca="1">IF(Información1[[#This Row],[Fecha]]='Ajuste de fechas'!$A$2,"Día actual","Día anterior")</f>
        <v>Día actual</v>
      </c>
      <c r="C182" t="s">
        <v>8</v>
      </c>
      <c r="D182" t="s">
        <v>10</v>
      </c>
      <c r="E182" t="s">
        <v>351</v>
      </c>
      <c r="F182" t="s">
        <v>17</v>
      </c>
      <c r="G182" t="s">
        <v>186</v>
      </c>
      <c r="H182" t="s">
        <v>11</v>
      </c>
      <c r="I182" t="s">
        <v>25</v>
      </c>
      <c r="J182" t="s">
        <v>39</v>
      </c>
      <c r="K182" t="s">
        <v>9</v>
      </c>
      <c r="L182" t="s">
        <v>41</v>
      </c>
      <c r="M182">
        <v>1</v>
      </c>
    </row>
    <row r="183" spans="1:13" x14ac:dyDescent="0.25">
      <c r="A183" s="2">
        <v>46248</v>
      </c>
      <c r="B183" s="1" t="str">
        <f ca="1">IF(Información1[[#This Row],[Fecha]]='Ajuste de fechas'!$A$2,"Día actual","Día anterior")</f>
        <v>Día actual</v>
      </c>
      <c r="C183" t="s">
        <v>8</v>
      </c>
      <c r="D183" t="s">
        <v>10</v>
      </c>
      <c r="E183" t="s">
        <v>352</v>
      </c>
      <c r="F183" t="s">
        <v>6</v>
      </c>
      <c r="G183" t="s">
        <v>94</v>
      </c>
      <c r="H183" t="s">
        <v>11</v>
      </c>
      <c r="I183" t="s">
        <v>25</v>
      </c>
      <c r="J183" t="s">
        <v>39</v>
      </c>
      <c r="K183" t="s">
        <v>9</v>
      </c>
      <c r="L183" t="s">
        <v>41</v>
      </c>
      <c r="M183">
        <v>1</v>
      </c>
    </row>
    <row r="184" spans="1:13" x14ac:dyDescent="0.25">
      <c r="A184" s="2">
        <v>46248</v>
      </c>
      <c r="B184" s="1" t="str">
        <f ca="1">IF(Información1[[#This Row],[Fecha]]='Ajuste de fechas'!$A$2,"Día actual","Día anterior")</f>
        <v>Día actual</v>
      </c>
      <c r="C184" t="s">
        <v>8</v>
      </c>
      <c r="D184" t="s">
        <v>10</v>
      </c>
      <c r="E184" t="s">
        <v>353</v>
      </c>
      <c r="F184" t="s">
        <v>19</v>
      </c>
      <c r="G184" t="s">
        <v>354</v>
      </c>
      <c r="H184" t="s">
        <v>11</v>
      </c>
      <c r="I184" t="s">
        <v>7</v>
      </c>
      <c r="J184" t="s">
        <v>43</v>
      </c>
      <c r="K184" t="s">
        <v>9</v>
      </c>
      <c r="L184" t="s">
        <v>41</v>
      </c>
      <c r="M184">
        <v>1</v>
      </c>
    </row>
    <row r="185" spans="1:13" x14ac:dyDescent="0.25">
      <c r="A185" s="2">
        <v>46248</v>
      </c>
      <c r="B185" s="1" t="str">
        <f ca="1">IF(Información1[[#This Row],[Fecha]]='Ajuste de fechas'!$A$2,"Día actual","Día anterior")</f>
        <v>Día actual</v>
      </c>
      <c r="C185" t="s">
        <v>8</v>
      </c>
      <c r="D185" t="s">
        <v>10</v>
      </c>
      <c r="E185" t="s">
        <v>355</v>
      </c>
      <c r="F185" t="s">
        <v>19</v>
      </c>
      <c r="G185" t="s">
        <v>356</v>
      </c>
      <c r="H185" t="s">
        <v>11</v>
      </c>
      <c r="I185" t="s">
        <v>7</v>
      </c>
      <c r="J185" t="s">
        <v>43</v>
      </c>
      <c r="K185" t="s">
        <v>9</v>
      </c>
      <c r="L185" t="s">
        <v>41</v>
      </c>
      <c r="M185">
        <v>1</v>
      </c>
    </row>
    <row r="186" spans="1:13" x14ac:dyDescent="0.25">
      <c r="A186" s="2">
        <v>46248</v>
      </c>
      <c r="B186" s="1" t="str">
        <f ca="1">IF(Información1[[#This Row],[Fecha]]='Ajuste de fechas'!$A$2,"Día actual","Día anterior")</f>
        <v>Día actual</v>
      </c>
      <c r="C186" t="s">
        <v>8</v>
      </c>
      <c r="D186" t="s">
        <v>10</v>
      </c>
      <c r="E186" t="s">
        <v>357</v>
      </c>
      <c r="F186" t="s">
        <v>19</v>
      </c>
      <c r="G186" t="s">
        <v>98</v>
      </c>
      <c r="H186" t="s">
        <v>11</v>
      </c>
      <c r="I186" t="s">
        <v>7</v>
      </c>
      <c r="J186" t="s">
        <v>43</v>
      </c>
      <c r="K186" t="s">
        <v>14</v>
      </c>
      <c r="L186" t="s">
        <v>40</v>
      </c>
      <c r="M186">
        <v>1</v>
      </c>
    </row>
    <row r="187" spans="1:13" x14ac:dyDescent="0.25">
      <c r="A187" s="2">
        <v>46248</v>
      </c>
      <c r="B187" s="1" t="str">
        <f ca="1">IF(Información1[[#This Row],[Fecha]]='Ajuste de fechas'!$A$2,"Día actual","Día anterior")</f>
        <v>Día actual</v>
      </c>
      <c r="C187" t="s">
        <v>8</v>
      </c>
      <c r="D187" t="s">
        <v>10</v>
      </c>
      <c r="E187" t="s">
        <v>260</v>
      </c>
      <c r="F187" t="s">
        <v>23</v>
      </c>
      <c r="G187" t="s">
        <v>83</v>
      </c>
      <c r="H187" t="s">
        <v>11</v>
      </c>
      <c r="I187" t="s">
        <v>7</v>
      </c>
      <c r="J187" t="s">
        <v>39</v>
      </c>
      <c r="K187" t="s">
        <v>14</v>
      </c>
      <c r="L187" t="s">
        <v>42</v>
      </c>
      <c r="M187">
        <v>1</v>
      </c>
    </row>
    <row r="188" spans="1:13" x14ac:dyDescent="0.25">
      <c r="A188" s="2">
        <v>46248</v>
      </c>
      <c r="B188" s="1" t="str">
        <f ca="1">IF(Información1[[#This Row],[Fecha]]='Ajuste de fechas'!$A$2,"Día actual","Día anterior")</f>
        <v>Día actual</v>
      </c>
      <c r="C188" t="s">
        <v>8</v>
      </c>
      <c r="D188" t="s">
        <v>10</v>
      </c>
      <c r="E188" t="s">
        <v>140</v>
      </c>
      <c r="F188" t="s">
        <v>85</v>
      </c>
      <c r="G188" t="s">
        <v>141</v>
      </c>
      <c r="H188" t="s">
        <v>11</v>
      </c>
      <c r="I188" t="s">
        <v>7</v>
      </c>
      <c r="J188" t="s">
        <v>39</v>
      </c>
      <c r="K188" t="s">
        <v>14</v>
      </c>
      <c r="L188" t="s">
        <v>42</v>
      </c>
      <c r="M188">
        <v>1</v>
      </c>
    </row>
    <row r="189" spans="1:13" x14ac:dyDescent="0.25">
      <c r="A189" s="2">
        <v>46248</v>
      </c>
      <c r="B189" s="1" t="str">
        <f ca="1">IF(Información1[[#This Row],[Fecha]]='Ajuste de fechas'!$A$2,"Día actual","Día anterior")</f>
        <v>Día actual</v>
      </c>
      <c r="C189" t="s">
        <v>8</v>
      </c>
      <c r="D189" t="s">
        <v>10</v>
      </c>
      <c r="E189" t="s">
        <v>279</v>
      </c>
      <c r="F189" t="s">
        <v>26</v>
      </c>
      <c r="G189" t="s">
        <v>76</v>
      </c>
      <c r="H189" t="s">
        <v>11</v>
      </c>
      <c r="I189" t="s">
        <v>7</v>
      </c>
      <c r="J189" t="s">
        <v>39</v>
      </c>
      <c r="K189" t="s">
        <v>14</v>
      </c>
      <c r="L189" t="s">
        <v>42</v>
      </c>
      <c r="M189">
        <v>1</v>
      </c>
    </row>
    <row r="190" spans="1:13" x14ac:dyDescent="0.25">
      <c r="A190" s="2">
        <v>46248</v>
      </c>
      <c r="B190" s="1" t="str">
        <f ca="1">IF(Información1[[#This Row],[Fecha]]='Ajuste de fechas'!$A$2,"Día actual","Día anterior")</f>
        <v>Día actual</v>
      </c>
      <c r="C190" t="s">
        <v>8</v>
      </c>
      <c r="D190" t="s">
        <v>10</v>
      </c>
      <c r="E190" t="s">
        <v>358</v>
      </c>
      <c r="F190" t="s">
        <v>26</v>
      </c>
      <c r="G190" t="s">
        <v>76</v>
      </c>
      <c r="H190" t="s">
        <v>11</v>
      </c>
      <c r="I190" t="s">
        <v>7</v>
      </c>
      <c r="J190" t="s">
        <v>39</v>
      </c>
      <c r="K190" t="s">
        <v>14</v>
      </c>
      <c r="L190" t="s">
        <v>42</v>
      </c>
      <c r="M190">
        <v>1</v>
      </c>
    </row>
    <row r="191" spans="1:13" x14ac:dyDescent="0.25">
      <c r="A191" s="2">
        <v>46248</v>
      </c>
      <c r="B191" s="1" t="str">
        <f ca="1">IF(Información1[[#This Row],[Fecha]]='Ajuste de fechas'!$A$2,"Día actual","Día anterior")</f>
        <v>Día actual</v>
      </c>
      <c r="C191" t="s">
        <v>8</v>
      </c>
      <c r="D191" t="s">
        <v>10</v>
      </c>
      <c r="E191" t="s">
        <v>312</v>
      </c>
      <c r="F191" t="s">
        <v>80</v>
      </c>
      <c r="G191" t="s">
        <v>313</v>
      </c>
      <c r="H191" t="s">
        <v>11</v>
      </c>
      <c r="I191" t="s">
        <v>7</v>
      </c>
      <c r="J191" t="s">
        <v>39</v>
      </c>
      <c r="K191" t="s">
        <v>14</v>
      </c>
      <c r="L191" t="s">
        <v>42</v>
      </c>
      <c r="M191">
        <v>1</v>
      </c>
    </row>
    <row r="192" spans="1:13" x14ac:dyDescent="0.25">
      <c r="A192" s="2">
        <v>46248</v>
      </c>
      <c r="B192" s="1" t="str">
        <f ca="1">IF(Información1[[#This Row],[Fecha]]='Ajuste de fechas'!$A$2,"Día actual","Día anterior")</f>
        <v>Día actual</v>
      </c>
      <c r="C192" t="s">
        <v>8</v>
      </c>
      <c r="D192" t="s">
        <v>10</v>
      </c>
      <c r="E192" t="s">
        <v>20</v>
      </c>
      <c r="F192" t="s">
        <v>19</v>
      </c>
      <c r="G192" t="s">
        <v>32</v>
      </c>
      <c r="H192" t="s">
        <v>11</v>
      </c>
      <c r="I192" t="s">
        <v>12</v>
      </c>
      <c r="J192" t="s">
        <v>43</v>
      </c>
      <c r="K192" t="s">
        <v>14</v>
      </c>
      <c r="L192" t="s">
        <v>41</v>
      </c>
      <c r="M192">
        <v>1</v>
      </c>
    </row>
    <row r="193" spans="1:13" x14ac:dyDescent="0.25">
      <c r="A193" s="2">
        <v>46248</v>
      </c>
      <c r="B193" s="1" t="str">
        <f ca="1">IF(Información1[[#This Row],[Fecha]]='Ajuste de fechas'!$A$2,"Día actual","Día anterior")</f>
        <v>Día actual</v>
      </c>
      <c r="C193" t="s">
        <v>8</v>
      </c>
      <c r="D193" t="s">
        <v>10</v>
      </c>
      <c r="E193" t="s">
        <v>18</v>
      </c>
      <c r="F193" t="s">
        <v>19</v>
      </c>
      <c r="G193" t="s">
        <v>32</v>
      </c>
      <c r="H193" t="s">
        <v>11</v>
      </c>
      <c r="I193" t="s">
        <v>12</v>
      </c>
      <c r="J193" t="s">
        <v>43</v>
      </c>
      <c r="K193" t="s">
        <v>14</v>
      </c>
      <c r="L193" t="s">
        <v>41</v>
      </c>
      <c r="M193">
        <v>1</v>
      </c>
    </row>
    <row r="194" spans="1:13" x14ac:dyDescent="0.25">
      <c r="A194" s="2">
        <v>46248</v>
      </c>
      <c r="B194" s="1" t="str">
        <f ca="1">IF(Información1[[#This Row],[Fecha]]='Ajuste de fechas'!$A$2,"Día actual","Día anterior")</f>
        <v>Día actual</v>
      </c>
      <c r="C194" t="s">
        <v>8</v>
      </c>
      <c r="D194" t="s">
        <v>10</v>
      </c>
      <c r="E194" t="s">
        <v>82</v>
      </c>
      <c r="F194" t="s">
        <v>54</v>
      </c>
      <c r="G194" t="s">
        <v>32</v>
      </c>
      <c r="H194" t="s">
        <v>11</v>
      </c>
      <c r="I194" t="s">
        <v>12</v>
      </c>
      <c r="J194" t="s">
        <v>24</v>
      </c>
      <c r="K194" t="s">
        <v>14</v>
      </c>
      <c r="L194" t="s">
        <v>41</v>
      </c>
      <c r="M194">
        <v>1</v>
      </c>
    </row>
    <row r="195" spans="1:13" x14ac:dyDescent="0.25">
      <c r="A195" s="2">
        <v>46248</v>
      </c>
      <c r="B195" s="1" t="str">
        <f ca="1">IF(Información1[[#This Row],[Fecha]]='Ajuste de fechas'!$A$2,"Día actual","Día anterior")</f>
        <v>Día actual</v>
      </c>
      <c r="C195" t="s">
        <v>8</v>
      </c>
      <c r="D195" t="s">
        <v>10</v>
      </c>
      <c r="E195" t="s">
        <v>118</v>
      </c>
      <c r="F195" t="s">
        <v>21</v>
      </c>
      <c r="G195" t="s">
        <v>32</v>
      </c>
      <c r="H195" t="s">
        <v>11</v>
      </c>
      <c r="I195" t="s">
        <v>12</v>
      </c>
      <c r="J195" t="s">
        <v>39</v>
      </c>
      <c r="K195" t="s">
        <v>14</v>
      </c>
      <c r="L195" t="s">
        <v>41</v>
      </c>
      <c r="M195">
        <v>1</v>
      </c>
    </row>
    <row r="196" spans="1:13" x14ac:dyDescent="0.25">
      <c r="A196" s="2">
        <v>46248</v>
      </c>
      <c r="B196" s="1" t="str">
        <f ca="1">IF(Información1[[#This Row],[Fecha]]='Ajuste de fechas'!$A$2,"Día actual","Día anterior")</f>
        <v>Día actual</v>
      </c>
      <c r="C196" t="s">
        <v>8</v>
      </c>
      <c r="D196" t="s">
        <v>10</v>
      </c>
      <c r="E196" t="s">
        <v>13</v>
      </c>
      <c r="F196" t="s">
        <v>15</v>
      </c>
      <c r="G196" t="s">
        <v>32</v>
      </c>
      <c r="H196" t="s">
        <v>11</v>
      </c>
      <c r="I196" t="s">
        <v>12</v>
      </c>
      <c r="J196" t="s">
        <v>39</v>
      </c>
      <c r="K196" t="s">
        <v>14</v>
      </c>
      <c r="L196" t="s">
        <v>41</v>
      </c>
      <c r="M196">
        <v>1</v>
      </c>
    </row>
    <row r="197" spans="1:13" x14ac:dyDescent="0.25">
      <c r="A197" s="2">
        <v>46248</v>
      </c>
      <c r="B197" s="1" t="str">
        <f ca="1">IF(Información1[[#This Row],[Fecha]]='Ajuste de fechas'!$A$2,"Día actual","Día anterior")</f>
        <v>Día actual</v>
      </c>
      <c r="C197" t="s">
        <v>8</v>
      </c>
      <c r="D197" t="s">
        <v>10</v>
      </c>
      <c r="E197" t="s">
        <v>16</v>
      </c>
      <c r="F197" t="s">
        <v>17</v>
      </c>
      <c r="G197" t="s">
        <v>32</v>
      </c>
      <c r="H197" t="s">
        <v>11</v>
      </c>
      <c r="I197" t="s">
        <v>12</v>
      </c>
      <c r="J197" t="s">
        <v>39</v>
      </c>
      <c r="K197" t="s">
        <v>14</v>
      </c>
      <c r="L197" t="s">
        <v>41</v>
      </c>
      <c r="M197">
        <v>1</v>
      </c>
    </row>
    <row r="198" spans="1:13" x14ac:dyDescent="0.25">
      <c r="A198" s="2">
        <v>46248</v>
      </c>
      <c r="B198" s="1" t="str">
        <f ca="1">IF(Información1[[#This Row],[Fecha]]='Ajuste de fechas'!$A$2,"Día actual","Día anterior")</f>
        <v>Día actual</v>
      </c>
      <c r="C198" t="s">
        <v>8</v>
      </c>
      <c r="D198" t="s">
        <v>10</v>
      </c>
      <c r="E198" t="s">
        <v>53</v>
      </c>
      <c r="F198" t="s">
        <v>6</v>
      </c>
      <c r="G198" t="s">
        <v>32</v>
      </c>
      <c r="H198" t="s">
        <v>11</v>
      </c>
      <c r="I198" t="s">
        <v>12</v>
      </c>
      <c r="J198" t="s">
        <v>39</v>
      </c>
      <c r="K198" t="s">
        <v>14</v>
      </c>
      <c r="L198" t="s">
        <v>41</v>
      </c>
      <c r="M198">
        <v>1</v>
      </c>
    </row>
    <row r="199" spans="1:13" x14ac:dyDescent="0.25">
      <c r="A199" s="2">
        <v>46248</v>
      </c>
      <c r="B199" s="1" t="str">
        <f ca="1">IF(Información1[[#This Row],[Fecha]]='Ajuste de fechas'!$A$2,"Día actual","Día anterior")</f>
        <v>Día actual</v>
      </c>
      <c r="C199" t="s">
        <v>50</v>
      </c>
      <c r="D199" t="s">
        <v>55</v>
      </c>
      <c r="E199" t="s">
        <v>359</v>
      </c>
      <c r="F199" t="s">
        <v>19</v>
      </c>
      <c r="G199" t="s">
        <v>360</v>
      </c>
      <c r="H199" t="s">
        <v>11</v>
      </c>
      <c r="I199" t="s">
        <v>7</v>
      </c>
      <c r="J199" t="s">
        <v>43</v>
      </c>
      <c r="K199" t="s">
        <v>51</v>
      </c>
      <c r="L199" t="s">
        <v>40</v>
      </c>
      <c r="M199">
        <v>1</v>
      </c>
    </row>
    <row r="200" spans="1:13" x14ac:dyDescent="0.25">
      <c r="A200" s="2">
        <v>46248</v>
      </c>
      <c r="B200" s="1" t="str">
        <f ca="1">IF(Información1[[#This Row],[Fecha]]='Ajuste de fechas'!$A$2,"Día actual","Día anterior")</f>
        <v>Día actual</v>
      </c>
      <c r="C200" t="s">
        <v>50</v>
      </c>
      <c r="D200" t="s">
        <v>55</v>
      </c>
      <c r="E200" t="s">
        <v>361</v>
      </c>
      <c r="F200" t="s">
        <v>19</v>
      </c>
      <c r="G200" t="s">
        <v>150</v>
      </c>
      <c r="H200" t="s">
        <v>11</v>
      </c>
      <c r="I200" t="s">
        <v>7</v>
      </c>
      <c r="J200" t="s">
        <v>43</v>
      </c>
      <c r="K200" t="s">
        <v>51</v>
      </c>
      <c r="L200" t="s">
        <v>40</v>
      </c>
      <c r="M200">
        <v>1</v>
      </c>
    </row>
    <row r="201" spans="1:13" x14ac:dyDescent="0.25">
      <c r="A201" s="2">
        <v>46248</v>
      </c>
      <c r="B201" s="1" t="str">
        <f ca="1">IF(Información1[[#This Row],[Fecha]]='Ajuste de fechas'!$A$2,"Día actual","Día anterior")</f>
        <v>Día actual</v>
      </c>
      <c r="C201" t="s">
        <v>50</v>
      </c>
      <c r="D201" t="s">
        <v>55</v>
      </c>
      <c r="E201" t="s">
        <v>282</v>
      </c>
      <c r="F201" t="s">
        <v>21</v>
      </c>
      <c r="G201" t="s">
        <v>362</v>
      </c>
      <c r="H201" t="s">
        <v>11</v>
      </c>
      <c r="I201" t="s">
        <v>7</v>
      </c>
      <c r="J201" t="s">
        <v>39</v>
      </c>
      <c r="K201" t="s">
        <v>51</v>
      </c>
      <c r="L201" t="s">
        <v>42</v>
      </c>
      <c r="M201">
        <v>1</v>
      </c>
    </row>
    <row r="202" spans="1:13" x14ac:dyDescent="0.25">
      <c r="A202" s="2">
        <v>46248</v>
      </c>
      <c r="B202" s="1" t="str">
        <f ca="1">IF(Información1[[#This Row],[Fecha]]='Ajuste de fechas'!$A$2,"Día actual","Día anterior")</f>
        <v>Día actual</v>
      </c>
      <c r="C202" t="s">
        <v>62</v>
      </c>
      <c r="D202" t="s">
        <v>63</v>
      </c>
      <c r="E202" t="s">
        <v>363</v>
      </c>
      <c r="F202" t="s">
        <v>19</v>
      </c>
      <c r="G202" t="s">
        <v>313</v>
      </c>
      <c r="H202" t="s">
        <v>11</v>
      </c>
      <c r="I202" t="s">
        <v>7</v>
      </c>
      <c r="J202" t="s">
        <v>43</v>
      </c>
      <c r="K202" t="s">
        <v>64</v>
      </c>
      <c r="L202" t="s">
        <v>40</v>
      </c>
      <c r="M202">
        <v>1</v>
      </c>
    </row>
    <row r="203" spans="1:13" x14ac:dyDescent="0.25">
      <c r="A203" s="2">
        <v>46248</v>
      </c>
      <c r="B203" s="1" t="str">
        <f ca="1">IF(Información1[[#This Row],[Fecha]]='Ajuste de fechas'!$A$2,"Día actual","Día anterior")</f>
        <v>Día actual</v>
      </c>
      <c r="C203" t="s">
        <v>62</v>
      </c>
      <c r="D203" t="s">
        <v>63</v>
      </c>
      <c r="E203" t="s">
        <v>364</v>
      </c>
      <c r="F203" t="s">
        <v>19</v>
      </c>
      <c r="G203" t="s">
        <v>365</v>
      </c>
      <c r="H203" t="s">
        <v>11</v>
      </c>
      <c r="I203" t="s">
        <v>7</v>
      </c>
      <c r="J203" t="s">
        <v>43</v>
      </c>
      <c r="K203" t="s">
        <v>64</v>
      </c>
      <c r="L203" t="s">
        <v>40</v>
      </c>
      <c r="M203">
        <v>1</v>
      </c>
    </row>
    <row r="204" spans="1:13" x14ac:dyDescent="0.25">
      <c r="A204" s="2">
        <v>46248</v>
      </c>
      <c r="B204" s="1" t="str">
        <f ca="1">IF(Información1[[#This Row],[Fecha]]='Ajuste de fechas'!$A$2,"Día actual","Día anterior")</f>
        <v>Día actual</v>
      </c>
      <c r="C204" t="s">
        <v>62</v>
      </c>
      <c r="D204" t="s">
        <v>63</v>
      </c>
      <c r="E204" t="s">
        <v>292</v>
      </c>
      <c r="F204" t="s">
        <v>15</v>
      </c>
      <c r="G204" t="s">
        <v>293</v>
      </c>
      <c r="H204" t="s">
        <v>11</v>
      </c>
      <c r="I204" t="s">
        <v>7</v>
      </c>
      <c r="J204" t="s">
        <v>39</v>
      </c>
      <c r="K204" t="s">
        <v>64</v>
      </c>
      <c r="L204" t="s">
        <v>42</v>
      </c>
      <c r="M204">
        <v>1</v>
      </c>
    </row>
    <row r="205" spans="1:13" x14ac:dyDescent="0.25">
      <c r="A205" s="2">
        <v>46248</v>
      </c>
      <c r="B205" s="1" t="str">
        <f ca="1">IF(Información1[[#This Row],[Fecha]]='Ajuste de fechas'!$A$2,"Día actual","Día anterior")</f>
        <v>Día actual</v>
      </c>
      <c r="C205" t="s">
        <v>62</v>
      </c>
      <c r="D205" t="s">
        <v>63</v>
      </c>
      <c r="E205" t="s">
        <v>363</v>
      </c>
      <c r="F205" t="s">
        <v>80</v>
      </c>
      <c r="G205" t="s">
        <v>313</v>
      </c>
      <c r="H205" t="s">
        <v>11</v>
      </c>
      <c r="I205" t="s">
        <v>12</v>
      </c>
      <c r="J205" t="s">
        <v>39</v>
      </c>
      <c r="K205" t="s">
        <v>64</v>
      </c>
      <c r="L205" t="s">
        <v>41</v>
      </c>
      <c r="M205">
        <v>1</v>
      </c>
    </row>
    <row r="206" spans="1:13" x14ac:dyDescent="0.25">
      <c r="A206" s="2">
        <v>46248</v>
      </c>
      <c r="B206" s="1" t="str">
        <f ca="1">IF(Información1[[#This Row],[Fecha]]='Ajuste de fechas'!$A$2,"Día actual","Día anterior")</f>
        <v>Día actual</v>
      </c>
      <c r="C206" t="s">
        <v>62</v>
      </c>
      <c r="D206" t="s">
        <v>63</v>
      </c>
      <c r="E206" t="s">
        <v>363</v>
      </c>
      <c r="F206" t="s">
        <v>26</v>
      </c>
      <c r="G206" t="s">
        <v>313</v>
      </c>
      <c r="H206" t="s">
        <v>11</v>
      </c>
      <c r="I206" t="s">
        <v>12</v>
      </c>
      <c r="J206" t="s">
        <v>39</v>
      </c>
      <c r="K206" t="s">
        <v>64</v>
      </c>
      <c r="L206" t="s">
        <v>41</v>
      </c>
      <c r="M206">
        <v>1</v>
      </c>
    </row>
    <row r="207" spans="1:13" x14ac:dyDescent="0.25">
      <c r="A207" s="2">
        <v>46248</v>
      </c>
      <c r="B207" s="1" t="str">
        <f ca="1">IF(Información1[[#This Row],[Fecha]]='Ajuste de fechas'!$A$2,"Día actual","Día anterior")</f>
        <v>Día actual</v>
      </c>
      <c r="C207" t="s">
        <v>62</v>
      </c>
      <c r="D207" t="s">
        <v>63</v>
      </c>
      <c r="E207" t="s">
        <v>366</v>
      </c>
      <c r="F207" t="s">
        <v>80</v>
      </c>
      <c r="G207" t="s">
        <v>313</v>
      </c>
      <c r="H207" t="s">
        <v>11</v>
      </c>
      <c r="I207" t="s">
        <v>7</v>
      </c>
      <c r="J207" t="s">
        <v>39</v>
      </c>
      <c r="K207" t="s">
        <v>64</v>
      </c>
      <c r="L207" t="s">
        <v>42</v>
      </c>
      <c r="M207">
        <v>1</v>
      </c>
    </row>
    <row r="208" spans="1:13" x14ac:dyDescent="0.25">
      <c r="A208" s="2">
        <v>46248</v>
      </c>
      <c r="B208" s="1" t="str">
        <f ca="1">IF(Información1[[#This Row],[Fecha]]='Ajuste de fechas'!$A$2,"Día actual","Día anterior")</f>
        <v>Día actual</v>
      </c>
      <c r="C208" t="s">
        <v>62</v>
      </c>
      <c r="D208" t="s">
        <v>63</v>
      </c>
      <c r="E208" t="s">
        <v>367</v>
      </c>
      <c r="F208" t="s">
        <v>23</v>
      </c>
      <c r="G208" t="s">
        <v>368</v>
      </c>
      <c r="H208" t="s">
        <v>11</v>
      </c>
      <c r="I208" t="s">
        <v>7</v>
      </c>
      <c r="J208" t="s">
        <v>39</v>
      </c>
      <c r="K208" t="s">
        <v>64</v>
      </c>
      <c r="L208" t="s">
        <v>42</v>
      </c>
      <c r="M208">
        <v>1</v>
      </c>
    </row>
    <row r="209" spans="1:13" x14ac:dyDescent="0.25">
      <c r="A209" s="2">
        <v>46248</v>
      </c>
      <c r="B209" s="1" t="str">
        <f ca="1">IF(Información1[[#This Row],[Fecha]]='Ajuste de fechas'!$A$2,"Día actual","Día anterior")</f>
        <v>Día actual</v>
      </c>
      <c r="C209" t="s">
        <v>62</v>
      </c>
      <c r="D209" t="s">
        <v>63</v>
      </c>
      <c r="E209" t="s">
        <v>369</v>
      </c>
      <c r="F209" t="s">
        <v>23</v>
      </c>
      <c r="G209" t="s">
        <v>370</v>
      </c>
      <c r="H209" t="s">
        <v>11</v>
      </c>
      <c r="I209" t="s">
        <v>7</v>
      </c>
      <c r="J209" t="s">
        <v>39</v>
      </c>
      <c r="K209" t="s">
        <v>64</v>
      </c>
      <c r="L209" t="s">
        <v>42</v>
      </c>
      <c r="M209">
        <v>1</v>
      </c>
    </row>
    <row r="210" spans="1:13" x14ac:dyDescent="0.25">
      <c r="A210" s="2">
        <v>46248</v>
      </c>
      <c r="B210" s="1" t="str">
        <f ca="1">IF(Información1[[#This Row],[Fecha]]='Ajuste de fechas'!$A$2,"Día actual","Día anterior")</f>
        <v>Día actual</v>
      </c>
      <c r="C210" t="s">
        <v>62</v>
      </c>
      <c r="D210" t="s">
        <v>63</v>
      </c>
      <c r="E210" t="s">
        <v>249</v>
      </c>
      <c r="F210" t="s">
        <v>87</v>
      </c>
      <c r="G210" t="s">
        <v>250</v>
      </c>
      <c r="H210" t="s">
        <v>11</v>
      </c>
      <c r="I210" t="s">
        <v>7</v>
      </c>
      <c r="J210" t="s">
        <v>39</v>
      </c>
      <c r="K210" t="s">
        <v>64</v>
      </c>
      <c r="L210" t="s">
        <v>42</v>
      </c>
      <c r="M210">
        <v>1</v>
      </c>
    </row>
    <row r="211" spans="1:13" x14ac:dyDescent="0.25">
      <c r="A211" s="2">
        <v>46248</v>
      </c>
      <c r="B211" s="1" t="str">
        <f ca="1">IF(Información1[[#This Row],[Fecha]]='Ajuste de fechas'!$A$2,"Día actual","Día anterior")</f>
        <v>Día actual</v>
      </c>
      <c r="C211" t="s">
        <v>62</v>
      </c>
      <c r="D211" t="s">
        <v>63</v>
      </c>
      <c r="E211" t="s">
        <v>371</v>
      </c>
      <c r="F211" t="s">
        <v>23</v>
      </c>
      <c r="G211" t="s">
        <v>83</v>
      </c>
      <c r="H211" t="s">
        <v>11</v>
      </c>
      <c r="I211" t="s">
        <v>7</v>
      </c>
      <c r="J211" t="s">
        <v>39</v>
      </c>
      <c r="K211" t="s">
        <v>64</v>
      </c>
      <c r="L211" t="s">
        <v>42</v>
      </c>
      <c r="M211">
        <v>1</v>
      </c>
    </row>
    <row r="212" spans="1:13" x14ac:dyDescent="0.25">
      <c r="A212" s="2">
        <v>46248</v>
      </c>
      <c r="B212" s="1" t="str">
        <f ca="1">IF(Información1[[#This Row],[Fecha]]='Ajuste de fechas'!$A$2,"Día actual","Día anterior")</f>
        <v>Día actual</v>
      </c>
      <c r="C212" t="s">
        <v>62</v>
      </c>
      <c r="D212" t="s">
        <v>63</v>
      </c>
      <c r="E212" t="s">
        <v>290</v>
      </c>
      <c r="F212" t="s">
        <v>31</v>
      </c>
      <c r="G212" t="s">
        <v>291</v>
      </c>
      <c r="H212" t="s">
        <v>11</v>
      </c>
      <c r="I212" t="s">
        <v>7</v>
      </c>
      <c r="J212" t="s">
        <v>39</v>
      </c>
      <c r="K212" t="s">
        <v>64</v>
      </c>
      <c r="L212" t="s">
        <v>42</v>
      </c>
      <c r="M212">
        <v>1</v>
      </c>
    </row>
    <row r="213" spans="1:13" x14ac:dyDescent="0.25">
      <c r="A213" s="2">
        <v>46248</v>
      </c>
      <c r="B213" s="1" t="str">
        <f ca="1">IF(Información1[[#This Row],[Fecha]]='Ajuste de fechas'!$A$2,"Día actual","Día anterior")</f>
        <v>Día actual</v>
      </c>
      <c r="C213" t="s">
        <v>62</v>
      </c>
      <c r="D213" t="s">
        <v>63</v>
      </c>
      <c r="E213" t="s">
        <v>263</v>
      </c>
      <c r="F213" t="s">
        <v>21</v>
      </c>
      <c r="G213" t="s">
        <v>264</v>
      </c>
      <c r="H213" t="s">
        <v>11</v>
      </c>
      <c r="I213" t="s">
        <v>7</v>
      </c>
      <c r="J213" t="s">
        <v>39</v>
      </c>
      <c r="K213" t="s">
        <v>64</v>
      </c>
      <c r="L213" t="s">
        <v>42</v>
      </c>
      <c r="M213">
        <v>1</v>
      </c>
    </row>
    <row r="214" spans="1:13" x14ac:dyDescent="0.25">
      <c r="A214" s="2">
        <v>46248</v>
      </c>
      <c r="B214" s="1" t="str">
        <f ca="1">IF(Información1[[#This Row],[Fecha]]='Ajuste de fechas'!$A$2,"Día actual","Día anterior")</f>
        <v>Día actual</v>
      </c>
      <c r="C214" t="s">
        <v>62</v>
      </c>
      <c r="D214" t="s">
        <v>63</v>
      </c>
      <c r="E214" t="s">
        <v>372</v>
      </c>
      <c r="F214" t="s">
        <v>26</v>
      </c>
      <c r="G214" t="s">
        <v>76</v>
      </c>
      <c r="H214" t="s">
        <v>11</v>
      </c>
      <c r="I214" t="s">
        <v>7</v>
      </c>
      <c r="J214" t="s">
        <v>39</v>
      </c>
      <c r="K214" t="s">
        <v>64</v>
      </c>
      <c r="L214" t="s">
        <v>42</v>
      </c>
      <c r="M214">
        <v>1</v>
      </c>
    </row>
    <row r="215" spans="1:13" x14ac:dyDescent="0.25">
      <c r="A215" s="2">
        <v>46248</v>
      </c>
      <c r="B215" s="1" t="str">
        <f ca="1">IF(Información1[[#This Row],[Fecha]]='Ajuste de fechas'!$A$2,"Día actual","Día anterior")</f>
        <v>Día actual</v>
      </c>
      <c r="C215" t="s">
        <v>62</v>
      </c>
      <c r="D215" t="s">
        <v>63</v>
      </c>
      <c r="E215" t="s">
        <v>373</v>
      </c>
      <c r="F215" t="s">
        <v>26</v>
      </c>
      <c r="G215" t="s">
        <v>76</v>
      </c>
      <c r="H215" t="s">
        <v>11</v>
      </c>
      <c r="I215" t="s">
        <v>7</v>
      </c>
      <c r="J215" t="s">
        <v>39</v>
      </c>
      <c r="K215" t="s">
        <v>64</v>
      </c>
      <c r="L215" t="s">
        <v>42</v>
      </c>
      <c r="M215">
        <v>1</v>
      </c>
    </row>
    <row r="216" spans="1:13" x14ac:dyDescent="0.25">
      <c r="A216" s="2">
        <v>46248</v>
      </c>
      <c r="B216" s="1" t="str">
        <f ca="1">IF(Información1[[#This Row],[Fecha]]='Ajuste de fechas'!$A$2,"Día actual","Día anterior")</f>
        <v>Día actual</v>
      </c>
      <c r="C216" t="s">
        <v>50</v>
      </c>
      <c r="D216" t="s">
        <v>52</v>
      </c>
      <c r="E216" t="s">
        <v>361</v>
      </c>
      <c r="F216" t="s">
        <v>19</v>
      </c>
      <c r="G216" t="s">
        <v>150</v>
      </c>
      <c r="H216" t="s">
        <v>11</v>
      </c>
      <c r="I216" t="s">
        <v>7</v>
      </c>
      <c r="J216" t="s">
        <v>43</v>
      </c>
      <c r="K216" t="s">
        <v>51</v>
      </c>
      <c r="L216" t="s">
        <v>40</v>
      </c>
      <c r="M216">
        <v>1</v>
      </c>
    </row>
    <row r="217" spans="1:13" x14ac:dyDescent="0.25">
      <c r="A217" s="2">
        <v>46248</v>
      </c>
      <c r="B217" s="1" t="str">
        <f ca="1">IF(Información1[[#This Row],[Fecha]]='Ajuste de fechas'!$A$2,"Día actual","Día anterior")</f>
        <v>Día actual</v>
      </c>
      <c r="C217" t="s">
        <v>50</v>
      </c>
      <c r="D217" t="s">
        <v>52</v>
      </c>
      <c r="E217" t="s">
        <v>374</v>
      </c>
      <c r="F217" t="s">
        <v>19</v>
      </c>
      <c r="G217" t="s">
        <v>375</v>
      </c>
      <c r="H217" t="s">
        <v>11</v>
      </c>
      <c r="I217" t="s">
        <v>7</v>
      </c>
      <c r="J217" t="s">
        <v>43</v>
      </c>
      <c r="K217" t="s">
        <v>49</v>
      </c>
      <c r="L217" t="s">
        <v>40</v>
      </c>
      <c r="M217">
        <v>1</v>
      </c>
    </row>
    <row r="218" spans="1:13" x14ac:dyDescent="0.25">
      <c r="A218" s="2">
        <v>46248</v>
      </c>
      <c r="B218" s="1" t="str">
        <f ca="1">IF(Información1[[#This Row],[Fecha]]='Ajuste de fechas'!$A$2,"Día actual","Día anterior")</f>
        <v>Día actual</v>
      </c>
      <c r="C218" t="s">
        <v>50</v>
      </c>
      <c r="D218" t="s">
        <v>52</v>
      </c>
      <c r="E218" t="s">
        <v>376</v>
      </c>
      <c r="F218" t="s">
        <v>19</v>
      </c>
      <c r="G218" t="s">
        <v>98</v>
      </c>
      <c r="H218" t="s">
        <v>11</v>
      </c>
      <c r="I218" t="s">
        <v>7</v>
      </c>
      <c r="J218" t="s">
        <v>43</v>
      </c>
      <c r="K218" t="s">
        <v>49</v>
      </c>
      <c r="L218" t="s">
        <v>40</v>
      </c>
      <c r="M218">
        <v>1</v>
      </c>
    </row>
    <row r="219" spans="1:13" x14ac:dyDescent="0.25">
      <c r="A219" s="2">
        <v>46248</v>
      </c>
      <c r="B219" s="1" t="str">
        <f ca="1">IF(Información1[[#This Row],[Fecha]]='Ajuste de fechas'!$A$2,"Día actual","Día anterior")</f>
        <v>Día actual</v>
      </c>
      <c r="C219" t="s">
        <v>50</v>
      </c>
      <c r="D219" t="s">
        <v>52</v>
      </c>
      <c r="E219" t="s">
        <v>377</v>
      </c>
      <c r="F219" t="s">
        <v>17</v>
      </c>
      <c r="G219" t="s">
        <v>109</v>
      </c>
      <c r="H219" t="s">
        <v>11</v>
      </c>
      <c r="I219" t="s">
        <v>7</v>
      </c>
      <c r="J219" t="s">
        <v>39</v>
      </c>
      <c r="K219" t="s">
        <v>49</v>
      </c>
      <c r="L219" t="s">
        <v>41</v>
      </c>
      <c r="M219">
        <v>1</v>
      </c>
    </row>
    <row r="220" spans="1:13" x14ac:dyDescent="0.25">
      <c r="A220" s="2">
        <v>46248</v>
      </c>
      <c r="B220" s="1" t="str">
        <f ca="1">IF(Información1[[#This Row],[Fecha]]='Ajuste de fechas'!$A$2,"Día actual","Día anterior")</f>
        <v>Día actual</v>
      </c>
      <c r="C220" t="s">
        <v>50</v>
      </c>
      <c r="D220" t="s">
        <v>52</v>
      </c>
      <c r="E220" t="s">
        <v>378</v>
      </c>
      <c r="F220" t="s">
        <v>77</v>
      </c>
      <c r="G220" t="s">
        <v>78</v>
      </c>
      <c r="H220" t="s">
        <v>11</v>
      </c>
      <c r="I220" t="s">
        <v>7</v>
      </c>
      <c r="J220" t="s">
        <v>39</v>
      </c>
      <c r="K220" t="s">
        <v>49</v>
      </c>
      <c r="L220" t="s">
        <v>42</v>
      </c>
      <c r="M220">
        <v>1</v>
      </c>
    </row>
    <row r="221" spans="1:13" x14ac:dyDescent="0.25">
      <c r="A221" s="2">
        <v>46248</v>
      </c>
      <c r="B221" s="1" t="str">
        <f ca="1">IF(Información1[[#This Row],[Fecha]]='Ajuste de fechas'!$A$2,"Día actual","Día anterior")</f>
        <v>Día actual</v>
      </c>
      <c r="C221" t="s">
        <v>50</v>
      </c>
      <c r="D221" t="s">
        <v>52</v>
      </c>
      <c r="E221" t="s">
        <v>373</v>
      </c>
      <c r="F221" t="s">
        <v>26</v>
      </c>
      <c r="G221" t="s">
        <v>76</v>
      </c>
      <c r="H221" t="s">
        <v>11</v>
      </c>
      <c r="I221" t="s">
        <v>7</v>
      </c>
      <c r="J221" t="s">
        <v>39</v>
      </c>
      <c r="K221" t="s">
        <v>49</v>
      </c>
      <c r="L221" t="s">
        <v>42</v>
      </c>
      <c r="M221">
        <v>1</v>
      </c>
    </row>
    <row r="222" spans="1:13" x14ac:dyDescent="0.25">
      <c r="A222" s="2">
        <v>46248</v>
      </c>
      <c r="B222" s="1" t="str">
        <f ca="1">IF(Información1[[#This Row],[Fecha]]='Ajuste de fechas'!$A$2,"Día actual","Día anterior")</f>
        <v>Día actual</v>
      </c>
      <c r="C222" t="s">
        <v>50</v>
      </c>
      <c r="D222" t="s">
        <v>52</v>
      </c>
      <c r="E222" t="s">
        <v>372</v>
      </c>
      <c r="F222" t="s">
        <v>26</v>
      </c>
      <c r="G222" t="s">
        <v>76</v>
      </c>
      <c r="H222" t="s">
        <v>11</v>
      </c>
      <c r="I222" t="s">
        <v>7</v>
      </c>
      <c r="J222" t="s">
        <v>39</v>
      </c>
      <c r="K222" t="s">
        <v>49</v>
      </c>
      <c r="L222" t="s">
        <v>42</v>
      </c>
      <c r="M222">
        <v>1</v>
      </c>
    </row>
    <row r="223" spans="1:13" x14ac:dyDescent="0.25">
      <c r="A223" s="2">
        <v>46248</v>
      </c>
      <c r="B223" s="1" t="str">
        <f ca="1">IF(Información1[[#This Row],[Fecha]]='Ajuste de fechas'!$A$2,"Día actual","Día anterior")</f>
        <v>Día actual</v>
      </c>
      <c r="C223" t="s">
        <v>50</v>
      </c>
      <c r="D223" t="s">
        <v>52</v>
      </c>
      <c r="E223" t="s">
        <v>371</v>
      </c>
      <c r="F223" t="s">
        <v>23</v>
      </c>
      <c r="G223" t="s">
        <v>83</v>
      </c>
      <c r="H223" t="s">
        <v>11</v>
      </c>
      <c r="I223" t="s">
        <v>7</v>
      </c>
      <c r="J223" t="s">
        <v>39</v>
      </c>
      <c r="K223" t="s">
        <v>49</v>
      </c>
      <c r="L223" t="s">
        <v>42</v>
      </c>
      <c r="M22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46248</v>
      </c>
      <c r="B2" s="2">
        <f ca="1">A2-1</f>
        <v>46247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2026-08-15T00:30:23Z</dcterms:modified>
</cp:coreProperties>
</file>