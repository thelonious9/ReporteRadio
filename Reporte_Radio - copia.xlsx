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853C8D42-8A73-49D0-B6E4-59E3D534839E}"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82" i="2"/>
  <c r="B85" i="2"/>
  <c r="B88" i="2"/>
  <c r="B91" i="2"/>
  <c r="B94" i="2"/>
  <c r="B97" i="2"/>
  <c r="B100" i="2"/>
  <c r="B103" i="2"/>
  <c r="B106" i="2"/>
  <c r="B28" i="2"/>
  <c r="B29" i="2"/>
  <c r="B30" i="2"/>
  <c r="B31" i="2"/>
  <c r="B32" i="2"/>
  <c r="B33" i="2"/>
  <c r="B34" i="2"/>
  <c r="B35" i="2"/>
  <c r="B36" i="2"/>
  <c r="B37" i="2"/>
  <c r="B38" i="2"/>
  <c r="B39" i="2"/>
  <c r="B40" i="2"/>
  <c r="B41" i="2"/>
  <c r="B42" i="2"/>
  <c r="B43" i="2"/>
  <c r="B44" i="2"/>
  <c r="B45" i="2"/>
  <c r="B46" i="2"/>
  <c r="B47" i="2"/>
  <c r="B48" i="2"/>
  <c r="B49" i="2"/>
  <c r="B50" i="2"/>
  <c r="B51" i="2"/>
  <c r="B52" i="2"/>
  <c r="B53" i="2"/>
  <c r="B54" i="2"/>
  <c r="B79" i="2"/>
  <c r="B81" i="2"/>
  <c r="B84" i="2"/>
  <c r="B86" i="2"/>
  <c r="B89" i="2"/>
  <c r="B93" i="2"/>
  <c r="B96" i="2"/>
  <c r="B99" i="2"/>
  <c r="B102" i="2"/>
  <c r="B105" i="2"/>
  <c r="B55" i="2"/>
  <c r="B56" i="2"/>
  <c r="B57" i="2"/>
  <c r="B58" i="2"/>
  <c r="B59" i="2"/>
  <c r="B60" i="2"/>
  <c r="B61" i="2"/>
  <c r="B62" i="2"/>
  <c r="B63" i="2"/>
  <c r="B64" i="2"/>
  <c r="B65" i="2"/>
  <c r="B66" i="2"/>
  <c r="B67" i="2"/>
  <c r="B68" i="2"/>
  <c r="B69" i="2"/>
  <c r="B70" i="2"/>
  <c r="B71" i="2"/>
  <c r="B72" i="2"/>
  <c r="B73" i="2"/>
  <c r="B74" i="2"/>
  <c r="B75" i="2"/>
  <c r="B76" i="2"/>
  <c r="B77" i="2"/>
  <c r="B78" i="2"/>
  <c r="B80" i="2"/>
  <c r="B83" i="2"/>
  <c r="B87" i="2"/>
  <c r="B90" i="2"/>
  <c r="B92" i="2"/>
  <c r="B95" i="2"/>
  <c r="B98" i="2"/>
  <c r="B101" i="2"/>
  <c r="B104" i="2"/>
  <c r="B10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<sst xmlns="http://schemas.openxmlformats.org/spreadsheetml/2006/main" count="1075" uniqueCount="233">
  <si>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</si>
  <si>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</si>
  <si>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</si>
  <si>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</si>
  <si>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</si>
  <si>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</si>
  <si>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</si>
  <si>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</si>
  <si>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</si>
  <si>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</si>
  <si>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</si>
  <si>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</si>
  <si>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</si>
  <si>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</si>
  <si>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</si>
  <si>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</si>
  <si>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</si>
  <si>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</si>
  <si>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</si>
  <si>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</si>
  <si>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</si>
  <si>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</si>
  <si>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</si>
  <si>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</si>
  <si>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</si>
  <si>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</si>
  <si>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</si>
  <si>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</si>
  <si>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</si>
  <si>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</si>
  <si>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</si>
  <si>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OCSAD</t>
  </si>
  <si>
    <t>Alerta Meteorológica</t>
  </si>
  <si>
    <t>La Poderosa Tuxpan 93.1 FM</t>
  </si>
  <si>
    <t>NN Nuestras Noticias Zona Norte</t>
  </si>
  <si>
    <t>Liz Argüelles</t>
  </si>
  <si>
    <t>Atención Afectaciones Por Lluvias</t>
  </si>
  <si>
    <t>Gobierno del estado</t>
  </si>
  <si>
    <t>Presidencia de la República</t>
  </si>
  <si>
    <t>Alcaldías</t>
  </si>
  <si>
    <t>SEPH</t>
  </si>
  <si>
    <t>TV local</t>
  </si>
  <si>
    <t>Ultra 102.9 FM</t>
  </si>
  <si>
    <t>Ultra Noticias1</t>
  </si>
  <si>
    <t>PGJEH</t>
  </si>
  <si>
    <t>Vía telefónica el reporte de Bombero y Protección Civil con Abner Yáñez informa de las diversas emergencias reportadas por la ciudadanía y que fueron atendidas.</t>
  </si>
  <si>
    <t>Canal del Pueblo</t>
  </si>
  <si>
    <t>Vocales Radio</t>
  </si>
  <si>
    <t>Andrés Torres</t>
  </si>
  <si>
    <t>Auxilio a la ciudadanía</t>
  </si>
  <si>
    <t>Entrevista</t>
  </si>
  <si>
    <t>Radioescucha</t>
  </si>
  <si>
    <t>Semot</t>
  </si>
  <si>
    <t>Iniciativa</t>
  </si>
  <si>
    <t>Combate a la delincuencia</t>
  </si>
  <si>
    <t>Semarnath</t>
  </si>
  <si>
    <t>Positiva</t>
  </si>
  <si>
    <t>Acir 92.5 FM</t>
  </si>
  <si>
    <t>Panorama Informativo Pachuca</t>
  </si>
  <si>
    <t>Fuga De Agua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</si>
  <si>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</si>
  <si>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</si>
  <si>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</si>
  <si>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</si>
  <si>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</si>
  <si>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</si>
  <si>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</si>
  <si>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</si>
  <si>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</si>
  <si>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Daniel Martínez</t>
  </si>
  <si>
    <t>Curso de verano</t>
  </si>
  <si>
    <t>Reforma De Ley</t>
  </si>
  <si>
    <t>Fumigación mosco Culex</t>
  </si>
  <si>
    <t>Campaña de reciclaje</t>
  </si>
  <si>
    <t>Enfoque Regional Meridiano</t>
  </si>
  <si>
    <t>Jesús González</t>
  </si>
  <si>
    <t>Vialidad En Mal Estado</t>
  </si>
  <si>
    <t>Bienestar</t>
  </si>
  <si>
    <t>Fuga de gasoducto</t>
  </si>
  <si>
    <t>Turismo</t>
  </si>
  <si>
    <t>Mundial De Futbol</t>
  </si>
  <si>
    <t>Registro de celulares</t>
  </si>
  <si>
    <t>Relleno Sanitario</t>
  </si>
  <si>
    <t>Radioescucha manda foto de calle Piracantos en Constitución, que está en muy mal estado, pide a las autoridades hacer algo.</t>
  </si>
  <si>
    <t>Accidente Vial</t>
  </si>
  <si>
    <t>Combate Al Narcomenudeo</t>
  </si>
  <si>
    <t>SSPH recupera tractocamión con más de 24 toneladas de mercancía</t>
  </si>
  <si>
    <t>Operativo Rastrillo</t>
  </si>
  <si>
    <t>Conservación Biodiversidad</t>
  </si>
  <si>
    <t>Olimpiada del Conocimiento</t>
  </si>
  <si>
    <t>Inclusión</t>
  </si>
  <si>
    <t>Entrega De Equipo Escolar</t>
  </si>
  <si>
    <t>Abuso Sexual</t>
  </si>
  <si>
    <t>Exigencia de obra</t>
  </si>
  <si>
    <t>Desarticula SSPH dos centros de almacenamiento ilegal de hidrocarburo en Singuilucan</t>
  </si>
  <si>
    <t>Combate Al Huachicol</t>
  </si>
  <si>
    <t>Hidalgo apuesta por la prevención ante el riesgo climático</t>
  </si>
  <si>
    <t>Prevención de incendios</t>
  </si>
  <si>
    <t>Julio Menchaca reconoce excelencia académica de 32 participantes de la OCI 2026 (AUDIO JMS).</t>
  </si>
  <si>
    <t>En seguimiento a la fuga de gas natural detectada en el municipio de Atotonilco de Tula, la Subsecretaría de Protección Civil y Gestión de Riesgos del gobierno de Hidalgo informa que las labores de atención y control del incidente continúan de manera coordinada entre los tres órdenes de gobierno y personal técnico especializado.</t>
  </si>
  <si>
    <t>Radioescucha reporta la vialidad en mal estado en San Pedro Nopancalco</t>
  </si>
  <si>
    <t>CONCANACO SERVYTUR respalda calendario de vinculación de líneas móviles como medida que fortalece la segurid ad digital y protege a los negocios familiares</t>
  </si>
  <si>
    <t>Con el compromiso de garantizar la tranquilidad y el bienestar de la comunidad, el presidente municipal, Eduardo Medécigo Rubio, encabezó un recorrido de vigilancia en fraccionamientos y colonias, en compañía del titular de la Secretaría de Seguridad Ciudadana, Jorge Alberto Trejo Terrazas.Dicha actividad responde a un diagnóstico preciso sobre las zonas de mayor incidencia delictiva. El objetivo central es robustecer las labores de patrullaje preventivo, incrementar la presencia policial y consolidar un entorno de paz social y confianza ciudadana en el municipio.El operativo concentró esfuerzos en fraccionamientos y colonias estratégicas, tales como: La Providencia Siglo XXI, Paseos de Chavarría, Pradera de Virreyes, Don Pablo, Pedregal de los Ángeles, Rinconada de los Ángeles, San Luis III y la colonia La Calera.</t>
  </si>
  <si>
    <t>Refuerzo De Seguridad</t>
  </si>
  <si>
    <t>El gobernador Julio Menchaca reconoció a 32 estudiantes de sexto grado que obtuvieron los resultados más representativos de la entidad en la Olimpiada del Conocimiento Infantil 2026, por lo que destacó su esfuerzo académico y el acompañamiento de sus familias, docentes y comunidades escolares, AUDIO APOYO</t>
  </si>
  <si>
    <t>Olimpiada de informática</t>
  </si>
  <si>
    <t>Radioescucha reporta que entre calle de Arizpe y Santiago, en la colonia Nueva Francisco I. Madero, en la calle de Gardenias, se reventaron unos tubos y se está desperdiciando mucho el agua desde el día de ayer.</t>
  </si>
  <si>
    <t>Este viernes es el último día para registrarse al curso de verano de la Presidencia Municipal de Pachuca, vive en la Casa de Cultura, un verano de descubrimientos.</t>
  </si>
  <si>
    <t>Radioescucha comenta:” Los concesionarios de las colectivas hacen todas las infracciones que sean porque están arreglados monetariamente para no ser molestados”</t>
  </si>
  <si>
    <t>Concesiones transporte público</t>
  </si>
  <si>
    <t>Golpe al narcomenudeo; AIC asegura 7 mil 500 dosis de droga y detiene a dos hombres en Tlaxcoapan</t>
  </si>
  <si>
    <t>Centros LIBRE, espacios vivos que transforman la vida de las mujeres, AUDIO APOYO</t>
  </si>
  <si>
    <t>Centros LIBRE</t>
  </si>
  <si>
    <t>Radioescucha agradece al ayuntamiento por el bacheo en Bosques del Peñar</t>
  </si>
  <si>
    <t>Bacheo</t>
  </si>
  <si>
    <t>Radioescucha Ricardo manda audio y agradece a Eulalio y al ayuntamiento por el bacheo en calles principales de Bosques del Peñar; ya se puede transitar mejor</t>
  </si>
  <si>
    <t>Luego de que se diera a conocer que fueron detenidos el director, el intendente y una docente de la primaria Donaciano Serna Leal, en Tizayuca, investigados por presunto abuso sexual contra un niño de ocho años con discapacidad, ocurrido a finales de 2024, el titular de la SEPH, Natividad Castrejón Valdés, dijo que está enterado del proceso y esperarán a que las autoridades correspondientes determinen lo conducente. Explicó que, si bien el caso fue reportado en 2024 por los tutores del menor, este fue expuesto inmediatamente a las autoridades de la procuraduría del menor y de la PGJEH, pero al no tener elementos para sustentar el caso ante un juez, no fue posible actuar inmediatamente.</t>
  </si>
  <si>
    <t>El Secretario de Educación Pública de Hidalgo, Natividad Castrejon Valdez, confirmó la detención de tres trabajadores de la Escuela Primaria Donaciano Serna Leal, en Rancho Don Antonio en el municipio de Tizayuca. Sin detalle a los motivos de la detención, para no interferir con el proceso judicial, el Secretario de Educación informó que la denuncia fue presentada desde 2024 ante la Procuraduría General de Justicia del Estado de Hidalgo, AUDIO APOYO</t>
  </si>
  <si>
    <t>Radioescucha reporta falta de agua en calle Simón Bolívar en el Centro de Pachuca; llevan más de una semana sin agua.</t>
  </si>
  <si>
    <t>Abasto De Agua</t>
  </si>
  <si>
    <t>Radioescucha reporta falta de agua en calle Nicolás Bravo en Barrio La Palma</t>
  </si>
  <si>
    <t>La Dirección de Centros de Desarrollo Comunitario, dependiente de la Secretaría de Desarrollo Humano y Social, abrirá este 1 de julio el periodo de inscripciones para el curso “Verano Comunitario Tulancingo 2026”, que se llevará a cabo del 20 de julio al 14 de agosto. Las actividades se desarrollarán en los cuatro Centros de Desarrollo Comunitario ubicados en Guadalupe, Cañada, Metilatla y Jaltepec, así como en los parques recreativos de Paraíso y Ahuehuetitla. El programa contempla una amplia variedad de actividades recreativas, deportivas y formativas, entre ellas: experimentos, pintura, fútbol, música, gastronomía infantil, primeros auxilios, dibujo, danza y juegos de mesa. El curso está dirigido a niñas, niños y adolescentes de entre 6 y 12 años. Como requisitos de inscripción, los interesados deberán llenar una ficha de registro, firmar una carta responsiva y cubrir un donativo de 300 pesos, el mismo que no incluye materiales.</t>
  </si>
  <si>
    <t>Julio Menchaca reconoce excelencia académica de 32 participantes de la OCI 2026</t>
  </si>
  <si>
    <t>Debido a la proliferación de mosquitos en la ribera del río Tula en el municipio de Ixmiquilpan, autoridades municipales y de salud implementaron trabajos de fumigación en seis colonias. El Gobierno local informó que, en coordinación con el Área de Vectores de la Jurisdicción Sanitaria, llevan a cabo trabajos de fumigación terrestre en diversos sectores de la ribera del Río Tula, como medida preventiva para reducir la presencia del mosquito Cúlex. Agregó que la proliferación de esa especie se ha visto favorecida por la sobrepoblación de lirio acuático en la presa Endhó, situación que ha generado afectaciones en distintas zonas cercanas al cauce del río. Al día de hoy se han realizado acciones de fumigación en las colonias 20 de Noviembre, El Bondho, La Reforma, San Javier, Vista Hermosa y Centro, con la finalidad de proteger la salud de la población y disminuir los riesgos asociados a la presencia de mosquitos. Finalmente, el Gobierno Municipal exhortó a la ciudadanía a mantenerse atenta a las recomendaciones emitidas por Protección Civil, el área de Salud Municipal y los canales oficiales de comunicación, además de colaborar en las medidas de prevención para evitar la reproducción de los moscos.</t>
  </si>
  <si>
    <t>Un juez de control dictó una sentencia condenatoria de 52 años de prisión contra Alfonso “N”, exintegrante de la Policía Municipal, tras ser hallado culpable del delito de violación agravada en perjuicio de una menor de edad. Los hechos ocurrieron en diciembre de 2023, en las inmediaciones del municipio de Huejutla. Tras la denuncia presentada ante la Fiscalía Especializada, agentes de la División de Investigación cumplimentaron la orden de aprehensión a finales de octubre de 2024, con lo que dio inicio el proceso legal. La sentencia se logró tras el desahogo de las pruebas correspondientes ante el Juzgado Penal. El ahora sentenciado cumplirá su condena en el Centro de Reinserción Social (Cereso) de la localidad de La Lima. Durante el proceso, la familia de la víctima, cuya identidad se mantiene bajo estricta reserva, contó con el respaldo del ejido de Chililico y de un frente integrado por 25 delegaciones de la región, cuyos integrantes se manifestaron de manera pacífica para exigir la aplicación rigurosa de la ley.</t>
  </si>
  <si>
    <t>Sentencia</t>
  </si>
  <si>
    <t>Dos hombres resultaron heridos por disparos de arma de fuego luego de que intentaron impedir la huida de presuntos asaltantes que momentos antes habrían robado equipos telefónicos de una vivienda (sic) departamental , ubicada en la cabecera municipal de Tezontepec de Aldama. El hecho ocurrió durante la noche del miércoles, cuando varios sujetos armados ingresaron al establecimiento y, de acuerdo con los primeros reportes, se apoderaron de artículos del área de telefonía. Tras la acción, los presuntos responsables habrían salido del negocio para escapar a bordo de una motocicleta. Ambos hombres fueron lesionados y trasladados a un hospital para recibir atención médica. Hasta el momento no se ha informado la gravedad de sus heridas ni se han dado a conocer sus identidades. La motocicleta utilizada por los presuntos asaltantes quedó abandonada en la zona y fue asegurada por personal del Mando Coordinado. La unidad quedó bajo resguardo como parte de las investigaciones para identificar a quienes participaron en el robo y esclarecer la secuencia de los hechos.</t>
  </si>
  <si>
    <t>Una Urvan pasajera de la ruta Huejutla -Jaltocán, que se quedó presuntamente sin frenos sobre la calle Morelos en la bajada al panteón municipal, chocó con cuatro vehículos y dejó 11 lesionados entre mujeres, hombres y adultos mayores. Paramédicos de la Cruz Roja y policías municipales arribaron al lugar para auxiliar a 11 personas, que fueron llevadas a clínicas particulares como la clínica Huejutla y la clínica San José; la peor parte se la llevó el chófer al haber tenido una fractura y demás lesiones.</t>
  </si>
  <si>
    <t>Accidente transporte público</t>
  </si>
  <si>
    <t>Un elemento de la policía municipal de Tizayuca fue lesionado con un objeto punzocortante, pese a lo cual logró detener al agresor. La situación se registró el pasado miércoles 24 de junio, cuando se recibió reporte ciudadano, solicitando apoyo ante la persona que se mostraba agresiva, portando un machete. Al llegar al sitio del reporte, en el cruce de las calles Abasolo e Ignacio Rodríguez Galván, los oficiales ubicaron al sujeto entre los 30 a 35 años de edad, quien efectivamente, portaba el objeto punzocortante. Con este, el hombre logró atacar al oficial policiaco quien resultó lesionado, pero a pesar de ello, logró detener a dicho sujeto. A continuación fue trasladado para ser presentado ante las autoridades respectivas para el inicio de la denuncia y el proceso legal al respecto. En tanto que el oficial policiaco atendido por paramédicos y trasladado a un hospital de Tizayuca para recibir atención especializada; hasta el momento no se conoce el estado físico y de salud que tiene tras el ataque.</t>
  </si>
  <si>
    <t>Agresión A Policía</t>
  </si>
  <si>
    <t>En el Congreso local buscan poner un freno a los cobros excesivos y poco transparentes que aplican las grúas y los corralones. La diputada Mónica Reyes Martínez planteó reformar la Ley de Movilidad y Transporte para el Estado de Hidalgo, con el objetivo de obligar a los prestadores de los servicios de arrastre, salvamento, maniobras, traslado y depósito vehicular a sujetarse a tarifas oficiales publicadas por la autoridad competente. La iniciativa señala que, aunque existen tarifas autorizadas en disposiciones reglamentarias, la legislación vigente no establece de manera expresa la obligación de la autoridad de emitirlas y publicarlas oficialmente, ni contempla mecanismos suficientes para vigilar su cumplimiento. De aprobarse, el nuevo artículo 134 Bis obligaría a los concesionarios y prestadores de estos servicios a cobrar únicamente las tarifas autorizadas; exhibirlas en lugares visibles y de fácil acceso; publicarlas en medios electrónicos oficiales cuando dispongan de ellos; entregar comprobantes desglosados con todos los conceptos cobrados; abstenerse de aplicar cargos extraordinarios no contemplados en la tarifa autorizada, e informar previamente al usuario sobre los conceptos que integrarán el cobro del servicio.</t>
  </si>
  <si>
    <t>Por responsabilidad y cuestión ética, funcionarios, diputados, alcaldes y regidores que aspiren a otro cargo deberían renunciar a sus cargos independientemente de las fechas electorales oficiales, con el objetivo de evitar el uso de recursos públicos y garantizar una contienda justa. Así lo afirmó el presidente estatal de Morena, Marco Rico Mercado, quien sostuvo que, más allá de los plazos legales que establezcan las convocatorias electorales, quienes busquen una candidatura deben valorar separarse anticipadamente de sus funciones para dedicarse de tiempo completo a sus aspiraciones políticas. Por responsabilidad y cuestión ética, funcionarios, diputados, alcaldes y regidores que aspiren a otro cargo deberían renunciar a sus cargos independientemente de las fechas electorales oficiales, con el objetivo de evitar el uso de recursos públicos y garantizar una contienda justa. Como ejemplo, mencionó el caso de Navor Rojas, quien hizo pública su intención de participar en el próximo proceso electoral y previamente dejó su cargo en la delegación estatal de la Procuraduría Federal del Consumidor (Profeco), situación que calificó como congruente con los principios que promueve el partido. Rico Mercado indicó que cada aspirante deberá definir el momento en que se separará de sus funciones, aunque insistió en que el análisis no debe limitarse al cumplimiento de los requisitos legales. “Lo que estamos diciendo es que no puedes atender dos cosas al mismo tiempo”, señaló.</t>
  </si>
  <si>
    <t>Morena</t>
  </si>
  <si>
    <t>Aspirantes</t>
  </si>
  <si>
    <t>Partidos</t>
  </si>
  <si>
    <t>La sesión de este miércoles en el Congreso de Hidalgo estuvo marcada por la ausencia de diputados y diputadas para completar la asistencia legislativa necesaria para mantener el quórum, al punto de que el presidente de la Mesa Directiva, Francisco Javier Téllez Sánchez, tuvo que salir personalmente a buscar a diputados ausentes para completar la asistencia necesaria y continuar con los trabajos parlamentarios. Desde el inicio de la sesión, el pase de lista registró la presencia de 25 diputadas y diputados de un total de 30 integrantes del Pleno. Sin embargo, durante el desarrollo de la jornada legislativa, la asistencia comenzó a disminuir. Tras varios minutos de iniciada la sesión ordinaria, el presidente de la Mesa Directiva comisionó a los diputados Avelino Tovar Iglesias y Arturo Gómez Canales para atender a una comisión proveniente de Tlaxcoapan, sobre un relleno sanitario. La situación obligó a la Presidencia de la Mesa Directiva a intervenir directamente para evitar la pérdida del quórum. Ante ello, Téllez Sánchez salió del recinto legislativo para invitar a diputados ausentes a reincorporarse a la sesión. “Hoy, pues, la verdad me tomé el atrevimiento de ir por algunos compañeros. Y lo resolví sin necesidad de pasar lista. Que no debería de ser”, reconoció posteriormente. Durante el desarrollo de las votaciones, se reportaron fluctuaciones en la participación: en una primera votación fue de 20 votos, mientras que en una segunda votación de 24. Cuestionado sobre la posibilidad de aplicar sanciones a quienes abandonan las sesiones, el presidente de la Mesa Directiva indicó que ha optado por una dinámica de conciliación y llamado a la responsabilidad antes que por medidas punitivas. “La verdad es que lo tratamos de llevar de una manera amigable. No ser punitivo ni ser incisivo. Simplemente pedir a los compañeros que seamos responsables”, expresó. Téllez Sánchez aseguró que esta es la primera ocasión durante su gestión en la que se presenta falta de quórum, y sostuvo que en sesiones previas la asistencia había sido más constante. “Debo reconocer que esta es la primera vez que sucede en mi directiva”, afirmó. Sin embargo, evitó responsabilizar de manera directa a otros legisladores y subrayó que la asistencia al Pleno es una obligación individual de cada representante popular.</t>
  </si>
  <si>
    <t>Inasistencia</t>
  </si>
  <si>
    <t>El Congreso de Hidalgo aprobó una reforma para sancionar las inasistencias injustificadas de los regidores en los 84 ayuntamientos del estado durante sus labores en comisiones. Con esta modificación, los legisladores establecieron como obligatoria la asistencia de los integrantes del cabildo a las reuniones de las comisiones edilicias, e implementaron mecanismos de sanción en caso de ausencias reiteradas y sin justificación. Los diputados argumentaron que la gobernanza municipal es la base de la vida democrática y del bienestar ciudadano, ya que el ayuntamiento es la instancia responsable de atender las necesidades más inmediatas de la población. “Estudios han documentado una preocupante ausencia sistemática de regidores en las sesiones de comisiones, lo que afecta gravemente la eficacia de la administración pública”, destacaron los diputados. Al interior del cabildo, los regidores tienen la responsabilidad clave de formular acuerdos, emitir dictámenes, dar seguimiento a las políticas públicas y supervisar la administración local. Por ello, los legisladores señalaron que su inasistencia frena el correcto funcionamiento del municipio. “El régimen municipal en México tiene como uno de sus pilares fundamentales la participación activa y responsable de los integrantes del ayuntamiento; entre estos, los regidores desempeñan un papel crucial en la vigilancia, supervisión y dictaminación de los asuntos públicos mediante su trabajo en las comisiones edilicias”, agregaron durante la sesión pública. Las modificaciones a la Ley Orgánica Municipal de Hidalgo fueron avaladas por unanimidad, al registrar 25 votos a favor, cero en contra y cero abstenciones.</t>
  </si>
  <si>
    <t>Se prevé que los trenes para pasajeros México-Pachuca y México-Querétaro inicien operaciones en el transcurso del año 2027, señaló la Presidenta de México, Claudia Sheinbaum Pardo. Recordó que el programa nacional de recuperación de trenes de pasajeros contempla una inversión total de 750 mil millones de pesos, donde se incluyen los proyectos para los trenes Querétaro-Irapuato y Saltillo-Nuevo Laredo. Además, este año se licitarán o construirán nuevos segmentos que conectarán a la capital del país con Guadalajara y Nuevo Laredo. La secretaria de Desarrollo Agrario, Territorial y Urbano, Edna Elena Vega Rangel, informó que ya fueron liberados 28 millones 452 mil 804 metros cuadrados de derecho de vía para los proyectos ferroviarios. Del total, el 72 por ciento corresponde a derecho de vía histórico, mientras que el 14 por ciento proviene de propiedad social y otro 14 por ciento de propiedad privada. Para facilitar los acuerdos con las comunidades, se han realizado 268 mesas de trabajo social, además de labores con 128 ejidos y comunidades, la celebración de 95 asambleas con más de 4 mil 500 participantes y la adquisición de 987 parcelas. El titular de la Agencia de Trenes y Transporte Público Integrado, Andrés Lajous Loaeza, informó que el primer tren de la ruta AIFA-Pachuca llegará al país el próximo 25 de julio, mientras que este mes comenzará la fabricación de la primera unidad de los trenes del norte. Mientras que el comandante del Agrupamiento de Ingenieros Felipe Ángeles, Gustavo Ricardo Vallejo Suárez, detalló que actualmente participan 33 mil 72 trabajadores, de los cuales 6 mil 380 son mujeres, además de operar con más de 7 mil unidades de maquinaria pesada y equipo ferroviario. Precisó que ya se desarrollaron cerca de 800 kilómetros de ingeniería básica en los primeros cuatro tramos prioritarios: Ciudad de México-Pachuca, Ciudad de México-Querétaro, Querétaro-Irapuato y Saltillo-Nuevo Laredo. En cuanto al avance físico de las obras, el tramo Ciudad de México-Pachuca registra un progreso de 37.06 por ciento, mientras que el Ciudad de México-Querétaro alcanza el 19.22 por ciento. Por su parte, el titular de la Unidad de Vinculación Institucional y Patrimonio de la Secretaría de Infraestructura, Comunicaciones y Transportes, Néstor Núñez López, señaló que continúan los trabajos en estaciones y edificios auxiliares, además de las mesas de atención social y técnica para informar a la población sobre el desarrollo de los proyectos ferroviarios.</t>
  </si>
  <si>
    <t>Proyectos Ferroviarios</t>
  </si>
  <si>
    <t>Durante la próxima Junta de Gobierno de la Comisión de Agua y Alcantarillado del Municipio de Tulancingo (Caamt), será presentado el proyecto para la perforación de un pozo que permita incrementar el surtido de agua potable para habitantes de las localidades de Laguna del Cerrito y San Nicolás Cebolletas. Por medio de un comunicado oficial, el organismo operador informó que el director del organismo operador, Enzo Balderas Castro, ofreció dicha presentación de proyecto a un grupo de habitantes de las localidades citadas, que acudieron precisamente para solicitar el pozo. Los representantes de ambas localidades señalaron que llevan varios años solicitando la perforación del pozo, precisamente por la demanda creciente de agua para consumo humano en dicha zona del municipio de Tulancingo. Balderas Castro señaló en la reunión ocurrida en la sede de la Caamt, que, gracias a los ahorros generados por el organismo operador, hoy existen las condiciones financieras para concretar la perforación, equipamiento y operación del pozo. Los habitantes de ambas localidades aseguraron cumplir con los requisitos necesarios para el desarrollo de la obra, incluido el terreno que albergará la nueva infraestructura hidráulica. Por lo que como trabajo inicial, el próximo lunes 29 de junio, colaboradores del área técnica del organismo operador, realizarán trabajos de limpieza y deslinde del predio donde se ubicará la nueva fuente de abastecimiento. Mientras que al día siguiente, el martes 30 de junio, será presentada la propuesta de asignación de recurso para la perforación del pozo. El titular del organismo operador municipal consideró que tras la aprobación por parte de los integrantes de la Junta de Gobierno, considerando que se cuenta con recursos para la ejecución del proyecto, la perforación exploratoria del pozo quedará concretada durante el presente año. Mientras que la etapa de equipamiento se desarrollará posteriormente, como parte de un proyecto integral orientado a garantizar el suministro de agua para consumo humano de manera eficiente y sostenible. Se prevé la realización de reuniones posteriores entre funcionarios de la Caamt y los vecinos de las localidades a las que eventualmente surtirá agua el pozo, para revisar aspectos previos a la ejecución de obra, así como el proyecto previo a ello.</t>
  </si>
  <si>
    <t>Perforación de pozo</t>
  </si>
  <si>
    <t>Derivado de las lluvias que se han registrado prácticamente a diario desde hace aproximadamente, se ha incrementado en un 500 por ciento los servicios de mantenimiento a luminarias públicas en Tulancingo. El dato fue ofrecido por Juan Alberto Santuario Elías, titular de la Secretaría de Servicios Municipales, señalando que las labores realizadas por el personal de atención a alumbrado público es retiro de sarro acumulado en las fotoceldas. Por lo que aclaró que no se trata de reparaciones a los sistemas, sino el retiro de dicho material, que al acumularse impide que las fotoceldas puedan acumular energía, generando que no enciendan las lámparas públicas. Santuario Elías puntualizó que normalmente se realizan alrededor de diez servicios diarios por parte del personal de cuadrillas, pero a partir del registro de lluvias, el número de atenciones se incrementó a aproximadamente 50. Para hacer eficiente las atenciones a reportes, se generan rutas de atención, de tal manera que tras atender una zona, de inmediato la cuadrilla se traslada a la siguiente colonia o comunidad, en rutas ya trazadas y programadas. El funcionario recordó que a la limpieza de fotoceldas se tuvo agregó hace un par de semanas las atenciones al 35 por ciento del sistema de alumbrado público, afectado precisamente por las torrenciales lluvias. Fue precisamente la acumulación de lodo y sarro lo que afectó los sistemas de funcionamiento de luminarias ubicadas en zonas como Ahuehuetitla, Francisco Villa, Lomas de San Ángel y Ejido Mimila. Así como en las colonias Vicente Guerrero, Francisco I. Madero, Paraíso, Jardines del Sur, Los Sabinos y Huapalcalco, donde se logró la restitución total de los respectivos sistemas de alumbrado público. Actualmente el servicio de alumbrado público se ofrece con 19 mil luminarias; al inicio de la actual administración municipal se contaba con 15 mil 500. Este aumento de los sistemas ha permitido llevar el servicio a zonas que anteriormente carecían de iluminación, como el libramiento La Joya, donde fueron instaladas 48 nuevas lámparas.</t>
  </si>
  <si>
    <t>La Comisión Reguladora de Telecomunicaciones anuncia una ampliación escalonada del plazo para inscribirlos, que concluirá el 31 de diciembre próximo</t>
  </si>
  <si>
    <t>La creciente contaminación de la presa Endhó podría tener consecuencias más allá del deterioro ambiental y alcanzar directamente a la actividad agrícola del Valle del Mezquital, advirtió un estudio desarrollado por especialistas de la Universidad Autónoma del Estado de Hidalgo (UAEH). El proyecto de investigación, encabezado por Jhovani Enrique Bornacelli Camargo, académico de la Escuela Superior de Tepeji del Río, analiza la calidad del agua en la región Tula-Tepeji y ha detectado una importante presencia de microplásticos en distintos cuerpos de agua. Los resultados obtenidos colocan a la presa Endhó como el sitio con los niveles más elevados de partículas sintéticas, al registrar miles de fragmentos y microfibras en pequeñas muestras de agua, cifras que superan las encontradas en la presa Requena y en los ríos Tula y Tepeji. De acuerdo con el investigador, las aguas residuales empleadas en el riego agrícola no sólo aportan nutrientes a los cultivos, sino que también transportan residuos plásticos que pueden acumularse en alimentos y alterar las condiciones naturales del suelo. El estudio señala además que la presa presenta niveles de oxígeno prácticamente inexistentes, situación que dificulta la supervivencia de especies acuáticas y favorece la proliferación de lirio acuático y mosquitos. Especialistas consideran que la acumulación de materia orgánica y contaminantes ha modificado las condiciones ecológicas del embalse, fenómeno que habitantes de la región han observado desde hace varias décadas, tras la llegada de descargas residuales al sistema. Ante este escenario, los investigadores plantean la incorporación de nuevas tecnologías para identificar contaminantes de manera más eficiente y desarrollar métodos que permitan reducir su impacto ambiental. Asimismo, hicieron un llamado a fortalecer las acciones de saneamiento y la educación ambiental, con el objetivo de proteger los recursos hídricos y preservar la productividad agrícola del Valle del Mezquital.</t>
  </si>
  <si>
    <t>UAEH</t>
  </si>
  <si>
    <t>Presa Endhó</t>
  </si>
  <si>
    <t>El exalcalde de Singuilucan, Marcos Miguel N.N., obtuvo un amparo que dejó sin efectos la medida cautelar de prisión preventiva justificada que le había sido impuesta por el delito de incumplimiento de un deber legal agravado, lo que lo convierte en el primer exedil vinculado al caso conocido como la Estafa Siniestra en conseguir una resolución favorable de este tipo. En el acuerdo judicial emitido el 23 de junio de 2026 dentro de la causa penal 1937/2025, el Juzgado Segundo de Distrito en Hidalgo resolvió atender los argumentos de la defensa a cargo de Carmen David Solís y conceder la protección de la justicia federal al exfuncionario respecto de la prisión preventiva justificada decretada en su contra, toda vez que el delito que se le imputa no está considerado en el catálogo de prisión preventiva. El juez de Control del Primer Circuito Judicial de Pachuca, Jesús Anim Ope Islas, recibió la notificación del amparo y ordenó su cumplimiento inmediato. Sin embargo, la libertad del exalcalde quedó condicionada a la exhibición de una garantía económica por 70 mil pesos, monto fijado por la autoridad federal para asegurar su comparecencia y evitar que obstaculice el desarrollo del procedimiento penal. Para ello, se otorgó al exalcalde un plazo de tres días hábiles para realizar el depósito correspondiente en el Fondo Auxiliar del Poder Judicial del Estado de Hidalgo. No obstante, el exedil no recuperará su libertad de manera inmediata, ya que enfrenta otras dos causas penales independientes por las cuales permanece sujeto a proceso. Las investigaciones lo relacionan con dos expedientes penales: uno por uso ilícito de atribuciones y facultades, relacionado con el presunto desvío de 109.6 millones de pesos mediante contratos irregulares celebrados durante su administración municipal, y otro por incumplimiento de un deber legal agravado derivado de la omisión de atender un juicio laboral que generó un daño patrimonial superior a 16.3 millones de pesos al ayuntamiento. Según las indagatorias de la Unidad Especial para la Investigación del Maxiproceso, durante su gestión como presidente municipal de Singuilucan entre 2020 y 2024 se habrían celebrado 161 contratos con 22 personas físicas y morales utilizando recursos extraordinarios que originalmente fueron solicitados para atender necesidades urgentes durante la pandemia de Covid-19. La PGJEH ha sostenido que el caso forma parte de la investigación de la Estafa Siniestra, un esquema de presunto desvío de recursos públicos que involucra a varios exfuncionarios municipales y estatales de Hidalgo. Aunque el amparo obtenido obliga a retirar la prisión preventiva en uno de los procesos, su situación jurídica aún depende de las otras causas penales que enfrenta, por lo que continuará recluido mientras los jueces determinan las medidas cautelares aplicables en esos expedientes.</t>
  </si>
  <si>
    <t>Estafa Siniestra</t>
  </si>
  <si>
    <t>En sus redes sociales el gobernador Julio Menchaca comenta: reconocemos a las y los ganadores de la Olimpiada del Conocimiento Infantil 2026, su esfuerzo es el reflejo y talento de la dedicación que hay en nuestras aulas. En Hidalgo con dedicación hay transformación.</t>
  </si>
  <si>
    <t>Andrés Torres sobre la premiación de la Olimpiada del Conocimiento Infantil 2026, señala que en la administración del gobernador julio Menchaca la educación es fundamental y es uno de los pilares de su gestión y a 5 años de su sexenio la inversión en la educación va en aumento, así como la capacitación y mejora de los maestros y administrativos. Estos son buenos resultados, esperanzadores, de los que uno siempre quiere dar.</t>
  </si>
  <si>
    <t>La Comisión de Biodiversidad de Hidalgo invita a la población en general a la presentación del Sendero de la Ciencia la ciencia, tecnología y biodiversidad mañana a las 9:30 de la mañana, en la sede del Citnova.</t>
  </si>
  <si>
    <t>Vía telefónica Milton Cortés informa que con el propósito de mantener calles más ordenadas, limpias y seguras, la Dirección de Tránsito y Vialidad, adscrita a la Secretaría de Seguridad Pública, Tránsito y Vialidad de Pachuca, mantiene de forma permanente el Operativo Rastrillo, una estrategia enfocada en la atención de vehículos en aparente estado de abandono que permanecen en la vía pública. Durante el primer semestre de 2026 se emitieron 1,002 notificaciones a propietarios de unidades detectadas en esta condición. Derivado de ello, 899 vehículos fueron retirados voluntariamente por sus propietarios dentro del plazo de 72 horas establecido, mientras que 100 unidades fueron aseguradas por la autoridad al incumplir con el requerimiento. Como resultado de estas acciones, además, tres vehículos con reporte de robo fueron recuperados. El procedimiento inicia a partir de un reporte ciudadano o cuando, durante los recorridos de vigilancia, personal de Tránsito y Vialidad identifica un vehículo con características de abandono. En esos casos se coloca una notificación preventiva para que el propietario retire la unidad en un plazo de 72 horas. Si al concluir ese periodo no existe respuesta, el vehículo es asegurado conforme a la normatividad vigente.</t>
  </si>
  <si>
    <t>Milton Cortés</t>
  </si>
  <si>
    <t>Vía telefónica Milton Corté informa que vecinos de la comunidad de Santo Tomás se manifestaron en las inmediaciones de la Presidencia Municipal de Zempoala, para expresar su inconformidad por la problemática que tienen con el suministro de agua y recriminaron la ausencia de obras públicas por parte del alcalde Francisco Sinuhé Ramírez Oviedo, a quien acusan de incumplir muchas de las promesas realizadas en su campaña.</t>
  </si>
  <si>
    <t>El Sitmah informa a la ciudadanía que, con la evolución del servicio de Transporte Metropolitano, las acciones y mecanismos de protección para las mujeres continúan siendo una prioridad, brindando espacios seguros e incluyentes para las personas usuarias.</t>
  </si>
  <si>
    <t>Perspectiva de género</t>
  </si>
  <si>
    <t>Un motociclista murió en el lugar luego de verse involucrado en un accidente vial contra un automóvil sobre el corredor urbano San José, ubicado en la carretera federal México–Tuxpan, a la altura de la colonia Magisterio, en el municipio de Tulancingo. De acuerdo con información proporcionada por cuerpos de emergencia, el hecho ocurrió durante la mañana de este jueves, cuando el conductor de la motocicleta impactó contra un vehículo particular y posteriormente salió proyectado varios metros antes de caer sobre la carpeta asfáltica.</t>
  </si>
  <si>
    <t>Este lunes entrarán en vigor los dos nuevos partidos locales con los que cuenta Hidalgo y que fueron aprobados el pasado 24 de mayo por el Consejo General del Instituto Estatal Electoral de Hidalgo (IEEH). De acuerdo a los resolutivos IEEH/CG/177/2024 e IEEH/CG/178/2024, las organizaciones “Construyendo Hidalgo A.C.” realizó 65 asambleas municipales de 56 que requería y obtuvo siete mil 488 firmas, de las cinco mil 926 que solicitaba el IEEH. En tanto Encuentro Solidario Hidalgo, realizó 14 asambleas distritales, pese a que solo se requerían 12, además reunieron seis mil 998 firmas, aunque necesitaban cinco mil 926. Por ello, el IEEH aprobó su registro y podrán comenzar su trabajo partidista a partir de este lunes, y participar en las elecciones del 2027 y a partir del 2025, recibirán prerrogativas estatales.</t>
  </si>
  <si>
    <t>IEEH</t>
  </si>
  <si>
    <t>Registro partidos</t>
  </si>
  <si>
    <t>Tres trabajadores de la escuela primaria Donaciano Serna Leal fueron detenidos durante esta semana en el municipio de Tizayuca, como parte de una investigación relacionada con un presunto caso de abuso cometido en agravio de un menor de ocho años de edad con discapacidad. De acuerdo con la información disponible, entre los detenidos se encuentran el director del plantel René N., una docente y un intendente, quienes fueron puestos a disposición de las autoridades correspondientes para enfrentar el proceso legal derivado de las investigaciones. El caso se remonta a hechos denunciados hace más de dos años; cabe recordar que durante la visita de la presidenta Claudia Sheinbaum como parte de la inauguración del Cbtis 293 de Tizayuca, el padre de la víctima increpó a la mandataria para exponer el caso, mientras daba su discurso. Tras darse a conocer las detenciones, docentes, directivos, supervisores y personal de apoyo adscritos al Sector Educativo No. 30 de Primarias Generales de Tizayuca, así como delegaciones sindicales del SNTE, difundieron un posicionamiento público en el que expresaron su respaldo y solidaridad hacia los tres trabajadores. En el documento, los integrantes del sector educativo manifestaron su confianza en las autoridades encargadas de la procuración e impartición de justicia, al tiempo que solicitaron que el proceso se desarrolle con apego a la legalidad, respetando la presunción de inocencia y los derechos humanos de las personas involucradas. Señalaron la forma en que se realizaron las detenciones y la privación de la libertad de sus compañeros, por lo que pidieron que el caso sea atendido con imparcialidad y estricto apego a derecho. En entrevista sobre el tema, el titular de la Secretaría de Educación Pública de Hidalgo, Natividad Castrejón, aseguró que la atención al caso de presunto abuso sexual, se ha mantenido desde que fue reportado en 2024, confirmando la detención de los tres trabajadores del plantel. Explicó que la denuncia fue canalizada oportunamente a las instancias correspondientes desde el año pasado. El funcionario estatal señaló que los puestos que ocupaban los trabajadores detenidos ya fueron cubiertos, incluso de forma inmediata. Agregó que los suplentes deben estar definidos antes de salir del curso escolar, a fin de evitar afectaciones y los estudiantes reciban atención académica en condiciones normales.</t>
  </si>
  <si>
    <t>TV del Mezquital</t>
  </si>
  <si>
    <t>Redacción</t>
  </si>
  <si>
    <t>Enfoque Regional Matutino</t>
  </si>
  <si>
    <t>En el marco del Día Internacional del Orgullo LGBT+, Isaí Quintero Andriano, representante de la Secretaría de Turismo de Hidalgo, anunció una jornada de sensibilización dirigida a 200 prestadores de servicios (hoteleros, restauranteros y comerciantes) en Tulancingo. La capacitación busca erradicar la discriminación y consolidar destinos turísticos accesibles e incluyentes para personas de la diversidad sexual, adultos mayores y personas con discapacidad. AUDIO DE APOYO</t>
  </si>
  <si>
    <t>Turismo inclusivo</t>
  </si>
  <si>
    <t>Rodolfo López</t>
  </si>
  <si>
    <t>Comenta conductor Eulalio Larrita que en las instalaciones de la feria, todos se creen dueños; los domingos en la venta de automóviles, ya hasta están personas que deciden qué puedes vender; ya todos se sienten dueños. Promotora de eventos de la feria… AGUAS CON ESO, OJALÁ TOMEN CARTAS EN EL ASUNTO.</t>
  </si>
  <si>
    <t>Prepotencia</t>
  </si>
  <si>
    <t>Radioescucha reporta que en el bulevar Felipe Ángeles está un registro sin tapa a la altura de Plaza Bicentenario. Ya se reportó en varias ocasiones y siguen sin hacer nada.</t>
  </si>
  <si>
    <t>Alcantarillado</t>
  </si>
  <si>
    <t>Radioescucha Sra. Ramírez manda audio y reporta coladera de Avenida de las Santas; ya hablaron con los de Cassim , pero no tiene solución.</t>
  </si>
  <si>
    <t>En sus redes sociales, el gonernador Julio Menchaca informo sobre el pronóstico de lluvias de 25 a 50 mm en regiones del oeste y sur de Hidalgo, así como rachas de viento de 30 a 50 km/h, se activa Semáforo Amarillo en el Valle del Mezquital, la Sierra Alta, la Otomí-Tepehua y la Huasteca, alertando que estas zonas estan en semafóro amarillo</t>
  </si>
  <si>
    <t>Habitantes de la comunidad de Santa María Magdalena, en Tepeji del Río, bloquearon este lunes el acceso a la localidad a unidades del transporte público, en protesta por el incremento irregular en el costo del pasaje que han impuesto los operadores.Los inconformes señalaron que el Gobierno del Estado autorizó un ajuste del 20 por ciento a la tarifa; sin embargo, denunciaron que los concesionarios incrementaron el cobro de 11 a 17 pesos, situación que, aseguran, rebasa por mucho el aumento permitido, el cual debía ser de máximo 13.50 pesos.De acuerdo con los vecinos, la problemática ha sido reportada en diversas ocasiones ante las autoridades competentes, sin que hasta el momento se haya emitido una respuesta o aplicado medidas para regular el cobro.</t>
  </si>
  <si>
    <t>Alteración tarifa de transporte</t>
  </si>
  <si>
    <t>La oportuna intervención de un operador del número de emergencias 911 de la Secretaría de Seguridad Pública de Hidalgo (C5i) permitió asistir el nacimiento de un bebé en un domicilio de Pachuca. El especialista guió paso a paso a los familiares a través de una videollamada mientras arribaban los servicios médicos. Los paramédicos trasladaron posteriormente a la madre y al recién nacido a un hospital, donde se reportan con buen estado de salud. AUDIO DE APOYO</t>
  </si>
  <si>
    <t>Asistencia de parto</t>
  </si>
  <si>
    <t>Hidalgo fortalece cuidado de la salud mental y servicios contra adicciones</t>
  </si>
  <si>
    <t>Atención de adicciones</t>
  </si>
  <si>
    <t>La Secretaría de Medio Ambiente y Recursos Naturales de Hidalgo (Semarnat), en coordinación con la Profepa, impulsa el programa de economía circular "Hidalgo Juega Limpio". Joel Delgadillo Ramírez, subdirector de Manejo Integral de Residuos, detalló que en la entidad se desechan cerca de 3,000 pantalones de mezclilla diarios. La campaña de acopio estará activa del 8 de junio al 8 de agosto, y todo el material textil recolectado será canalizado a la empresa Marves, en Uruapan, Michoacán, para transformarlo en aislantes industriales. AUDIO DE APOYO</t>
  </si>
  <si>
    <t>México y el estado de Hidalgo se suman al apoyo humanitario para Venezuela. Luego de los sismos de magnitudes 7.2 y 7.5 en la escala de Richter registrados el pasado 24 de junio en Venezuela —los cuales han dejado un saldo preliminar de más de 1,400 muertos y 50,000 desaparecidos—, diversas naciones de Latinoamérica han iniciado brigadas de auxilio. A esta causa se han sumado el Ejército Mexicano y el Gobierno del Estado de Hidalgo a través del Sistema DIF Hidalgo. Se invita a la ciudadanía a participar en la campaña de apoyo acudiendo a los tres centros de acopio habilitados de lunes a viernes, en un horario de 9:00 a 18:00 horas: Sistema DIF Hidalgo , Hospital del Niño DIF Hidalgo Y Centro de Rehabilitación Integral de Hidalgo (CRIH)</t>
  </si>
  <si>
    <t>DIFH</t>
  </si>
  <si>
    <t>Centros De Acopio</t>
  </si>
  <si>
    <t>El Sistema Integrado del Transporte Masivo de Hidalgo (SITMA) informó que las unidades del servicio metropolitano mantienen activos los asientos preferenciales color rosa y el protocolo "Código Naranja". Asimismo, las 34 estaciones de la ruta troncal operan como "Punto Naranja", contando con vigilancia las 24 horas por parte de la Policía Industrial Bancaria del Estado de Hidalgo (PIBEH) para atender casos de acoso o violencia de género.</t>
  </si>
  <si>
    <t>Código Naranja</t>
  </si>
  <si>
    <t>Elementos de la Policía Estatal detuvieron a un hombre y aseguraron un tractocamión con autotanque que transportaba 30,700 litros de combustible de presunta procedencia ilícita. El operativo ocurrió en el bulevar Santa Catarina de Pachuca, donde el conductor no pudo acreditar la legal procedencia ni el traslado del hidrocarburo. Tanto el detenido como la unidad y el combustible fueron puestos a disposición de la Fiscalía General de la República (FGR).</t>
  </si>
  <si>
    <t>La Fiscalía General de la República (FGR), a través de su representación en Hidalgo, ejecutó una orden de cateo en un predio ubicado en la colonia Loma Bonita, en el municipio de Pachuca, donde aseguró e inhabilitó una toma clandestina de hidrocarburo.La diligencia fue autorizada por una jueza de Control del Centro de Justicia Penal Federal en Hidalgo, luego de que el agente del Ministerio Público Federal presentara datos de prueba derivados de una denuncia interpuesta por Petróleos Mexicanos (Pemex).De acuerdo con la investigación, personal especializado de la empresa productiva del Estado detectó una toma clandestina conectada a una manguera de alta presión que ingresaba al inmueble.</t>
  </si>
  <si>
    <t>Concluye el ciclo escolar 2025-2026 en educación básica. Más de 35,000 docentes y directivos de cerca de 7,000 escuelas de educación básica en Hidalgo participaron en la octava sesión ordinaria del Consejo Técnico Escolar (CTE), con la que concluyó formalmente el ciclo escolar 2025-2026. El secretario de Educación Pública de la entidad, Natividad Castrejón Valdés, reconoció el compromiso del magisterio en la evaluación de avances y el diseño del programa analítico para el siguiente periodo lectivo.</t>
  </si>
  <si>
    <t>Consejo Técnico</t>
  </si>
  <si>
    <t>Inaguran en Hidalgo el Sendero de la Ciencia, la Tecnologia y la Biodiversidad</t>
  </si>
  <si>
    <t>Radio Lobo 96.7 FM</t>
  </si>
  <si>
    <t>Enlace Noticias</t>
  </si>
  <si>
    <t>Desconexión digital, promueve el equilibrio entre la vida laboral y personal</t>
  </si>
  <si>
    <t>Derechos laborales</t>
  </si>
  <si>
    <t>Gina Lorenzo</t>
  </si>
  <si>
    <t>Mariela Valero Mota, titular del Centro de Conciliación Laboral del Estado de Hidalgo, recordó que la desconexión digital es un derecho previsto en el artículo 330-E de la Ley Federal del Trabajo para proteger la salud y descanso de los empleados bajo la modalidad de teletrabajo (Apartado A). Explicó que actualmente existe una iniciativa en el Senado para ampliar este beneficio a todos los trabajadores del país y regular las excepciones o compensaciones económicas en caso de jornadas extraordinarias.</t>
  </si>
  <si>
    <t>Al grito de “México es campeón en desaparición”, familiares de personas desaparecidas realizaron una manifestación para exigir a las autoridades avances en sus casos, pues señalan omisión para dar con sus paraderos.Los manifestantes acudieron a la Plaza Juárez, de Pachuca, para colocar velas con pancartas de sus familiares, y señalan que también buscan que la Comisión Ejecutiva de Atención a Víctimas les otorgue apoyos económicos como víctimas indirectas, AUDIO APOYO</t>
  </si>
  <si>
    <t>Desapariciones</t>
  </si>
  <si>
    <t>Vía telefónica, Jorge Reyes Hernández, presidente municipal de Pachuca, con el tema: Trabajo de varias obras en el municipio. Ya están a punto de empezar por parte de la SIPDUS; ya se está también trabajando en próximos días en calles de la colonia Periodistas, tenemos 4 calles en el Palmar, calles en la colonia Doctores, en la Loma; otra vez los ciudadanos empezarán a ver nuevamente muchas obras en todo el municipio. Ya que el bacheo sigue permanentemente. Como premisa, el día miércoles va a haber un gran cambio en Colosio completamente, ya que estará iluminado.</t>
  </si>
  <si>
    <t>Ejecución de obras</t>
  </si>
  <si>
    <t>IHE fortalece equipamiento escolar en la Sierra Alta</t>
  </si>
  <si>
    <t>Estudiantes de CONALEP Tizayuca presentan proyectos de innovación</t>
  </si>
  <si>
    <t>Evento académico</t>
  </si>
  <si>
    <t>Habitantes de la comunidad de Dios Padre, en el municipio de Ixmiquilpan, bloquearon la carretera Actopan – Tasquillo, a la altura del Ministerio Público en el barrio de La Reforma. Los manifestantes exigieron justicia tras el asalto registrado el pasado jueves en las instalaciones del balneario de dicha localidad. AUDIO MANIFESTANTES.</t>
  </si>
  <si>
    <t>Exigen seguridad</t>
  </si>
  <si>
    <t>En este momento en Panorama Informativo reportan bloqueo por parte de vecinos en la intersección Boulevard Colosio y Boulevard Minero por campo de tiro, exigen a las autoridades la conclusión de obras que provocan inundaciones y brote de aguas negras en la calle Tierra y Liberdad</t>
  </si>
  <si>
    <t>Rosa Elvia Otero Valderas, artesana originaria del municipio de Chapulhuacán, incorporó etiquetas en sistema braille a los productos de mole, café y chocolate que elabora junto a su familia. Esta iniciativa, inspirada en su hija con discapacidad visual, busca fomentar la autonomía de las personas y promover la igualdad de oportunidades en el comercio local. AUDIO DE APOYO</t>
  </si>
  <si>
    <t>Desarrollan estudiantes de ITESA el proyecto “Raíces del Altiplano”</t>
  </si>
  <si>
    <t>Investigación académica</t>
  </si>
  <si>
    <t>El gobernador de Hidalgo, Julio Menchaca Salazar, consideró necesario realizar un reajuste salarial en la entidad, tras señalar que la vocal ejecutiva del Instituto Nacional Electoral (INE) en Hidalgo percibe un sueldo neto mensual de 125,797 pesos, cifra que contraviene la Constitución local al ser superior al ingreso del titular del Ejecutivo. El mandatario estatal criticó el desorden administrativo de administraciones pasadas, donde se simulaban salarios bajos que se compensaban con bonos extraordinarios, e incluso se otorgaban asignaciones económicas y vehículos a representantes de partidos políticos que no formaban parte del gobierno. Menchaca instruyó a la Secretaría de la Contraloría y a la Secretaría de Hacienda a vigilar que se cumpla la ley y no se realicen "trampas" presupuestales. AUDIO DE APOYO</t>
  </si>
  <si>
    <t>Gobierno</t>
  </si>
  <si>
    <t>Ley de remuneraciones</t>
  </si>
  <si>
    <t>El secretario de Gobierno, Guillermo Olivares Reyna, encabezó las Mesas de Acercamiento para el Bienestar y la Paz en el municipio de Huazalingo. Estos encuentros de los tres órdenes de gobierno tienen el objetivo de mantener la cercanía con la población, resolver problemáticas agrarias, de seguridad y servicios públicos, así como contrarrestar de manera primordial la violencia contra las mujeres en las regiones del estado. AUDIO DE APOYO</t>
  </si>
  <si>
    <t>Mesas de acercamiento</t>
  </si>
  <si>
    <t>Alumno de la UTTT participará en programa para futuros líderes de México</t>
  </si>
  <si>
    <t>Movilidad Académica</t>
  </si>
  <si>
    <t>Leonardo Aceves Martínez, estudiante de la Ingeniería en Redes Inteligentes y Ciberseguridad en la Universidad Tecnológica de Tula-Tepeji (UTTT), fue el único alumno de las universidades tecnológicas y politécnicas del estado seleccionado para el programa de verano 2026 "Impulsando a los Futuros Líderes de México". Del 24 de julio al 8 de agosto, recibirá capacitación en liderazgo y función pública en la Universidad de Georgetown (Washington D.C.) y en el Tecnológico de Monterrey (CDMX) con una beca completa.</t>
  </si>
  <si>
    <t>Tula se suma al legado social de las actividades de la Justa Mundialista 2026, con la inauguración de una nueva cancha de fútbol 5 en la colonia Barrio Alto, como parte de la Estrategia Federal Mundial Social. Este programa contempló la rehabilitación de 4208 canchas deportivas en todo el país, en coordinación con los gobiernos municipales, con el objetivo de recuperar espacios públicos, promover la práctica deportiva y fortalecer la convivencia entre las comunidades. La nueva infraestructura será inaugurada hoy lunes y busca ofrecer a niñas, niños, jóvenes y familias un espacio adecuado para la activación física y el desarrollo de actividades recreativas.Sobre este tema informo el presidente municipal Cristhian Martínez Reséndiz., AUDIO APOYO</t>
  </si>
  <si>
    <t>En el marco de la fiebre mundialista y la Copa del Mundo 2026, la selección de Sudáfrica (Bafana Bafana) se despidió de la entidad tras quedar eliminada en los dieciseisavos de final ante Canadá por un marcador de 1-0. Paralelamente, el Gobierno de Hidalgo, con apoyo de Sedatu y Conade, entregó en San Agustín Tlaxiaca la primera cancha de fútbol de un paquete que contempla la construcción de 27 espacios y la rehabilitación de 11 más en 29 municipios, con una inversión superior a los 62 millones de pesos.</t>
  </si>
  <si>
    <t>La Secretaría de Educación Pública (SEP) informa que, por decreto presidencial publicado hoy en el Diario Oficial de la Federación (DOF), el 30 de junio en la Ciudad de México se suspenden las actividades escolares en las escuelas públicas y privadas de educación preescolar, primaria, secundaria, normal y demás instituciones para la formación de maestras y maestros de educación básica del Sistema Educativo Nacional.También se suspenden las actividades en las instituciones de educación media superior y superior dependientes de la Secretaría de Educación Pública, ubicadas en la Ciudad de México.En el decreto por el que se establecen diversas medidas administrativas en el marco de los eventos relativos a la Copa Mundial de la FIFA 2026, a celebrarse en la Ciudad de México.</t>
  </si>
  <si>
    <t>El Instituto Hidalguense de la Juventud (Injuve), dirigido por Ricardo Olvera Molina, se sumó a la estrategia nacional convocada por la presidenta Claudia Sheinbaum para recuperar espacios públicos y prevenir adicciones. Jóvenes de Pachuca participaron en un taller de muralismo y plasmaron una obra artística en una avenida principal de la colonia Aquiles Serdán. AUDIO DE APOYO</t>
  </si>
  <si>
    <t>Muralismo</t>
  </si>
  <si>
    <t>Habitantes, especialistas y colectivos ambientalistas reiteraron su rechazo al proyecto de urbanización previsto en la unidad de gestión ambiental 107 durante el foro por el rescate del Cerro de Cubitos realizado a domingo en Pachuca. Los participantes advirtieron que el desarrollo habitacional podría generar afectaciones , AUDIO APOYO</t>
  </si>
  <si>
    <t>Proyecto de urbanización</t>
  </si>
  <si>
    <t>La Unidad de Rehabilitación de Fauna Silvestre de Pachuca informó que recibió a un ejemplar de armadillo de nueve bandas, el cual fue rescatado por un ciudadano en el municipio de Mineral del Chico tras ser hallado en una situación de alta vulnerabilidad. El rescate de este mamífero se suma a los esfuerzos recientes de protección ambiental en la zona metropolitana, donde los reportes de avistamientos de fauna en peligro han ido en aumento debido a la expansión urbana hacia los límites del Parque Nacional El Chico.</t>
  </si>
  <si>
    <t>Rehabilitación animal</t>
  </si>
  <si>
    <t>La secretaria del Medio Ambiente y Recursos Naturales, Mónica Mixtega señalo tambien durante la conferencia de presna que la autorización que dio la setaría a la empresa que opera el relleno sanitario de Tula “El nuevo relleno”, cumple con todos los requisitos de la normativa, AUDIO APOYO</t>
  </si>
  <si>
    <t>El nuevo relleno sanitario de Tula fue tema hoy durante la conferencia de prensa del gobierno de Hidalgo, fue la secretaria del Medio Ambiente y Recursos Naturales, Mónica Mixtega, quien dejó en claro que el nuevo relleno sanitario de Tula se encuentra a más de cuatro kilómetros de los manantiales de Cerro Colorado.AUDIO APOYO</t>
  </si>
  <si>
    <t>Radioescucha pregunta: ¿En dónde se puede denunciar una casa que se roba el agua y la luz desde hace muchos años?</t>
  </si>
  <si>
    <t>Robo De Agua</t>
  </si>
  <si>
    <t>Mezquital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</si>
</sst>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07" tableType="queryTable" totalsRowShown="0">
  <autoFilter ref="A1:M107"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07"/>
  <sheetViews>
    <sheetView tabSelected="1" workbookViewId="0">
      <selection activeCell="E61" sqref="E61"/>
    </sheetView>
  </sheetViews>
  <sheetFormatPr baseColWidth="10" defaultRowHeight="15" x14ac:dyDescent="0.25"/>
  <cols>
    <col min="1" max="1" width="8.5703125" bestFit="1" customWidth="1"/>
    <col min="2" max="2" width="11.42578125" bestFit="1" customWidth="1"/>
    <col min="3" max="3" width="26" bestFit="1" customWidth="1"/>
    <col min="4" max="5" width="81.140625" bestFit="1" customWidth="1"/>
    <col min="6" max="6" width="15.28515625" bestFit="1" customWidth="1"/>
    <col min="7" max="7" width="30.85546875" bestFit="1" customWidth="1"/>
    <col min="8" max="8" width="11" bestFit="1" customWidth="1"/>
    <col min="9" max="9" width="11.140625" bestFit="1" customWidth="1"/>
    <col min="10" max="10" width="25.7109375" bestFit="1" customWidth="1"/>
    <col min="11" max="11" width="14.710937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46199</v>
      </c>
      <c r="B2" s="1" t="str">
        <f ca="1">IF(Información1[[#This Row],[Fecha]]='Ajuste de fechas'!$A$2,"Día actual","Día anterior")</f>
        <v>Día anterior</v>
      </c>
      <c r="C2" t="s">
        <v>57</v>
      </c>
      <c r="D2" t="s">
        <v>58</v>
      </c>
      <c r="E2" t="s">
        <v>100</v>
      </c>
      <c r="F2" t="s">
        <v>10</v>
      </c>
      <c r="G2" t="s">
        <v>76</v>
      </c>
      <c r="H2" t="s">
        <v>8</v>
      </c>
      <c r="I2" t="s">
        <v>14</v>
      </c>
      <c r="J2" t="s">
        <v>39</v>
      </c>
      <c r="K2" t="s">
        <v>51</v>
      </c>
      <c r="L2" t="s">
        <v>25</v>
      </c>
      <c r="M2">
        <v>1</v>
      </c>
    </row>
    <row r="3" spans="1:13" x14ac:dyDescent="0.25">
      <c r="A3" s="2">
        <v>46199</v>
      </c>
      <c r="B3" s="1" t="str">
        <f ca="1">IF(Información1[[#This Row],[Fecha]]='Ajuste de fechas'!$A$2,"Día actual","Día anterior")</f>
        <v>Día anterior</v>
      </c>
      <c r="C3" t="s">
        <v>57</v>
      </c>
      <c r="D3" t="s">
        <v>58</v>
      </c>
      <c r="E3" t="s">
        <v>83</v>
      </c>
      <c r="F3" t="s">
        <v>10</v>
      </c>
      <c r="G3" t="s">
        <v>76</v>
      </c>
      <c r="H3" t="s">
        <v>8</v>
      </c>
      <c r="I3" t="s">
        <v>14</v>
      </c>
      <c r="J3" t="s">
        <v>39</v>
      </c>
      <c r="K3" t="s">
        <v>51</v>
      </c>
      <c r="L3" t="s">
        <v>25</v>
      </c>
      <c r="M3">
        <v>1</v>
      </c>
    </row>
    <row r="4" spans="1:13" x14ac:dyDescent="0.25">
      <c r="A4" s="2">
        <v>46199</v>
      </c>
      <c r="B4" s="1" t="str">
        <f ca="1">IF(Información1[[#This Row],[Fecha]]='Ajuste de fechas'!$A$2,"Día actual","Día anterior")</f>
        <v>Día anterior</v>
      </c>
      <c r="C4" t="s">
        <v>57</v>
      </c>
      <c r="D4" t="s">
        <v>58</v>
      </c>
      <c r="E4" t="s">
        <v>101</v>
      </c>
      <c r="F4" t="s">
        <v>13</v>
      </c>
      <c r="G4" t="s">
        <v>81</v>
      </c>
      <c r="H4" t="s">
        <v>8</v>
      </c>
      <c r="I4" t="s">
        <v>7</v>
      </c>
      <c r="J4" t="s">
        <v>13</v>
      </c>
      <c r="K4" t="s">
        <v>60</v>
      </c>
      <c r="L4" t="s">
        <v>24</v>
      </c>
      <c r="M4">
        <v>1</v>
      </c>
    </row>
    <row r="5" spans="1:13" x14ac:dyDescent="0.25">
      <c r="A5" s="2">
        <v>46199</v>
      </c>
      <c r="B5" s="1" t="str">
        <f ca="1">IF(Información1[[#This Row],[Fecha]]='Ajuste de fechas'!$A$2,"Día actual","Día anterior")</f>
        <v>Día anterior</v>
      </c>
      <c r="C5" t="s">
        <v>57</v>
      </c>
      <c r="D5" t="s">
        <v>58</v>
      </c>
      <c r="E5" t="s">
        <v>102</v>
      </c>
      <c r="F5" t="s">
        <v>10</v>
      </c>
      <c r="G5" t="s">
        <v>103</v>
      </c>
      <c r="H5" t="s">
        <v>8</v>
      </c>
      <c r="I5" t="s">
        <v>7</v>
      </c>
      <c r="J5" t="s">
        <v>39</v>
      </c>
      <c r="K5" t="s">
        <v>60</v>
      </c>
      <c r="L5" t="s">
        <v>24</v>
      </c>
      <c r="M5">
        <v>1</v>
      </c>
    </row>
    <row r="6" spans="1:13" x14ac:dyDescent="0.25">
      <c r="A6" s="2">
        <v>46199</v>
      </c>
      <c r="B6" s="1" t="str">
        <f ca="1">IF(Información1[[#This Row],[Fecha]]='Ajuste de fechas'!$A$2,"Día actual","Día anterior")</f>
        <v>Día anterior</v>
      </c>
      <c r="C6" t="s">
        <v>33</v>
      </c>
      <c r="D6" t="s">
        <v>34</v>
      </c>
      <c r="E6" t="s">
        <v>98</v>
      </c>
      <c r="F6" t="s">
        <v>15</v>
      </c>
      <c r="G6" t="s">
        <v>89</v>
      </c>
      <c r="H6" t="s">
        <v>8</v>
      </c>
      <c r="I6" t="s">
        <v>7</v>
      </c>
      <c r="J6" t="s">
        <v>37</v>
      </c>
      <c r="K6" t="s">
        <v>35</v>
      </c>
      <c r="L6" t="s">
        <v>26</v>
      </c>
      <c r="M6">
        <v>1</v>
      </c>
    </row>
    <row r="7" spans="1:13" x14ac:dyDescent="0.25">
      <c r="A7" s="2">
        <v>46199</v>
      </c>
      <c r="B7" s="1" t="str">
        <f ca="1">IF(Información1[[#This Row],[Fecha]]='Ajuste de fechas'!$A$2,"Día actual","Día anterior")</f>
        <v>Día anterior</v>
      </c>
      <c r="C7" t="s">
        <v>57</v>
      </c>
      <c r="D7" t="s">
        <v>58</v>
      </c>
      <c r="E7" t="s">
        <v>104</v>
      </c>
      <c r="F7" t="s">
        <v>15</v>
      </c>
      <c r="G7" t="s">
        <v>89</v>
      </c>
      <c r="H7" t="s">
        <v>8</v>
      </c>
      <c r="I7" t="s">
        <v>7</v>
      </c>
      <c r="J7" t="s">
        <v>37</v>
      </c>
      <c r="K7" t="s">
        <v>60</v>
      </c>
      <c r="L7" t="s">
        <v>24</v>
      </c>
      <c r="M7">
        <v>1</v>
      </c>
    </row>
    <row r="8" spans="1:13" x14ac:dyDescent="0.25">
      <c r="A8" s="2">
        <v>46199</v>
      </c>
      <c r="B8" s="1" t="str">
        <f ca="1">IF(Información1[[#This Row],[Fecha]]='Ajuste de fechas'!$A$2,"Día actual","Día anterior")</f>
        <v>Día anterior</v>
      </c>
      <c r="C8" t="s">
        <v>16</v>
      </c>
      <c r="D8" t="s">
        <v>74</v>
      </c>
      <c r="E8" t="s">
        <v>98</v>
      </c>
      <c r="F8" t="s">
        <v>15</v>
      </c>
      <c r="G8" t="s">
        <v>105</v>
      </c>
      <c r="H8" t="s">
        <v>8</v>
      </c>
      <c r="I8" t="s">
        <v>7</v>
      </c>
      <c r="J8" t="s">
        <v>37</v>
      </c>
      <c r="K8" t="s">
        <v>75</v>
      </c>
      <c r="L8" t="s">
        <v>26</v>
      </c>
      <c r="M8">
        <v>1</v>
      </c>
    </row>
    <row r="9" spans="1:13" x14ac:dyDescent="0.25">
      <c r="A9" s="2">
        <v>46199</v>
      </c>
      <c r="B9" s="1" t="str">
        <f ca="1">IF(Información1[[#This Row],[Fecha]]='Ajuste de fechas'!$A$2,"Día actual","Día anterior")</f>
        <v>Día anterior</v>
      </c>
      <c r="C9" t="s">
        <v>57</v>
      </c>
      <c r="D9" t="s">
        <v>58</v>
      </c>
      <c r="E9" t="s">
        <v>106</v>
      </c>
      <c r="F9" t="s">
        <v>6</v>
      </c>
      <c r="G9" t="s">
        <v>59</v>
      </c>
      <c r="H9" t="s">
        <v>8</v>
      </c>
      <c r="I9" t="s">
        <v>14</v>
      </c>
      <c r="J9" t="s">
        <v>37</v>
      </c>
      <c r="K9" t="s">
        <v>51</v>
      </c>
      <c r="L9" t="s">
        <v>25</v>
      </c>
      <c r="M9">
        <v>1</v>
      </c>
    </row>
    <row r="10" spans="1:13" x14ac:dyDescent="0.25">
      <c r="A10" s="2">
        <v>46199</v>
      </c>
      <c r="B10" s="1" t="str">
        <f ca="1">IF(Información1[[#This Row],[Fecha]]='Ajuste de fechas'!$A$2,"Día actual","Día anterior")</f>
        <v>Día anterior</v>
      </c>
      <c r="C10" t="s">
        <v>57</v>
      </c>
      <c r="D10" t="s">
        <v>58</v>
      </c>
      <c r="E10" t="s">
        <v>107</v>
      </c>
      <c r="F10" t="s">
        <v>10</v>
      </c>
      <c r="G10" t="s">
        <v>70</v>
      </c>
      <c r="H10" t="s">
        <v>8</v>
      </c>
      <c r="I10" t="s">
        <v>7</v>
      </c>
      <c r="J10" t="s">
        <v>39</v>
      </c>
      <c r="K10" t="s">
        <v>60</v>
      </c>
      <c r="L10" t="s">
        <v>24</v>
      </c>
      <c r="M10">
        <v>1</v>
      </c>
    </row>
    <row r="11" spans="1:13" x14ac:dyDescent="0.25">
      <c r="A11" s="2">
        <v>46199</v>
      </c>
      <c r="B11" s="1" t="str">
        <f ca="1">IF(Información1[[#This Row],[Fecha]]='Ajuste de fechas'!$A$2,"Día actual","Día anterior")</f>
        <v>Día anterior</v>
      </c>
      <c r="C11" t="s">
        <v>57</v>
      </c>
      <c r="D11" t="s">
        <v>58</v>
      </c>
      <c r="E11" t="s">
        <v>108</v>
      </c>
      <c r="F11" t="s">
        <v>52</v>
      </c>
      <c r="G11" t="s">
        <v>109</v>
      </c>
      <c r="H11" t="s">
        <v>8</v>
      </c>
      <c r="I11" t="s">
        <v>14</v>
      </c>
      <c r="J11" t="s">
        <v>37</v>
      </c>
      <c r="K11" t="s">
        <v>51</v>
      </c>
      <c r="L11" t="s">
        <v>25</v>
      </c>
      <c r="M11">
        <v>1</v>
      </c>
    </row>
    <row r="12" spans="1:13" x14ac:dyDescent="0.25">
      <c r="A12" s="2">
        <v>46199</v>
      </c>
      <c r="B12" s="1" t="str">
        <f ca="1">IF(Información1[[#This Row],[Fecha]]='Ajuste de fechas'!$A$2,"Día actual","Día anterior")</f>
        <v>Día anterior</v>
      </c>
      <c r="C12" t="s">
        <v>57</v>
      </c>
      <c r="D12" t="s">
        <v>58</v>
      </c>
      <c r="E12" t="s">
        <v>110</v>
      </c>
      <c r="F12" t="s">
        <v>44</v>
      </c>
      <c r="G12" t="s">
        <v>85</v>
      </c>
      <c r="H12" t="s">
        <v>8</v>
      </c>
      <c r="I12" t="s">
        <v>7</v>
      </c>
      <c r="J12" t="s">
        <v>37</v>
      </c>
      <c r="K12" t="s">
        <v>60</v>
      </c>
      <c r="L12" t="s">
        <v>26</v>
      </c>
      <c r="M12">
        <v>1</v>
      </c>
    </row>
    <row r="13" spans="1:13" x14ac:dyDescent="0.25">
      <c r="A13" s="2">
        <v>46199</v>
      </c>
      <c r="B13" s="1" t="str">
        <f ca="1">IF(Información1[[#This Row],[Fecha]]='Ajuste de fechas'!$A$2,"Día actual","Día anterior")</f>
        <v>Día anterior</v>
      </c>
      <c r="C13" t="s">
        <v>57</v>
      </c>
      <c r="D13" t="s">
        <v>58</v>
      </c>
      <c r="E13" t="s">
        <v>86</v>
      </c>
      <c r="F13" t="s">
        <v>12</v>
      </c>
      <c r="G13" t="s">
        <v>54</v>
      </c>
      <c r="H13" t="s">
        <v>8</v>
      </c>
      <c r="I13" t="s">
        <v>7</v>
      </c>
      <c r="J13" t="s">
        <v>37</v>
      </c>
      <c r="K13" t="s">
        <v>60</v>
      </c>
      <c r="L13" t="s">
        <v>26</v>
      </c>
      <c r="M13">
        <v>1</v>
      </c>
    </row>
    <row r="14" spans="1:13" x14ac:dyDescent="0.25">
      <c r="A14" s="2">
        <v>46199</v>
      </c>
      <c r="B14" s="1" t="str">
        <f ca="1">IF(Información1[[#This Row],[Fecha]]='Ajuste de fechas'!$A$2,"Día actual","Día anterior")</f>
        <v>Día anterior</v>
      </c>
      <c r="C14" t="s">
        <v>33</v>
      </c>
      <c r="D14" t="s">
        <v>34</v>
      </c>
      <c r="E14" t="s">
        <v>111</v>
      </c>
      <c r="F14" t="s">
        <v>9</v>
      </c>
      <c r="G14" t="s">
        <v>112</v>
      </c>
      <c r="H14" t="s">
        <v>8</v>
      </c>
      <c r="I14" t="s">
        <v>7</v>
      </c>
      <c r="J14" t="s">
        <v>37</v>
      </c>
      <c r="K14" t="s">
        <v>35</v>
      </c>
      <c r="L14" t="s">
        <v>26</v>
      </c>
      <c r="M14">
        <v>1</v>
      </c>
    </row>
    <row r="15" spans="1:13" x14ac:dyDescent="0.25">
      <c r="A15" s="2">
        <v>46199</v>
      </c>
      <c r="B15" s="1" t="str">
        <f ca="1">IF(Información1[[#This Row],[Fecha]]='Ajuste de fechas'!$A$2,"Día actual","Día anterior")</f>
        <v>Día anterior</v>
      </c>
      <c r="C15" t="s">
        <v>57</v>
      </c>
      <c r="D15" t="s">
        <v>58</v>
      </c>
      <c r="E15" t="s">
        <v>113</v>
      </c>
      <c r="F15" t="s">
        <v>10</v>
      </c>
      <c r="G15" t="s">
        <v>114</v>
      </c>
      <c r="H15" t="s">
        <v>8</v>
      </c>
      <c r="I15" t="s">
        <v>56</v>
      </c>
      <c r="J15" t="s">
        <v>39</v>
      </c>
      <c r="K15" t="s">
        <v>51</v>
      </c>
      <c r="L15" t="s">
        <v>25</v>
      </c>
      <c r="M15">
        <v>1</v>
      </c>
    </row>
    <row r="16" spans="1:13" x14ac:dyDescent="0.25">
      <c r="A16" s="2">
        <v>46199</v>
      </c>
      <c r="B16" s="1" t="str">
        <f ca="1">IF(Información1[[#This Row],[Fecha]]='Ajuste de fechas'!$A$2,"Día actual","Día anterior")</f>
        <v>Día anterior</v>
      </c>
      <c r="C16" t="s">
        <v>57</v>
      </c>
      <c r="D16" t="s">
        <v>58</v>
      </c>
      <c r="E16" t="s">
        <v>115</v>
      </c>
      <c r="F16" t="s">
        <v>10</v>
      </c>
      <c r="G16" t="s">
        <v>114</v>
      </c>
      <c r="H16" t="s">
        <v>8</v>
      </c>
      <c r="I16" t="s">
        <v>56</v>
      </c>
      <c r="J16" t="s">
        <v>39</v>
      </c>
      <c r="K16" t="s">
        <v>51</v>
      </c>
      <c r="L16" t="s">
        <v>25</v>
      </c>
      <c r="M16">
        <v>1</v>
      </c>
    </row>
    <row r="17" spans="1:13" x14ac:dyDescent="0.25">
      <c r="A17" s="2">
        <v>46199</v>
      </c>
      <c r="B17" s="1" t="str">
        <f ca="1">IF(Información1[[#This Row],[Fecha]]='Ajuste de fechas'!$A$2,"Día actual","Día anterior")</f>
        <v>Día anterior</v>
      </c>
      <c r="C17" t="s">
        <v>57</v>
      </c>
      <c r="D17" t="s">
        <v>58</v>
      </c>
      <c r="E17" t="s">
        <v>61</v>
      </c>
      <c r="F17" t="s">
        <v>10</v>
      </c>
      <c r="G17" t="s">
        <v>62</v>
      </c>
      <c r="H17" t="s">
        <v>8</v>
      </c>
      <c r="I17" t="s">
        <v>7</v>
      </c>
      <c r="J17" t="s">
        <v>39</v>
      </c>
      <c r="K17" t="s">
        <v>60</v>
      </c>
      <c r="L17" t="s">
        <v>25</v>
      </c>
      <c r="M17">
        <v>1</v>
      </c>
    </row>
    <row r="18" spans="1:13" x14ac:dyDescent="0.25">
      <c r="A18" s="2">
        <v>46199</v>
      </c>
      <c r="B18" s="1" t="str">
        <f ca="1">IF(Información1[[#This Row],[Fecha]]='Ajuste de fechas'!$A$2,"Día actual","Día anterior")</f>
        <v>Día anterior</v>
      </c>
      <c r="C18" t="s">
        <v>57</v>
      </c>
      <c r="D18" t="s">
        <v>58</v>
      </c>
      <c r="E18" t="s">
        <v>63</v>
      </c>
      <c r="F18" t="s">
        <v>10</v>
      </c>
      <c r="G18" t="s">
        <v>62</v>
      </c>
      <c r="H18" t="s">
        <v>8</v>
      </c>
      <c r="I18" t="s">
        <v>7</v>
      </c>
      <c r="J18" t="s">
        <v>39</v>
      </c>
      <c r="K18" t="s">
        <v>60</v>
      </c>
      <c r="L18" t="s">
        <v>25</v>
      </c>
      <c r="M18">
        <v>1</v>
      </c>
    </row>
    <row r="19" spans="1:13" x14ac:dyDescent="0.25">
      <c r="A19" s="2">
        <v>46199</v>
      </c>
      <c r="B19" s="1" t="str">
        <f ca="1">IF(Información1[[#This Row],[Fecha]]='Ajuste de fechas'!$A$2,"Día actual","Día anterior")</f>
        <v>Día anterior</v>
      </c>
      <c r="C19" t="s">
        <v>57</v>
      </c>
      <c r="D19" t="s">
        <v>58</v>
      </c>
      <c r="E19" t="s">
        <v>68</v>
      </c>
      <c r="F19" t="s">
        <v>30</v>
      </c>
      <c r="G19" t="s">
        <v>62</v>
      </c>
      <c r="H19" t="s">
        <v>8</v>
      </c>
      <c r="I19" t="s">
        <v>7</v>
      </c>
      <c r="J19" t="s">
        <v>13</v>
      </c>
      <c r="K19" t="s">
        <v>60</v>
      </c>
      <c r="L19" t="s">
        <v>25</v>
      </c>
      <c r="M19">
        <v>1</v>
      </c>
    </row>
    <row r="20" spans="1:13" x14ac:dyDescent="0.25">
      <c r="A20" s="2">
        <v>46199</v>
      </c>
      <c r="B20" s="1" t="str">
        <f ca="1">IF(Información1[[#This Row],[Fecha]]='Ajuste de fechas'!$A$2,"Día actual","Día anterior")</f>
        <v>Día anterior</v>
      </c>
      <c r="C20" t="s">
        <v>57</v>
      </c>
      <c r="D20" t="s">
        <v>58</v>
      </c>
      <c r="E20" t="s">
        <v>64</v>
      </c>
      <c r="F20" t="s">
        <v>40</v>
      </c>
      <c r="G20" t="s">
        <v>62</v>
      </c>
      <c r="H20" t="s">
        <v>8</v>
      </c>
      <c r="I20" t="s">
        <v>7</v>
      </c>
      <c r="J20" t="s">
        <v>37</v>
      </c>
      <c r="K20" t="s">
        <v>60</v>
      </c>
      <c r="L20" t="s">
        <v>25</v>
      </c>
      <c r="M20">
        <v>1</v>
      </c>
    </row>
    <row r="21" spans="1:13" x14ac:dyDescent="0.25">
      <c r="A21" s="2">
        <v>46199</v>
      </c>
      <c r="B21" s="1" t="str">
        <f ca="1">IF(Información1[[#This Row],[Fecha]]='Ajuste de fechas'!$A$2,"Día actual","Día anterior")</f>
        <v>Día anterior</v>
      </c>
      <c r="C21" t="s">
        <v>57</v>
      </c>
      <c r="D21" t="s">
        <v>58</v>
      </c>
      <c r="E21" t="s">
        <v>65</v>
      </c>
      <c r="F21" t="s">
        <v>9</v>
      </c>
      <c r="G21" t="s">
        <v>62</v>
      </c>
      <c r="H21" t="s">
        <v>8</v>
      </c>
      <c r="I21" t="s">
        <v>7</v>
      </c>
      <c r="J21" t="s">
        <v>37</v>
      </c>
      <c r="K21" t="s">
        <v>60</v>
      </c>
      <c r="L21" t="s">
        <v>25</v>
      </c>
      <c r="M21">
        <v>1</v>
      </c>
    </row>
    <row r="22" spans="1:13" x14ac:dyDescent="0.25">
      <c r="A22" s="2">
        <v>46199</v>
      </c>
      <c r="B22" s="1" t="str">
        <f ca="1">IF(Información1[[#This Row],[Fecha]]='Ajuste de fechas'!$A$2,"Día actual","Día anterior")</f>
        <v>Día anterior</v>
      </c>
      <c r="C22" t="s">
        <v>57</v>
      </c>
      <c r="D22" t="s">
        <v>58</v>
      </c>
      <c r="E22" t="s">
        <v>66</v>
      </c>
      <c r="F22" t="s">
        <v>52</v>
      </c>
      <c r="G22" t="s">
        <v>62</v>
      </c>
      <c r="H22" t="s">
        <v>8</v>
      </c>
      <c r="I22" t="s">
        <v>7</v>
      </c>
      <c r="J22" t="s">
        <v>37</v>
      </c>
      <c r="K22" t="s">
        <v>60</v>
      </c>
      <c r="L22" t="s">
        <v>25</v>
      </c>
      <c r="M22">
        <v>1</v>
      </c>
    </row>
    <row r="23" spans="1:13" x14ac:dyDescent="0.25">
      <c r="A23" s="2">
        <v>46199</v>
      </c>
      <c r="B23" s="1" t="str">
        <f ca="1">IF(Información1[[#This Row],[Fecha]]='Ajuste de fechas'!$A$2,"Día actual","Día anterior")</f>
        <v>Día anterior</v>
      </c>
      <c r="C23" t="s">
        <v>57</v>
      </c>
      <c r="D23" t="s">
        <v>58</v>
      </c>
      <c r="E23" t="s">
        <v>67</v>
      </c>
      <c r="F23" t="s">
        <v>6</v>
      </c>
      <c r="G23" t="s">
        <v>62</v>
      </c>
      <c r="H23" t="s">
        <v>8</v>
      </c>
      <c r="I23" t="s">
        <v>7</v>
      </c>
      <c r="J23" t="s">
        <v>37</v>
      </c>
      <c r="K23" t="s">
        <v>60</v>
      </c>
      <c r="L23" t="s">
        <v>25</v>
      </c>
      <c r="M23">
        <v>1</v>
      </c>
    </row>
    <row r="24" spans="1:13" x14ac:dyDescent="0.25">
      <c r="A24" s="2">
        <v>46199</v>
      </c>
      <c r="B24" s="1" t="str">
        <f ca="1">IF(Información1[[#This Row],[Fecha]]='Ajuste de fechas'!$A$2,"Día actual","Día anterior")</f>
        <v>Día anterior</v>
      </c>
      <c r="C24" t="s">
        <v>16</v>
      </c>
      <c r="D24" t="s">
        <v>74</v>
      </c>
      <c r="E24" t="s">
        <v>116</v>
      </c>
      <c r="F24" t="s">
        <v>40</v>
      </c>
      <c r="G24" t="s">
        <v>92</v>
      </c>
      <c r="H24" t="s">
        <v>8</v>
      </c>
      <c r="I24" t="s">
        <v>7</v>
      </c>
      <c r="J24" t="s">
        <v>37</v>
      </c>
      <c r="K24" t="s">
        <v>75</v>
      </c>
      <c r="L24" t="s">
        <v>24</v>
      </c>
      <c r="M24">
        <v>1</v>
      </c>
    </row>
    <row r="25" spans="1:13" x14ac:dyDescent="0.25">
      <c r="A25" s="2">
        <v>46199</v>
      </c>
      <c r="B25" s="1" t="str">
        <f ca="1">IF(Información1[[#This Row],[Fecha]]='Ajuste de fechas'!$A$2,"Día actual","Día anterior")</f>
        <v>Día anterior</v>
      </c>
      <c r="C25" t="s">
        <v>57</v>
      </c>
      <c r="D25" t="s">
        <v>58</v>
      </c>
      <c r="E25" t="s">
        <v>117</v>
      </c>
      <c r="F25" t="s">
        <v>40</v>
      </c>
      <c r="G25" t="s">
        <v>92</v>
      </c>
      <c r="H25" t="s">
        <v>8</v>
      </c>
      <c r="I25" t="s">
        <v>7</v>
      </c>
      <c r="J25" t="s">
        <v>37</v>
      </c>
      <c r="K25" t="s">
        <v>51</v>
      </c>
      <c r="L25" t="s">
        <v>24</v>
      </c>
      <c r="M25">
        <v>1</v>
      </c>
    </row>
    <row r="26" spans="1:13" x14ac:dyDescent="0.25">
      <c r="A26" s="2">
        <v>46199</v>
      </c>
      <c r="B26" s="1" t="str">
        <f ca="1">IF(Información1[[#This Row],[Fecha]]='Ajuste de fechas'!$A$2,"Día actual","Día anterior")</f>
        <v>Día anterior</v>
      </c>
      <c r="C26" t="s">
        <v>57</v>
      </c>
      <c r="D26" t="s">
        <v>58</v>
      </c>
      <c r="E26" t="s">
        <v>118</v>
      </c>
      <c r="F26" t="s">
        <v>6</v>
      </c>
      <c r="G26" t="s">
        <v>119</v>
      </c>
      <c r="H26" t="s">
        <v>8</v>
      </c>
      <c r="I26" t="s">
        <v>14</v>
      </c>
      <c r="J26" t="s">
        <v>37</v>
      </c>
      <c r="K26" t="s">
        <v>51</v>
      </c>
      <c r="L26" t="s">
        <v>25</v>
      </c>
      <c r="M26">
        <v>1</v>
      </c>
    </row>
    <row r="27" spans="1:13" x14ac:dyDescent="0.25">
      <c r="A27" s="2">
        <v>46199</v>
      </c>
      <c r="B27" s="1" t="str">
        <f ca="1">IF(Información1[[#This Row],[Fecha]]='Ajuste de fechas'!$A$2,"Día actual","Día anterior")</f>
        <v>Día anterior</v>
      </c>
      <c r="C27" t="s">
        <v>57</v>
      </c>
      <c r="D27" t="s">
        <v>58</v>
      </c>
      <c r="E27" t="s">
        <v>120</v>
      </c>
      <c r="F27" t="s">
        <v>6</v>
      </c>
      <c r="G27" t="s">
        <v>119</v>
      </c>
      <c r="H27" t="s">
        <v>8</v>
      </c>
      <c r="I27" t="s">
        <v>14</v>
      </c>
      <c r="J27" t="s">
        <v>37</v>
      </c>
      <c r="K27" t="s">
        <v>51</v>
      </c>
      <c r="L27" t="s">
        <v>25</v>
      </c>
      <c r="M27">
        <v>1</v>
      </c>
    </row>
    <row r="28" spans="1:13" x14ac:dyDescent="0.25">
      <c r="A28" s="2">
        <v>46199</v>
      </c>
      <c r="B28" s="1" t="str">
        <f ca="1">IF(Información1[[#This Row],[Fecha]]='Ajuste de fechas'!$A$2,"Día actual","Día anterior")</f>
        <v>Día anterior</v>
      </c>
      <c r="C28" t="s">
        <v>42</v>
      </c>
      <c r="D28" t="s">
        <v>43</v>
      </c>
      <c r="E28" t="s">
        <v>121</v>
      </c>
      <c r="F28" t="s">
        <v>10</v>
      </c>
      <c r="G28" t="s">
        <v>70</v>
      </c>
      <c r="H28" t="s">
        <v>41</v>
      </c>
      <c r="I28" t="s">
        <v>7</v>
      </c>
      <c r="J28" t="s">
        <v>39</v>
      </c>
      <c r="K28" t="s">
        <v>69</v>
      </c>
      <c r="L28" t="s">
        <v>24</v>
      </c>
      <c r="M28">
        <v>1</v>
      </c>
    </row>
    <row r="29" spans="1:13" x14ac:dyDescent="0.25">
      <c r="A29" s="2">
        <v>46199</v>
      </c>
      <c r="B29" s="1" t="str">
        <f ca="1">IF(Información1[[#This Row],[Fecha]]='Ajuste de fechas'!$A$2,"Día actual","Día anterior")</f>
        <v>Día anterior</v>
      </c>
      <c r="C29" t="s">
        <v>42</v>
      </c>
      <c r="D29" t="s">
        <v>43</v>
      </c>
      <c r="E29" t="s">
        <v>122</v>
      </c>
      <c r="F29" t="s">
        <v>15</v>
      </c>
      <c r="G29" t="s">
        <v>89</v>
      </c>
      <c r="H29" t="s">
        <v>41</v>
      </c>
      <c r="I29" t="s">
        <v>7</v>
      </c>
      <c r="J29" t="s">
        <v>37</v>
      </c>
      <c r="K29" t="s">
        <v>69</v>
      </c>
      <c r="L29" t="s">
        <v>26</v>
      </c>
      <c r="M29">
        <v>1</v>
      </c>
    </row>
    <row r="30" spans="1:13" x14ac:dyDescent="0.25">
      <c r="A30" s="2">
        <v>46199</v>
      </c>
      <c r="B30" s="1" t="str">
        <f ca="1">IF(Información1[[#This Row],[Fecha]]='Ajuste de fechas'!$A$2,"Día actual","Día anterior")</f>
        <v>Día anterior</v>
      </c>
      <c r="C30" t="s">
        <v>42</v>
      </c>
      <c r="D30" t="s">
        <v>43</v>
      </c>
      <c r="E30" t="s">
        <v>123</v>
      </c>
      <c r="F30" t="s">
        <v>10</v>
      </c>
      <c r="G30" t="s">
        <v>72</v>
      </c>
      <c r="H30" t="s">
        <v>41</v>
      </c>
      <c r="I30" t="s">
        <v>7</v>
      </c>
      <c r="J30" t="s">
        <v>39</v>
      </c>
      <c r="K30" t="s">
        <v>69</v>
      </c>
      <c r="L30" t="s">
        <v>24</v>
      </c>
      <c r="M30">
        <v>1</v>
      </c>
    </row>
    <row r="31" spans="1:13" x14ac:dyDescent="0.25">
      <c r="A31" s="2">
        <v>46199</v>
      </c>
      <c r="B31" s="1" t="str">
        <f ca="1">IF(Información1[[#This Row],[Fecha]]='Ajuste de fechas'!$A$2,"Día actual","Día anterior")</f>
        <v>Día anterior</v>
      </c>
      <c r="C31" t="s">
        <v>42</v>
      </c>
      <c r="D31" t="s">
        <v>43</v>
      </c>
      <c r="E31" t="s">
        <v>124</v>
      </c>
      <c r="F31" t="s">
        <v>44</v>
      </c>
      <c r="G31" t="s">
        <v>125</v>
      </c>
      <c r="H31" t="s">
        <v>41</v>
      </c>
      <c r="I31" t="s">
        <v>7</v>
      </c>
      <c r="J31" t="s">
        <v>37</v>
      </c>
      <c r="K31" t="s">
        <v>69</v>
      </c>
      <c r="L31" t="s">
        <v>24</v>
      </c>
      <c r="M31">
        <v>1</v>
      </c>
    </row>
    <row r="32" spans="1:13" x14ac:dyDescent="0.25">
      <c r="A32" s="2">
        <v>46199</v>
      </c>
      <c r="B32" s="1" t="str">
        <f ca="1">IF(Información1[[#This Row],[Fecha]]='Ajuste de fechas'!$A$2,"Día actual","Día anterior")</f>
        <v>Día anterior</v>
      </c>
      <c r="C32" t="s">
        <v>42</v>
      </c>
      <c r="D32" t="s">
        <v>43</v>
      </c>
      <c r="E32" t="s">
        <v>94</v>
      </c>
      <c r="F32" t="s">
        <v>12</v>
      </c>
      <c r="G32" t="s">
        <v>95</v>
      </c>
      <c r="H32" t="s">
        <v>41</v>
      </c>
      <c r="I32" t="s">
        <v>7</v>
      </c>
      <c r="J32" t="s">
        <v>37</v>
      </c>
      <c r="K32" t="s">
        <v>69</v>
      </c>
      <c r="L32" t="s">
        <v>26</v>
      </c>
      <c r="M32">
        <v>1</v>
      </c>
    </row>
    <row r="33" spans="1:13" x14ac:dyDescent="0.25">
      <c r="A33" s="2">
        <v>46199</v>
      </c>
      <c r="B33" s="1" t="str">
        <f ca="1">IF(Información1[[#This Row],[Fecha]]='Ajuste de fechas'!$A$2,"Día actual","Día anterior")</f>
        <v>Día anterior</v>
      </c>
      <c r="C33" t="s">
        <v>42</v>
      </c>
      <c r="D33" t="s">
        <v>43</v>
      </c>
      <c r="E33" t="s">
        <v>110</v>
      </c>
      <c r="F33" t="s">
        <v>44</v>
      </c>
      <c r="G33" t="s">
        <v>85</v>
      </c>
      <c r="H33" t="s">
        <v>41</v>
      </c>
      <c r="I33" t="s">
        <v>7</v>
      </c>
      <c r="J33" t="s">
        <v>37</v>
      </c>
      <c r="K33" t="s">
        <v>69</v>
      </c>
      <c r="L33" t="s">
        <v>26</v>
      </c>
      <c r="M33">
        <v>1</v>
      </c>
    </row>
    <row r="34" spans="1:13" x14ac:dyDescent="0.25">
      <c r="A34" s="2">
        <v>46199</v>
      </c>
      <c r="B34" s="1" t="str">
        <f ca="1">IF(Información1[[#This Row],[Fecha]]='Ajuste de fechas'!$A$2,"Día actual","Día anterior")</f>
        <v>Día anterior</v>
      </c>
      <c r="C34" t="s">
        <v>42</v>
      </c>
      <c r="D34" t="s">
        <v>43</v>
      </c>
      <c r="E34" t="s">
        <v>126</v>
      </c>
      <c r="F34" t="s">
        <v>12</v>
      </c>
      <c r="G34" t="s">
        <v>49</v>
      </c>
      <c r="H34" t="s">
        <v>41</v>
      </c>
      <c r="I34" t="s">
        <v>7</v>
      </c>
      <c r="J34" t="s">
        <v>37</v>
      </c>
      <c r="K34" t="s">
        <v>69</v>
      </c>
      <c r="L34" t="s">
        <v>24</v>
      </c>
      <c r="M34">
        <v>1</v>
      </c>
    </row>
    <row r="35" spans="1:13" x14ac:dyDescent="0.25">
      <c r="A35" s="2">
        <v>46199</v>
      </c>
      <c r="B35" s="1" t="str">
        <f ca="1">IF(Información1[[#This Row],[Fecha]]='Ajuste de fechas'!$A$2,"Día actual","Día anterior")</f>
        <v>Día anterior</v>
      </c>
      <c r="C35" t="s">
        <v>42</v>
      </c>
      <c r="D35" t="s">
        <v>43</v>
      </c>
      <c r="E35" t="s">
        <v>127</v>
      </c>
      <c r="F35" t="s">
        <v>10</v>
      </c>
      <c r="G35" t="s">
        <v>128</v>
      </c>
      <c r="H35" t="s">
        <v>41</v>
      </c>
      <c r="I35" t="s">
        <v>7</v>
      </c>
      <c r="J35" t="s">
        <v>39</v>
      </c>
      <c r="K35" t="s">
        <v>69</v>
      </c>
      <c r="L35" t="s">
        <v>24</v>
      </c>
      <c r="M35">
        <v>1</v>
      </c>
    </row>
    <row r="36" spans="1:13" x14ac:dyDescent="0.25">
      <c r="A36" s="2">
        <v>46199</v>
      </c>
      <c r="B36" s="1" t="str">
        <f ca="1">IF(Información1[[#This Row],[Fecha]]='Ajuste de fechas'!$A$2,"Día actual","Día anterior")</f>
        <v>Día anterior</v>
      </c>
      <c r="C36" t="s">
        <v>42</v>
      </c>
      <c r="D36" t="s">
        <v>43</v>
      </c>
      <c r="E36" t="s">
        <v>129</v>
      </c>
      <c r="F36" t="s">
        <v>10</v>
      </c>
      <c r="G36" t="s">
        <v>130</v>
      </c>
      <c r="H36" t="s">
        <v>41</v>
      </c>
      <c r="I36" t="s">
        <v>7</v>
      </c>
      <c r="J36" t="s">
        <v>39</v>
      </c>
      <c r="K36" t="s">
        <v>69</v>
      </c>
      <c r="L36" t="s">
        <v>24</v>
      </c>
      <c r="M36">
        <v>1</v>
      </c>
    </row>
    <row r="37" spans="1:13" x14ac:dyDescent="0.25">
      <c r="A37" s="2">
        <v>46199</v>
      </c>
      <c r="B37" s="1" t="str">
        <f ca="1">IF(Información1[[#This Row],[Fecha]]='Ajuste de fechas'!$A$2,"Día actual","Día anterior")</f>
        <v>Día anterior</v>
      </c>
      <c r="C37" t="s">
        <v>42</v>
      </c>
      <c r="D37" t="s">
        <v>43</v>
      </c>
      <c r="E37" t="s">
        <v>131</v>
      </c>
      <c r="F37" t="s">
        <v>30</v>
      </c>
      <c r="G37" t="s">
        <v>53</v>
      </c>
      <c r="H37" t="s">
        <v>41</v>
      </c>
      <c r="I37" t="s">
        <v>7</v>
      </c>
      <c r="J37" t="s">
        <v>13</v>
      </c>
      <c r="K37" t="s">
        <v>69</v>
      </c>
      <c r="L37" t="s">
        <v>24</v>
      </c>
      <c r="M37">
        <v>1</v>
      </c>
    </row>
    <row r="38" spans="1:13" x14ac:dyDescent="0.25">
      <c r="A38" s="2">
        <v>46199</v>
      </c>
      <c r="B38" s="1" t="str">
        <f ca="1">IF(Información1[[#This Row],[Fecha]]='Ajuste de fechas'!$A$2,"Día actual","Día anterior")</f>
        <v>Día anterior</v>
      </c>
      <c r="C38" t="s">
        <v>42</v>
      </c>
      <c r="D38" t="s">
        <v>43</v>
      </c>
      <c r="E38" t="s">
        <v>132</v>
      </c>
      <c r="F38" t="s">
        <v>133</v>
      </c>
      <c r="G38" t="s">
        <v>134</v>
      </c>
      <c r="H38" t="s">
        <v>41</v>
      </c>
      <c r="I38" t="s">
        <v>7</v>
      </c>
      <c r="J38" t="s">
        <v>135</v>
      </c>
      <c r="K38" t="s">
        <v>69</v>
      </c>
      <c r="L38" t="s">
        <v>24</v>
      </c>
      <c r="M38">
        <v>1</v>
      </c>
    </row>
    <row r="39" spans="1:13" x14ac:dyDescent="0.25">
      <c r="A39" s="2">
        <v>46199</v>
      </c>
      <c r="B39" s="1" t="str">
        <f ca="1">IF(Información1[[#This Row],[Fecha]]='Ajuste de fechas'!$A$2,"Día actual","Día anterior")</f>
        <v>Día anterior</v>
      </c>
      <c r="C39" t="s">
        <v>42</v>
      </c>
      <c r="D39" t="s">
        <v>43</v>
      </c>
      <c r="E39" t="s">
        <v>136</v>
      </c>
      <c r="F39" t="s">
        <v>30</v>
      </c>
      <c r="G39" t="s">
        <v>137</v>
      </c>
      <c r="H39" t="s">
        <v>41</v>
      </c>
      <c r="I39" t="s">
        <v>14</v>
      </c>
      <c r="J39" t="s">
        <v>13</v>
      </c>
      <c r="K39" t="s">
        <v>69</v>
      </c>
      <c r="L39" t="s">
        <v>24</v>
      </c>
      <c r="M39">
        <v>1</v>
      </c>
    </row>
    <row r="40" spans="1:13" x14ac:dyDescent="0.25">
      <c r="A40" s="2">
        <v>46199</v>
      </c>
      <c r="B40" s="1" t="str">
        <f ca="1">IF(Información1[[#This Row],[Fecha]]='Ajuste de fechas'!$A$2,"Día actual","Día anterior")</f>
        <v>Día anterior</v>
      </c>
      <c r="C40" t="s">
        <v>42</v>
      </c>
      <c r="D40" t="s">
        <v>43</v>
      </c>
      <c r="E40" t="s">
        <v>138</v>
      </c>
      <c r="F40" t="s">
        <v>30</v>
      </c>
      <c r="G40" t="s">
        <v>71</v>
      </c>
      <c r="H40" t="s">
        <v>41</v>
      </c>
      <c r="I40" t="s">
        <v>7</v>
      </c>
      <c r="J40" t="s">
        <v>13</v>
      </c>
      <c r="K40" t="s">
        <v>69</v>
      </c>
      <c r="L40" t="s">
        <v>24</v>
      </c>
      <c r="M40">
        <v>1</v>
      </c>
    </row>
    <row r="41" spans="1:13" x14ac:dyDescent="0.25">
      <c r="A41" s="2">
        <v>46199</v>
      </c>
      <c r="B41" s="1" t="str">
        <f ca="1">IF(Información1[[#This Row],[Fecha]]='Ajuste de fechas'!$A$2,"Día actual","Día anterior")</f>
        <v>Día anterior</v>
      </c>
      <c r="C41" t="s">
        <v>42</v>
      </c>
      <c r="D41" t="s">
        <v>43</v>
      </c>
      <c r="E41" t="s">
        <v>139</v>
      </c>
      <c r="F41" t="s">
        <v>11</v>
      </c>
      <c r="G41" t="s">
        <v>140</v>
      </c>
      <c r="H41" t="s">
        <v>41</v>
      </c>
      <c r="I41" t="s">
        <v>7</v>
      </c>
      <c r="J41" t="s">
        <v>38</v>
      </c>
      <c r="K41" t="s">
        <v>69</v>
      </c>
      <c r="L41" t="s">
        <v>24</v>
      </c>
      <c r="M41">
        <v>1</v>
      </c>
    </row>
    <row r="42" spans="1:13" x14ac:dyDescent="0.25">
      <c r="A42" s="2">
        <v>46199</v>
      </c>
      <c r="B42" s="1" t="str">
        <f ca="1">IF(Información1[[#This Row],[Fecha]]='Ajuste de fechas'!$A$2,"Día actual","Día anterior")</f>
        <v>Día anterior</v>
      </c>
      <c r="C42" t="s">
        <v>42</v>
      </c>
      <c r="D42" t="s">
        <v>43</v>
      </c>
      <c r="E42" t="s">
        <v>141</v>
      </c>
      <c r="F42" t="s">
        <v>10</v>
      </c>
      <c r="G42" t="s">
        <v>142</v>
      </c>
      <c r="H42" t="s">
        <v>41</v>
      </c>
      <c r="I42" t="s">
        <v>7</v>
      </c>
      <c r="J42" t="s">
        <v>39</v>
      </c>
      <c r="K42" t="s">
        <v>69</v>
      </c>
      <c r="L42" t="s">
        <v>24</v>
      </c>
      <c r="M42">
        <v>1</v>
      </c>
    </row>
    <row r="43" spans="1:13" x14ac:dyDescent="0.25">
      <c r="A43" s="2">
        <v>46199</v>
      </c>
      <c r="B43" s="1" t="str">
        <f ca="1">IF(Información1[[#This Row],[Fecha]]='Ajuste de fechas'!$A$2,"Día actual","Día anterior")</f>
        <v>Día anterior</v>
      </c>
      <c r="C43" t="s">
        <v>42</v>
      </c>
      <c r="D43" t="s">
        <v>43</v>
      </c>
      <c r="E43" t="s">
        <v>143</v>
      </c>
      <c r="F43" t="s">
        <v>10</v>
      </c>
      <c r="G43" t="s">
        <v>36</v>
      </c>
      <c r="H43" t="s">
        <v>41</v>
      </c>
      <c r="I43" t="s">
        <v>7</v>
      </c>
      <c r="J43" t="s">
        <v>39</v>
      </c>
      <c r="K43" t="s">
        <v>69</v>
      </c>
      <c r="L43" t="s">
        <v>24</v>
      </c>
      <c r="M43">
        <v>1</v>
      </c>
    </row>
    <row r="44" spans="1:13" x14ac:dyDescent="0.25">
      <c r="A44" s="2">
        <v>46199</v>
      </c>
      <c r="B44" s="1" t="str">
        <f ca="1">IF(Información1[[#This Row],[Fecha]]='Ajuste de fechas'!$A$2,"Día actual","Día anterior")</f>
        <v>Día anterior</v>
      </c>
      <c r="C44" t="s">
        <v>42</v>
      </c>
      <c r="D44" t="s">
        <v>43</v>
      </c>
      <c r="E44" t="s">
        <v>45</v>
      </c>
      <c r="F44" t="s">
        <v>10</v>
      </c>
      <c r="G44" t="s">
        <v>49</v>
      </c>
      <c r="H44" t="s">
        <v>41</v>
      </c>
      <c r="I44" t="s">
        <v>7</v>
      </c>
      <c r="J44" t="s">
        <v>39</v>
      </c>
      <c r="K44" t="s">
        <v>69</v>
      </c>
      <c r="L44" t="s">
        <v>24</v>
      </c>
      <c r="M44">
        <v>1</v>
      </c>
    </row>
    <row r="45" spans="1:13" x14ac:dyDescent="0.25">
      <c r="A45" s="2">
        <v>46199</v>
      </c>
      <c r="B45" s="1" t="str">
        <f ca="1">IF(Información1[[#This Row],[Fecha]]='Ajuste de fechas'!$A$2,"Día actual","Día anterior")</f>
        <v>Día anterior</v>
      </c>
      <c r="C45" t="s">
        <v>42</v>
      </c>
      <c r="D45" t="s">
        <v>43</v>
      </c>
      <c r="E45" t="s">
        <v>144</v>
      </c>
      <c r="F45" t="s">
        <v>11</v>
      </c>
      <c r="G45" t="s">
        <v>81</v>
      </c>
      <c r="H45" t="s">
        <v>41</v>
      </c>
      <c r="I45" t="s">
        <v>7</v>
      </c>
      <c r="J45" t="s">
        <v>38</v>
      </c>
      <c r="K45" t="s">
        <v>69</v>
      </c>
      <c r="L45" t="s">
        <v>24</v>
      </c>
      <c r="M45">
        <v>1</v>
      </c>
    </row>
    <row r="46" spans="1:13" x14ac:dyDescent="0.25">
      <c r="A46" s="2">
        <v>46199</v>
      </c>
      <c r="B46" s="1" t="str">
        <f ca="1">IF(Información1[[#This Row],[Fecha]]='Ajuste de fechas'!$A$2,"Día actual","Día anterior")</f>
        <v>Día anterior</v>
      </c>
      <c r="C46" t="s">
        <v>42</v>
      </c>
      <c r="D46" t="s">
        <v>43</v>
      </c>
      <c r="E46" t="s">
        <v>145</v>
      </c>
      <c r="F46" t="s">
        <v>146</v>
      </c>
      <c r="G46" t="s">
        <v>147</v>
      </c>
      <c r="H46" t="s">
        <v>41</v>
      </c>
      <c r="I46" t="s">
        <v>7</v>
      </c>
      <c r="J46" t="s">
        <v>13</v>
      </c>
      <c r="K46" t="s">
        <v>69</v>
      </c>
      <c r="L46" t="s">
        <v>24</v>
      </c>
      <c r="M46">
        <v>1</v>
      </c>
    </row>
    <row r="47" spans="1:13" x14ac:dyDescent="0.25">
      <c r="A47" s="2">
        <v>46199</v>
      </c>
      <c r="B47" s="1" t="str">
        <f ca="1">IF(Información1[[#This Row],[Fecha]]='Ajuste de fechas'!$A$2,"Día actual","Día anterior")</f>
        <v>Día anterior</v>
      </c>
      <c r="C47" t="s">
        <v>42</v>
      </c>
      <c r="D47" t="s">
        <v>43</v>
      </c>
      <c r="E47" t="s">
        <v>148</v>
      </c>
      <c r="F47" t="s">
        <v>10</v>
      </c>
      <c r="G47" t="s">
        <v>149</v>
      </c>
      <c r="H47" t="s">
        <v>41</v>
      </c>
      <c r="I47" t="s">
        <v>7</v>
      </c>
      <c r="J47" t="s">
        <v>39</v>
      </c>
      <c r="K47" t="s">
        <v>69</v>
      </c>
      <c r="L47" t="s">
        <v>24</v>
      </c>
      <c r="M47">
        <v>1</v>
      </c>
    </row>
    <row r="48" spans="1:13" x14ac:dyDescent="0.25">
      <c r="A48" s="2">
        <v>46200</v>
      </c>
      <c r="B48" s="1" t="str">
        <f ca="1">IF(Información1[[#This Row],[Fecha]]='Ajuste de fechas'!$A$2,"Día actual","Día anterior")</f>
        <v>Día anterior</v>
      </c>
      <c r="C48" t="s">
        <v>42</v>
      </c>
      <c r="D48" t="s">
        <v>43</v>
      </c>
      <c r="E48" t="s">
        <v>162</v>
      </c>
      <c r="F48" t="s">
        <v>40</v>
      </c>
      <c r="G48" t="s">
        <v>92</v>
      </c>
      <c r="H48" t="s">
        <v>41</v>
      </c>
      <c r="I48" t="s">
        <v>7</v>
      </c>
      <c r="J48" t="s">
        <v>37</v>
      </c>
      <c r="K48" t="s">
        <v>69</v>
      </c>
      <c r="L48" t="s">
        <v>24</v>
      </c>
      <c r="M48">
        <v>1</v>
      </c>
    </row>
    <row r="49" spans="1:13" x14ac:dyDescent="0.25">
      <c r="A49" s="2">
        <v>46199</v>
      </c>
      <c r="B49" s="1" t="str">
        <f ca="1">IF(Información1[[#This Row],[Fecha]]='Ajuste de fechas'!$A$2,"Día actual","Día anterior")</f>
        <v>Día anterior</v>
      </c>
      <c r="C49" t="s">
        <v>46</v>
      </c>
      <c r="D49" t="s">
        <v>47</v>
      </c>
      <c r="E49" t="s">
        <v>150</v>
      </c>
      <c r="F49" t="s">
        <v>15</v>
      </c>
      <c r="G49" t="s">
        <v>89</v>
      </c>
      <c r="H49" t="s">
        <v>41</v>
      </c>
      <c r="I49" t="s">
        <v>7</v>
      </c>
      <c r="J49" t="s">
        <v>37</v>
      </c>
      <c r="K49" t="s">
        <v>48</v>
      </c>
      <c r="L49" t="s">
        <v>24</v>
      </c>
      <c r="M49">
        <v>1</v>
      </c>
    </row>
    <row r="50" spans="1:13" x14ac:dyDescent="0.25">
      <c r="A50" s="2">
        <v>46199</v>
      </c>
      <c r="B50" s="1" t="str">
        <f ca="1">IF(Información1[[#This Row],[Fecha]]='Ajuste de fechas'!$A$2,"Día actual","Día anterior")</f>
        <v>Día anterior</v>
      </c>
      <c r="C50" t="s">
        <v>46</v>
      </c>
      <c r="D50" t="s">
        <v>47</v>
      </c>
      <c r="E50" t="s">
        <v>151</v>
      </c>
      <c r="F50" t="s">
        <v>15</v>
      </c>
      <c r="G50" t="s">
        <v>89</v>
      </c>
      <c r="H50" t="s">
        <v>41</v>
      </c>
      <c r="I50" t="s">
        <v>56</v>
      </c>
      <c r="J50" t="s">
        <v>37</v>
      </c>
      <c r="K50" t="s">
        <v>48</v>
      </c>
      <c r="L50" t="s">
        <v>25</v>
      </c>
      <c r="M50">
        <v>1</v>
      </c>
    </row>
    <row r="51" spans="1:13" x14ac:dyDescent="0.25">
      <c r="A51" s="2">
        <v>46199</v>
      </c>
      <c r="B51" s="1" t="str">
        <f ca="1">IF(Información1[[#This Row],[Fecha]]='Ajuste de fechas'!$A$2,"Día actual","Día anterior")</f>
        <v>Día anterior</v>
      </c>
      <c r="C51" t="s">
        <v>46</v>
      </c>
      <c r="D51" t="s">
        <v>47</v>
      </c>
      <c r="E51" t="s">
        <v>152</v>
      </c>
      <c r="F51" t="s">
        <v>17</v>
      </c>
      <c r="G51" t="s">
        <v>88</v>
      </c>
      <c r="H51" t="s">
        <v>41</v>
      </c>
      <c r="I51" t="s">
        <v>7</v>
      </c>
      <c r="J51" t="s">
        <v>37</v>
      </c>
      <c r="K51" t="s">
        <v>48</v>
      </c>
      <c r="L51" t="s">
        <v>24</v>
      </c>
      <c r="M51">
        <v>1</v>
      </c>
    </row>
    <row r="52" spans="1:13" x14ac:dyDescent="0.25">
      <c r="A52" s="2">
        <v>46199</v>
      </c>
      <c r="B52" s="1" t="str">
        <f ca="1">IF(Información1[[#This Row],[Fecha]]='Ajuste de fechas'!$A$2,"Día actual","Día anterior")</f>
        <v>Día anterior</v>
      </c>
      <c r="C52" t="s">
        <v>46</v>
      </c>
      <c r="D52" t="s">
        <v>47</v>
      </c>
      <c r="E52" t="s">
        <v>99</v>
      </c>
      <c r="F52" t="s">
        <v>9</v>
      </c>
      <c r="G52" t="s">
        <v>78</v>
      </c>
      <c r="H52" t="s">
        <v>41</v>
      </c>
      <c r="I52" t="s">
        <v>7</v>
      </c>
      <c r="J52" t="s">
        <v>37</v>
      </c>
      <c r="K52" t="s">
        <v>48</v>
      </c>
      <c r="L52" t="s">
        <v>26</v>
      </c>
      <c r="M52">
        <v>1</v>
      </c>
    </row>
    <row r="53" spans="1:13" x14ac:dyDescent="0.25">
      <c r="A53" s="2">
        <v>46199</v>
      </c>
      <c r="B53" s="1" t="str">
        <f ca="1">IF(Información1[[#This Row],[Fecha]]='Ajuste de fechas'!$A$2,"Día actual","Día anterior")</f>
        <v>Día anterior</v>
      </c>
      <c r="C53" t="s">
        <v>46</v>
      </c>
      <c r="D53" t="s">
        <v>47</v>
      </c>
      <c r="E53" t="s">
        <v>153</v>
      </c>
      <c r="F53" t="s">
        <v>10</v>
      </c>
      <c r="G53" t="s">
        <v>87</v>
      </c>
      <c r="H53" t="s">
        <v>41</v>
      </c>
      <c r="I53" t="s">
        <v>7</v>
      </c>
      <c r="J53" t="s">
        <v>39</v>
      </c>
      <c r="K53" t="s">
        <v>154</v>
      </c>
      <c r="L53" t="s">
        <v>24</v>
      </c>
      <c r="M53">
        <v>1</v>
      </c>
    </row>
    <row r="54" spans="1:13" x14ac:dyDescent="0.25">
      <c r="A54" s="2">
        <v>46199</v>
      </c>
      <c r="B54" s="1" t="str">
        <f ca="1">IF(Información1[[#This Row],[Fecha]]='Ajuste de fechas'!$A$2,"Día actual","Día anterior")</f>
        <v>Día anterior</v>
      </c>
      <c r="C54" t="s">
        <v>46</v>
      </c>
      <c r="D54" t="s">
        <v>47</v>
      </c>
      <c r="E54" t="s">
        <v>155</v>
      </c>
      <c r="F54" t="s">
        <v>10</v>
      </c>
      <c r="G54" t="s">
        <v>119</v>
      </c>
      <c r="H54" t="s">
        <v>41</v>
      </c>
      <c r="I54" t="s">
        <v>14</v>
      </c>
      <c r="J54" t="s">
        <v>39</v>
      </c>
      <c r="K54" t="s">
        <v>154</v>
      </c>
      <c r="L54" t="s">
        <v>24</v>
      </c>
      <c r="M54">
        <v>1</v>
      </c>
    </row>
    <row r="55" spans="1:13" x14ac:dyDescent="0.25">
      <c r="A55" s="2">
        <v>46199</v>
      </c>
      <c r="B55" s="1" t="str">
        <f ca="1">IF(Información1[[#This Row],[Fecha]]='Ajuste de fechas'!$A$2,"Día actual","Día anterior")</f>
        <v>Día anterior</v>
      </c>
      <c r="C55" t="s">
        <v>46</v>
      </c>
      <c r="D55" t="s">
        <v>47</v>
      </c>
      <c r="E55" t="s">
        <v>156</v>
      </c>
      <c r="F55" t="s">
        <v>52</v>
      </c>
      <c r="G55" t="s">
        <v>157</v>
      </c>
      <c r="H55" t="s">
        <v>41</v>
      </c>
      <c r="I55" t="s">
        <v>7</v>
      </c>
      <c r="J55" t="s">
        <v>37</v>
      </c>
      <c r="K55" t="s">
        <v>48</v>
      </c>
      <c r="L55" t="s">
        <v>24</v>
      </c>
      <c r="M55">
        <v>1</v>
      </c>
    </row>
    <row r="56" spans="1:13" x14ac:dyDescent="0.25">
      <c r="A56" s="2">
        <v>46199</v>
      </c>
      <c r="B56" s="1" t="str">
        <f ca="1">IF(Información1[[#This Row],[Fecha]]='Ajuste de fechas'!$A$2,"Día actual","Día anterior")</f>
        <v>Día anterior</v>
      </c>
      <c r="C56" t="s">
        <v>46</v>
      </c>
      <c r="D56" t="s">
        <v>47</v>
      </c>
      <c r="E56" t="s">
        <v>158</v>
      </c>
      <c r="F56" t="s">
        <v>10</v>
      </c>
      <c r="G56" t="s">
        <v>84</v>
      </c>
      <c r="H56" t="s">
        <v>41</v>
      </c>
      <c r="I56" t="s">
        <v>7</v>
      </c>
      <c r="J56" t="s">
        <v>39</v>
      </c>
      <c r="K56" t="s">
        <v>48</v>
      </c>
      <c r="L56" t="s">
        <v>24</v>
      </c>
      <c r="M56">
        <v>1</v>
      </c>
    </row>
    <row r="57" spans="1:13" x14ac:dyDescent="0.25">
      <c r="A57" s="2">
        <v>46199</v>
      </c>
      <c r="B57" s="1" t="str">
        <f ca="1">IF(Información1[[#This Row],[Fecha]]='Ajuste de fechas'!$A$2,"Día actual","Día anterior")</f>
        <v>Día anterior</v>
      </c>
      <c r="C57" t="s">
        <v>46</v>
      </c>
      <c r="D57" t="s">
        <v>47</v>
      </c>
      <c r="E57" t="s">
        <v>110</v>
      </c>
      <c r="F57" t="s">
        <v>44</v>
      </c>
      <c r="G57" t="s">
        <v>85</v>
      </c>
      <c r="H57" t="s">
        <v>41</v>
      </c>
      <c r="I57" t="s">
        <v>7</v>
      </c>
      <c r="J57" t="s">
        <v>37</v>
      </c>
      <c r="K57" t="s">
        <v>48</v>
      </c>
      <c r="L57" t="s">
        <v>26</v>
      </c>
      <c r="M57">
        <v>1</v>
      </c>
    </row>
    <row r="58" spans="1:13" x14ac:dyDescent="0.25">
      <c r="A58" s="2">
        <v>46199</v>
      </c>
      <c r="B58" s="1" t="str">
        <f ca="1">IF(Información1[[#This Row],[Fecha]]='Ajuste de fechas'!$A$2,"Día actual","Día anterior")</f>
        <v>Día anterior</v>
      </c>
      <c r="C58" t="s">
        <v>46</v>
      </c>
      <c r="D58" t="s">
        <v>47</v>
      </c>
      <c r="E58" t="s">
        <v>94</v>
      </c>
      <c r="F58" t="s">
        <v>12</v>
      </c>
      <c r="G58" t="s">
        <v>95</v>
      </c>
      <c r="H58" t="s">
        <v>41</v>
      </c>
      <c r="I58" t="s">
        <v>7</v>
      </c>
      <c r="J58" t="s">
        <v>37</v>
      </c>
      <c r="K58" t="s">
        <v>48</v>
      </c>
      <c r="L58" t="s">
        <v>26</v>
      </c>
      <c r="M58">
        <v>1</v>
      </c>
    </row>
    <row r="59" spans="1:13" x14ac:dyDescent="0.25">
      <c r="A59" s="2">
        <v>46199</v>
      </c>
      <c r="B59" s="1" t="str">
        <f ca="1">IF(Información1[[#This Row],[Fecha]]='Ajuste de fechas'!$A$2,"Día actual","Día anterior")</f>
        <v>Día anterior</v>
      </c>
      <c r="C59" t="s">
        <v>46</v>
      </c>
      <c r="D59" t="s">
        <v>47</v>
      </c>
      <c r="E59" t="s">
        <v>159</v>
      </c>
      <c r="F59" t="s">
        <v>160</v>
      </c>
      <c r="G59" t="s">
        <v>161</v>
      </c>
      <c r="H59" t="s">
        <v>41</v>
      </c>
      <c r="I59" t="s">
        <v>7</v>
      </c>
      <c r="J59" t="s">
        <v>13</v>
      </c>
      <c r="K59" t="s">
        <v>48</v>
      </c>
      <c r="L59" t="s">
        <v>24</v>
      </c>
      <c r="M59">
        <v>1</v>
      </c>
    </row>
    <row r="60" spans="1:13" x14ac:dyDescent="0.25">
      <c r="A60" s="2">
        <v>46199</v>
      </c>
      <c r="B60" s="1" t="str">
        <f ca="1">IF(Información1[[#This Row],[Fecha]]='Ajuste de fechas'!$A$2,"Día actual","Día anterior")</f>
        <v>Día anterior</v>
      </c>
      <c r="C60" t="s">
        <v>46</v>
      </c>
      <c r="D60" t="s">
        <v>47</v>
      </c>
      <c r="E60" t="s">
        <v>122</v>
      </c>
      <c r="F60" t="s">
        <v>15</v>
      </c>
      <c r="G60" t="s">
        <v>89</v>
      </c>
      <c r="H60" t="s">
        <v>41</v>
      </c>
      <c r="I60" t="s">
        <v>7</v>
      </c>
      <c r="J60" t="s">
        <v>37</v>
      </c>
      <c r="K60" t="s">
        <v>48</v>
      </c>
      <c r="L60" t="s">
        <v>26</v>
      </c>
      <c r="M60">
        <v>1</v>
      </c>
    </row>
    <row r="61" spans="1:13" x14ac:dyDescent="0.25">
      <c r="A61" s="2">
        <v>46199</v>
      </c>
      <c r="B61" s="1" t="str">
        <f ca="1">IF(Información1[[#This Row],[Fecha]]='Ajuste de fechas'!$A$2,"Día actual","Día anterior")</f>
        <v>Día anterior</v>
      </c>
      <c r="C61" t="s">
        <v>163</v>
      </c>
      <c r="D61" t="s">
        <v>232</v>
      </c>
      <c r="E61" t="s">
        <v>122</v>
      </c>
      <c r="F61" t="s">
        <v>15</v>
      </c>
      <c r="G61" t="s">
        <v>89</v>
      </c>
      <c r="H61" t="s">
        <v>41</v>
      </c>
      <c r="I61" t="s">
        <v>7</v>
      </c>
      <c r="J61" t="s">
        <v>37</v>
      </c>
      <c r="K61" t="s">
        <v>164</v>
      </c>
      <c r="L61" t="s">
        <v>26</v>
      </c>
      <c r="M61">
        <v>1</v>
      </c>
    </row>
    <row r="62" spans="1:13" x14ac:dyDescent="0.25">
      <c r="A62" s="2">
        <v>46202</v>
      </c>
      <c r="B62" s="1" t="str">
        <f ca="1">IF(Información1[[#This Row],[Fecha]]='Ajuste de fechas'!$A$2,"Día actual","Día anterior")</f>
        <v>Día actual</v>
      </c>
      <c r="C62" t="s">
        <v>16</v>
      </c>
      <c r="D62" t="s">
        <v>165</v>
      </c>
      <c r="E62" t="s">
        <v>166</v>
      </c>
      <c r="F62" t="s">
        <v>79</v>
      </c>
      <c r="G62" t="s">
        <v>167</v>
      </c>
      <c r="H62" t="s">
        <v>8</v>
      </c>
      <c r="I62" t="s">
        <v>7</v>
      </c>
      <c r="J62" t="s">
        <v>37</v>
      </c>
      <c r="K62" t="s">
        <v>168</v>
      </c>
      <c r="L62" t="s">
        <v>24</v>
      </c>
      <c r="M62">
        <v>1</v>
      </c>
    </row>
    <row r="63" spans="1:13" x14ac:dyDescent="0.25">
      <c r="A63" s="2">
        <v>46202</v>
      </c>
      <c r="B63" s="1" t="str">
        <f ca="1">IF(Información1[[#This Row],[Fecha]]='Ajuste de fechas'!$A$2,"Día actual","Día anterior")</f>
        <v>Día actual</v>
      </c>
      <c r="C63" t="s">
        <v>57</v>
      </c>
      <c r="D63" t="s">
        <v>58</v>
      </c>
      <c r="E63" t="s">
        <v>169</v>
      </c>
      <c r="F63" t="s">
        <v>79</v>
      </c>
      <c r="G63" t="s">
        <v>170</v>
      </c>
      <c r="H63" t="s">
        <v>8</v>
      </c>
      <c r="I63" t="s">
        <v>14</v>
      </c>
      <c r="J63" t="s">
        <v>37</v>
      </c>
      <c r="K63" t="s">
        <v>60</v>
      </c>
      <c r="L63" t="s">
        <v>25</v>
      </c>
      <c r="M63">
        <v>1</v>
      </c>
    </row>
    <row r="64" spans="1:13" x14ac:dyDescent="0.25">
      <c r="A64" s="2">
        <v>46202</v>
      </c>
      <c r="B64" s="1" t="str">
        <f ca="1">IF(Información1[[#This Row],[Fecha]]='Ajuste de fechas'!$A$2,"Día actual","Día anterior")</f>
        <v>Día actual</v>
      </c>
      <c r="C64" t="s">
        <v>57</v>
      </c>
      <c r="D64" t="s">
        <v>58</v>
      </c>
      <c r="E64" t="s">
        <v>171</v>
      </c>
      <c r="F64" t="s">
        <v>6</v>
      </c>
      <c r="G64" t="s">
        <v>172</v>
      </c>
      <c r="H64" t="s">
        <v>8</v>
      </c>
      <c r="I64" t="s">
        <v>14</v>
      </c>
      <c r="J64" t="s">
        <v>37</v>
      </c>
      <c r="K64" t="s">
        <v>51</v>
      </c>
      <c r="L64" t="s">
        <v>25</v>
      </c>
      <c r="M64">
        <v>1</v>
      </c>
    </row>
    <row r="65" spans="1:13" x14ac:dyDescent="0.25">
      <c r="A65" s="2">
        <v>46202</v>
      </c>
      <c r="B65" s="1" t="str">
        <f ca="1">IF(Información1[[#This Row],[Fecha]]='Ajuste de fechas'!$A$2,"Día actual","Día anterior")</f>
        <v>Día actual</v>
      </c>
      <c r="C65" t="s">
        <v>57</v>
      </c>
      <c r="D65" t="s">
        <v>58</v>
      </c>
      <c r="E65" t="s">
        <v>173</v>
      </c>
      <c r="F65" t="s">
        <v>6</v>
      </c>
      <c r="G65" t="s">
        <v>172</v>
      </c>
      <c r="H65" t="s">
        <v>8</v>
      </c>
      <c r="I65" t="s">
        <v>14</v>
      </c>
      <c r="J65" t="s">
        <v>37</v>
      </c>
      <c r="K65" t="s">
        <v>51</v>
      </c>
      <c r="L65" t="s">
        <v>25</v>
      </c>
      <c r="M65">
        <v>1</v>
      </c>
    </row>
    <row r="66" spans="1:13" x14ac:dyDescent="0.25">
      <c r="A66" s="2">
        <v>46202</v>
      </c>
      <c r="B66" s="1" t="str">
        <f ca="1">IF(Información1[[#This Row],[Fecha]]='Ajuste de fechas'!$A$2,"Día actual","Día anterior")</f>
        <v>Día actual</v>
      </c>
      <c r="C66" t="s">
        <v>16</v>
      </c>
      <c r="D66" t="s">
        <v>165</v>
      </c>
      <c r="E66" t="s">
        <v>174</v>
      </c>
      <c r="F66" t="s">
        <v>15</v>
      </c>
      <c r="G66" t="s">
        <v>32</v>
      </c>
      <c r="H66" t="s">
        <v>8</v>
      </c>
      <c r="I66" t="s">
        <v>7</v>
      </c>
      <c r="J66" t="s">
        <v>37</v>
      </c>
      <c r="K66" t="s">
        <v>168</v>
      </c>
      <c r="L66" t="s">
        <v>24</v>
      </c>
      <c r="M66">
        <v>1</v>
      </c>
    </row>
    <row r="67" spans="1:13" x14ac:dyDescent="0.25">
      <c r="A67" s="2">
        <v>46202</v>
      </c>
      <c r="B67" s="1" t="str">
        <f ca="1">IF(Información1[[#This Row],[Fecha]]='Ajuste de fechas'!$A$2,"Día actual","Día anterior")</f>
        <v>Día actual</v>
      </c>
      <c r="C67" t="s">
        <v>16</v>
      </c>
      <c r="D67" t="s">
        <v>165</v>
      </c>
      <c r="E67" t="s">
        <v>175</v>
      </c>
      <c r="F67" t="s">
        <v>52</v>
      </c>
      <c r="G67" t="s">
        <v>176</v>
      </c>
      <c r="H67" t="s">
        <v>8</v>
      </c>
      <c r="I67" t="s">
        <v>7</v>
      </c>
      <c r="J67" t="s">
        <v>37</v>
      </c>
      <c r="K67" t="s">
        <v>168</v>
      </c>
      <c r="L67" t="s">
        <v>24</v>
      </c>
      <c r="M67">
        <v>1</v>
      </c>
    </row>
    <row r="68" spans="1:13" x14ac:dyDescent="0.25">
      <c r="A68" s="2">
        <v>46202</v>
      </c>
      <c r="B68" s="1" t="str">
        <f ca="1">IF(Información1[[#This Row],[Fecha]]='Ajuste de fechas'!$A$2,"Día actual","Día anterior")</f>
        <v>Día actual</v>
      </c>
      <c r="C68" t="s">
        <v>16</v>
      </c>
      <c r="D68" t="s">
        <v>165</v>
      </c>
      <c r="E68" t="s">
        <v>177</v>
      </c>
      <c r="F68" t="s">
        <v>12</v>
      </c>
      <c r="G68" t="s">
        <v>178</v>
      </c>
      <c r="H68" t="s">
        <v>8</v>
      </c>
      <c r="I68" t="s">
        <v>7</v>
      </c>
      <c r="J68" t="s">
        <v>37</v>
      </c>
      <c r="K68" t="s">
        <v>168</v>
      </c>
      <c r="L68" t="s">
        <v>24</v>
      </c>
      <c r="M68">
        <v>1</v>
      </c>
    </row>
    <row r="69" spans="1:13" x14ac:dyDescent="0.25">
      <c r="A69" s="2">
        <v>46199</v>
      </c>
      <c r="B69" s="1" t="str">
        <f ca="1">IF(Información1[[#This Row],[Fecha]]='Ajuste de fechas'!$A$2,"Día actual","Día anterior")</f>
        <v>Día anterior</v>
      </c>
      <c r="C69" t="s">
        <v>57</v>
      </c>
      <c r="D69" t="s">
        <v>58</v>
      </c>
      <c r="E69" t="s">
        <v>61</v>
      </c>
      <c r="F69" t="s">
        <v>10</v>
      </c>
      <c r="G69" t="s">
        <v>62</v>
      </c>
      <c r="H69" t="s">
        <v>8</v>
      </c>
      <c r="I69" t="s">
        <v>56</v>
      </c>
      <c r="J69" t="s">
        <v>39</v>
      </c>
      <c r="K69" t="s">
        <v>60</v>
      </c>
      <c r="L69" t="s">
        <v>25</v>
      </c>
      <c r="M69">
        <v>1</v>
      </c>
    </row>
    <row r="70" spans="1:13" x14ac:dyDescent="0.25">
      <c r="A70" s="2">
        <v>46199</v>
      </c>
      <c r="B70" s="1" t="str">
        <f ca="1">IF(Información1[[#This Row],[Fecha]]='Ajuste de fechas'!$A$2,"Día actual","Día anterior")</f>
        <v>Día anterior</v>
      </c>
      <c r="C70" t="s">
        <v>57</v>
      </c>
      <c r="D70" t="s">
        <v>58</v>
      </c>
      <c r="E70" t="s">
        <v>63</v>
      </c>
      <c r="F70" t="s">
        <v>10</v>
      </c>
      <c r="G70" t="s">
        <v>62</v>
      </c>
      <c r="H70" t="s">
        <v>8</v>
      </c>
      <c r="I70" t="s">
        <v>56</v>
      </c>
      <c r="J70" t="s">
        <v>39</v>
      </c>
      <c r="K70" t="s">
        <v>60</v>
      </c>
      <c r="L70" t="s">
        <v>25</v>
      </c>
      <c r="M70">
        <v>1</v>
      </c>
    </row>
    <row r="71" spans="1:13" x14ac:dyDescent="0.25">
      <c r="A71" s="2">
        <v>46202</v>
      </c>
      <c r="B71" s="1" t="str">
        <f ca="1">IF(Información1[[#This Row],[Fecha]]='Ajuste de fechas'!$A$2,"Día actual","Día anterior")</f>
        <v>Día actual</v>
      </c>
      <c r="C71" t="s">
        <v>57</v>
      </c>
      <c r="D71" t="s">
        <v>58</v>
      </c>
      <c r="E71" t="s">
        <v>68</v>
      </c>
      <c r="F71" t="s">
        <v>30</v>
      </c>
      <c r="G71" t="s">
        <v>62</v>
      </c>
      <c r="H71" t="s">
        <v>8</v>
      </c>
      <c r="I71" t="s">
        <v>56</v>
      </c>
      <c r="J71" t="s">
        <v>13</v>
      </c>
      <c r="K71" t="s">
        <v>60</v>
      </c>
      <c r="L71" t="s">
        <v>25</v>
      </c>
      <c r="M71">
        <v>1</v>
      </c>
    </row>
    <row r="72" spans="1:13" x14ac:dyDescent="0.25">
      <c r="A72" s="2">
        <v>46202</v>
      </c>
      <c r="B72" s="1" t="str">
        <f ca="1">IF(Información1[[#This Row],[Fecha]]='Ajuste de fechas'!$A$2,"Día actual","Día anterior")</f>
        <v>Día actual</v>
      </c>
      <c r="C72" t="s">
        <v>57</v>
      </c>
      <c r="D72" t="s">
        <v>58</v>
      </c>
      <c r="E72" t="s">
        <v>64</v>
      </c>
      <c r="F72" t="s">
        <v>40</v>
      </c>
      <c r="G72" t="s">
        <v>62</v>
      </c>
      <c r="H72" t="s">
        <v>8</v>
      </c>
      <c r="I72" t="s">
        <v>56</v>
      </c>
      <c r="J72" t="s">
        <v>37</v>
      </c>
      <c r="K72" t="s">
        <v>60</v>
      </c>
      <c r="L72" t="s">
        <v>25</v>
      </c>
      <c r="M72">
        <v>1</v>
      </c>
    </row>
    <row r="73" spans="1:13" x14ac:dyDescent="0.25">
      <c r="A73" s="2">
        <v>46202</v>
      </c>
      <c r="B73" s="1" t="str">
        <f ca="1">IF(Información1[[#This Row],[Fecha]]='Ajuste de fechas'!$A$2,"Día actual","Día anterior")</f>
        <v>Día actual</v>
      </c>
      <c r="C73" t="s">
        <v>57</v>
      </c>
      <c r="D73" t="s">
        <v>58</v>
      </c>
      <c r="E73" t="s">
        <v>65</v>
      </c>
      <c r="F73" t="s">
        <v>9</v>
      </c>
      <c r="G73" t="s">
        <v>62</v>
      </c>
      <c r="H73" t="s">
        <v>8</v>
      </c>
      <c r="I73" t="s">
        <v>56</v>
      </c>
      <c r="J73" t="s">
        <v>37</v>
      </c>
      <c r="K73" t="s">
        <v>60</v>
      </c>
      <c r="L73" t="s">
        <v>25</v>
      </c>
      <c r="M73">
        <v>1</v>
      </c>
    </row>
    <row r="74" spans="1:13" x14ac:dyDescent="0.25">
      <c r="A74" s="2">
        <v>46199</v>
      </c>
      <c r="B74" s="1" t="str">
        <f ca="1">IF(Información1[[#This Row],[Fecha]]='Ajuste de fechas'!$A$2,"Día actual","Día anterior")</f>
        <v>Día anterior</v>
      </c>
      <c r="C74" t="s">
        <v>57</v>
      </c>
      <c r="D74" t="s">
        <v>58</v>
      </c>
      <c r="E74" t="s">
        <v>66</v>
      </c>
      <c r="F74" t="s">
        <v>52</v>
      </c>
      <c r="G74" t="s">
        <v>62</v>
      </c>
      <c r="H74" t="s">
        <v>8</v>
      </c>
      <c r="I74" t="s">
        <v>56</v>
      </c>
      <c r="J74" t="s">
        <v>37</v>
      </c>
      <c r="K74" t="s">
        <v>60</v>
      </c>
      <c r="L74" t="s">
        <v>25</v>
      </c>
      <c r="M74">
        <v>1</v>
      </c>
    </row>
    <row r="75" spans="1:13" x14ac:dyDescent="0.25">
      <c r="A75" s="2">
        <v>46202</v>
      </c>
      <c r="B75" s="1" t="str">
        <f ca="1">IF(Información1[[#This Row],[Fecha]]='Ajuste de fechas'!$A$2,"Día actual","Día anterior")</f>
        <v>Día actual</v>
      </c>
      <c r="C75" t="s">
        <v>57</v>
      </c>
      <c r="D75" t="s">
        <v>58</v>
      </c>
      <c r="E75" t="s">
        <v>67</v>
      </c>
      <c r="F75" t="s">
        <v>6</v>
      </c>
      <c r="G75" t="s">
        <v>62</v>
      </c>
      <c r="H75" t="s">
        <v>8</v>
      </c>
      <c r="I75" t="s">
        <v>56</v>
      </c>
      <c r="J75" t="s">
        <v>37</v>
      </c>
      <c r="K75" t="s">
        <v>60</v>
      </c>
      <c r="L75" t="s">
        <v>25</v>
      </c>
      <c r="M75">
        <v>1</v>
      </c>
    </row>
    <row r="76" spans="1:13" x14ac:dyDescent="0.25">
      <c r="A76" s="2">
        <v>46202</v>
      </c>
      <c r="B76" s="1" t="str">
        <f ca="1">IF(Información1[[#This Row],[Fecha]]='Ajuste de fechas'!$A$2,"Día actual","Día anterior")</f>
        <v>Día actual</v>
      </c>
      <c r="C76" t="s">
        <v>57</v>
      </c>
      <c r="D76" t="s">
        <v>58</v>
      </c>
      <c r="E76" t="s">
        <v>179</v>
      </c>
      <c r="F76" t="s">
        <v>31</v>
      </c>
      <c r="G76" t="s">
        <v>180</v>
      </c>
      <c r="H76" t="s">
        <v>8</v>
      </c>
      <c r="I76" t="s">
        <v>7</v>
      </c>
      <c r="J76" t="s">
        <v>37</v>
      </c>
      <c r="K76" t="s">
        <v>60</v>
      </c>
      <c r="L76" t="s">
        <v>26</v>
      </c>
      <c r="M76">
        <v>1</v>
      </c>
    </row>
    <row r="77" spans="1:13" x14ac:dyDescent="0.25">
      <c r="A77" s="2">
        <v>46202</v>
      </c>
      <c r="B77" s="1" t="str">
        <f ca="1">IF(Información1[[#This Row],[Fecha]]='Ajuste de fechas'!$A$2,"Día actual","Día anterior")</f>
        <v>Día actual</v>
      </c>
      <c r="C77" t="s">
        <v>16</v>
      </c>
      <c r="D77" t="s">
        <v>165</v>
      </c>
      <c r="E77" t="s">
        <v>181</v>
      </c>
      <c r="F77" t="s">
        <v>55</v>
      </c>
      <c r="G77" t="s">
        <v>73</v>
      </c>
      <c r="H77" t="s">
        <v>8</v>
      </c>
      <c r="I77" t="s">
        <v>7</v>
      </c>
      <c r="J77" t="s">
        <v>37</v>
      </c>
      <c r="K77" t="s">
        <v>168</v>
      </c>
      <c r="L77" t="s">
        <v>24</v>
      </c>
      <c r="M77">
        <v>1</v>
      </c>
    </row>
    <row r="78" spans="1:13" x14ac:dyDescent="0.25">
      <c r="A78" s="2">
        <v>46202</v>
      </c>
      <c r="B78" s="1" t="str">
        <f ca="1">IF(Información1[[#This Row],[Fecha]]='Ajuste de fechas'!$A$2,"Día actual","Día anterior")</f>
        <v>Día actual</v>
      </c>
      <c r="C78" t="s">
        <v>16</v>
      </c>
      <c r="D78" t="s">
        <v>165</v>
      </c>
      <c r="E78" t="s">
        <v>182</v>
      </c>
      <c r="F78" t="s">
        <v>183</v>
      </c>
      <c r="G78" t="s">
        <v>184</v>
      </c>
      <c r="H78" t="s">
        <v>8</v>
      </c>
      <c r="I78" t="s">
        <v>7</v>
      </c>
      <c r="J78" t="s">
        <v>37</v>
      </c>
      <c r="K78" t="s">
        <v>168</v>
      </c>
      <c r="L78" t="s">
        <v>24</v>
      </c>
      <c r="M78">
        <v>1</v>
      </c>
    </row>
    <row r="79" spans="1:13" x14ac:dyDescent="0.25">
      <c r="A79" s="2">
        <v>46202</v>
      </c>
      <c r="B79" s="1" t="str">
        <f ca="1">IF(Información1[[#This Row],[Fecha]]='Ajuste de fechas'!$A$2,"Día actual","Día anterior")</f>
        <v>Día actual</v>
      </c>
      <c r="C79" t="s">
        <v>16</v>
      </c>
      <c r="D79" t="s">
        <v>165</v>
      </c>
      <c r="E79" t="s">
        <v>185</v>
      </c>
      <c r="F79" t="s">
        <v>52</v>
      </c>
      <c r="G79" t="s">
        <v>186</v>
      </c>
      <c r="H79" t="s">
        <v>8</v>
      </c>
      <c r="I79" t="s">
        <v>7</v>
      </c>
      <c r="J79" t="s">
        <v>37</v>
      </c>
      <c r="K79" t="s">
        <v>168</v>
      </c>
      <c r="L79" t="s">
        <v>24</v>
      </c>
      <c r="M79">
        <v>1</v>
      </c>
    </row>
    <row r="80" spans="1:13" x14ac:dyDescent="0.25">
      <c r="A80" s="2">
        <v>46202</v>
      </c>
      <c r="B80" s="1" t="str">
        <f ca="1">IF(Información1[[#This Row],[Fecha]]='Ajuste de fechas'!$A$2,"Día actual","Día anterior")</f>
        <v>Día actual</v>
      </c>
      <c r="C80" t="s">
        <v>16</v>
      </c>
      <c r="D80" t="s">
        <v>165</v>
      </c>
      <c r="E80" t="s">
        <v>187</v>
      </c>
      <c r="F80" t="s">
        <v>12</v>
      </c>
      <c r="G80" t="s">
        <v>95</v>
      </c>
      <c r="H80" t="s">
        <v>8</v>
      </c>
      <c r="I80" t="s">
        <v>7</v>
      </c>
      <c r="J80" t="s">
        <v>37</v>
      </c>
      <c r="K80" t="s">
        <v>168</v>
      </c>
      <c r="L80" t="s">
        <v>24</v>
      </c>
      <c r="M80">
        <v>1</v>
      </c>
    </row>
    <row r="81" spans="1:13" x14ac:dyDescent="0.25">
      <c r="A81" s="2">
        <v>46199</v>
      </c>
      <c r="B81" s="1" t="str">
        <f ca="1">IF(Información1[[#This Row],[Fecha]]='Ajuste de fechas'!$A$2,"Día actual","Día anterior")</f>
        <v>Día anterior</v>
      </c>
      <c r="C81" t="s">
        <v>57</v>
      </c>
      <c r="D81" t="s">
        <v>58</v>
      </c>
      <c r="E81" t="s">
        <v>188</v>
      </c>
      <c r="F81" t="s">
        <v>11</v>
      </c>
      <c r="G81" t="s">
        <v>95</v>
      </c>
      <c r="H81" t="s">
        <v>8</v>
      </c>
      <c r="I81" t="s">
        <v>7</v>
      </c>
      <c r="J81" t="s">
        <v>38</v>
      </c>
      <c r="K81" t="s">
        <v>60</v>
      </c>
      <c r="L81" t="s">
        <v>24</v>
      </c>
      <c r="M81">
        <v>1</v>
      </c>
    </row>
    <row r="82" spans="1:13" x14ac:dyDescent="0.25">
      <c r="A82" s="2">
        <v>46202</v>
      </c>
      <c r="B82" s="1" t="str">
        <f ca="1">IF(Información1[[#This Row],[Fecha]]='Ajuste de fechas'!$A$2,"Día actual","Día anterior")</f>
        <v>Día actual</v>
      </c>
      <c r="C82" t="s">
        <v>16</v>
      </c>
      <c r="D82" t="s">
        <v>165</v>
      </c>
      <c r="E82" t="s">
        <v>189</v>
      </c>
      <c r="F82" t="s">
        <v>40</v>
      </c>
      <c r="G82" t="s">
        <v>190</v>
      </c>
      <c r="H82" t="s">
        <v>8</v>
      </c>
      <c r="I82" t="s">
        <v>7</v>
      </c>
      <c r="J82" t="s">
        <v>37</v>
      </c>
      <c r="K82" t="s">
        <v>168</v>
      </c>
      <c r="L82" t="s">
        <v>24</v>
      </c>
      <c r="M82">
        <v>1</v>
      </c>
    </row>
    <row r="83" spans="1:13" x14ac:dyDescent="0.25">
      <c r="A83" s="2">
        <v>46202</v>
      </c>
      <c r="B83" s="1" t="str">
        <f ca="1">IF(Información1[[#This Row],[Fecha]]='Ajuste de fechas'!$A$2,"Día actual","Día anterior")</f>
        <v>Día actual</v>
      </c>
      <c r="C83" t="s">
        <v>57</v>
      </c>
      <c r="D83" t="s">
        <v>58</v>
      </c>
      <c r="E83" t="s">
        <v>191</v>
      </c>
      <c r="F83" t="s">
        <v>17</v>
      </c>
      <c r="G83" t="s">
        <v>88</v>
      </c>
      <c r="H83" t="s">
        <v>8</v>
      </c>
      <c r="I83" t="s">
        <v>7</v>
      </c>
      <c r="J83" t="s">
        <v>37</v>
      </c>
      <c r="K83" t="s">
        <v>60</v>
      </c>
      <c r="L83" t="s">
        <v>26</v>
      </c>
      <c r="M83">
        <v>1</v>
      </c>
    </row>
    <row r="84" spans="1:13" x14ac:dyDescent="0.25">
      <c r="A84" s="2">
        <v>46202</v>
      </c>
      <c r="B84" s="1" t="str">
        <f ca="1">IF(Información1[[#This Row],[Fecha]]='Ajuste de fechas'!$A$2,"Día actual","Día anterior")</f>
        <v>Día actual</v>
      </c>
      <c r="C84" t="s">
        <v>192</v>
      </c>
      <c r="D84" t="s">
        <v>193</v>
      </c>
      <c r="E84" t="s">
        <v>194</v>
      </c>
      <c r="F84" t="s">
        <v>31</v>
      </c>
      <c r="G84" t="s">
        <v>195</v>
      </c>
      <c r="H84" t="s">
        <v>8</v>
      </c>
      <c r="I84" t="s">
        <v>7</v>
      </c>
      <c r="J84" t="s">
        <v>37</v>
      </c>
      <c r="K84" t="s">
        <v>196</v>
      </c>
      <c r="L84" t="s">
        <v>26</v>
      </c>
      <c r="M84">
        <v>1</v>
      </c>
    </row>
    <row r="85" spans="1:13" x14ac:dyDescent="0.25">
      <c r="A85" s="2">
        <v>46202</v>
      </c>
      <c r="B85" s="1" t="str">
        <f ca="1">IF(Información1[[#This Row],[Fecha]]='Ajuste de fechas'!$A$2,"Día actual","Día anterior")</f>
        <v>Día actual</v>
      </c>
      <c r="C85" t="s">
        <v>16</v>
      </c>
      <c r="D85" t="s">
        <v>165</v>
      </c>
      <c r="E85" t="s">
        <v>197</v>
      </c>
      <c r="F85" t="s">
        <v>31</v>
      </c>
      <c r="G85" t="s">
        <v>195</v>
      </c>
      <c r="H85" t="s">
        <v>8</v>
      </c>
      <c r="I85" t="s">
        <v>7</v>
      </c>
      <c r="J85" t="s">
        <v>37</v>
      </c>
      <c r="K85" t="s">
        <v>168</v>
      </c>
      <c r="L85" t="s">
        <v>24</v>
      </c>
      <c r="M85">
        <v>1</v>
      </c>
    </row>
    <row r="86" spans="1:13" x14ac:dyDescent="0.25">
      <c r="A86" s="2">
        <v>46202</v>
      </c>
      <c r="B86" s="1" t="str">
        <f ca="1">IF(Información1[[#This Row],[Fecha]]='Ajuste de fechas'!$A$2,"Día actual","Día anterior")</f>
        <v>Día actual</v>
      </c>
      <c r="C86" t="s">
        <v>16</v>
      </c>
      <c r="D86" t="s">
        <v>165</v>
      </c>
      <c r="E86" t="s">
        <v>198</v>
      </c>
      <c r="F86" t="s">
        <v>44</v>
      </c>
      <c r="G86" t="s">
        <v>199</v>
      </c>
      <c r="H86" t="s">
        <v>8</v>
      </c>
      <c r="I86" t="s">
        <v>7</v>
      </c>
      <c r="J86" t="s">
        <v>37</v>
      </c>
      <c r="K86" t="s">
        <v>168</v>
      </c>
      <c r="L86" t="s">
        <v>24</v>
      </c>
      <c r="M86">
        <v>1</v>
      </c>
    </row>
    <row r="87" spans="1:13" x14ac:dyDescent="0.25">
      <c r="A87" s="2">
        <v>46202</v>
      </c>
      <c r="B87" s="1" t="str">
        <f ca="1">IF(Información1[[#This Row],[Fecha]]='Ajuste de fechas'!$A$2,"Día actual","Día anterior")</f>
        <v>Día actual</v>
      </c>
      <c r="C87" t="s">
        <v>57</v>
      </c>
      <c r="D87" t="s">
        <v>58</v>
      </c>
      <c r="E87" t="s">
        <v>200</v>
      </c>
      <c r="F87" t="s">
        <v>10</v>
      </c>
      <c r="G87" t="s">
        <v>201</v>
      </c>
      <c r="H87" t="s">
        <v>8</v>
      </c>
      <c r="I87" t="s">
        <v>7</v>
      </c>
      <c r="J87" t="s">
        <v>39</v>
      </c>
      <c r="K87" t="s">
        <v>60</v>
      </c>
      <c r="L87" t="s">
        <v>50</v>
      </c>
      <c r="M87">
        <v>1</v>
      </c>
    </row>
    <row r="88" spans="1:13" x14ac:dyDescent="0.25">
      <c r="A88" s="2">
        <v>46202</v>
      </c>
      <c r="B88" s="1" t="str">
        <f ca="1">IF(Información1[[#This Row],[Fecha]]='Ajuste de fechas'!$A$2,"Día actual","Día anterior")</f>
        <v>Día actual</v>
      </c>
      <c r="C88" t="s">
        <v>57</v>
      </c>
      <c r="D88" t="s">
        <v>58</v>
      </c>
      <c r="E88" t="s">
        <v>202</v>
      </c>
      <c r="F88" t="s">
        <v>40</v>
      </c>
      <c r="G88" t="s">
        <v>91</v>
      </c>
      <c r="H88" t="s">
        <v>8</v>
      </c>
      <c r="I88" t="s">
        <v>7</v>
      </c>
      <c r="J88" t="s">
        <v>37</v>
      </c>
      <c r="K88" t="s">
        <v>60</v>
      </c>
      <c r="L88" t="s">
        <v>26</v>
      </c>
      <c r="M88">
        <v>1</v>
      </c>
    </row>
    <row r="89" spans="1:13" x14ac:dyDescent="0.25">
      <c r="A89" s="2">
        <v>46202</v>
      </c>
      <c r="B89" s="1" t="str">
        <f ca="1">IF(Información1[[#This Row],[Fecha]]='Ajuste de fechas'!$A$2,"Día actual","Día anterior")</f>
        <v>Día actual</v>
      </c>
      <c r="C89" t="s">
        <v>16</v>
      </c>
      <c r="D89" t="s">
        <v>165</v>
      </c>
      <c r="E89" t="s">
        <v>203</v>
      </c>
      <c r="F89" t="s">
        <v>40</v>
      </c>
      <c r="G89" t="s">
        <v>204</v>
      </c>
      <c r="H89" t="s">
        <v>8</v>
      </c>
      <c r="I89" t="s">
        <v>7</v>
      </c>
      <c r="J89" t="s">
        <v>37</v>
      </c>
      <c r="K89" t="s">
        <v>168</v>
      </c>
      <c r="L89" t="s">
        <v>26</v>
      </c>
      <c r="M89">
        <v>1</v>
      </c>
    </row>
    <row r="90" spans="1:13" x14ac:dyDescent="0.25">
      <c r="A90" s="2">
        <v>46202</v>
      </c>
      <c r="B90" s="1" t="str">
        <f ca="1">IF(Información1[[#This Row],[Fecha]]='Ajuste de fechas'!$A$2,"Día actual","Día anterior")</f>
        <v>Día actual</v>
      </c>
      <c r="C90" t="s">
        <v>16</v>
      </c>
      <c r="D90" t="s">
        <v>165</v>
      </c>
      <c r="E90" t="s">
        <v>205</v>
      </c>
      <c r="F90" t="s">
        <v>10</v>
      </c>
      <c r="G90" t="s">
        <v>206</v>
      </c>
      <c r="H90" t="s">
        <v>8</v>
      </c>
      <c r="I90" t="s">
        <v>7</v>
      </c>
      <c r="J90" t="s">
        <v>39</v>
      </c>
      <c r="K90" t="s">
        <v>168</v>
      </c>
      <c r="L90" t="s">
        <v>24</v>
      </c>
      <c r="M90">
        <v>1</v>
      </c>
    </row>
    <row r="91" spans="1:13" x14ac:dyDescent="0.25">
      <c r="A91" s="2">
        <v>46202</v>
      </c>
      <c r="B91" s="1" t="str">
        <f ca="1">IF(Información1[[#This Row],[Fecha]]='Ajuste de fechas'!$A$2,"Día actual","Día anterior")</f>
        <v>Día actual</v>
      </c>
      <c r="C91" t="s">
        <v>57</v>
      </c>
      <c r="D91" t="s">
        <v>58</v>
      </c>
      <c r="E91" t="s">
        <v>207</v>
      </c>
      <c r="F91" t="s">
        <v>6</v>
      </c>
      <c r="G91" t="s">
        <v>93</v>
      </c>
      <c r="H91" t="s">
        <v>8</v>
      </c>
      <c r="I91" t="s">
        <v>14</v>
      </c>
      <c r="J91" t="s">
        <v>37</v>
      </c>
      <c r="K91" t="s">
        <v>60</v>
      </c>
      <c r="L91" t="s">
        <v>24</v>
      </c>
      <c r="M91">
        <v>1</v>
      </c>
    </row>
    <row r="92" spans="1:13" x14ac:dyDescent="0.25">
      <c r="A92" s="2">
        <v>46202</v>
      </c>
      <c r="B92" s="1" t="str">
        <f ca="1">IF(Información1[[#This Row],[Fecha]]='Ajuste de fechas'!$A$2,"Día actual","Día anterior")</f>
        <v>Día actual</v>
      </c>
      <c r="C92" t="s">
        <v>16</v>
      </c>
      <c r="D92" t="s">
        <v>165</v>
      </c>
      <c r="E92" t="s">
        <v>208</v>
      </c>
      <c r="F92" t="s">
        <v>31</v>
      </c>
      <c r="G92" t="s">
        <v>90</v>
      </c>
      <c r="H92" t="s">
        <v>8</v>
      </c>
      <c r="I92" t="s">
        <v>7</v>
      </c>
      <c r="J92" t="s">
        <v>37</v>
      </c>
      <c r="K92" t="s">
        <v>168</v>
      </c>
      <c r="L92" t="s">
        <v>24</v>
      </c>
      <c r="M92">
        <v>1</v>
      </c>
    </row>
    <row r="93" spans="1:13" x14ac:dyDescent="0.25">
      <c r="A93" s="2">
        <v>46202</v>
      </c>
      <c r="B93" s="1" t="str">
        <f ca="1">IF(Información1[[#This Row],[Fecha]]='Ajuste de fechas'!$A$2,"Día actual","Día anterior")</f>
        <v>Día actual</v>
      </c>
      <c r="C93" t="s">
        <v>16</v>
      </c>
      <c r="D93" t="s">
        <v>165</v>
      </c>
      <c r="E93" t="s">
        <v>209</v>
      </c>
      <c r="F93" t="s">
        <v>40</v>
      </c>
      <c r="G93" t="s">
        <v>210</v>
      </c>
      <c r="H93" t="s">
        <v>8</v>
      </c>
      <c r="I93" t="s">
        <v>7</v>
      </c>
      <c r="J93" t="s">
        <v>37</v>
      </c>
      <c r="K93" t="s">
        <v>168</v>
      </c>
      <c r="L93" t="s">
        <v>26</v>
      </c>
      <c r="M93">
        <v>1</v>
      </c>
    </row>
    <row r="94" spans="1:13" x14ac:dyDescent="0.25">
      <c r="A94" s="2">
        <v>46202</v>
      </c>
      <c r="B94" s="1" t="str">
        <f ca="1">IF(Información1[[#This Row],[Fecha]]='Ajuste de fechas'!$A$2,"Día actual","Día anterior")</f>
        <v>Día actual</v>
      </c>
      <c r="C94" t="s">
        <v>16</v>
      </c>
      <c r="D94" t="s">
        <v>165</v>
      </c>
      <c r="E94" t="s">
        <v>211</v>
      </c>
      <c r="F94" t="s">
        <v>212</v>
      </c>
      <c r="G94" t="s">
        <v>213</v>
      </c>
      <c r="H94" t="s">
        <v>8</v>
      </c>
      <c r="I94" t="s">
        <v>7</v>
      </c>
      <c r="J94" t="s">
        <v>37</v>
      </c>
      <c r="K94" t="s">
        <v>168</v>
      </c>
      <c r="L94" t="s">
        <v>24</v>
      </c>
      <c r="M94">
        <v>1</v>
      </c>
    </row>
    <row r="95" spans="1:13" x14ac:dyDescent="0.25">
      <c r="A95" s="2">
        <v>46202</v>
      </c>
      <c r="B95" s="1" t="str">
        <f ca="1">IF(Información1[[#This Row],[Fecha]]='Ajuste de fechas'!$A$2,"Día actual","Día anterior")</f>
        <v>Día actual</v>
      </c>
      <c r="C95" t="s">
        <v>16</v>
      </c>
      <c r="D95" t="s">
        <v>165</v>
      </c>
      <c r="E95" t="s">
        <v>214</v>
      </c>
      <c r="F95" t="s">
        <v>9</v>
      </c>
      <c r="G95" t="s">
        <v>215</v>
      </c>
      <c r="H95" t="s">
        <v>8</v>
      </c>
      <c r="I95" t="s">
        <v>7</v>
      </c>
      <c r="J95" t="s">
        <v>37</v>
      </c>
      <c r="K95" t="s">
        <v>168</v>
      </c>
      <c r="L95" t="s">
        <v>24</v>
      </c>
      <c r="M95">
        <v>1</v>
      </c>
    </row>
    <row r="96" spans="1:13" x14ac:dyDescent="0.25">
      <c r="A96" s="2">
        <v>46202</v>
      </c>
      <c r="B96" s="1" t="str">
        <f ca="1">IF(Información1[[#This Row],[Fecha]]='Ajuste de fechas'!$A$2,"Día actual","Día anterior")</f>
        <v>Día actual</v>
      </c>
      <c r="C96" t="s">
        <v>16</v>
      </c>
      <c r="D96" t="s">
        <v>165</v>
      </c>
      <c r="E96" t="s">
        <v>216</v>
      </c>
      <c r="F96" t="s">
        <v>40</v>
      </c>
      <c r="G96" t="s">
        <v>217</v>
      </c>
      <c r="H96" t="s">
        <v>8</v>
      </c>
      <c r="I96" t="s">
        <v>7</v>
      </c>
      <c r="J96" t="s">
        <v>37</v>
      </c>
      <c r="K96" t="s">
        <v>168</v>
      </c>
      <c r="L96" t="s">
        <v>26</v>
      </c>
      <c r="M96">
        <v>1</v>
      </c>
    </row>
    <row r="97" spans="1:13" x14ac:dyDescent="0.25">
      <c r="A97" s="2">
        <v>46202</v>
      </c>
      <c r="B97" s="1" t="str">
        <f ca="1">IF(Información1[[#This Row],[Fecha]]='Ajuste de fechas'!$A$2,"Día actual","Día anterior")</f>
        <v>Día actual</v>
      </c>
      <c r="C97" t="s">
        <v>16</v>
      </c>
      <c r="D97" t="s">
        <v>165</v>
      </c>
      <c r="E97" t="s">
        <v>218</v>
      </c>
      <c r="F97" t="s">
        <v>40</v>
      </c>
      <c r="G97" t="s">
        <v>217</v>
      </c>
      <c r="H97" t="s">
        <v>8</v>
      </c>
      <c r="I97" t="s">
        <v>7</v>
      </c>
      <c r="J97" t="s">
        <v>37</v>
      </c>
      <c r="K97" t="s">
        <v>168</v>
      </c>
      <c r="L97" t="s">
        <v>24</v>
      </c>
      <c r="M97">
        <v>1</v>
      </c>
    </row>
    <row r="98" spans="1:13" x14ac:dyDescent="0.25">
      <c r="A98" s="2">
        <v>46202</v>
      </c>
      <c r="B98" s="1" t="str">
        <f ca="1">IF(Información1[[#This Row],[Fecha]]='Ajuste de fechas'!$A$2,"Día actual","Día anterior")</f>
        <v>Día actual</v>
      </c>
      <c r="C98" t="s">
        <v>16</v>
      </c>
      <c r="D98" t="s">
        <v>165</v>
      </c>
      <c r="E98" t="s">
        <v>219</v>
      </c>
      <c r="F98" t="s">
        <v>10</v>
      </c>
      <c r="G98" t="s">
        <v>80</v>
      </c>
      <c r="H98" t="s">
        <v>8</v>
      </c>
      <c r="I98" t="s">
        <v>7</v>
      </c>
      <c r="J98" t="s">
        <v>39</v>
      </c>
      <c r="K98" t="s">
        <v>168</v>
      </c>
      <c r="L98" t="s">
        <v>24</v>
      </c>
      <c r="M98">
        <v>1</v>
      </c>
    </row>
    <row r="99" spans="1:13" x14ac:dyDescent="0.25">
      <c r="A99" s="2">
        <v>46202</v>
      </c>
      <c r="B99" s="1" t="str">
        <f ca="1">IF(Información1[[#This Row],[Fecha]]='Ajuste de fechas'!$A$2,"Día actual","Día anterior")</f>
        <v>Día actual</v>
      </c>
      <c r="C99" t="s">
        <v>16</v>
      </c>
      <c r="D99" t="s">
        <v>165</v>
      </c>
      <c r="E99" t="s">
        <v>220</v>
      </c>
      <c r="F99" t="s">
        <v>79</v>
      </c>
      <c r="G99" t="s">
        <v>80</v>
      </c>
      <c r="H99" t="s">
        <v>8</v>
      </c>
      <c r="I99" t="s">
        <v>7</v>
      </c>
      <c r="J99" t="s">
        <v>37</v>
      </c>
      <c r="K99" t="s">
        <v>168</v>
      </c>
      <c r="L99" t="s">
        <v>24</v>
      </c>
      <c r="M99">
        <v>1</v>
      </c>
    </row>
    <row r="100" spans="1:13" x14ac:dyDescent="0.25">
      <c r="A100" s="2">
        <v>46202</v>
      </c>
      <c r="B100" s="1" t="str">
        <f ca="1">IF(Información1[[#This Row],[Fecha]]='Ajuste de fechas'!$A$2,"Día actual","Día anterior")</f>
        <v>Día actual</v>
      </c>
      <c r="C100" t="s">
        <v>57</v>
      </c>
      <c r="D100" t="s">
        <v>58</v>
      </c>
      <c r="E100" t="s">
        <v>221</v>
      </c>
      <c r="F100" t="s">
        <v>11</v>
      </c>
      <c r="G100" t="s">
        <v>80</v>
      </c>
      <c r="H100" t="s">
        <v>8</v>
      </c>
      <c r="I100" t="s">
        <v>7</v>
      </c>
      <c r="J100" t="s">
        <v>38</v>
      </c>
      <c r="K100" t="s">
        <v>60</v>
      </c>
      <c r="L100" t="s">
        <v>24</v>
      </c>
      <c r="M100">
        <v>1</v>
      </c>
    </row>
    <row r="101" spans="1:13" x14ac:dyDescent="0.25">
      <c r="A101" s="2">
        <v>46202</v>
      </c>
      <c r="B101" s="1" t="str">
        <f ca="1">IF(Información1[[#This Row],[Fecha]]='Ajuste de fechas'!$A$2,"Día actual","Día anterior")</f>
        <v>Día actual</v>
      </c>
      <c r="C101" t="s">
        <v>16</v>
      </c>
      <c r="D101" t="s">
        <v>165</v>
      </c>
      <c r="E101" t="s">
        <v>222</v>
      </c>
      <c r="F101" t="s">
        <v>77</v>
      </c>
      <c r="G101" t="s">
        <v>223</v>
      </c>
      <c r="H101" t="s">
        <v>8</v>
      </c>
      <c r="I101" t="s">
        <v>7</v>
      </c>
      <c r="J101" t="s">
        <v>37</v>
      </c>
      <c r="K101" t="s">
        <v>168</v>
      </c>
      <c r="L101" t="s">
        <v>24</v>
      </c>
      <c r="M101">
        <v>1</v>
      </c>
    </row>
    <row r="102" spans="1:13" x14ac:dyDescent="0.25">
      <c r="A102" s="2">
        <v>46202</v>
      </c>
      <c r="B102" s="1" t="str">
        <f ca="1">IF(Información1[[#This Row],[Fecha]]='Ajuste de fechas'!$A$2,"Día actual","Día anterior")</f>
        <v>Día actual</v>
      </c>
      <c r="C102" t="s">
        <v>57</v>
      </c>
      <c r="D102" t="s">
        <v>58</v>
      </c>
      <c r="E102" t="s">
        <v>96</v>
      </c>
      <c r="F102" t="s">
        <v>55</v>
      </c>
      <c r="G102" t="s">
        <v>97</v>
      </c>
      <c r="H102" t="s">
        <v>8</v>
      </c>
      <c r="I102" t="s">
        <v>7</v>
      </c>
      <c r="J102" t="s">
        <v>37</v>
      </c>
      <c r="K102" t="s">
        <v>60</v>
      </c>
      <c r="L102" t="s">
        <v>26</v>
      </c>
      <c r="M102">
        <v>1</v>
      </c>
    </row>
    <row r="103" spans="1:13" x14ac:dyDescent="0.25">
      <c r="A103" s="2">
        <v>46202</v>
      </c>
      <c r="B103" s="1" t="str">
        <f ca="1">IF(Información1[[#This Row],[Fecha]]='Ajuste de fechas'!$A$2,"Día actual","Día anterior")</f>
        <v>Día actual</v>
      </c>
      <c r="C103" t="s">
        <v>16</v>
      </c>
      <c r="D103" t="s">
        <v>165</v>
      </c>
      <c r="E103" t="s">
        <v>224</v>
      </c>
      <c r="F103" t="s">
        <v>55</v>
      </c>
      <c r="G103" t="s">
        <v>225</v>
      </c>
      <c r="H103" t="s">
        <v>8</v>
      </c>
      <c r="I103" t="s">
        <v>7</v>
      </c>
      <c r="J103" t="s">
        <v>37</v>
      </c>
      <c r="K103" t="s">
        <v>168</v>
      </c>
      <c r="L103" t="s">
        <v>24</v>
      </c>
      <c r="M103">
        <v>1</v>
      </c>
    </row>
    <row r="104" spans="1:13" x14ac:dyDescent="0.25">
      <c r="A104" s="2">
        <v>46199</v>
      </c>
      <c r="B104" s="1" t="str">
        <f ca="1">IF(Información1[[#This Row],[Fecha]]='Ajuste de fechas'!$A$2,"Día actual","Día anterior")</f>
        <v>Día anterior</v>
      </c>
      <c r="C104" t="s">
        <v>57</v>
      </c>
      <c r="D104" t="s">
        <v>58</v>
      </c>
      <c r="E104" t="s">
        <v>226</v>
      </c>
      <c r="F104" t="s">
        <v>10</v>
      </c>
      <c r="G104" t="s">
        <v>227</v>
      </c>
      <c r="H104" t="s">
        <v>8</v>
      </c>
      <c r="I104" t="s">
        <v>7</v>
      </c>
      <c r="J104" t="s">
        <v>39</v>
      </c>
      <c r="K104" t="s">
        <v>60</v>
      </c>
      <c r="L104" t="s">
        <v>24</v>
      </c>
      <c r="M104">
        <v>1</v>
      </c>
    </row>
    <row r="105" spans="1:13" x14ac:dyDescent="0.25">
      <c r="A105" s="2">
        <v>46202</v>
      </c>
      <c r="B105" s="1" t="str">
        <f ca="1">IF(Información1[[#This Row],[Fecha]]='Ajuste de fechas'!$A$2,"Día actual","Día anterior")</f>
        <v>Día actual</v>
      </c>
      <c r="C105" t="s">
        <v>16</v>
      </c>
      <c r="D105" t="s">
        <v>165</v>
      </c>
      <c r="E105" t="s">
        <v>228</v>
      </c>
      <c r="F105" t="s">
        <v>55</v>
      </c>
      <c r="G105" t="s">
        <v>82</v>
      </c>
      <c r="H105" t="s">
        <v>8</v>
      </c>
      <c r="I105" t="s">
        <v>7</v>
      </c>
      <c r="J105" t="s">
        <v>37</v>
      </c>
      <c r="K105" t="s">
        <v>168</v>
      </c>
      <c r="L105" t="s">
        <v>24</v>
      </c>
      <c r="M105">
        <v>1</v>
      </c>
    </row>
    <row r="106" spans="1:13" x14ac:dyDescent="0.25">
      <c r="A106" s="2">
        <v>46202</v>
      </c>
      <c r="B106" s="1" t="str">
        <f ca="1">IF(Información1[[#This Row],[Fecha]]='Ajuste de fechas'!$A$2,"Día actual","Día anterior")</f>
        <v>Día actual</v>
      </c>
      <c r="C106" t="s">
        <v>16</v>
      </c>
      <c r="D106" t="s">
        <v>165</v>
      </c>
      <c r="E106" t="s">
        <v>229</v>
      </c>
      <c r="F106" t="s">
        <v>55</v>
      </c>
      <c r="G106" t="s">
        <v>82</v>
      </c>
      <c r="H106" t="s">
        <v>8</v>
      </c>
      <c r="I106" t="s">
        <v>7</v>
      </c>
      <c r="J106" t="s">
        <v>37</v>
      </c>
      <c r="K106" t="s">
        <v>168</v>
      </c>
      <c r="L106" t="s">
        <v>24</v>
      </c>
      <c r="M106">
        <v>1</v>
      </c>
    </row>
    <row r="107" spans="1:13" x14ac:dyDescent="0.25">
      <c r="A107" s="2">
        <v>46202</v>
      </c>
      <c r="B107" s="1" t="str">
        <f ca="1">IF(Información1[[#This Row],[Fecha]]='Ajuste de fechas'!$A$2,"Día actual","Día anterior")</f>
        <v>Día actual</v>
      </c>
      <c r="C107" t="s">
        <v>57</v>
      </c>
      <c r="D107" t="s">
        <v>58</v>
      </c>
      <c r="E107" t="s">
        <v>230</v>
      </c>
      <c r="F107" t="s">
        <v>6</v>
      </c>
      <c r="G107" t="s">
        <v>231</v>
      </c>
      <c r="H107" t="s">
        <v>8</v>
      </c>
      <c r="I107" t="s">
        <v>7</v>
      </c>
      <c r="J107" t="s">
        <v>37</v>
      </c>
      <c r="K107" t="s">
        <v>51</v>
      </c>
      <c r="L107" t="s">
        <v>25</v>
      </c>
      <c r="M107">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46202</v>
      </c>
      <c r="B2" s="2">
        <f ca="1">A2-1</f>
        <v>46201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2026-06-30T00:44:05Z</dcterms:modified>
</cp:coreProperties>
</file>