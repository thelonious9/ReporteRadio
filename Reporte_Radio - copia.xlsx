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E9D50F4F-962E-4428-AB19-B5E3B3ED2F7F}"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119" i="2"/>
  <c r="B121" i="2"/>
  <c r="B123" i="2"/>
  <c r="B125" i="2"/>
  <c r="B127" i="2"/>
  <c r="B128" i="2"/>
  <c r="B130" i="2"/>
  <c r="B132" i="2"/>
  <c r="B134" i="2"/>
  <c r="B136" i="2"/>
  <c r="B138" i="2"/>
  <c r="B140" i="2"/>
  <c r="B142" i="2"/>
  <c r="B144" i="2"/>
  <c r="B146" i="2"/>
  <c r="B148" i="2"/>
  <c r="B150" i="2"/>
  <c r="B152" i="2"/>
  <c r="B154" i="2"/>
  <c r="B155" i="2"/>
  <c r="B157" i="2"/>
  <c r="B159" i="2"/>
  <c r="B161" i="2"/>
  <c r="B162" i="2"/>
  <c r="B164" i="2"/>
  <c r="B166" i="2"/>
  <c r="B174" i="2"/>
  <c r="B175" i="2"/>
  <c r="B176" i="2"/>
  <c r="B177" i="2"/>
  <c r="B178" i="2"/>
  <c r="B180" i="2"/>
  <c r="B182" i="2"/>
  <c r="B184" i="2"/>
  <c r="B186" i="2"/>
  <c r="B188" i="2"/>
  <c r="B190" i="2"/>
  <c r="B192" i="2"/>
  <c r="B194" i="2"/>
  <c r="B195" i="2"/>
  <c r="B197" i="2"/>
  <c r="B199" i="2"/>
  <c r="B201" i="2"/>
  <c r="B203" i="2"/>
  <c r="B204" i="2"/>
  <c r="B206" i="2"/>
  <c r="B208" i="2"/>
  <c r="B210" i="2"/>
  <c r="B212" i="2"/>
  <c r="B213" i="2"/>
  <c r="B215" i="2"/>
  <c r="B217" i="2"/>
  <c r="B218" i="2"/>
  <c r="B220" i="2"/>
  <c r="B222" i="2"/>
  <c r="B223" i="2"/>
  <c r="B225" i="2"/>
  <c r="B227" i="2"/>
  <c r="B229" i="2"/>
  <c r="B231" i="2"/>
  <c r="B233" i="2"/>
  <c r="B234" i="2"/>
  <c r="B236" i="2"/>
  <c r="B238" i="2"/>
  <c r="B240" i="2"/>
  <c r="B242"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20" i="2"/>
  <c r="B122" i="2"/>
  <c r="B124" i="2"/>
  <c r="B126" i="2"/>
  <c r="B129" i="2"/>
  <c r="B131" i="2"/>
  <c r="B133" i="2"/>
  <c r="B135" i="2"/>
  <c r="B137" i="2"/>
  <c r="B139" i="2"/>
  <c r="B141" i="2"/>
  <c r="B143" i="2"/>
  <c r="B145" i="2"/>
  <c r="B147" i="2"/>
  <c r="B149" i="2"/>
  <c r="B151" i="2"/>
  <c r="B153" i="2"/>
  <c r="B156" i="2"/>
  <c r="B158" i="2"/>
  <c r="B160" i="2"/>
  <c r="B163" i="2"/>
  <c r="B165" i="2"/>
  <c r="B167" i="2"/>
  <c r="B168" i="2"/>
  <c r="B169" i="2"/>
  <c r="B170" i="2"/>
  <c r="B171" i="2"/>
  <c r="B172" i="2"/>
  <c r="B173" i="2"/>
  <c r="B179" i="2"/>
  <c r="B181" i="2"/>
  <c r="B183" i="2"/>
  <c r="B185" i="2"/>
  <c r="B187" i="2"/>
  <c r="B189" i="2"/>
  <c r="B191" i="2"/>
  <c r="B193" i="2"/>
  <c r="B196" i="2"/>
  <c r="B198" i="2"/>
  <c r="B200" i="2"/>
  <c r="B202" i="2"/>
  <c r="B205" i="2"/>
  <c r="B207" i="2"/>
  <c r="B209" i="2"/>
  <c r="B211" i="2"/>
  <c r="B214" i="2"/>
  <c r="B216" i="2"/>
  <c r="B219" i="2"/>
  <c r="B221" i="2"/>
  <c r="B224" i="2"/>
  <c r="B226" i="2"/>
  <c r="B228" i="2"/>
  <c r="B230" i="2"/>
  <c r="B232" i="2"/>
  <c r="B235" i="2"/>
  <c r="B237" i="2"/>
  <c r="B239" i="2"/>
  <c r="B241" i="2"/>
  <c r="B243"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<sst xmlns="http://schemas.openxmlformats.org/spreadsheetml/2006/main" count="2424" uniqueCount="382">
  <si>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</si>
  <si>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</si>
  <si>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</si>
  <si>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</si>
  <si>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</si>
  <si>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</si>
  <si>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</si>
  <si>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</si>
  <si>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</si>
  <si>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</si>
  <si>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</si>
  <si>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</si>
  <si>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</si>
  <si>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</si>
  <si>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</si>
  <si>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</si>
  <si>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</si>
  <si>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</si>
  <si>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</si>
  <si>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</si>
  <si>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</si>
  <si>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</si>
  <si>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</si>
  <si>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</si>
  <si>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</si>
  <si>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</si>
  <si>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</si>
  <si>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</si>
  <si>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</si>
  <si>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Rodolfo López</t>
  </si>
  <si>
    <t>Enfoque Regional Meridiano</t>
  </si>
  <si>
    <t>Enfoque Regional Matutino</t>
  </si>
  <si>
    <t>Canal del Pueblo</t>
  </si>
  <si>
    <t>Vocales Radio</t>
  </si>
  <si>
    <t>Planeación</t>
  </si>
  <si>
    <t>Atención Ciudadana</t>
  </si>
  <si>
    <t>Jesús González</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</si>
  <si>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</si>
  <si>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</si>
  <si>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</si>
  <si>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</si>
  <si>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</si>
  <si>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</si>
  <si>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</si>
  <si>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</si>
  <si>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</si>
  <si>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</si>
  <si>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</si>
  <si>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</si>
  <si>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</si>
  <si>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</si>
  <si>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</si>
  <si>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Abasto De Agua</t>
  </si>
  <si>
    <t>PGJEH</t>
  </si>
  <si>
    <t>Juan Carlos Santamaria</t>
  </si>
  <si>
    <t>NQ 90.1 FM</t>
  </si>
  <si>
    <t>Jesús Riveros</t>
  </si>
  <si>
    <t>Ke Buena 106.7 FM</t>
  </si>
  <si>
    <t>Noticias 106.7</t>
  </si>
  <si>
    <t>David Cárdenas</t>
  </si>
  <si>
    <t>Enlace Hidalgo1</t>
  </si>
  <si>
    <t>Mundial De Futbol</t>
  </si>
  <si>
    <t>Ruta de la Transformación</t>
  </si>
  <si>
    <t>Queja transporte público</t>
  </si>
  <si>
    <t>Eulalio Larrieta agradece a Edith Balderas de la Secretaria de Educación Pública.</t>
  </si>
  <si>
    <t>Eulalio Larrieta agradece Paola García y Lic. Sarahi Pineda, por estar atentas a los mensajes de la ciudadanía y por atenderlos.</t>
  </si>
  <si>
    <t>Turismo</t>
  </si>
  <si>
    <t>Congreso</t>
  </si>
  <si>
    <t>Tauromaquia</t>
  </si>
  <si>
    <t>Luminarias</t>
  </si>
  <si>
    <t>Relleno Sanitario</t>
  </si>
  <si>
    <t>Accidente transporte público</t>
  </si>
  <si>
    <t>Cultura</t>
  </si>
  <si>
    <t>Semarnath</t>
  </si>
  <si>
    <t>Combate Al Narcomenudeo</t>
  </si>
  <si>
    <t>SSH</t>
  </si>
  <si>
    <t>Radio Lobo 96.7 FM</t>
  </si>
  <si>
    <t>Enlace Noticias</t>
  </si>
  <si>
    <t>Gina Lorenzo</t>
  </si>
  <si>
    <t>Fuga De Agua</t>
  </si>
  <si>
    <t>Sentencia</t>
  </si>
  <si>
    <t>Vigilancia Epidemiológica</t>
  </si>
  <si>
    <t>Hacienda</t>
  </si>
  <si>
    <t>Calificación crediticia</t>
  </si>
  <si>
    <t>Vialidad En Mal Estado</t>
  </si>
  <si>
    <t>Firma De Convenio</t>
  </si>
  <si>
    <t>Entrevista</t>
  </si>
  <si>
    <t>Ataque Armado</t>
  </si>
  <si>
    <t>Enlace Hidalgo2</t>
  </si>
  <si>
    <t>Saderh</t>
  </si>
  <si>
    <t>Combate Al Huachicol</t>
  </si>
  <si>
    <t>Día del maestro</t>
  </si>
  <si>
    <t>Eulalio Larrieta agradece a Carlos Gamiño por estar al pendiente de temas</t>
  </si>
  <si>
    <t>Inatención</t>
  </si>
  <si>
    <t>Zanjas Caasim</t>
  </si>
  <si>
    <t>La Poderosa Tuxpan 93.1 FM</t>
  </si>
  <si>
    <t>NN Nuestras Noticias Zona Norte</t>
  </si>
  <si>
    <t>Liz Argüelles</t>
  </si>
  <si>
    <t>Apoyo Al Agro</t>
  </si>
  <si>
    <t>Combate a la delincuencia</t>
  </si>
  <si>
    <t>Iniciativa</t>
  </si>
  <si>
    <t>Imagen Urbana</t>
  </si>
  <si>
    <t>Gusano barrenador</t>
  </si>
  <si>
    <t>Irving Sánchez</t>
  </si>
  <si>
    <t>Delegación</t>
  </si>
  <si>
    <t>Salud universal</t>
  </si>
  <si>
    <t>UECS obtiene sentencia de 78 años de prisión para responsable de secuestro y robo de vehículo</t>
  </si>
  <si>
    <t>Certificación turística</t>
  </si>
  <si>
    <t>La agencia calificadora S&amp;P National Ratings subió calificación del Estado de Hidalgo a ‘mxAA-‘</t>
  </si>
  <si>
    <t>Recuperación De Vehículos Robados</t>
  </si>
  <si>
    <t>Queja padres de familia</t>
  </si>
  <si>
    <t>Radioescucha reporta falta de agua en Zona Plateada en Privada Vizcaina, que nos manden unas 5 pipas</t>
  </si>
  <si>
    <t>En Querétaro la PGJEH aprehendió a un hombre investigado por homicidio doloso calificado</t>
  </si>
  <si>
    <t>Aprehensión</t>
  </si>
  <si>
    <t>El IMSS Bienestar en Hidalgo reactivó la Clínica de Manejo Avanzado de Heridas y Estomas del Hospital General de Alta Especialidad de Pachuca, servicio especializado que permaneció inactivo durante más de cinco años y que ahora brinda atención integral y gratuita a personas con heridas complejas y padecimientos de difícil cicatrización.La clínica ofrece atención especializada a pacientes con pie diabético, lesiones por presión, heridas traumáticas, quemaduras, heridas quirúrgicas complejas y otros padecimientos que requieren vigilancia médica y manejo multidisciplinario.El médico responsable de la clínica, Víctor Ismael Medécigo Escudero, señaló que las heridas crónicas representan un reto importante para la salud pública debido al impacto que generan en la vida cotidiana de las personas.</t>
  </si>
  <si>
    <t>Atención médica</t>
  </si>
  <si>
    <t>Debido a la caída de cajas con vegetales, el paso a desnivel en el cruce del bulevar Río de las Avenidas con Everardo Márquez, en Pachuca, fue cerrado temporalmente para garantizar la seguridad de los conductores. Personal de Protección Civil municipal informó que una camioneta cargada con vegetales ingresó al paso a desnivel cuando algunas de sus cajas cayeron sobre la vialidad. Para prevenir accidentes y facilitar la limpieza de la zona, las autoridades decidieron bloquear temporalmente el tránsito con dirección al centro de la ciudad.La limpieza y el retiro de las cajas se realizaron de manera rápida para reabrir la circulación, mientras se recomienda a los conductores extremar precauciones y seguir las indicaciones del personal de vialidad y seguridad en Pachuca.</t>
  </si>
  <si>
    <t>Auxilio a la ciudadanía</t>
  </si>
  <si>
    <t>Vía telefónica, Josúe Herrera, VICKE CONCEPT HOUSE de Actopan, con el tema certificación punto limpio. Comentó que la Secretaría de Turismo del Estado de Hidalgo entregó certificaciones, reconocimientos y constancias a personas prestadoras de servicios turísticos, agradeciendo que pudieron obtener este tipo de curso, solo pagando una cuota mínima, y que esto ayuda para poder ofrecer al turismo garantía y que sepan que somos empresas limpias</t>
  </si>
  <si>
    <t>La Fiscalía General de la República, a través de la Fiscalía Especializada de Control Regional (FECOR) en Hidalgo, llevó a cabo un operativo de incineración de narcóticos y destrucción de objetos relacionados con delitos del orden federal.Las acciones se realizaron en instalaciones militares y espacios de resguardo ubicados en los municipios de Pachuca y Tula de Allende.De acuerdo con información oficial, en las instalaciones de la 18ª Zona Militar fueron incinerados nueve kilos 677 gramos y 50 miligramos de narcóticos.Además, autoridades federales destruyeron tres plantas de marihuana y 19 unidades adicionales de sustancias ilícitas relacionadas con diversas carpetas de investigación.En un segundo punto, ubicado en un corralón de encierro en Tula de Allende, autoridades federales realizaron la destrucción de 94 objetos asegurados durante investigaciones relacionadas con delitos federales.Entre los artículos destruidos se encontraban bidones, tambos, contenedores, mangueras y un inhibidor de señal, objetos comúnmente vinculados con actividades ilícitas.</t>
  </si>
  <si>
    <t>Destrucción de narcóticos</t>
  </si>
  <si>
    <t>Legisladores hidalguenses promueven una iniciativa que modifica el código penal del Estado de Hidalgo, con el propósito de fortalecer la regulación del delito de despojo a fin de prevenir y sancionar de manera eficaz la ocupación ilegal de inmuebles o el ejercicio indebido de derechos reales, ya sea mediante actos de violencia, engaño o abuso de confianza, conductas que vulneran gravemente el patrimonio y la seguridad jurídica de las personas, informó el diputado Miguel Moreno, AUDIO APOYO</t>
  </si>
  <si>
    <t>Radioescucha reporta que tiene más de 15 días sin alumbrado público en Avenida 16 de Septiembre en Santa Julia.</t>
  </si>
  <si>
    <t>Radioescucha pregunta: ¿Saben algo de la secundaria general #1, que anunció que se unirá al paro del SNTE? Eso afecta a los alumnos, ya que deja un rezago académico, rezago en entrega de documentos y calificaciones.</t>
  </si>
  <si>
    <t>Abraham Mendoza Centeno, delegado para Programas de Bienestar en Hidalgo, informó que continúa avanzando el proceso de credencialización al Servicio Universal de Salud, una nueva identificación oficial que sustituirá gradualmente los carnets del IMSS e ISSSTE, permitiendo a las y los beneficiarios acceder de forma más ágil y ordenada a servicios médicos, programas sociales y atención en salud. Detalló que actualmente este proceso ya se lleva a cabo en los ochenta y cuatro municipios de Hidalgo, priorizando a personas beneficiarias de la pensión para adultos mayores y personas con discapacidad, con el objetivo de garantizar una atención más eficiente e incluyente. El registro se lleva a cabo de acuerdo con un calendario y de acuerdo también a la primera letra del apellido.</t>
  </si>
  <si>
    <t>Radioescucha reporta y pide al presidente municipal Eduardo Medécigo que, por favor, chequee las calles de Chavarría y a la entrada de la universidad, ya que tienen muchos baches y están en mal estado.</t>
  </si>
  <si>
    <t>Radioescucha reporta nuevamente, que Caasim fue a arreglar la fuga de agua, pero dejó la zanja y la otra fuga no la dejaron.</t>
  </si>
  <si>
    <t>Radioescucha reporta que en Campestre Villas del Álamo desde hace 5 meses abrieron para arreglar tuberías y sigue la obra parada.</t>
  </si>
  <si>
    <t>Se reporta cierre del paso a desnivel a la altura de Everardo Márquez en el Río de las Avenidas, debido a que una camioneta que transportaba verduras, tiró su mercancía. ya hay personal de Protección Civil en el lugar.</t>
  </si>
  <si>
    <t>TV local</t>
  </si>
  <si>
    <t>Mara Olvera y su columna Ajedrez Político habla de que el gobernador Julio Menchaca se encuentra en el quinto lugar a nivel naconal de los mandatarios estatales con mayor aprobación social en el país, esto gracias al reflejo del trabajo proximidad que se tiene con la ciudadanía a través de la Ruta de la Transformación. Asimismo, destaca que la semana pasada el índice de paz 2026 ha situado a Hidalgo como una de las entidades con mayor seguridad pública. Destaca el combate a la corrupción y a la inversión en infraestructura en todo el estado y el combate a la pobreza.</t>
  </si>
  <si>
    <t>Aprobación Gobernador</t>
  </si>
  <si>
    <t>Se registra un accidente automovilístico a la altura de El Fitzhi, en Ixmiquilpan, frente a la tienda Soriana, un automóvil impactó a una motoneta, donde el conductor resultó gravemente lesionado.</t>
  </si>
  <si>
    <t>Accidente Vial</t>
  </si>
  <si>
    <t>Un automóvil compacto salió de la cinta asfáltica y terminó volcado la tarde de este miércoles sobre la carretera Pachuca–Tulancingo, a la altura de la comunidad de El Sabino, en el municipio de Singuilucan.</t>
  </si>
  <si>
    <t>Tres personas lesionadas, entre ellas dos menores de edad, fue el saldo que dejó un accidente vehicular registrado en la colonia San José en el municipio de Huejutla de Reyes, Hidalgo. Una camioneta particular terminó impactándose contra la fachada de un inmueble, lo que generó movilización de cuerpos de emergencia y autoridades de vialidad.</t>
  </si>
  <si>
    <t>Andrés torres en respuesta a un radioescucha comenta que ya en unos días las nuevas unidades del Tuzobús entrarán en operación y que lo que se ha hecho en torno a este transporte, incluyendo el carril confinado que a muchos no les gusta, es en beneficio de los usuarios.</t>
  </si>
  <si>
    <t>Modernización Tuzobús</t>
  </si>
  <si>
    <t>Andrés fuera del aire, en comerciales de televisión comenta que se hizo una junta en Radio y Televisión, en la que reconocieron que no hicieron nada el año pasado durante la vaguada monzónica y que a ver si en este año , si llegaba, por lo menos avisaran a la gente. Asimismo señala que es de dar risa que no sepan que se necesita diesel para las plantas de luz. asegura que se debe hacer una limpia y no venir y contarse como siempre sobre lo que hay, pues el tema administrativo es una cloaca un fosa séptica y se nota cuando el administrativo ya otra vez el señor rey. Dice que ahí se hizo una estafa maestra y que quien la realizó sigue trabajando en el mismo lugar y no permite que nadie más meta mano.</t>
  </si>
  <si>
    <t>El Instituto Hidalguense de Educación (IHE) participó en la Reunión Nacional con Responsables de los Consejos Técnicos Escolares (CTE) “La Transformación del CTE en la Nueva Escuela Mexicana: Retos y Compromisos Compartidos”, realizada en la Benemérita Escuela Nacional de Maestros, en la Ciudad de México. En representación del secretario de Educación Pública de Hidalgo, Natividad Castrejón Valdez, asistió la subsecretaria de Educación Básica, Nancy Adriana León Vite, acompañada por Claudia Huerta Ruiz, titular de la Unidad de Gestión Técnica, y Grissel Martínez Aguilar, responsable estatal de Consejos Técnicos Escolares. La reunión fue encabezada por la subsecretaria de Educación Básica de la SEP federal, Noemí Juárez Pérez, y reunió a autoridades educativas, especialistas y responsables estatales de todo el país para dialogar y construir estrategias orientadas al fortalecimiento de los Consejos Técnicos Escolares como parte de la Nueva Escuela Mexicana.</t>
  </si>
  <si>
    <t>Consejo Técnico</t>
  </si>
  <si>
    <t>Hoy hay Rutas de la Transformación en Ajacuba a ls 10: 45 en la cancha de futbol con la presencia del gobernador Julio Menchaca</t>
  </si>
  <si>
    <t>en sus redes sociales el gobernador Julio Menchaca comparte: Desde la Séptima Sesión de las CEPES, planeamos una educación superior que responda a lo que las empresas y el desarrollo de Hidalgo demanda. Queremos que el talento de nuestras juventudes tenga las mejores herramientas para destacar. La tecnología debe fungir como una herramienta que acerque más oportunidades a los estudiantes.</t>
  </si>
  <si>
    <t>Fortalecimiento educativo</t>
  </si>
  <si>
    <t>Andrés Torres reitera que la estación del 1010 AM de la huasteca El Vocero Huasteco sigue fuera del aire ya casi con mes y medio y se están resolviendo asuntos técnicos para poderla poner en marcha pronto. Por los cortes constante de energía eléctrica que se dan en esta zona están obligados a usar plantas de energía de emergencia, pero no hay diesel, no hay presupuesto, no hay talento para le gestión y entonces, salimos constantemente del aire. no podemos hacer nada, mas que pedir una disculpa y a las autoridades que nos ayuden, cobre todo en estos momentos que tenemos alerta por lluvia en una zona muy proclive a derrumbes y crecidas por ríos, lo que impide tener medios de comunicación para avisar a la población de esto, pues ahí mucha gente no tiene acceso a redes sociales por las condiciones climaticas.</t>
  </si>
  <si>
    <t>Radiodifusoras</t>
  </si>
  <si>
    <t>La Secretaría de Seguridad Pública, Tránsito y Vialidad de Pachuca recuperó un taxi metropolitano localizado en calles de la colonia Campo de Tiro como resultado de los recorridos permanentes de seguridad y vigilancia que realiza la corporación en distintos puntos de la capital. La unidad, un vehículo marca Nissan Tsuru, color blanco con amarillo, fue ubicada sobre la calle Verdín durante labores de patrullaje preventivo. Tras la verificación correspondiente, elementos municipales confirmaron que contaba con reporte de robo vigente, por lo que fue asegurada y puesta a disposición ante la autoridad competente.</t>
  </si>
  <si>
    <t>SSPH frena a presunto narcomenudista de la Otomí-Tepehua</t>
  </si>
  <si>
    <t>CBPEH desmiente rumores de presunta desaparición de una joven en el municipio de San Salvador</t>
  </si>
  <si>
    <t>Como parte de los trabajos permanentes para mejorar la imagen urbana y recuperar el orden en el espacio público, la Secretaría de Obras Públicas de Pachuca realiza el retiro de anuncios tipo banderín y autosoportados instalados de forma irregular en la vía pública. Las acciones se llevan a cabo en los bulevares Colosio, Felipe Ángeles y El Minero, donde personal municipal interviene camellones, banquetas y áreas verdes para retirar estructuras colocadas sin autorización, mismas que generan contaminación visual y afecta la funcionalidad de los espacios comunes. En lo que va de la semana, el municipio ha retirado 50 estructuras publicitarias como parte de esta estrategia de reordenamiento urbano.</t>
  </si>
  <si>
    <t>Laboratorio Estatal de Políticas Públicas supervisa programas sociales y acciones en beneficio de la población</t>
  </si>
  <si>
    <t>Laboratorio de Políticas Públicas</t>
  </si>
  <si>
    <t>Julio Menchaca respalda el fortalecimiento de la educación superior</t>
  </si>
  <si>
    <t>Hidalgo participa en reunión nacional sobre fortalecimiento de Consejos Técnicos Escolares</t>
  </si>
  <si>
    <t>La Comisión de Búsqueda de Personas del Estado de Hidalgo (CBPEH) informa que, derivado de un video en redes sociales, relacionado con posible privación de libertad y desaparición de una joven en el municipio de San Salvador, se activaron de manera inmediata las acciones y protocolos de atención correspondientes.</t>
  </si>
  <si>
    <t>Búsqueda de personas</t>
  </si>
  <si>
    <t>La presidenta Claudia Sheinbaum dio a conocer su Declaración Patrimonial y de Intereses correspondiente a 2026, documento en el que reveló cuánto ganó durante el último año, así como las propiedades, cuentas bancarias y bienes que mantiene actualmente. De acuerdo con la información presentada por la mandataria federal, sus ingresos netos durante 2025 ascendieron a un millón 791 mil pesos, cifra derivada principalmente de su salario como titular del Poder Ejecutivo Federal. En la declaración se detalla que Sheinbaum obtuvo un ingreso neto anual de un millón 790 mil pesos por el desempeño de su cargo como presidenta de México, además de mil 441 pesos adicionales provenientes de rendimientos financieros ligados a un fondo de inversión. La publicación de este documento forma parte de las obligaciones de transparencia y rendición de cuentas que deben cumplir los funcionarios públicos en México.</t>
  </si>
  <si>
    <t>Declaración patrimonial</t>
  </si>
  <si>
    <t>El alcalde de Pacula, José Christian Buendía Andrade, firmó un convenio de colaboración con la Subsecretaría de Educación Superior y Media Superior del estado de Hidalgo a cargo de Daniel Fragoso Torres, con quien hubo pláticas previas para la instalación de una universidad digital. Este acuerdo estratégico tiene como objetivo formalizar la apertura de una universidad digital, la cual, se menciona, se ubicará físicamente en la comunidad de Jiliapan una de las más importantes y pobladas de esta demarcación. De acuerdo con el mandatario municipal, esta nueva infraestructura tecnológica permitirá que los estudiantes egresados del nivel medio superior continúen su preparación profesional sin salir de la región, pero, sobre todo, se cuente con nuevos profesionistas en el municipio. La oferta inicial de la institución virtual constará de cuatro licenciaturas, dos maestrías y un doctorado de alta demanda; sin embargo, hasta el momento no se ha informado qué carreras o especialidades serían las que se estarían impartiendo a través de este nuevo método. Con este proyecto de conectividad académica, el gobierno local busca abatir el rezago y consolidar una verdadera inclusión educativa para los jóvenes de las zonas vulnerables.</t>
  </si>
  <si>
    <t>En medio de cuestionamientos por presuntas inconsistencias, falta de transparencia y carencias básicas dentro de distintas áreas municipales, el ayuntamiento de Actopan aprobó la primera modificación al presupuesto de egresos 2026, la cual contempla un incremento superior a los 15 millones de pesos respecto a la propuesta inicial. La modificación fue avalada por mayoría durante la trigésima tercera sesión extraordinaria de cabildo de Actopan con 15 votos a favor y tres en contra por parte de regidores de oposición. Durante la discusión, la regidora Patricia Alamilla Chavarría cuestionó el incremento presupuestal al señalar que la propuesta original contemplaba 223 millones 950 mil 790 pesos, mientras que el nuevo monto aprobado ascendió a 239 millones 753 mil 136 pesos, lo que representa un aumento considerable respecto al primer presupuesto presentado. La edil sostuvo que durante el análisis en comisión fueron detectadas inconsistencias que no quedaron plenamente aclaradas; además, exhibió las condiciones en las que operan algunas áreas del gobierno municipal al asegurar que existen oficinas que ni siquiera cuentan con materiales básicos como hojas blancas para trabajar. Ante ello, insistió en la necesidad de que los directores de cada dependencia comparezcan para informar públicamente cuáles son sus necesidades reales y cómo se están ejerciendo los recursos. Por su parte, el regidor Víctor Manuel Núñez cuestionó que, pese al incremento, continúan las deficiencias en diversas áreas del ayuntamiento, especialmente para con el personal que requiere de uniformes para sus actividades diarias. Del mismo modo, algunos de los asambleístas que respaldaron la modificación presupuestal reconocieron también la necesidad de vigilar de cerca el ejercicio del recurso y exigieron que exista un seguimiento puntual para garantizar que el dinero realmente llegue a las áreas con mayores carencias.</t>
  </si>
  <si>
    <t>Presupuesto De Egresos</t>
  </si>
  <si>
    <t>Tulancingo recibió una entrega regional de apoyos agropecuarios dirigida a más de 430 productoras y productores provenientes de 17 municipios hidalguenses. Durante la jornada, la Secretaría de Agricultura y Desarrollo Rural de Hidalgo distribuyó vientres ovinos, semillas de maíz, avena y cebada, además de fumigadoras, desbrozadoras y distintas herramientas para fortalecer actividades del campo. El titular de la dependencia, Napoleón González Pérez, señaló que los apoyos llegaron de manera directa a las y los beneficiarios, sin intermediarios y sin costo, con el propósito de garantizar transparencia en la entrega. El funcionario también destacó la relevancia del sector primario dentro de las políticas estatales y reconoció la participación del municipio de Tulancingo como sede del encuentro regional. A la entrega acudieron alcaldes de Metepec, Acatlán, Acaxochitlán, Cuautepec y Santiago Tulantepec, quienes coincidieron en la importancia de mantener coordinación entre municipios y estado para fortalecer actividades agrícolas y ganaderas en la región.</t>
  </si>
  <si>
    <t>Aprehenden en Querétaro a un hombre investigado por homicidio doloso calificado</t>
  </si>
  <si>
    <t>Inicia curso “Presupuestos Públicos para la Igualdad Sustantiva” en modalidad virtual</t>
  </si>
  <si>
    <t>Equidad de género</t>
  </si>
  <si>
    <t>Laboratorio Estatal de Políticas Públicas supervisa programas sociales y acciones en beneficio de la población. (AUDIO MATV).</t>
  </si>
  <si>
    <t>Julio Menchaca respalda el fortalecimiento de la educación superior. (AUDIO JMS).</t>
  </si>
  <si>
    <t>"NN Nuestras Noticias ""El Resumen"""</t>
  </si>
  <si>
    <t>Tomás Sosa</t>
  </si>
  <si>
    <t>Julio Menchaca respalda el fortalecimiento de la educación superior. (AUDIO JMS)</t>
  </si>
  <si>
    <t>Entrevista en cabina Pedro Canales, coordinador de la Secretaría de Economía en Hidalgo - Habló sobre las recientes negociaciones que se han realizado en los trabajos del T-MEC, en ese sentido, informó que, el día de ayer el secretario de Economía, Marcelo Ebrard recibió a una comisión proveniente de Estados Unidos para entablar dichas negociaciones, que se irán realizando por sectores, es decir, se inician con el sector automotriz, posteriormente, se seguirá con la industria de aluminio y acero, derivado de que, son fundamentales por el tema de los aranceles, que al momento se encuentran al 50 por ciento. El cierre definitivo de estas negociaciones será el próximo 20 de junio, “Se tiene confianza de que todo va estar bien, vale la pena que la gente este tranquila porque esperamos que no vaya bien en este trabajo de comercio”, señaló.</t>
  </si>
  <si>
    <t>El Ayuntamiento de Singuilucan invita a formar parte de la Feria Integral de Prevención y Seguridad, un espacio donde podrán conocer servicios, programas y acciones enfocadas en el cuidado, orientación y protección de la ciudadanía. La cita es el próximo viernes 29 de mayo a partir de las 10:00 horas en la Explanada Municipal.</t>
  </si>
  <si>
    <t>Prevención del delito</t>
  </si>
  <si>
    <t>Locutor Irving Sánchez da lectura a comentario de radioescucha que reporta, que en un Kínder de Tulancingo las autoridades educativas están cobrando inscripción a los alumnos de tercero de preescolar, situación con la están en desacuerdo, ya que, son alumnos que ya van de salida, dicen, no se vale esta situación. Locutor responde que pasará su reporte a las autoridades de la SEPH.</t>
  </si>
  <si>
    <t>Detienen en Tizayuca a un hombre que era buscado por autoridades de Oaxaca</t>
  </si>
  <si>
    <t>Un operativo coordinado entre policías municipales y estatales permitió recuperar un tractocamión que transportaba maquinaria pesada y que, de acuerdo con el reporte oficial, había sido robado momentos antes sobre la carretera Tula–Tlahuelilpan. La unidad fue localizada después de que se alertara a las corporaciones de seguridad sobre el despojo de un vehículo de carga a la altura de la azulejera Gersa, uno de los puntos con tránsito constante de unidades pesadas debido a la actividad industrial y comercial de la zona.</t>
  </si>
  <si>
    <t>Como parte de las actividades del “Mundial Social”, el Sistema DIF Hidalgo y el DIF Municipal organizaron el panel “Más allá de un gol”. El evento tuvo lugar el 27 de mayo en el Auditorio Gota de Plata, con el propósito de reflexionar sobre el impacto del deporte en la transformación de vidas y el fortalecimiento del tejido social. Se contó con la participación de grandes leyendas del Club Pachuca y el fútbol mexicano: Mónica Ocampo, Andrés Chitiva y Óscar "El Conejo" Pérez. Los deportistas compartieron sus historias de vida, experiencias, sacrificios y los valores necesarios para trascender dentro y fuera de la cancha.</t>
  </si>
  <si>
    <t>Este miércoles se llevó a cabo la quinta sesión del Comité Jurisdiccional de Vigilancia Epidemiológica (COJUVE), en la que se abordaron temas prioritarios en materia de salud pública y prevención de riesgos. Durante la sesión se actualizaron los panoramas epidemiológicos del sarampión y la miasis, así como el comportamiento de las enfermedades diarreicas agudas y aquellas asociadas a vectores. Asimismo, se presentó el pronóstico de la Temporada de Ciclones Tropicales 2026 y las acciones previstas, entre ellas la revisión de refugios temporales. Al respecto, el titular de Bomberos y Protección Civil en Tulancingo, Jesús García Ávila, informó que la temporada inició el pasado 15 de mayo en el Pacífico, con una proyección de entre 18 y 21 ciclones tropicales, mientras que en el Atlántico comenzará el 1 de junio, con un pronóstico de entre 11 y 15 fenómenos. En materia de sarampión, se indicó que, aunque los casos han disminuido, sigue siendo crucial que las personas que no se han inmunizado acudan a su unidad de salud o al puesto de vacunación más cercano. Sobre el gusano barrenador en humanos, se enfatizó evitar alarmarse, recordando que esta enfermedad tiene cura mediante el tratamiento adecuado de las lesiones. En vísperas de la Copa Mundial de la FIFA, se reconoció que, si bien este evento representa un momento histórico y favorable para la derrama económica, la movilidad que genera requiere mantener alerta al sector salud, garantizando atención oportuna ante cualquier eventualidad. El secretario municipal, Edmundo Aguilar Aranda, y la jefa jurisdiccional, Isabel Guzmán Tavera, clausuraron la sesión destacando la participación de los asistentes y la atención cercana de la Dirección de Sanidad Municipal.</t>
  </si>
  <si>
    <t>Las malas condiciones de las calles y avenidas del territorio estatal es una problemática heredada e imposible de atender en un plazo sólo de seis años, reconoció el gobernador de Hidalgo, Julio Menchaca Salazar. Pese a la inversión superior a los 25 mil millones de pesos en obra pública y la intervención de diversas vialidades en los 84 municipios de la entidad, refirió el mandatario estatal, se mantiene pendiente gran parte de esta infraestructura; sin embargo, no pretenden frenar las acciones puntuales en los últimos años de su gestión, sino que darán mayor impulso a esta ejecución de obra pública. En respuesta a la publicación de resultados por parte del Instituto Nacional de Geografía y Estadística (Inegi), que coloca a Hidalgo en el último lugar a nivel nacional en la evaluación del estado de sus calles y avenidas, con una calificación de 3.8 de 10, por debajo de la media nacional que fue de 5.1 en este rubro; Menchaca Salazar señaló la dificultad de la población en percibir las mejoras en elementos cotidianos. "Es un rezago histórico, pero estamos trabajando en ese tema. Lo que es cotidiano pasa desapercibido, por ejemplo, en esa evaluación del Inegi no vi nada en materia de recolección de basura, donde ya mejoramos; no nos queda más que trabajar más intensamente", manifestó. El gobernador del estado adelantó el apoyo y respaldo de la paraestatal Petróleos Mexicanos (Pemex) para entregar material que permita no sólo acciones de rebacheo en las calles y avenidas de toda la entidad, sino también la continuidad de suficiencia presupuestal para mantener la rehabilitación y reconstrucción de caminos, pues, aunque no concluyan esta tarea pretenden abarcar lo más posible durante su administración. "Con el apoyo de Pemex vamos a tener más intervención, nos van a proporcionar más material; y no sólo vamos por trabajo de rebacheo sino rehabilitación de avenidas enteras, tan sólo ya destinamos más de 500 millones de pesos en el boulevard Las Torres y en otras avenidas principales en la ciudad (Pachuca), en caminoa que dan acceso a otros municipios", apuntó. Julio Menchaca reiteró el trabajo continuo en todas las demarcaciones para atender esta problemática; sin embargo, aceptó, a la par existen afectaciones derivadas de fenómenos naturales, así como de las lluvias que cada año dañan las calles y avenidas de todo el territorio hidalguense, lo cual dificulta el avance y resultados, pues al momento destinaron más de 25 mil millones de pesos en el rubro de obra pública, superando el monto histórico de las dos pasadas gestiones del Ejecutivo local. "En menos de cuatro años en obra pública destinamos más de 25 mil millones de pwsos, en las dos anteriores gestiones sumaron 24 mil millones de pesos y nos faltan dos años más, cuando llegamos teníamos más de siete mil kilómetros de terracerías y caminos devastados y deteriorados, hemos avanzado y atendido dos mil kilómetros, dependiendo del alcance del presupuesto vamos a seguir avanzando; no nos alcanza para terminar, no da tiempo, pero sí para esforzarnos lo más posible con lo que nos permita el presupuesto, porque no sólo hacemos pavimentación, sino otras intervenciones en materia de servicios básicos", sentenció.</t>
  </si>
  <si>
    <t>DIFH</t>
  </si>
  <si>
    <t>Con información que publica Enrique Gutiérrez sobre, lo que ha revelado las audiencias públicas respecto al presunto triple feminicidio ocurrido el 30 de julio de 2024; algunas de las cuestiones que se ha revelado en estas últimas audiencias es el monto que presuntamente se pagó por cobrar la vida de una de estas mujeres, 30 mil pesos y que, abre las interrogantes de esta decadente sociedad. De acuerdo con revelaciones de uno de los peritos en Telecomunicaciones de la PGJEH que fungió como testigo en esta fase le juicio, en la revisión de comunicación de los dispositivos de uno de las acusados, encontraron evidencia que demuestra que, supuestamente, uno de ellos habría pagado 30 mil pesos a otro de los acusados, lo anterior, con la intención de terminar con la vida de una de las jóvenes víctimas, quien, además, presentaba un embrazo y por este motivo, además del delito por feminicidio también se le acusa por aborto forzado. La comunicación revela que el supuesto contratante solicitó a otra persona (también hoy acusada) que ejecutara el crimen. Este último sujeto se acompañó de otra persona más y se dirigieron al domicilio ubicado en la colonia San Isidro, en los límites de Santiago Tulantepec y Tulancingo. Es decir, por ese supuesto “trato” de 30 mil pesos para quitar del camino a una mujer que afectaba a los intereses de su pareja, los hoy acusados terminaron con la vida no solo de ella, también de sus dos roomies, quienes, al atestiguar el hecho, se volvían un cabo suelto para los perpetradores. Aún no se revela cómo fue que los presuntos feminicidas lograron entrar al domicilio, o si alguien más les ayudó. Sin embargo, esta reciente evidencia muestra que en este triple femenicidio hubo al menos un autor intelectual y dos quienes ejecutaron la solicitud. Se informó, además, que el artífice intelectual se encontraba cerca del domicilio cuando ocurrieron los hechos. Al respecto, Morrigan Flores, titular de la Colectiva Feminista Mujeres del Tule, calificó tal acto como “totalmente inhumano” y de cosificación hacia las mujeres: “Es un acto totalmente inhumano, obviamente, pero sobre todo de cosificación hacia las mujeres; se habla de una transacción y del despojo de la humanidad y de la dignidad humana y que desgraciadamente, en este caso, pues hubo otras mujeres, que fueron las personas que estaban ahí, pero que al final de cuentas también es un despojo de la vida de manera totalmente intencionada y que obviamente tiene que ser castigado. Que también quede claro cuánto vale para los hombres el cuerpo de las mujeres ya sin vida, y por eso se habla de una cosificación”, aseguró. “Pena máxima” para presuntos feminicidas, pidieron familiares de víctimas Cabe recordar que, al cierre de la marcha de este año por el 8M en Tulancingo, familiares de las víctimas por el triple feminicidio ocurrido en Santiago Tulantepec hicieron la exigencia a las autoridades para que sentencien con “pena máxima” a los presuntos responsables de tal crimen, hecho ocurrido hace casi 22 meses, el 30 de julio de 2024. Con apertura en el foro de testimoniales en la explanada del Jardín La Floresta, condenaron el crimen y emitieron su primer posicionamiento público desde que ocurrieron los citados acontecimientos. “Alzamos la voz por mis hijas y por el bebé que no le permitieron nacer. Ellas son mis hijas, fueron asesinadas. Mi petición es pena máxima, aún no se hace justicia y pido de su ayuda y de su apoyo para que todas gritemos justicia y exigimos la pena máxima para estos feminicidas”, expresó la madre de dos de las víctimas. Luego de su postura, las manifestantes replicaron con “¡No estás sola! ¡No estás sola!” Cabe mencionar que a casi 22 meses de que ocurrió el supuesto triple feminicidio en Santiago Tulantepec, sigue sin dictarse sentencia para tres personas presuntamente culpables, quienes permanecen recluidos en el Centro de Reinserción Social (Cereso) de Tulancingo desde agosto de 2024. Actualmente, el proceso judicial se mantiene en la fase de debate, donde los 31 testigos que ofreció la defensa de las víctimas comparecen ante la autoridad. De acuerdo con el procedimiento, el tribunal deberá dictar una sentencia a más tardar en agosto de 2026.</t>
  </si>
  <si>
    <t>Proceso Por Feminicidio</t>
  </si>
  <si>
    <t>En su participación semanal, Gustavo Rosales, destacó la participación de Héctor Hernández conocido como “Hectorín” en el campeonato mundial de Tenis de Mesa en Bulgaria, señalando que, además, es tricampeón nacional dentro de la disciplina.</t>
  </si>
  <si>
    <t>Justa Deportiva</t>
  </si>
  <si>
    <t>En su participación semanal, Gustavo Rosales habló sobre destacada participación de atletas hidalguenses en la Olimpiada Nacional Conade 2026, específicamente dentro de la lucha grecorromana, disciplina de bastante técnica, de entender los movimientos del rival, en ese sentido, Sebastián Gonzalo Cabrales Baltazar ha subido al pódium y se ha colgado la medalla de bronce en la categoría de los 63 kilogramos; por su parte, su hermano Ángel Alberto Cabrales Estrada también logró colgarse la medalla de bronce en la modalidad sub 20, aportando dos preses en su primera participación estos atletas hidalguenses, con lo que continúa sumando preseas la delegación hidalguense dentro de la Olimpiada Nacional Conade 2026.</t>
  </si>
  <si>
    <t>Nacionales Conade</t>
  </si>
  <si>
    <t>Huejutla -SSH y la UTHH refuerzan medidas preventivas para proteger a la población en la Huasteca</t>
  </si>
  <si>
    <t>Protección sanitaria</t>
  </si>
  <si>
    <t>Normal Superior mantiene abierta convocatoria de nuevo ingreso</t>
  </si>
  <si>
    <t>Convocatoria de ingreso</t>
  </si>
  <si>
    <t>Tulancingo fue sede de la entrega regional de apoyos realizada por la Secretaría de Agricultura y Desarrollo Rural del Estado de Hidalgo, en beneficio de más de 430 productoras y productores de 17 municipios de la región. Durante el evento se otorgaron vientres ovinos, semillas de maíz, avena y cebada, así como fumigadoras, desbrozadoras y diversas herramientas destinadas a fortalecer las actividades del sector agropecuario. El titular de la dependencia estatal, Napoleón González Pérez, destacó que estos apoyos se entregan de manera directa y sin costo para las y los productores, con el objetivo de evitar intermediarios y garantizar que los beneficios lleguen de forma transparente a quienes trabajan el campo. Asimismo, señaló que el sector primario representa una prioridad para el Gobierno del Estado y agradeció a la presidenta municipal de Tulancingo, Lorena García Cázares, por la anfitrionía y por mantener una visión de respaldo permanente hacia las actividades agrícolas y ganaderas del municipio. En esta entrega regional también estuvieron presentes los alcaldes de Metepec, Acatlán, Acaxochitlán, Cuautepec y Santiago Tulantepec, quienes reconocieron la importancia de continuar impulsando acciones coordinadas en favor del campo hidalguense.</t>
  </si>
  <si>
    <t>Caravana Cultural llegará a Francisco I. Madero con musica, danza y talento regional</t>
  </si>
  <si>
    <t>Caravanas Culturales</t>
  </si>
  <si>
    <t>Entrevista en cabina Pedro Canales, coordinador de la Secretaría de Economía en Hidalgo - Habló sobre las recientes negociaciones que se han realizado en los trabajos del T-MEC, en ese sentido, informó que, el día de ayer el secretario de Economía, Marcelo Ebrard recibió a una comisión proveniente de Estados Unidos para entablar dichas negociaciones, que se irán realizando por sectores, es decir, se inician con el sector automotriz, posteriormente, se seguirá con la industria de aluminio y acero, derivado de que, son fundamentales por el tema de los aranceles, que al momento se encuentran al 50 por ciento. El cierre definitivo de estas negociaciones será el próximo 20 de junio, “Se tiene confianza de que todo va estar bien, vale la pena que la gente este tranquila porque esperamos que no vaya bien en este trabajo de comercio”, señaló. En lo que refiere al caso específico de Hidalgo, comentó que ha estado trabajando en lo que se refiere al Parque Industrial de Tulancingo, mismo que ha estado detenido por cuestiones de energía, motivo por el cual, dijo, han iniciado negociaciones con el presidente del Consejo de Administración de la CFE, Ing. Héctor Sánchez para solicitar una nueva subestación que se estaría instalando en Tulancingo para potenciar este Parque Industrial.</t>
  </si>
  <si>
    <t>Parque Industrial Tulancingo</t>
  </si>
  <si>
    <t>La mañana de este jueves se registró una movilización de cuerpos de emergencia en Atotonilco de Tula, luego de que se reportara una explosión seguida de un incendio al interior de la empresa Hidrocarburos, ubicada en la comunidad de Progreso.De acuerdo con los primeros reportes, el incidente ocurrió tras el estallido de un tanque utilizado para el almacenamiento de asfalto, aunque hasta el momento las causas del siniestro no han sido determinadas por las autoridades correspondientes.</t>
  </si>
  <si>
    <t>En otra información, tras el incidente registrado la semana pasada en el Boulevard Minero en Pachuca, el sistema de transporte convencional de Hidalgo informó que la unidad del transporte público involucrada no contaba con póliza de seguro vigente, aunque el conductor de 39 años tenía tarjetón vigente ya se inició un procedimiento administrativo que podría derivar en la revocación de la concesión. AUDIO DE APOYO</t>
  </si>
  <si>
    <t>Con apoyo de autoridades del estado de Querétaro, fue detenido un hombre identificado con las iniciales HMH, señalado como probable responsable del delito de homicidio doloso calificado ocurrido en Tlahuelilpan. De acuerdo con las investigaciones, el imputado presuntamente agredió con un arma blanca a una persona identificada con las iniciales JJH en hechos registrados en la colonia Centro. La víctima fue trasladada a un hospital, sin embargo, días más tardes, perdió la vida a consecuencia de las lesiones. Tras integrar la carpeta de investigación, el Ministerio Público obtuvo una orden de aprehensión contra el probable responsable, quien fue localizado en Querétaro mediante acciones coordinadas entre autoridades de ambas entidades,</t>
  </si>
  <si>
    <t>Una mujer identificada como María Magdalena de 51 años de edad fue detenida en Hidalgo tras ser señalada como probable responsable del homicidio de su expareja sentimental en el estado de Aguascalientes.Según las indagatorias, el ataque ocurrió durante la noche del 12 de abril en una vivienda ubicada en el fraccionamiento Paseos de San Antonio. Presuntamente, la ahora detenida habría utilizado combustible para incendiar a Rogelio, de 51 años de edad.</t>
  </si>
  <si>
    <t>La Procuraduría General de Justicia de Hidalgo informó sobre la detención de un hombre investigado por homicidio doloso calificado, tras permanecer prófugo de la justicia, de acuerdo con la Procuraduría, el imputado identificado con las iniciales HMH, es señalado por atacar con arma blanca a una persona, cuando se encontraba sobre la avenida del Ejido, en la colonia centro de Tlahuelilpan, a un costado del auditorio ejidal, la víctima sufrió múltiples lesiones y fue trasladada a un hospital, donde días después perdió la vida a consecuencia de las heridas, tras las investigaciones el Ministerio Público obtuvo una orden de aprehensión y mediante labores de coordinación interestatal, agentes de la Agencia de Investigación Criminal, lograron detener al probable responsable en Querétaro, con apoyo de la Fiscalía de esa entidad, y el detenido fue trasladado al Cereso de Mixquiahuala, donde quedó a disposición de la Autoridad Judicial, para continuar con el proceso legal,</t>
  </si>
  <si>
    <t>Un hombre resultó lesionado tras un ataque con arma blanca registrado en la comunidad de Cañada de Madero, en el municipio de Tepeji del Río de Ocampo, de acuerdo con el reporte oficial se alertó sobre una agresión, por lo que elementos de la Secretaría de Seguridad Pública se movilizaron de manera inmediata al lugar, al arribar los uniformados confirmaron el ataque y solicitaron el apoyo de protección civil, quienes brindaron atención y trasladaron al lesionado a un hospital, durante el operativo y con apoyo de la policía industrial bancaria del estado de Hidalgo, fue detenido en el sitio un hombre de 29 años de edad, quien presuntamente portaba un arma blanca entre sus pertenencias.</t>
  </si>
  <si>
    <t>El presidente municipal de El Arenal, Jensen Benony Oropeza Pérez, luego de que presuntamente en grabación solicitara apoyo en redes sociales para impulsar la imagen del diputado local.</t>
  </si>
  <si>
    <t>Audioescándalo</t>
  </si>
  <si>
    <t>Hubo muchas opiniones encontradas en este tema, sobre todo en redes sociales, sobre este tipo de situaciones, lo importante siempre es priorizar la vida de las y los jóvenes, las mujeres, y pues sin duda fue escandaloso, por los videos que se publicaron en redes sociales, de cómo, pues esta mujer, al parecer personal de un anexo, fue por ella a su casa, y pues hay un video de esto, lamentablemente, pues este tipo de situaciones también merma muchas veces, las búsquedas reales de personas no localizadas, es la situación que se vive aquí en nuestro estado, así que, pues hay que tener mucho cuidado, comunicación sobre todo, y pues tener siempre contacto con las autoridades, ante cualquier situación que se llegue a presentar</t>
  </si>
  <si>
    <t>Elementos de la dirección de seguridad pública y tránsito municipal de Mixquiahuala, aseguraron una camioneta en la colonia Morelos, cerca del canal Requena, que transportaba un contenedor con presuntas características de hidrocarburo, el vehículo y el material fueron puestos a disposición de las autoridades para las investigaciones correspondientes.</t>
  </si>
  <si>
    <t>Como resultado de operativo coordinado de la Secretaría de Seguridad Pública de Hidalgo (SSPH), en coordinación con la Procuraduría General de Justicia del Estado de Hidalgo (PGJEH) y la Secretaría de la Defensa Nacional (Sedena), fueron aseguradas más de 1182 dosis de presunta droga, dinero en efectivo, entre moneda nacional y extranjera, así como un vehículo presuntamente relacionado con actividades ilícitas, fueron asegurados durante un cateo en el municipio de Tenango de Doria, las autoridades intervinieron un inmueble identificado como punto de venta y distribución de narcóticos en la región, donde fue detenido un hombre presuntamente relacionado con estas actividades, en el sitio fueron decomisadas más de 1067 dosis de hierba seca, con características de la marihuana, 117 dosis de sustancia granulada, similar al cristal, una báscula gramera, dos equipos de telefonía celular, dinero en efectivo entre pesos y dólares, en diferentes denominaciones, además de un vehículo presuntamente asociado a estas conductas delictivas,</t>
  </si>
  <si>
    <t>Más de 1182 dosis de presunta droga, dinero en efectivo, entre moneda nacional y extranjera, así como un vehículo presuntamente relacionado con actividades ilícitas, fueron asegurados durante un cateo en el municipio de Tenango de Doria, las autoridades intervinieron un inmueble identificado como punto de venta y distribución de narcóticos en la región, donde fue detenido un hombre presuntamente relacionado con estas actividades, en el sitio fueron decomisadas más de 1067 dosis de hierba seca, con características de la marihuana, 117 dosis de sustancia granulada, similar al cristal, una báscula gramera, dos equipos de telefonía celular, dinero en efectivo entre pesos y dólares, en diferentes denominaciones, además de un vehículo presuntamente asociado a estas conductas delictivas,</t>
  </si>
  <si>
    <t>El encargado del despacho de la Procuraduría General de Justicia del Estado de Hidalgo (PGJEH), Francisco Fernández Hasbun, señaló que hay una persona prófuga en el caso de los nueve policías de Progreso de Obregón detenidos por los delitos de homicidio doloso calificado y lesiones, se trata del director de Seguridad Pública municipal</t>
  </si>
  <si>
    <t>Detención de policía</t>
  </si>
  <si>
    <t>Julio Menchaca Salazar, encabezó la séptima sesión ordinaria del espacio de liberación de las comisiones estatales para la planeación de la educación superior, encuentro que reunió autoridades educativas de distintas entidades del país para abordar los desafíos y perspectivas del sistema universitario nacional. Durante la sesión del mandatario estatal destacó la relevancia de fortalecer la vinculación entre las instituciones académicas y el sector productivo, al señalar que uno de cada tres hidalguenses forma parte actualmente del sistema educativo estatal ,AUDIO APOYO JMS y NC</t>
  </si>
  <si>
    <t>En otra información, el gobernador Julio Menchaca Salazar encabezó la séptima sesión ordinaria del espacio de deliberación de las comisiones estatales para la planeación de la educación superior, donde reafirmó el compromiso de Hidalgo con una educación superior más incluyente, innovadora y vinculada al desarrollo económico. Durante el encuentro con autoridades educativas de todo el país, el mandatario destacó la fortaleza del sistema educativo hidalguense, conformado por universidades tecnológicas, politécnicas y la Universidad Autónoma del Estado de Hidalgo, además de señalar que más del 45% del presupuesto estatal se destina al sector educativo.Menchaca Salazar subrayó que uno de cada tres hidalguenses forma parte del sistema educativo, por lo que insistió en la necesidad de fortalecer la relación entre la academia y el sector productivo para generar mayores oportunidades para las y los jóvenes. Por su parte, Ricardo Villanueva Lomelí, subsecretario de Educación Superior del Gobierno de México, señaló que este espacio permite analizar los retos actuales de la educación superior, como la inteligencia artificial y las nuevas tecnologías. AUDIO DE APOYO JMS</t>
  </si>
  <si>
    <t>La Dirección de Desarrollo Agropecuario de Tetepango, encendió las alertas sanitarias y reforzó los recorridos de inspección en el municipio, tras confirmarse dos casos positivos de miasis por gusano barrenador, uno en un ejemplar ovino de la Colonia Morelos, y otro más en un perro de raza Bulldog, en el barrio de Nicolás Bravo.</t>
  </si>
  <si>
    <t>Radioescucha reportó por vía WhatsApp haber sido víctima de un presunto intento de extorsión, por la modalidad de “montachoques” sobre la carretera Tula – Jorobas. La familia relató que solicitó apoyo al número de emergencia 911 y nunca llegó el apoyo. Ante la situación, lograron alejarse de los vehículos involucrados y comentaron que los autos portaban rotulación de taxi de Atotonilco de Tula. Hacen invitación a las autoridades para que tomen cartas en el asunto y frenen esta modalidad de extorsión..</t>
  </si>
  <si>
    <t>Las nuevas unidades del transporte público en Pachuca entrarán en operación el próximo 1 de junio. El gobernador Julio Menchaca Salazar detalló que actualmente 80 autobuses son rehabilitados y los operadores reciben capacitación para mejorar el servicio en la zona metropolitana. AUDIO DE APOYO JMS</t>
  </si>
  <si>
    <t>En entrevista para Enfoque Regional, el presidente municipal de Tula, Cristhian Martínez Reséndiz, detalló los recorridos que realiza en distintas comunidades del municipio para supervisar y entregar obras de infraestructura y mejoramiento urbano; de igual forma, el alcalde habló del nuevo relleno sanitario de Tula. Comentó que se esta supervisando el recurso que se ortorgo a las colonias. Y tambien informó que en 15 dias esta listo el nuevo relleno sanitario, ya el día lunes se estara restableciendo la operatividad de la recoleción de basura, AUDIO APOYO</t>
  </si>
  <si>
    <t>Obras De Infraestructura</t>
  </si>
  <si>
    <t>En este momento, vecinas y vecinos de la comunidad de la Cañada en el municipio de Atotonilco de Tula se manifiestan de manera pacífica por un terreno que era destinado para que fuera panteón y ahora lo pretenden destinar para 200 viviendas del programa de Viviendas para el Bienestar.</t>
  </si>
  <si>
    <t>Plan Nacional De Vivienda</t>
  </si>
  <si>
    <t>Como protesta para que le cambien de intendente, piden una respuesta por parte de las autoridades educativas. Pues la verdad el problema del cual tratamos con el supervisor y la directora es de que el señor que está encargado de la limpieza, pues no lo hace de la manera correcta. Ya lleva 5 años aquí en la escuela y es el mismo problema de siempre. O sea, le pedimos que haga la limpieza, no lo hace de la manera correcta y la escuela siempre está en pésimas condiciones. Entonces queremos que nos den una solución y ya no queremos seguir aguantando al señor porque no le interesa su trabajo.</t>
  </si>
  <si>
    <t>Un operativo coordinado entre la Policía Municipal y la Policía Estatal permitió recuperar un tractocamión con maquinaria pesada que había sido robado sobre la carretera Tula–Tlahuelilpan, a la altura de la azulejera Gersa.De acuerdo con el reporte oficial, el conductor de la unidad fue interceptado por dos sujetos mientras circulaba por la zona y posteriormente despojado del vehículo.</t>
  </si>
  <si>
    <t>Radioescucha José Arturo Villamil de Tula nos pregunta qué piden para registrar el número, será que nos quieren tener controlados, es el sentir del señor José Arturo Villamil, mire el objetivo de acuerdo a lo que expuso el gobierno federal cuando presentó este proyecto, es que se registren las líneas telefónicas y eliminar el anonimato de los números móviles, busca el gobierno federal vincular cada línea a un titular para combatir delitos como la extorsión, el fraude y el secuestro, es lo que expuso el gobierno federal en su momento, pero hay algunas preguntas recurrentes que se tienen en esta incertidumbre de la ciudadanía, que pues se han realizado en las últimas semanas, ¿es obligatorio registrarse?, sí, es obligatorio para todas las compañías, estamos hablando de Telcel, Movistar, AT&amp;T, CFE Internet, entre otras, ¿cuál es la fecha límite?, ya la escuchábamos hasta el 30 de junio de este año, ¿qué datos se requieren?, se necesita INE y CURP, el titular de la línea, el trámite lleva no más de cinco minutos, ¿dónde se hace el registro?, en el enlace oficial de la compañía telefónica que usted tenga o en el centro de atención a clientes, es inmediato o puede registrarse en cualquier momento antes de la fecha límite del 30 de junio</t>
  </si>
  <si>
    <t>Registro de celulares</t>
  </si>
  <si>
    <t>Se tiene hasta el 30 de junio como plazo vigente y es que, recuerde usted, no sé si lo tenga en cuenta, pero tiene que registrar su línea telefónica, le van a pedir su CURP y su INE, pero lamentablemente ni siquiera el 20% de los usuarios ha hecho este registro. La información la presenta Claudia Alcántara. La fecha límite para registrar las líneas telefónicas celulares en México es el 30 de junio del 2026. Después de esa fecha, las líneas que no estén vinculadas a CURP o RFC podrían ser suspendidas por las compañías telefónicas. Hasta el momento no hay cifra oficial específica para Hidalgo sobre cuántas personas han registrado su línea telefónica. Los datos difundidos por la Comisión Reguladora de Telecomunicaciones son nacionales. Los círculos son que apenas llevamos el 15% de las líneas totales en México y que a mayo estábamos cerca de los 28 o 30 millones de líneas registradas. Y hay que entender que el 80% de las líneas son de prepago, es decir, que son las que se tienen que registrar. Y yo veo muy difícil que se pueda hacer un registro diario de casi 2.2 millones de líneas diarias para alcanzar la meta del 30 de junio.</t>
  </si>
  <si>
    <t>En México, 150 municipios aún no cuentan con servicio de recolección de basura, lo que representa más de 528 toneladas de desechos sin recoger cada día. Hablando de este problema de la basura, que no es exclusivo de Tula, del estado de Hidalgo, sino a nivel nacional, hay un problema grave. Aquí en Hidalgo la entidad genera más de 3,237 toneladas diarias de residuos, pero solo se recolectan en promedio 1,815, es decir apenas el 56%. De acuerdo con el diagnóstico básico para la gestión integral de los residuos, en la entidad hay dos municipios que no cuentan con servicio de recolección de basura y otros más que tienen problemas con su recolección de basura por falta de relleno sanitario.El manejo integral de residuos, desde su separación, reutilización y reciclaje, hasta su disposición final, es una práctica que hace falta entre la sociedad. La verdad es que somos muy inconscientes y tiramos la basura así en su lugar, pero no nos damos cuenta cuál es orgánica y no orgánica. Sí, claro, el PET, las latas de atún, de sardina, de leche, todo eso lo reciclamos, porque es fomentar la educación para tener un país más limpio, porque realmente ahorita con todo esto de las inundaciones es precisamente por eso, porque toda la gente tira todo a la calle.</t>
  </si>
  <si>
    <t>En este encuentro con medios de comunicación también se le preguntó al gobernador sobre el problema de la basura en la región de Tula. Esto fue lo que dijo. Gobernador, para la basura en Tula, ¿sí dice que la mesa del de diálogo se dice que ya le pertenece el terreno a Pemex? Afortunadamente hay una deuda con el gobierno del estado, hemos disminuido la deuda pública desde que entramos, 37%. Pero ya Pemex está junto con el gobierno federal publicando alternativas que además sean aprobadas por la sociedad. En un ejercicio que se dio en meses anteriores, pues hubo un rechazo. Y más falta de información, pero que nos hubieron resuelto el tema de 400 tiraderos en los municipios aledaños. AUDIO DE APOYO DE JMS</t>
  </si>
  <si>
    <t>La Procuraduría General de Justicia de Hidalgo informó que un hombre identificado con iniciales JLSP fue sentenciado a 78 años de prisión por los delitos de secuestro agravado y robo de vehículo tras las investigaciones realizadas por la unidad especializada en el combate al secuestro. Los hechos ocurrieron el 10 de febrero de 2025 en Tula de Allende, cuando la víctima fue privada de su libertad mientras viajaba en su automóvil. Posteriormente, familiares recibieron llamadas en las que se exigían 150 mil pesos para su liberación. Derivado de la denuncia, los agentes implementaron un operativo que permitió la detención del imputado cuando circulaba en el vehículo de la víctima, quien ya se encontraba a salvo. Tras el desahogo del proceso penal, un tribunal de enjuiciamiento dictó sentencia condenatoria de 70 años de prisión por secuestro agravado y 8 más por robo de vehículo. Tras el desahogo del proceso penal, un tribunal de enjuiciamiento dictó sentencia condenatoria de 70 años de prisión por secuestro agravado y 8 más por robo de vehículo</t>
  </si>
  <si>
    <t>La diputada Tania Meza Escorza reiteró su postura respecto a la inconstitucionalidad de la consulta ciudadana planteada para definir la continuidad de las corridas de toros aquí en Hidalgo. AUDIO APOYO</t>
  </si>
  <si>
    <t>La presidenta de la Comisión de Legislación y Puntos Constitucionales del Congreso de Hidalgo Lizbeth Iraís Ordaz, informó que los plazos para el análisis de la iniciativa que busca erradicar la tauromaquia en la entidad quedaron suspendidos luego de la aprobación de la consulta relacionada con la continuidad o abolición de esta actividad, AUDIO APOYO</t>
  </si>
  <si>
    <t>El gobernador Julio Menchaca habló sobre el video difundido por la actriz y activista Kate del Castillo, en donde solicitó al mandatario su colaboración en la prohibición de la corrida de toros en el estado de Hidalgo. AUDIO APOYO JMS</t>
  </si>
  <si>
    <t>TV Cable hidalguense Canal 6</t>
  </si>
  <si>
    <t>Contigo Noticias</t>
  </si>
  <si>
    <t>Contraloría Social</t>
  </si>
  <si>
    <t>Exigen rehabilitación vial</t>
  </si>
  <si>
    <t>Ultra 102.9 FM</t>
  </si>
  <si>
    <t>Ultra Noticias1</t>
  </si>
  <si>
    <t>Daniel Martínez</t>
  </si>
  <si>
    <t>Autoridades detuvieron en Hidalgo a una mujer de 51 años identificada como María Magdalena, quien era buscada por su presunta participación en un ataque ocurrido en Aguascalientes, donde un hombre perdió la vida tras sufrir severas quemaduras. La mujer permanecía fuera del alcance de las autoridades desde abril pasado y recientemente fue localizada para posteriormente ser entregada a las autoridades de Aguascalientes, entidad donde enfrentará cargos por homicidio doloso. Según las indagatorias, el ataque ocurrió durante la noche del 12 de abril en una vivienda ubicada en el fraccionamiento Paseos de San Antonio. Presuntamente, la ahora detenida habría utilizado combustible para incendiar a Rogelio, de 51 años de edad.</t>
  </si>
  <si>
    <t>En cabina Dania Arlet Méndez Jiménez es la titular de la Instancia Municipal de la Juventud (IMJ) en Tulancingo informó que el 2 de junio se realizará un Foro Juvenil por la Paz, el Diálogo, la Cultura y la Juventud, por lo que invita a los jóvenes de 16 a 29 años de edad a inscribirse y participar. El objetivo es dar apertura y voz a las juventudes para crear políticas publicas en favor de este sector.</t>
  </si>
  <si>
    <t>Atención a jóvenes</t>
  </si>
  <si>
    <t>La titular de la Secretaría de Turismo de Hidalgo, Elizabeth Quintanar Gómez, señaló que la decisión dependerá de los recursos que autoricen tanto la Oficialía Mayor como los ayuntamientos interesados en organizar este tipo de eventos. La funcionaria explicó que la presidenta de México, Claudia Sheinbaum Pardo, planteó la posibilidad de que gobiernos estatales y pueblos mágicos buscaran mecanismos para que la población pudiera ver gratuitamente los encuentros deportivos; sin embargo, reconoció que los costos son demasiado elevados. Quintanar Gómez aclaró que no existe una instrucción oficial para realizar las transmisiones y mostró una tabla con los gastos estimados relacionados con señal, pantallas, audio, iluminación, publicidad y operación técnica. De acuerdo con los cálculos presentados, transmitir cinco partidos de la selección mexicana durante ocho días para un aforo de 250 personas con carpa tendría un costo superior a los 10 millones de pesos. En un escenario para 10 mil asistentes, la cifra podría alcanzar hasta 50 millones de pesos.</t>
  </si>
  <si>
    <t>A partir del 1 de junio próximo, el Gobierno del Estado de Hidalgo retomará la administración y operación del sistema de transporte público masivo de pasajeros, conocido como Tuzobús, en la ciudad de Pachuca. El gobernador de Hidalgo, Julio Menchaca Salazar, confirmó a su vez que desde el próximo lunes comenzarán a circular las nuevas unidades del Tuzobús, cuya renta de 80 autobuses costó más de 662 millones de pesos. La actual concesionaria del sistema de transporte, Lusa S.A. de C.V., concluye el servicio el 31 de mayo, por lo que será el Sistema Integrado de Transporte Masivo de Hidalgo (Sitmah) el organismo encargado de la operación del Tuzobús. Menchaca Salazar señaló que la decisión busca garantizar un servicio “eficiente, menos oneroso para los hidalguenses y con responsabilidad ambiental”, además de evitar que el sistema quede nuevamente en manos de particulares. Señaló que aunque futuras administraciones podrían modificar el modelo, la intención de su gobierno es consolidar la operación pública del sistema de transporte masivo. El Tuzobús también fue operado por el Corredor Felipe Ángeles S.A.P.I. de C.V. y posteriormente por Vanguardia y Cambio S.A. de C.V., tras diversos litigios y revocaciones de concesión ocurridos desde 2019. Menchaca explicó que el gobierno estatal ya realizó la inversión para renovar la flotilla y adelantó que el nuevo esquema contempla 80 autobuses y 60 rutas alimentadoras, cuyos operadores serán contratados bajo supervisión estatal. Cabe recordar que recientemente se adquirieron unidades mediante un esquema de arrendamiento por más de 662 millones de pesos con la empresa Rommify Capital S.A. de C.V., contrato que incluye mantenimiento, seguros y cobertura operativa.</t>
  </si>
  <si>
    <t>Bajo la premisa de fortalecer la protección de los derechos humanos de personas internadas en centros de rehabilitación, mejor conocidos como anexos, el diputado Avelino Tovar Iglesias propuso reformar la Ley de Salud estatal y establecer nuevas obligaciones para los establecimientos especializados en adicciones. La propuesta plantea adicionar el artículo 141 Bis a la Ley de Salud para el Estado de Hidalgo, a fin de obligar a los llamados anexos y centros de rehabilitación a garantizar en todo momento el respeto a la dignidad, integridad física y mental y derechos humanos de las personas usuarias. Entre las medidas planteadas destaca la prohibición expresa de actos de maltrato, castigos corporales, aislamiento arbitrario, violencia física, psicológica o emocional, así como cualquier práctica que atente contra la dignidad de las personas en tratamiento. La iniciativa forma parte de una propuesta orientada a fortalecer la supervisión sanitaria y la profesionalización de los establecimientos dedicados a la atención de personas con consumo problemático o dependencia a sustancias psicoactivas.</t>
  </si>
  <si>
    <t>Con el propósito de establecer sanciones más severas para deudores alimentarios reincidentes con penas de seis y hasta 10 años de prisión, legisladores locales presentaron una iniciativa que reforma el Código Penal para el Estado de Hidalgo. En reciente sesión ordinaria, integrantes de la 66 Legislatura presentaron la propuesta para sancionar con mayor rigor a deudores alimentarios que de manera reiterada y sistemática, incumplen con sus obligaciones pese a la existencia de resoluciones judiciales o antecedentes previos de incumplimiento. Durante la exposición de motivos se mencionó que la reincidencia en ese tipo de conductas evidencia no solamente un desacato persistente frente a la autoridad. También una actitud dolosa y de abandono hacia las personas acreedoras alimentarias, quienes continúan siendo afectadas por la falta de recursos indispensables para su desarrollo y bienestar. Diputados locales precisaron que desde 2019 y hasta 2025, alrededor de 500 personas han sido registradas como deudores alimentarios en Hidalgo. Mientras que según cifras oficiales del primer trimestre de 2026 revelan que el incumplimiento de pensión alimenticia aumentó 92 por ciento. Por lo que con la propuesta se busca que las personas se hagan responsables de las obligaciones económicas que tienen para con sus hijos.</t>
  </si>
  <si>
    <t>Como parte de la dinámica de contacto ciudadano permanente que impulsa el gobierno municipal, la presidenta de Tulancingo, Lorena García Cázares, realizó una nueva visita de obra en la localidad de La Lagunilla, donde sostuvo un diálogo abierto con vecinos y beneficiarios de la construcción de guarniciones y banquetas en la calle Los Pinos. Las y los habitantes expresaron de manera directa sus inquietudes, necesidades y planteamientos relacionados con el desarrollo de la comunidad, mismos que fueron escuchados y atendidos por la alcaldesa y funcionarios municipales presentes. La presidenta municipal destacó que, cuando sociedad y gobierno trabajan de manera coordinada, los resultados se traducen en mejoras tangibles para la población y en una transformación construida con responsabilidad, visión social y cercanía ciudadana. Asimismo, señaló que esta obra representa un paso importante para continuar llevando bienestar y mejores condiciones de vida a las familias de La Lagunilla, particularmente en temas relacionados con seguridad peatonal, movilidad y orden urbano. Informó que se realizaron trabajos de construcción de guarniciones y banquetas, con una inversión total de 297 mil 529 pesos con 59 centavos. Además, como obra complementaria, anunció una inversión cercana a 1.4 millones de pesos para la construcción de pavimento hidráulico en la calle Los Pinos.</t>
  </si>
  <si>
    <t>Supervisión de obra</t>
  </si>
  <si>
    <t>Vía telefónica el reporte de Bombero y Protección Civil con Abner Yáñez informa de las diversas emergencias reportadas por la ciudadanía y que fueron atendidas.</t>
  </si>
  <si>
    <t>Habitantes de la zona habitacional La Minera, desde hace tiempo se quejan de la falta de señal telefónica móvil tras presunta instalación de antena inhibidora en el Cereso de Tulancingo, para evitar que las personas privadas de su libertad puedan hacer uso de algún celular. Se ha solicitado a las autoridades para que ofrezcan una solución definitiva para garantizar la comunicación móvil, aunque reconocen que sí han sido atendidos, pero no hay solución. En caso de emergencia están incomunicados. Hacen un nuevo llamado a las autoridades para llegar a una solución concreta, ante esta situación que se ha vuelto una problemática.</t>
  </si>
  <si>
    <t>Inhibidor de señal</t>
  </si>
  <si>
    <t>Con la intención de fortalecer el sector apícola y promover el cuidado de las abejas, la Secretaría del Campo de Tulancingo trabaja en la creación de una Escuela del Campo especializada en apicultura, proyecto que se desarrolla en conjunto con la Secretaría de Agricultura federal. El secretario del Campo, Hugo Flores Jiménez, informó que esta iniciativa busca preparar a nuevos productores mediante capacitaciones relacionadas con el manejo de colmenas, producción de miel y preservación de polinizadores, además de incentivar que más personas se interesen en esta actividad. Explicó que uno de los retos principales es evitar que la apicultura desaparezca con el paso de los años, debido a la falta de relevo generacional entre quienes actualmente se dedican a esta labor. Como parte de la estrategia, se contempla la instalación de jardines polinizadores dentro de la Escuela del Campo, espacios que permitirán mejorar las condiciones para las abejas y al mismo tiempo favorecer la polinización de cultivos agrícolas. El funcionario señaló que actualmente buscan apoyo de dependencias gubernamentales para acondicionar áreas adecuadas que faciliten tanto el cuidado de las abejas como la producción de miel.</t>
  </si>
  <si>
    <t>Apicultura</t>
  </si>
  <si>
    <t>Hasta el momento no se ha registrado ninguna muerte de ganado a causa de gusano barrenador, aseguró Napoleón González Pérez, titular de la Secretaría de Agricultura y Desarrollo Rural del Estado de Hidalgo (Sedagroh). Puntualizó que a causa del parásito, sólo hay registro de fallecimiento de un animal en situación de calle en semanas recientes, recordando que también se han conocido y atendido casos en otras especies, sobre todo perros. Tras finalizar entrega de apoyos para productores agrícolas en el municipio de Tulancingo, el funcionario informó en entrevista que de los 545 casos de gusano barrenador registrados en 58 municipios de la entidad, en el 70 por ciento de los casos ya se han recuperado. Señaló que el resto de los casos tienen buen desarrollo en su estado de salud, por lo que se espera que en breve sea completa su recuperación.Reconoció que en los hatos donde se ha registrado presencia de gusano barrenador se ha detenido momentáneamente la comercialización del ganado hasta garantizar la recuperación de los ejemplares afectados.</t>
  </si>
  <si>
    <t>La Fiscalía General de la República (FGR) obtuvo una sentencia condenatoria de más de 5 años de prisión contra Jorge "N" y dos cómplices, tras ser detenidos por la portación de arma de fuego sin licencia y portación de arma de uso exclusivo del Ejército.</t>
  </si>
  <si>
    <t>En Ixmiquilpan circula un video en el que se ve a unas personas que cargaban gasolina sobre el bulevar principal y en donde se ve a plena luz del día, como varias personas a bordo de una camioneta blanca van armados y la gente optó por esconderse o ponerse salvo. En este lugar la violencia y la delincuencia se han desatado.</t>
  </si>
  <si>
    <t>Inseguridad</t>
  </si>
  <si>
    <t>La madrugada de este viernes, cuatro personas resultaron lesionadas en un incidente vial que se presentó en Ixmiquilpan. De acuerdo con la Policía municipal, el percance se presentó en la comunidad Lázaro Cárdenas, donde una camioneta impactó contra una barda.</t>
  </si>
  <si>
    <t>El DIFH a las 11 de la mañana tendrá un evento con las procuradurías de la defensa del menor.</t>
  </si>
  <si>
    <t>Protección del menor</t>
  </si>
  <si>
    <t>El Instituto Estatal Electoral de Hidalgo (IEEH) informó sobre la aplicación de sanciones económicas cercanas a los 10 millones de pesos contra tres partidos políticos, derivadas de observaciones realizadas durante procesos de fiscalización relacionados con el manejo de recursos públicos. El consejero del IEEH Alfredo Alcalá Montaño detalló que las multas fueron determinadas tras detectarse inconsistencias en la comprobación de gastos, deficiencias administrativas y anomalías financieras señaladas por la autoridad electoral federal. © 2025 Imagen - Excélsior. Todos los derechos reservados. El contenido de este sitio y de la edición impresa está protegido por la Ley Federal del Derecho de Autor. Prohibida la reproducción total o parcial sin autorización previa y por escrito. El material de terceros conserva sus propios derechos.</t>
  </si>
  <si>
    <t>IEEH</t>
  </si>
  <si>
    <t>Multas Partidos</t>
  </si>
  <si>
    <t>Recuperan tractocamión robado: transportaba maquinaria pesada</t>
  </si>
  <si>
    <t>Dos personas lesionadas es el saldo de un accidente vehicular registrado sobre la carretera México–Pachuca, luego de que una camioneta Renault terminara volcada a la altura del kilómetro 66, en la zona del municipio de Tolcayuca, casi en el cruce con el Arco Norte. Elementos de la Guardia Nacional les dieron atención.</t>
  </si>
  <si>
    <t>En Tizayuca fue detenido un hombre que era buscado por autoridades de Oaxaca</t>
  </si>
  <si>
    <t>Como parte de la atención a las afectaciones ocasionadas por las lluvias registradas la tarde de ayer, cuadrillas operativas de la Secretaría de Obras Públicas de Pachuca, realizaron acciones de limpieza y retiro de material en distintos puntos de la capital para restablecer condiciones adecuadas de movilidad. En el bulevar Minero, en el tramo que va del Panteón Municipal al Centro de Reinserción Social, se efectuó limpieza manual y retiro de lodo con apoyo de retroexcavadora y camión de volteo, extrayendo alrededor de siete metros cúbicos de material. En la lateral del bulevar Santa Catarina, a la altura del fraccionamiento Parque Esmeralda, se retiraron cerca de 10 metros cúbicos mediante maniobras con maquinaria pesada.</t>
  </si>
  <si>
    <t>Atención Afectaciones Por Lluvias</t>
  </si>
  <si>
    <t>El Ayuntamiento de Pachuca abrió a la circulación la primera etapa rehabilitada de la calle Miguel Ramos Arizpe, una vía estratégica del Centro Histórico que permitirá mejorar la movilidad y conectividad en la zona. Con esta intervención, automovilistas y peatones ya pueden transitar por una calle con mejores condiciones de seguridad y circulación. El alcalde Jorge Reyes señaló que estas acciones forman parte de la estrategia de recuperación urbana y del mejoramiento de la infraestructura de la capital hidalguense.</t>
  </si>
  <si>
    <t>Tren México-Querétaro impulsará movilidad y nuevas inversiones en la región Tula</t>
  </si>
  <si>
    <t>Tren México Querétaro</t>
  </si>
  <si>
    <t>Promueve DIF Hidalgo salud mental y física a través del conversatorio “Más Allá de un Gol”</t>
  </si>
  <si>
    <t>Andrés Torres comenta que le mandaron un mensaje con todo y fotografías en donde le mencionan que la semana pasada hubo un festejo en las instalaciones de UECS. da lectura al mensaje que le mandan: Hubo de todo, muchachos bailando a las secretarias, ministerios públicos, mujeres guapas que cobraron, así como wiski y tequila a más no poder, hasta disparos de arma de fuego al aire. Todo dentro de las instalaciones de la Unidad Especializada de Combate al Secuestro, por supuesto organizado por el flamante director el Maestro Manuel García guzmán, quien junto con todos los servidores públicos, agentes de investigación y peritos hicieron uso de manera incorrecta de las instalaciones de la UECS, pues se divierten como enanos en Disneylandia. Estas fiestas se organizan periódicamente, por lo menos una vez al mes. A ver qué dice el encargado del Despacho de la procuraduría General de Justicia del Estado, el señor Francisco Fernández Hasbun. Como se sabe la Ley General y el Sistema General de Seguridad Pública establece este tipo de cuestiones como faltas graves y pueden ser sancionados con la separación del cargo. El ingerir bebidas embriagantes dentro del horario laboral y dentro de las instalaciones de la institución, así como también sanciones administrativas, es decir inhabilitaciones por utilizar las instalaciones como centro de festejos de manera recurrente. Andrés, señala que le mandaron 5 fotografías y un video, que ha sido distribuido a varios medios y que ya le envió a Iram González.</t>
  </si>
  <si>
    <t>Andrés Torres reitera que la estación del 1010 AM de la huasteca El Vocero Huasteco sigue fuera del aire y se acumulan las semanas y ojalá les ayuden a resolver este asunto, porque al área administrativa le ha sido imposible. Hay gasolina para todo menos para lo que se necesita, menos para lo importante, pero para fiestas todos los días para eso sí hay recursos.</t>
  </si>
  <si>
    <t>SEPH y CCEH impulsan liderazgo juvenil con “Presidente por un Día”</t>
  </si>
  <si>
    <t>Menchaca supervisa en Tetepango obras que fortalecen la conectividad regional</t>
  </si>
  <si>
    <t>En Ajacuba, Menchaca Salazar subraya resultados de la transformación con obra y bienestar social</t>
  </si>
  <si>
    <t>Este jueves se registró un incendio al interior de la empresa Hidrocarburos de Hidalgo, luego de que un tanque de asfalto explotó y generó el siniestro. La empresa, ubicada sobre la carretera local Conejos-Atotonilco, en la localidad de Progreso, municipio de Atotonilco de Tula, notificó lo sucedido a las autoridades, a través del número de emergencias. Al sitio acudieron elementos de Protección Civil de Atotonilco de Tula, quienes trabajaron de manera coordinada para sofocar las llamas y controlar la situación, evitando mayores afectaciones dentro de las instalaciones. Luego de varios minutos de labores, las autoridades lograron contener el incendio; sin embargo, hasta el momento no se ha informado de manera oficial si existen personas lesionadas derivado de este incidente.</t>
  </si>
  <si>
    <t>Conato de incendio</t>
  </si>
  <si>
    <t>La Procuraduría General de Justicia del Estado de Hidalgo (PGJEH) mantiene bajo medidas de protección a un testigo relacionado con el caso de los nueve policías municipales de Progreso de Obregón procesados por homicidio doloso calificado y lesiones, mientras que el exdirector de Seguridad Pública del municipio continúa prófugo. El encargado del despacho de la PGJEH, Francisco Fernández Hasbun, informó que el exmando policial es investigado por su probable relación con los hechos ocurridos el pasado 13 de mayo y aseguró que ya es buscado por las autoridades. “Hay una persona prófuga relacionada con los hechos; la estamos buscando y pronto va a caer”, declaró el funcionario estatal. Fernández Hasbun explicó que recientemente falleció el cuñado de la víctima sobreviviente y no él, cómo se manejó en algunas versiones. Asimismo, indicó que, por ahora, no se ha solicitado ficha roja de Interpol ni alerta migratoria para localizar al exdirector fuera del país, aunque señaló que las autoridades continúan con el proceso para lograr su captura.</t>
  </si>
  <si>
    <t>Tras la aprobación del decreto global para financiamiento a los municipios afectados por la vaguada monzónica, hasta la fecha Tepehuacán de Guerrero y La Misión solicitaron adherirse para pedir crédito, informó Salvador Tallabs Rubio, gerente ejecutivo de Banobras en Hidalgo. El también representante legal del Banco Nacional de Obras y Servicios Públicos (Banobras) indicó que de los 26 municipios que contempla el decreto aprobado por el Congreso de Hidalgo la primera quincena de mayo, dos ya se acercaron a la institución. Detalló que los municipios restantes que quieran solicitar financiamiento, tienen a más tardar mes y medio para hacer el trámite, ya que Banobras debe firmar el contrato, para registrar la deuda a través de la Secretaría de Hacienda estatal, y posteriormente hacer el desembolso.</t>
  </si>
  <si>
    <t>Financiamiento</t>
  </si>
  <si>
    <t>El gobernador de Hidalgo, Julio Menchaca Salazar, instruyó a la Secretaría de Movilidad y Transporte a revisar las concesiones del transporte público convencional para verificar que todas las unidades cuenten con pólizas de seguro actualizadas. La medida surge tras el accidente registrado el pasado 20 de mayo en el bulevar Minero, donde una unidad de la ruta Tilcuautla–Plaza Juárez volcó y dejó varias personas lesionadas. Posteriormente, familiares de las víctimas denunciaron presuntas irregularidades y deficiencias en la atención médica brindada. Ante esta situación, el mandatario estatal informó que las personas afectadas fueron atendidas en instituciones públicas de salud, aunque señaló que ordenó a la Secretaría de Salud mantener seguimiento puntual a cada caso. Menchaca Salazar indicó que la titular de la dependencia, Vanesa Escalante Arroyo, deberá supervisar personalmente que los lesionados reciban la atención necesaria y el acompañamiento correspondiente. En materia de transporte, el gobernador advirtió que las autoridades deberán aplicar el reglamento vigente y sancionar a quienes incumplan con los requisitos establecidos para operar.</t>
  </si>
  <si>
    <t>Concesión transporte público</t>
  </si>
  <si>
    <t>En cabina el científico David Gale, representante del Instituto Nacional de Astrofísica, Óptica y Electrónica (INAOE) y la Antropóloga Ann Johnson hablaron del proyecto para convertir una de las antenas de la Estación Terrena en un radiotelescopio, el cual registra un avance cercano al 80%. El desarrollo, impulsado en un sitio actualmente administrado por la Agencia de Transformación Digital y Telecomunicaciones del gobierno federal, contempla además la creación de un observatorio astronómico integral, lo que permitirá no solo la captación de señales en ondas de radio, sino también la administración, generación y divulgación del conocimiento científico derivado de las investigaciones.</t>
  </si>
  <si>
    <t>Estación Terrena</t>
  </si>
  <si>
    <t>Los diputados José María Alejandro Pérez Ramírez y Jorge Arguelles Salazar, integrantes del Grupo Legislativo de Nueva Alianza Hidalgo, plantearon reformas al artículo 96 Bis de la Ley de Educación del Estado de Hidalgo para incluir expresamente la violencia cibernética como una forma de agresión hacia maestras, maestros y personal educativo. De acuerdo con la iniciativa, la violencia digital contra docentes se manifiesta mediante insultos, amenazas, difamación, campañas de odio, creación de perfiles falsos, grabaciones sin consentimiento, difusión de memes y manipulación de imágenes, acciones que pueden ocurrir dentro o fuera de las escuelas pero siempre vinculadas con el ejercicio profesional docente. Los legisladores argumentan que este tipo de agresiones ha provocado afectaciones psicológicas y emocionales en el personal educativo, generando estrés, ansiedad, depresión, ausentismo laboral e incluso renuncias. El documento advierte además que algunos casos han derivado en pensamientos suicidas entre víctimas de hostigamiento digital.</t>
  </si>
  <si>
    <t>Daniel Martínez sobre la consulta ciudadana sobre la Tauromaquia comenta: cuando te hagas bolas en tu trabajo legislativo, no hay bronca. Sácate de la manga una consulta ciudadana, no ha problema y ya después pospones las discusiones hasta que "forever and ever". y se lo can a dejar los de la próxima legislatura.</t>
  </si>
  <si>
    <t>El Congreso de Hidalgo pausó temporalmente la discusión relacionada con las iniciativas sobre corridas de toros, luego de que la Comisión de Legislación y Puntos Constitucionales solicitara detener el plazo de dictaminación mientras se define la viabilidad de una consulta ciudadana sobre el tema. La decisión fue dada a conocer durante la sesión ordinaria de este miércoles, cuando la directiva del mes de mayo informó sobre la petición presentada por la diputada Lizbeth Iraís Ordaz Islas, presidenta de dicha comisión, quien argumentó que el procedimiento debe esperar hasta que exista una resolución sobre la consulta actualmente revisada por el Tribunal Superior de Justicia del Estado de Hidalgo (TSJH). La suspensión impacta directamente en la iniciativa 186 impulsada por el diputado Avelino Tovar Iglesias, cuyo plazo de excitativa vencía este 28 de mayo. No obstante, las autoridades legislativas señalaron que el proceso permanecerá detenido hasta contar con condiciones legales para continuar el análisis. Ordaz Islas explicó que el Congreso busca garantizar que la ciudadanía pueda participar antes de emitir una resolución definitiva, ya que existen dos propuestas legislativas relacionadas con las corridas de toros, incluida otra presentada por el diputado Marco Mendoza.</t>
  </si>
  <si>
    <t>Luego de que enlaces vecinales en Tulancingo advirtieran que han recibido mensajes junto con enlaces para supuestos trámites y cobros por parte de la Comisión de Agua y Alcantarillado del Municipio de Tulancingo de Bravo (Caamt), el organismo operador advirtió que no son reales. Por medio de un comunicado oficial, se señala que la Caamt no cuenta con gestores externos ni personas autorizadas para realizar trámites, cobros o solicitar información personal a nombre de la institución fuera de los canales oficiales. El comunicado no cita si existen casos donde las personas contactadas hayan sido engañadas al pagar alguna cantidad de dinero u otorgado sus datos personales a los supuestos “gestores”. Se insistió que el organismo operador municipal no ofrece apoyos, descuentos, convenios o supuestos beneficios relacionados con el organismo por medio de terceras personas. La dependencia hace un llamado a la población para no proporcionar información personal, documentos oficiales, números de cuenta o datos sensibles a terceros, ya que esto podría poner en riesgo su seguridad y la protección de sus datos personales.</t>
  </si>
  <si>
    <t>Alerta De Fraude</t>
  </si>
  <si>
    <t>Fabián Daniel García Vera, subdirector de Mercados y Centros de Abasto de Tulancingo, informó en entrevista para Ultra Noticias Hidalgo que el municipio mantiene acciones permanentes para regular el comercio ambulante y recuperar espacios públicos en distintos puntos de la ciudad. El funcionario explicó que de manera permanente se realizan recorridos para liberar banquetas y vialidades, además de supervisar que no se obstruya el paso peatonal ni la circulación vehicular. Señaló que estas medidas buscan generar orden sin afectar la economía de las familias que dependen del comercio informal. También indicó que personal de la dependencia trabaja de manera coordinada con Protección Civil para emitir recomendaciones de seguridad, principalmente en tianguis y plazas, debido al manejo de tanques de gas y otros riesgos que podrían representar un peligro para comerciantes y ciudadanos. García Vera comentó que algunas de las zonas con mayor presencia de ambulantaje son la calle 21 de Marzo y la calle Libertad, puntos donde existe una importante concentración de peatones y transporte público, por lo que actualmente se mantiene vigilancia constante.</t>
  </si>
  <si>
    <t>Ambulantaje</t>
  </si>
  <si>
    <t>El registro de predios urbanos es el que tiene el aumento más significativo dentro del padrón catastral de Tulancingo, informó el gobierno municipal por medio de un comunicado oficial. La directora del Departamento de Catastro local, Ana María Guzmán López, informó que de septiembre del año 2024, cuando inició el actual periodo de gobierno municipal a la fecha, se registran dos mil 303 nuevas cuentas. Al inicio del actual periodo de gobierno municipal en Tulancingo el registro de cuentas catastrales era de 72 mil 950, y actualmente son 75 mil 253. La funcionaria municipal señaló que la cantidad de nuevos predios y el dato de que la mayoría de estos sean de tipo urbano, establece “una expansión ordenada de la ciudad”. Previamente, el titular de la Secretaría municipal de Desarrollo Urbano, Obras Públicas y Medio Ambiente, Armando Pérez Alcibar, señaló que se están revisando las zonas de desarrollo en Tulancingo. Lo anterior debido a que existen espacios, por ejemplo, que ya están densamente pobladas incluso desde hace varios años, pero que aún son consideradas como “zonas agrícolas tecnificadas”. Otros espacios están considerados como parques hídricos, así como reservas naturales o ecológicas, por lo que en dichas zonas no deberían darse permisos para construcción de vivienda o edificios. En otros casos, como las localidades de La Lagunilla y Santa Ana Hueytlalpan están consideradas como zonas para asentamientos humanos condicionados, donde debe existir desarrollo de viviendas y demás infraestructura, pero con respeto a las zonas naturales así como las agrícolas.</t>
  </si>
  <si>
    <t>Desarrollo Urbano</t>
  </si>
  <si>
    <t>En caso de presentarse lluvias extraordinarias, podría registrarse el desbordamiento de aguas en la Presa La Esperanza, que se encuentra en los límites territoriales de los municipios de Cuautepec y Tulancingo. La advertencia fue realizada por usuarios del Módulo 1 “Aguas Blancas” del Distrito de Riego Tulancingo, señalando que la excesiva acumulación de lirio en el vaso hidráulico provocaría taponamientos en las zonas de desfogue. Estos taponamientos a su vez provocarían eventualmente un desbordamiento de aguas que afectaría a varias zonas cercanas a la presa, incluso en sectores un poco más alejados físicamente. Los productores agrícolas recordaron que al inicio de la actual administración estatal solicitaron a la Secretaría de Agricultura y Desarrollo Rural en Hidalgo (Saderh) apoyo para la trituración y retiro de lirio. Previamente ya se habían realizado acciones al respecto, pero fueron insuficientes, pues al momento de retirar la planta, ya se había desarrollado más de esta dentro de la presa. Cuestionado en visita de trabajo a Tulancingo a mediados de esta semana, el titular de la Saderh, Napoleón González Pérez, señaló que el retiro del lirio no le corresponde a la instancia estatal a su cargo.</t>
  </si>
  <si>
    <t>Lirio Acuático</t>
  </si>
  <si>
    <t>Hoy les presentamos de nueva cuenta una actualización del medallero general de la olimpiada nacional CONADE 2026, donde el estado de Jalisco se mantiene en la primera posición con 817 medallas en total, en segundo lugar, continúa el estado de Nuevo León con 603, le sigue Baja California en tercero con 410, Estado de México se posiciona en cuarto lugar con 236 encima de Querétaro por la diferencia de medallas de oro, entidad que se encuentra en quinto lugar con 258 medallas, mientras que el estado de Hidalgo se ubica en el lugar 21, con 15 medallas de oro, 18 de plata y 21 de bronce, sumando en total 54 preseas.</t>
  </si>
  <si>
    <t>Caravana Cultural llegará a Francisco I. Madero con musica, danza y talento regiona</t>
  </si>
  <si>
    <t>La presidencia municipal de Mineral de la Reforma concretó la recepción del Fraccionamiento Parque los Encinos, luego de 14 años de rezago y promesas incumplidas por administraciones anteriores, otorgando así certeza jurídica y tranquilidad a las familias que habitan en la zona. Con esta acción, el alcalde Eduardo Medez Higorrubio destacó que las y los vecinos podrán acceder formalmente a servicios públicos municipales, como recolección de basura, mantenimiento de calles, alumbrado público y demás atenciones básicas durante un encuentro con habitantes del fraccionamiento, el presidente municipal subrayó que los resultados son posibles cuando existe voluntad, constancia y trabajo coordinado entre ciudadanía y gobierno.</t>
  </si>
  <si>
    <t>Municipalización</t>
  </si>
  <si>
    <t>Salud Hidalgo y la UTHH refuerzan medidas preventivas para proteger a la población en la Huasteca</t>
  </si>
  <si>
    <t>Este viernes se firmarán las escrituras del predio donde se construirá el nuevo mercado municipal de Atotonilco de Tula. El gobierno local y la sección 30 del sindicato de la Sociedad Cooperativa 11 de abril de la extinta fábrica de cemento La Tolteca firmarán las escrituras por la venta del inmueble conocido como la Conasupo, que se encuentra en la cabecera municipal, donde la alcaldesa Yoselyn Tobar Mendoza anunció la construcción del nuevo mercado. De acuerdo con datos del Inegi Atotonilco de Tula es el municipio del Estado con mayor crecimiento poblacional con un 7.2% el año pasado, esto representa 4.5 veces más que.</t>
  </si>
  <si>
    <t>Mercados</t>
  </si>
  <si>
    <t>Gobierno de Hidalgo fortalece al campo con entrega de apoyos agrícolas y ganaderos en Tulancingo y Eloxochitlán</t>
  </si>
  <si>
    <t>Gobierno de Hidalgo apoya a selectivos de futbol bandera</t>
  </si>
  <si>
    <t>OCSAD</t>
  </si>
  <si>
    <t>Apoyo a deportistas</t>
  </si>
  <si>
    <t>Sebiso acerca bienestar y alegría a madres e infancias de Hidalgo</t>
  </si>
  <si>
    <t>Bienestar</t>
  </si>
  <si>
    <t>Entrega de juguetes</t>
  </si>
  <si>
    <t>Jorge de Jesús Azpeitia, fundador de Spring City Hidalgo, realizó una invitación directa a la audiencia para sumarse a las actividades que impulsa esta comunidad deportiva, organizadora local de eventos del Trail Running y carreras pedestres en el estado de Hidalgo.</t>
  </si>
  <si>
    <t>Turismo Deportivo</t>
  </si>
  <si>
    <t>El día de hoy, por parte de la Secretaría de Turismo de Hidalgo, fue presentada la carrera Trail 2026 Santa María Magdalena, 10 km que se llevará a cabo el próximo 31 de mayo en el municipio de Actopan. Durante la conferencia de prensa, Perla Lugo Cano mencionó el objetivo de esta carrera, recordó algunas ediciones anteriores y habló sobre las expectativas que se tienen para esta nueva competencia.</t>
  </si>
  <si>
    <t>"Más allá de un gol" fue el nombre del panel futbolero organizado por el sistema DIF Hidalgo, donde exjugadores del club Pachuca y una integrante del equipo femenil compartieron experiencias de vida y los retos que enfrentaron para consolidarse dentro del fútbol profesional. Durante el encuentro, Andrés Chitiva recordó que su camino en el fútbol comenzó desde muy joven y destacó la importancia de la disciplina para alcanzar las metas dentro del deporte.</t>
  </si>
  <si>
    <t>Salud Mental</t>
  </si>
  <si>
    <t>Un sujeto fue ejecutado con impactos de arma de fuego la madrugada de este viernes sobre la avenida 16 de septiembre, en el municipio de Apan. El hoy occiso, identificado con el alias de “El Temo”, circulaba a bordo de una motocicleta cuando sujetos desconocidos le dispararon entre las calles Escuadrón 201 y Ocampo. Al lugar arribaron cuerpos de emergencia; sin embargo, el masculino ya no contaba con signos vitales.</t>
  </si>
  <si>
    <t>Ejecuciones</t>
  </si>
  <si>
    <t>La presidenta Claudia Sheinbaum entregó el boleto que el regaló la FIFA para la inauguración del Mundial de Futbol 2026 a la joven que ganó el concurso de dominadas. La ganadora del boleto para el partido inaugural en el Estadio Ciudad de México, donde jugará la Selección Mexicana, fue Brianna Ameli Medina Cortez, de 18 años, originaria de Iztapalapa. Yolett Cervantes, de 21 años y originaria de Carril de Tlaquilpa, Veracruz, se ganó la entrada donada por la jefa de Gobierno de la Ciudad de México, Clara Brugada. Karla Itzel Peña, de 22 años y originaria de la alcaldía Gustavo A. Madero ganó un boleto para acudir al Estadio Guadalajara. Daira Yaretzi Díaz García, de 16 años y originaria de San Pedro Mixtepec, Oaxaca, fue ganadora de un boleto para el Estadio Monterrey. Por su parte, el director de la Conade, Romel Pacheco, señaló que en la ronda final fueron mil videos los seleccionados y de esa cantidad, sólo cuatro fueron los elegidos.</t>
  </si>
  <si>
    <t>La sesión extraordinaria número 10 de cabildo programada este día en el municipio de Cardonal no pudo llevarse a cabo luego de que regidores se opusieron a su desahogo al señalar inconsistencias en la cronología de las sesiones ordinarias. Durante la reunión, integrantes de la asamblea manifestaron su inconformidad debido a que, señalaron, no podía desarrollarse una décima sesión ordinaria cuando previamente no había sido celebrada la novena, por lo que insistieron en que el procedimiento debía respetar el orden establecido conforme a la ley. Los ediles argumentaron que aceptar el desarrollo de la décima sesión representaría una irregularidad administrativa, ya que las sesiones deben realizarse de manera cronológica y consecutiva, motivo por el cual se negaron a continuar con el desahogo del orden del día. Ante la postura de los asambleístas, la presidenta municipal Karla Hernández Cerroblanco mostró molestia, sin embargo, posteriormente accedió a que la situación quedara asentada en el acta. Tras el desacuerdo y la suspensión de la sesión, minutos después fue emitida la convocatoria oficial para desarrollar la novena sesión extraordinaria de cabildo, la cual fue programada para este mismo día a las 20:00 horas. Este hecho continúa evidenciando diferencias al interior del cabildo respecto al manejo administrativo y el cumplimiento de los procedimientos legales para el desarrollo de las sesiones municipales.</t>
  </si>
  <si>
    <t>Policía Estatal asegura a dos hombres y recupera maquinaria pesada en Tula de Allende</t>
  </si>
  <si>
    <t>Tren México-Querétaro impulsará movilidad y nuevas inversiones en la región Tula. (AUDIO MATV)</t>
  </si>
  <si>
    <t>Con alianzas globales y rumbo a FAMEX 2027, Hidalgo despega en la industria aeroespacial internacional</t>
  </si>
  <si>
    <t>Sedeco</t>
  </si>
  <si>
    <t>Feria Aeroespacial</t>
  </si>
  <si>
    <t>Menchaca supervisa en Tetepango obras que fortalecen la conectividad regional. (AUDIO JMS)</t>
  </si>
  <si>
    <t>En Ajacuba, Menchaca Salazar subraya resultados de la transformación con obra y bienestar social. (AUDIO JMS).</t>
  </si>
  <si>
    <t>Los partidos políticos en Hidalgo arrastran multas superiores a los 49 millones de pesos derivadas de irregularidades detectadas por el Instituto Nacional Electoral (INE) en procesos de fiscalización de campañas y ejercicios ordinarios. Los datos corresponden a procedimientos administrativos sancionadores aprobados por la autoridad electoral y reflejan tanto los montos ya retenidos como las cantidades que todavía siguen pendientes de pago. La información difundida por el consejero electoral del Instituto Estatal Electoral de Hidalgo (IEEH), Alfredo Alcalá Montaño, exhibe el impacto financiero que tienen las sanciones sobre las prerrogativas públicas de los partidos, particularmente en casos donde las multas superan varios años de financiamiento ordinario. Nueva Alianza Hidalgo aparece como el partido con el mayor volumen de sanciones acumuladas. De acuerdo con las tablas, el instituto político suma multas por 24 millones 971 mil 882 pesos, derivadas de observaciones relacionadas con campañas y ejercicios ordinarios de fiscalización. Hasta abril de 2026, al partido ya le habían retenido 6 millones 581 mil 898 pesos, aunque todavía mantiene pendientes por saldar más de 18.3 millones de pesos. Las sanciones más elevadas corresponden a las revisiones de gasto ordinario de 2022 y 2023. Tan solo por el ejercicio ordinario 2023, Nueva Alianza Hidalgo enfrenta una multa cercana a los 10 millones de pesos. A ello se suma otra sanción de casi 9 millones por el ejercicio 2022 y una más de casi 6 millones vinculada con la campaña del proceso electoral local 2023-2024. El PRI ocupa el segundo lugar en montos sancionados. Las tablas indican que acumula multas por 17 millones 770 mil 192 pesos. De esa cifra, únicamente se habían retenido 1 millón 344 mil 940 pesos hasta abril de este año, por lo que el saldo pendiente todavía supera los 16.4 millones. Las sanciones más fuertes también se concentran en irregularidades detectadas en los ejercicios ordinarios de 2022 y 2023, además de observaciones relacionadas con la campaña del proceso electoral local 2023-2024. En el caso priista, la multa individual más alta corresponde al ejercicio ordinario 2023, con un monto superior a 7.6 millones de pesos. Otra sanción cercana a 6.4 millones corresponde al ejercicio 2022, mientras que por fiscalización de campaña se añadieron otros 3.7 millones. El Partido del Trabajo registra el menor monto entre los partidos incluidos en las gráficas, aunque las cifras todavía representan un impacto importante para sus finanzas públicas. El PT acumula sanciones por 6 millones 321 mil 587 pesos. Hasta abril de 2026, el INE y las autoridades electorales ya habían retenido 285 mil 425 pesos, por lo que aún mantiene pendientes poco más de 6 millones de pesos. La mayor parte de la deuda del PT proviene también del ejercicio ordinario 2023, donde se impuso una multa superior a 6.2 millones de pesos. Además, aparece una sanción menor de poco más de 33 mil pesos relacionada con la campaña electoral extraordinaria de 2024, la cual ya fue liquidada por completo. El mecanismo utilizado para recuperar parte de estas sanciones es aplicar reducciones mensuales sobre el financiamiento público ordinario que reciben los partidos políticos, con un límite máximo equivalente al 25 por ciento de sus ministraciones mensuales. Con base en ese esquema, el documento calcula el tiempo necesario para cubrir determinadas sanciones. En el caso del PRI, una multa de 309 mil 553 pesos requeriría aproximadamente 1.57 meses de descuentos, considerando que el monto máximo mensual de deducción ronda los 196 mil pesos. Para el PT, una sanción de 46 mil 976 pesos podría liquidarse prácticamente en menos de un mes, debido a que el monto de deducción mensual autorizado supera los 252 mil pesos. Nueva Alianza Hidalgo enfrenta el escenario más largo. Una de sus sanciones, por más de 9.3 millones de pesos, requeriría cerca de 9.75 meses de descuentos continuos para ser cubierta utilizando el límite máximo de deducción permitido por la legislación electoral. Las observaciones que originaron estas multas están relacionadas principalmente con incumplimientos en materia de fiscalización. Entre las causas señaladas destacan la falta de comprobación de gastos, ausencia de facturas o comprobantes bancarios, reportes incompletos de ingresos y egresos, así como errores contables detectados durante las auditorías realizadas por la autoridad electoral. Aunque las sanciones corresponden a distintos ejercicios fiscales y procesos electorales, las cifras reflejan un problema recurrente en la administración financiera de los partidos políticos, particularmente en la integración y comprobación de gastos reportados ante las autoridades electorales. El impacto no es menor. Las multas terminan descontándose directamente de recursos públicos destinados al funcionamiento ordinario de los partidos, lo que reduce capacidad operativa, financiamiento territorial y actividades políticas internas. Las tablas también dejan ver que los adeudos siguen lejos de quedar cubiertos en su totalidad. Pese a las retenciones ya aplicadas, PRI y Nueva Alianza Hidalgo mantienen pendientes multimillonarios que continuarán descontándose de sus prerrogativas en los próximos meses. En conjunto, las sanciones acumuladas por PRI, PT y Nueva Alianza Hidalgo superan los 49 millones de pesos, una cifra que refleja el peso económico que puede alcanzar la fiscalización electoral cuando se detectan inconsistencias administrativas y contables en el manejo de recursos públicos.</t>
  </si>
  <si>
    <t>Multas INE</t>
  </si>
  <si>
    <t>En Tulancingo, la presidenta municipal, Lorena García Cázares, encabezó este jueves la apertura de una importante capacitación estatal dirigida a los comités de contraloría social del municipio, conformados por hombres y mujeres comprometidos con el desarrollo de sus localidades. “Esta capacitación es clave para una infraestructura perdurable y de calidad para las y los tulancinguenses”, enfatizó la alcaldesa, y añadió: “Quienes serán beneficiarios directos de las obras deben involucrarse desde el inicio hasta la conclusión de los trabajos por realizar”. Durante el evento, la mandataria agradeció la colaboración del gobernador Julio Menchaca Salazar y del secretario de Contraloría del Estado, Álvaro Bardales Ramírez, por brindar a la ciudadanía los conocimientos necesarios para desempeñarse de manera efectiva en la vigilancia y participación ciudadana. Asimismo, se destacó la labor de Miguel Ángel Romero Mejía, titular del Órgano Interno de Control, y de Armando Pérez Alcíbar, secretario de Desarrollo Urbano, Obras Públicas y Medio Ambiente, quienes refrendaron el compromiso con la transparencia en las obras y acciones ejecutadas por el municipio. La capacitación fue impartida por Miguel Rafael Islas Arce, representante de la Contraloría Estatal, con un enfoque dinámico y de fácil comprensión. En ella participaron comités de contraloría social de diversas localidades y colonias, como Santa Ana Hueytlalpan, Huajomulco, Ahuehuetitla Paraíso, Paraíso Norte, Rancho Santa Clara y Rincones de la Hacienda, entre otras. Durante la jornada, se entregaron kits de seguridad con cascos y chalecos reflejantes, proporcionados por la Secretaría de Contraloría del Gobierno del Estado de Hidalgo, para garantizar la protección de quienes participan activamente en la supervisión de obras.</t>
  </si>
  <si>
    <t>En vivo desde el notimóvil, Rene Aguilar realiza un enlace telefónico con integrantes del comité de padres de familia en la escuela primaria Gregorio Torres Quintero ubicada en La Lagunilla, quienes habían realizado un reporte y su inconformidad con el desempeño de las labores del intendente; derivado de lo anterior, las autoridades educativas han dado respuesta a su señalamientos con el cambio de intendente en un plazo de dos semanas, al momento, padres de familia se encuentra realizando labores de limpieza en el plantel.</t>
  </si>
  <si>
    <t>En otros temas, integrantes de un colectivo LGBT Hidalgo colocaron una bandera en el emblemático Reloj Monumental de Pachuca como parte de las actividades previas a la marcha del próximo 6 de junio en la capital hidalguense. Buscan visibilizar la diversidad y promover el respeto a los derechos de la comunidad LGBT+ en Hidalgo. Los activistas dieron a conocer que la movilización se llevará a cabo el próximo 6 de junio a partir de las 15 horas, teniendo como punto de partida la Plaza Independencia en Pachuca. AUDIO DE APOYO</t>
  </si>
  <si>
    <t>Con el programa Transformando el Futuro (Altasia Mercado), alumnas y alumnos de las escuelas públicas de Hidalgo podrán acceder a la ayuda, apoyo de útiles escolares para el ciclo escolar dos mil veintiséis, dos mil veintisiete. Ya puede usted consultar el calendario de registro y actualización de datos para formar parte de este padrón de beneficiarios. Cabe destacar que la convocatoria está dirigida únicamente para alumnas que estén inscritos o alumnos que estén inscritos en instituciones públicas de todo el estado. Madres, padres o, en su caso, los tutores legales de los estudiantes deberán de ingresar a la plataforma digital del sistema de padres de familia, la cual ha sido habilitada por las autoridades correspondientes. Una vez que dentro de la plataforma usted ingrese, tendrá que llenar el formato respetando la fecha en la que corresponda a cada nivel educativo. Durante las últimas semanas, mes de agosto, se podrán descargar los vales, asimismo la entrega y canje de estos mismos.</t>
  </si>
  <si>
    <t>Radioescucha reporta falta de agua en Zona Plateada, en privada Vizcaina.</t>
  </si>
  <si>
    <t>En un operativo conjunto en el que participaron la Unidad Especializada en Combate al Secuestro de la Procuraduría de Justicia del Estado de Hidalgo, la Secretaría de la Defensa Nacional y la Fiscalía General de Justicia de Oaxaca, fue detenido un hombre de iniciales K.G.R.C., identificado como generador de violencia en ese estado. La persona imputada contaba con una orden de aprehensión por homicidio doloso calificado ocurrido en Oaxaca. Además, se le investiga por su participación en actividades de distribución de estupefacientes en dicha entidad. El operativo tuvo lugar la madrugada de ayer jueves en la colonia Las Plazas del municipio de Tizayuca. Estamos de vuelta, gracias por continuar con nosotros. Siete de la mañana con veintiún minutos</t>
  </si>
  <si>
    <t>Recuerde usted que el pasado fin de semana se registró la caída de un rayo en la cruz de la iglesia de Nuestra Señora del Rosario en Real del Monte, pues ante este hecho autoridades y personal técnico realizan evaluaciones para determinar los daños y las acciones de restauración correspondientes; así lo informó el alcalde de Mineral del Monte, Edmundo Méndez. AUDIO DE APOYO</t>
  </si>
  <si>
    <t>Radioescucha agradece a Cassim, también a la Lic. Paola y Lic. Sarahi Pineda, ya atendieron mi reporte.</t>
  </si>
  <si>
    <t>Elementos de seguridad lograron recuperar un tractocamión con maquinaria pesada y detuvieron a dos hombres presuntamente relacionados con el robo de la unidad durante un operativo realizado en Tula de Allende. La acción se llevó a cabo en la colonia El Llano, primera sección, donde policías localizaron el tractocamión acoplado a una plataforma tipo cama baja que transportaba maquinaria pesada. De acuerdo con la denuncia, el propietario reportó el robo mientras circulaba a bordo de la unidad, lo que activó un despliegue de búsqueda y localización por parte de las corporaciones de seguridad. Los dos detenidos, uno de ellos con antecedentes penales, así como el tractocamión, la plataforma y la maquinaria asegurada, fueron puestos a disposición del Ministerio Público que continuará con las investigaciones para deslindar responsabilidades</t>
  </si>
  <si>
    <t>En otra información, Hidalgo acumula 282 delitos cometidos por servidores públicos durante los primeros cuatro meses de este año, datos del Secretariado Ejecutivo del Sistema Nacional de Seguridad Pública. Marzo fue el mes con más casos con 87 denuncias, le sigue febrero con 79, abril con 60, enero con 56</t>
  </si>
  <si>
    <t>Gobierno</t>
  </si>
  <si>
    <t>Delitos servidores públicos</t>
  </si>
  <si>
    <t>Radioescucha reporta que Caasim no viene a desazolve, esto en calle Gardenia de Bugambilia Norte 3</t>
  </si>
  <si>
    <t>Desazolve</t>
  </si>
  <si>
    <t>Vamos a la región del Valle del Mezquital, y es que el director de seguridad pública de Progreso de Obregón se encuentra prófugo de la justicia. Así lo confirmó el encargado de la Procuraduría de Justicia, Francisco Fernández Hasbun, quien aseguró que existen avances importantes para lograr su localización y captura. La orden de aprehensión está relacionada con los hechos ocurridos el pasado 13 de mayo, cuando agentes ministeriales y elementos del Ejército Mexicano detuvieron a nueve policías municipales, ocho hombres y una mujer, quienes ya fueron vinculados a proceso por los delitos de homicidio de uso calificado y lesiones. AUDIO DE APOYO</t>
  </si>
  <si>
    <t>En el marco del Día del Maestro, la presidenta municipal de Atitalaquia, Claudia Sandoval, encabezó una celebración con más de 600 docentes del municipio, donde reconoció su labor y trayectoria al servicio de la educación. Durante el encuentro, la alcaldía entregó reconocimientos especiales a maestras y maestros con hasta 48 años de servicio, acompañada por integrantes del cabildo, del DIF municipal y por Josefina Serrano Bautista, directora general de servicios regionales en representación de la Secretaría de Educación Pública de Hidalgo. Claudia Sandoval destacó la importancia del trabajo del magisterio en la formación de nuevas generaciones y refrendó el compromiso de mantener una alianza entre el gobierno y docentes para impulsar el desarrollo educativo. La celebración concluyó con música en vivo y actividades de convivencia organizadas por el gobierno municipal como muestra de reconocimiento al esfuerzo y dedicación de las maestras y los maestros de Atitalaquia.</t>
  </si>
  <si>
    <t>Radioescucha Dany Cravioto pide que en las colonias Cespedes y Doctores haya mejor vigilancia por parte de los policías, ya que pagamos los impuestos y todo lo que piden y no tenemos buena seguridad, en esas colonias, ya robos a peatones y robo de autopartes.</t>
  </si>
  <si>
    <t>Exigen seguridad</t>
  </si>
  <si>
    <t>Un empleado del Registro Civil de Huejutla fue detenido por su presunta relación con la duplicación de folios en actas oficiales y posibles faltantes de dinero que, según las investigaciones, alcanzarían hasta 35 mil pesos diarios. Estaba haciendo su ahorrito este trabajador en Huejutla y estaba falsificando documentos. Las autoridades indagan si hay más personas involucradas en el posible fraude administrativo. Vaya fichita la que encontraron en el ayuntamiento de Huejutla.</t>
  </si>
  <si>
    <t>Falsificación de documentos</t>
  </si>
  <si>
    <t>Radioescucha reporta una fuga de agua en calle Arizpe</t>
  </si>
  <si>
    <t>Radioescucha nuevamente sigue reportando la fuga de agua en Nopancalco y los de Caasim no hacen nada, hasta el dia de hoy se sigue desperdiciando el agua.</t>
  </si>
  <si>
    <t>Hablando de salud, Hidalgo sumó un nuevo caso de miasis por gusano barrenador en humanos y ya acumula ocho contagios durante esta emergencia sanitaria, de acuerdo con el boletín epidemiológico de la Secretaría de Salud. A nivel nacional se reportan 152 casos y dos muertes. La enfermedad es provocada por larvas que invaden heridas abiertas en personas y animales, por lo que médicos piden extremar medidas de higiene y cuidado de lesiones.</t>
  </si>
  <si>
    <t>Comenta el conductor sobre la inatención de Caasim en algunos reportes: “Caasim, caasim, ¿qué vamos a hacer con ustedes? Digan qué tenemos que hacer para que le den respuesta a la gente”.</t>
  </si>
  <si>
    <t>Habitantes de al menos nueve comunidades de San Felipe Orizatlán obligaron al presidente municipal a realizar un recorrido descalzo hasta la zona donde exigen atención a distintas necesidades comunitarias. Los pobladores expresaron su inconformidad por presuntos incumplimientos de compromisos asumidos por la administración municipal, particularmente en temas relacionados con obras y servicios para las localidades participantes.</t>
  </si>
  <si>
    <t>Incumplimiento de obra</t>
  </si>
  <si>
    <t>Ayer estuvo cerrada la carretera México-Tampico por varias horas. Esto a la altura de San Felipe Orizatlán, y es que luego de varias horas de tensión y manifestaciones, habitantes de nueve localidades se trasladaron caminando con el presidente municipal de San Felipe Orizatlán, Carlos Pérez Escamilla, en medio del conflicto derivado de presuntos incumplimientos hacia estas comunidades.</t>
  </si>
  <si>
    <t>Este domingo la presidenta de México, Claudia Sheinbaum, encabezará un acto de rendición de cuentas en el Monumento a la Revolución, informó el gobernador de Hidalgo, Julio Menchaca Salazar. AUDIO DE APOYO DE JMS</t>
  </si>
  <si>
    <t>Informe Sheinbaum</t>
  </si>
  <si>
    <t>Ante el incremento en la movilidad de personas rumbo al mundial de fútbol, México activó alertas epidemiológicas y reforzó las recomendaciones sanitarias para prevenir contagios de distintas enfermedades, entre ellas el ébola. Los especialistas piden mantener medidas básicas como lavado de manos, completar esquemas de vacunación, evitar eventos masivos si se presentan síntomas y mantenerse hidratado durante los partidos.</t>
  </si>
  <si>
    <t>Radioescucha comenta: “El hospital que inauguró Omar Fayad quedó como el elefante blanco, no funciona, es el que está al poniente de la ciudad”.</t>
  </si>
  <si>
    <t>Nuevo Hospital General</t>
  </si>
  <si>
    <t>En el municipio de Atotonilco de Tula vecinos de la comunidad de La Cañada se manifestaron la tarde de ayer en el Cabildo, debido a que en su comunidad se van a construir casas del bienestar sin que hayan sido tomados en cuenta. Omar Daniel, delegado de la comunidad de La Cañada, explicó a qué se debe su molestia “No estamos en contra de su construccion, lo que pasa que jamas se nos tomó encuenta saber sobre el proyecto”. La presidenta municipal Yocelyn Tovar habló de los beneficios que tiene este programa federal de vivienda, que busca ayudar a quienes menos tienen. AUDIO APOYO</t>
  </si>
  <si>
    <t>En Tepetitlán, el gobierno municipal reforzó las acciones de prevención y formación dirigidas a niñas, niños y adolescentes y sus familias a través del Sipinna municipal. En coordinación con la Telesecundaria 526 de San Pedro Nextlalpan, estudiantes de tercer grado participaron en el taller de prevención de adicciones impartido por personal de Ecosame, mientras que madres y padres de familia recibieron la plática "¿En casa se educa o se enseña?", enfocada en fortalecer el acompañamiento desde el hogar. Además, en el jardín de niños Ignacio Comonfort se desarrollaron actividades sobre estilos de crianza para las familias y de violencia escolar para las alumnas. Autoridades municipales señalaron que estas acciones buscan promover entornos más seguros y saludables, así como garantizar los derechos y el desarrollo integral de la niñez y adolescencia en Tepetitlán.</t>
  </si>
  <si>
    <t>Prevención De Adicciones</t>
  </si>
  <si>
    <t>En el marco del Día Mundial de la Tiroides, que se conmemora cada 25 de mayo, el Instituto Mexicano del Seguro Social (IMSS) en Hidalgo hizo un llamado a prestar atención de los síntomas que puedan mostrar alguna alteración en el funcionamiento de esta glándula. La tiroides tiene la función de producir hormonas indispensables para procesos vitales relacionados con el crecimiento, el desarrollo neurológico, la función reproductiva y el metabolismo energético, explicó Octavio Contreras Valdez, director del Hospital General de Zona (HGZ) No. 36 del IMSS en Pachuca</t>
  </si>
  <si>
    <t>Prevención De Enfermedades</t>
  </si>
  <si>
    <t>Hidalgo fortalece su promoción turística en el norte del país(AUDIO APOYO)</t>
  </si>
  <si>
    <t>Promoción turística</t>
  </si>
  <si>
    <t>Radioescucha reporta que las unidades de transporte sacan mucho humo; ojalá las autoridades pongan atención.</t>
  </si>
  <si>
    <t>La Secretaría de Medio Ambiente y Recursos Naturales del Gobierno de México invita a los habitantes de Atengo, del municipio Tezontepec de Aldama, a participar en la etapa informativa del proceso del Programa de Restauración Ecológica del Área de Influencia de la Presa Endhó. Se llevará a cabo el próximo domingo 31 de mayo, en el auditorio de la comunidad a las 9 de la mañana.</t>
  </si>
  <si>
    <t>Restauración Ecológica</t>
  </si>
  <si>
    <t>En este momento, en Enfoque Regional Meridiano, informan que está un fuerte operativo en la plaza Gran Patio Pachuca. Información extraoficial: Robaron un millón de pesos a un cuentahabiente.</t>
  </si>
  <si>
    <t>Robo a cuentahabiente</t>
  </si>
  <si>
    <t>Durante una gira de trabajo en Ajacuba, el gobernador de Hidalgo, Julio Menchaca Salazar, destacó que las rutas de la transformación y la Feria de Servicios para el Pueblo continúan acercando obras, programas y apoyos directamente a las comunidades hidalguenses. , AUDIO DE APOYO</t>
  </si>
  <si>
    <t>Como parte de las rutas de la transformación, el gobernador Julio Menchaca Salazar supervisó la pavimentación hidráulica del libramiento Xitri - Rojo Gómez, en Tetepango, obra en la que se invirtieron más de 21.6 millones de pesos para mejorar la movilidad y la conectividad de la región.Durante la gira de trabajo, el mandatario destacó que la transformación se construye escuchando a la ciudadanía y trabajando de la mano con los comités de obra y de Contraloría Social. Siempre ha sido fundamental para este gobierno, para el proceso de transformación, el escuchar a la gente, y nobleza obliga, nosotros hemos estado siempre en contacto con ustedes. En el proceso de las rutas de la transformación, hacemos eventos, precisamente una supervisión de obra, un contacto directo con los beneficiarios, por eso quiero agradecer a los comités de Contraloría, los comités de obra pública, porque precisamente de eso se va enriqueciendo el programa de gobierno. AUDIO DE APOYO</t>
  </si>
  <si>
    <t>En gira de trabajo por Ajacuba, el gobernador Julio Menchaca Salazar informó que se ejecutan obras y acciones por más de 93 millones de pesos para fortalecer la infraestructura, el acceso al agua potable y la conectividad del municipio. Durante estas rutas de la transformación y la feria de servicios para el pueblo, el mandatario destacó que este año se destinan cuatro mil setecientos millones de pesos a más de 100 programas sociales en Hidalgo, además de que en menos de cuatro años se han invertido más de 25 mil millones de pesos en obra pública en la entidad. Entre las acciones para Ajacuba destacan la construcción de un sistema de agua potable, la reposición de pozo, la rehabilitación y reconstrucción de carreteras estatales, pavimentaciones y la construcción de 19 cuartos dormitorio. AUDIO DE APOYO</t>
  </si>
  <si>
    <t>Radioescucha reporta que siguen sin arreglar los semáforos que están rumbo a Tulipanes por Chedraui, no funcionan</t>
  </si>
  <si>
    <t>Semaforización</t>
  </si>
  <si>
    <t>SEPH y CCEH impulsan liderazgo juvenil con “Presidente por un Día” (AUDIO APOYO)</t>
  </si>
  <si>
    <t>Simulador Cívico</t>
  </si>
  <si>
    <t>La consejera presidenta del Instituto Estatal Electoral de Hidalgo (IEEH), María Magdalena González Escalona, consideró prematuro calcular cuánto costaría una eventual consulta ciudadana sobre la tauromaquia en Hidalgo, debido a que todavía no se han definido las características técnicas y operativas del ejercicio.La funcionaria explicó que, conforme a la Ley de Consulta Popular, corresponde al organismo electoral organizar el proceso y elaborar un proyecto específico que contemple los recursos financieros, humanos y materiales necesarios para llevarlo a cabo.</t>
  </si>
  <si>
    <t>El titular de la Unidad de Planeación y Prospectiva de Hidalgo, Miguel Ángel Tello Vargas, aseguró que el proyecto del Tren México-Querétaro impulsado por el Gobierno de México y que contempla una estación en Tula, representa una de las principales apuestas de infraestructura para fortalecer la movilidad y detonar el crecimiento económico de la región. El funcionario estatal explicó que esta obra no solo beneficiará a Tula, sino también a municipios aledaños.</t>
  </si>
  <si>
    <t>Para mejorar la conectividad y facilitar el desarrollo económico industrial, Tello Vargas señaló que el tren permitirá una mejor conexión con parques industriales de municipios como Tepeji del Río y con infraestructura clave como el Hospital General de Zona del IMSS en Tula. Finalmente reiteró que el gobierno estatal mantiene la coordinación con la federación para consolidar proyectos que ordenen el crecimiento regional y mejoren la calidad de la vida de la población. México-Querétaro es el otro, porque no solamente va a cambiar El Llano, o sea la región Tula, obviamente vamos a ver el flujo, la movilidad en torno hacia el nuevo hospital, hacia Tepeji; hay que recordar que los parques industriales allá son muy importantes,</t>
  </si>
  <si>
    <t>El gobernador de Hidalgo, Julio Menchaca Salazar, se refirió a los datos aportados por el INEGI sobre la percepción de la población respecto al estado de las calles. AUDIO DE APOYO DE JMS</t>
  </si>
  <si>
    <t>Radioescucha Sr. Reyes reporta que personal de Caasim en el mes de abril rompieron el pavimento para introducir un tubo de agua, pero se les olvidó tapar la zanja.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</si>
</sst>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43" tableType="queryTable" totalsRowShown="0">
  <autoFilter ref="A1:M243"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43"/>
  <sheetViews>
    <sheetView tabSelected="1" topLeftCell="A193" workbookViewId="0">
      <selection activeCell="B228" sqref="B228"/>
    </sheetView>
  </sheetViews>
  <sheetFormatPr baseColWidth="10" defaultRowHeight="15" x14ac:dyDescent="0.25"/>
  <cols>
    <col min="1" max="1" width="8.5703125" bestFit="1" customWidth="1"/>
    <col min="2" max="2" width="11.42578125" bestFit="1" customWidth="1"/>
    <col min="3" max="3" width="27.28515625" bestFit="1" customWidth="1"/>
    <col min="4" max="4" width="35.5703125" bestFit="1" customWidth="1"/>
    <col min="5" max="5" width="81.140625" bestFit="1" customWidth="1"/>
    <col min="6" max="6" width="15.28515625" bestFit="1" customWidth="1"/>
    <col min="7" max="7" width="33.8554687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37</v>
      </c>
      <c r="C1" t="s">
        <v>38</v>
      </c>
      <c r="D1" t="s">
        <v>39</v>
      </c>
      <c r="E1" t="s">
        <v>1</v>
      </c>
      <c r="F1" t="s">
        <v>2</v>
      </c>
      <c r="G1" t="s">
        <v>4</v>
      </c>
      <c r="H1" t="s">
        <v>3</v>
      </c>
      <c r="I1" t="s">
        <v>5</v>
      </c>
      <c r="J1" t="s">
        <v>40</v>
      </c>
      <c r="K1" t="s">
        <v>41</v>
      </c>
      <c r="L1" t="s">
        <v>42</v>
      </c>
      <c r="M1" t="s">
        <v>49</v>
      </c>
    </row>
    <row r="2" spans="1:13" x14ac:dyDescent="0.25">
      <c r="A2" s="2">
        <v>46170</v>
      </c>
      <c r="B2" s="1" t="str">
        <f ca="1">IF(Información1[[#This Row],[Fecha]]='Ajuste de fechas'!$A$2,"Día actual","Día anterior")</f>
        <v>Día anterior</v>
      </c>
      <c r="C2" s="3" t="s">
        <v>8</v>
      </c>
      <c r="D2" t="s">
        <v>10</v>
      </c>
      <c r="E2" s="3" t="s">
        <v>111</v>
      </c>
      <c r="F2" s="3" t="s">
        <v>6</v>
      </c>
      <c r="G2" s="3" t="s">
        <v>52</v>
      </c>
      <c r="H2" s="3" t="s">
        <v>11</v>
      </c>
      <c r="I2" s="3" t="s">
        <v>25</v>
      </c>
      <c r="J2" s="3" t="s">
        <v>43</v>
      </c>
      <c r="K2" s="3" t="s">
        <v>14</v>
      </c>
      <c r="L2" s="3" t="s">
        <v>45</v>
      </c>
      <c r="M2">
        <v>1</v>
      </c>
    </row>
    <row r="3" spans="1:13" x14ac:dyDescent="0.25">
      <c r="A3" s="2">
        <v>46170</v>
      </c>
      <c r="B3" s="1" t="str">
        <f ca="1">IF(Información1[[#This Row],[Fecha]]='Ajuste de fechas'!$A$2,"Día actual","Día anterior")</f>
        <v>Día anterior</v>
      </c>
      <c r="C3" s="3" t="s">
        <v>8</v>
      </c>
      <c r="D3" t="s">
        <v>10</v>
      </c>
      <c r="E3" s="3" t="s">
        <v>112</v>
      </c>
      <c r="F3" s="3" t="s">
        <v>53</v>
      </c>
      <c r="G3" s="3" t="s">
        <v>113</v>
      </c>
      <c r="H3" s="3" t="s">
        <v>11</v>
      </c>
      <c r="I3" s="3" t="s">
        <v>7</v>
      </c>
      <c r="J3" s="3" t="s">
        <v>43</v>
      </c>
      <c r="K3" s="3" t="s">
        <v>14</v>
      </c>
      <c r="L3" s="3" t="s">
        <v>46</v>
      </c>
      <c r="M3">
        <v>1</v>
      </c>
    </row>
    <row r="4" spans="1:13" x14ac:dyDescent="0.25">
      <c r="A4" s="2">
        <v>46170</v>
      </c>
      <c r="B4" s="1" t="str">
        <f ca="1">IF(Información1[[#This Row],[Fecha]]='Ajuste de fechas'!$A$2,"Día actual","Día anterior")</f>
        <v>Día anterior</v>
      </c>
      <c r="C4" s="3" t="s">
        <v>8</v>
      </c>
      <c r="D4" t="s">
        <v>10</v>
      </c>
      <c r="E4" s="3" t="s">
        <v>20</v>
      </c>
      <c r="F4" s="3" t="s">
        <v>19</v>
      </c>
      <c r="G4" s="3" t="s">
        <v>35</v>
      </c>
      <c r="H4" s="3" t="s">
        <v>11</v>
      </c>
      <c r="I4" s="3" t="s">
        <v>12</v>
      </c>
      <c r="J4" s="3" t="s">
        <v>47</v>
      </c>
      <c r="K4" s="3" t="s">
        <v>14</v>
      </c>
      <c r="L4" s="3" t="s">
        <v>45</v>
      </c>
      <c r="M4">
        <v>1</v>
      </c>
    </row>
    <row r="5" spans="1:13" x14ac:dyDescent="0.25">
      <c r="A5" s="2">
        <v>46170</v>
      </c>
      <c r="B5" s="1" t="str">
        <f ca="1">IF(Información1[[#This Row],[Fecha]]='Ajuste de fechas'!$A$2,"Día actual","Día anterior")</f>
        <v>Día anterior</v>
      </c>
      <c r="C5" s="3" t="s">
        <v>8</v>
      </c>
      <c r="D5" t="s">
        <v>10</v>
      </c>
      <c r="E5" s="3" t="s">
        <v>18</v>
      </c>
      <c r="F5" s="3" t="s">
        <v>19</v>
      </c>
      <c r="G5" s="3" t="s">
        <v>35</v>
      </c>
      <c r="H5" s="3" t="s">
        <v>11</v>
      </c>
      <c r="I5" s="3" t="s">
        <v>12</v>
      </c>
      <c r="J5" s="3" t="s">
        <v>47</v>
      </c>
      <c r="K5" s="3" t="s">
        <v>14</v>
      </c>
      <c r="L5" s="3" t="s">
        <v>45</v>
      </c>
      <c r="M5">
        <v>1</v>
      </c>
    </row>
    <row r="6" spans="1:13" x14ac:dyDescent="0.25">
      <c r="A6" s="2">
        <v>46170</v>
      </c>
      <c r="B6" s="1" t="str">
        <f ca="1">IF(Información1[[#This Row],[Fecha]]='Ajuste de fechas'!$A$2,"Día actual","Día anterior")</f>
        <v>Día anterior</v>
      </c>
      <c r="C6" s="3" t="s">
        <v>8</v>
      </c>
      <c r="D6" t="s">
        <v>10</v>
      </c>
      <c r="E6" s="3" t="s">
        <v>64</v>
      </c>
      <c r="F6" s="3" t="s">
        <v>21</v>
      </c>
      <c r="G6" s="3" t="s">
        <v>35</v>
      </c>
      <c r="H6" s="3" t="s">
        <v>11</v>
      </c>
      <c r="I6" s="3" t="s">
        <v>12</v>
      </c>
      <c r="J6" s="3" t="s">
        <v>43</v>
      </c>
      <c r="K6" s="3" t="s">
        <v>14</v>
      </c>
      <c r="L6" s="3" t="s">
        <v>45</v>
      </c>
      <c r="M6">
        <v>1</v>
      </c>
    </row>
    <row r="7" spans="1:13" x14ac:dyDescent="0.25">
      <c r="A7" s="2">
        <v>46170</v>
      </c>
      <c r="B7" s="1" t="str">
        <f ca="1">IF(Información1[[#This Row],[Fecha]]='Ajuste de fechas'!$A$2,"Día actual","Día anterior")</f>
        <v>Día anterior</v>
      </c>
      <c r="C7" s="3" t="s">
        <v>8</v>
      </c>
      <c r="D7" t="s">
        <v>10</v>
      </c>
      <c r="E7" s="3" t="s">
        <v>13</v>
      </c>
      <c r="F7" s="3" t="s">
        <v>15</v>
      </c>
      <c r="G7" s="3" t="s">
        <v>35</v>
      </c>
      <c r="H7" s="3" t="s">
        <v>11</v>
      </c>
      <c r="I7" s="3" t="s">
        <v>12</v>
      </c>
      <c r="J7" s="3" t="s">
        <v>43</v>
      </c>
      <c r="K7" s="3" t="s">
        <v>14</v>
      </c>
      <c r="L7" s="3" t="s">
        <v>45</v>
      </c>
      <c r="M7">
        <v>1</v>
      </c>
    </row>
    <row r="8" spans="1:13" x14ac:dyDescent="0.25">
      <c r="A8" s="2">
        <v>46170</v>
      </c>
      <c r="B8" s="1" t="str">
        <f ca="1">IF(Información1[[#This Row],[Fecha]]='Ajuste de fechas'!$A$2,"Día actual","Día anterior")</f>
        <v>Día anterior</v>
      </c>
      <c r="C8" s="3" t="s">
        <v>8</v>
      </c>
      <c r="D8" t="s">
        <v>10</v>
      </c>
      <c r="E8" s="3" t="s">
        <v>16</v>
      </c>
      <c r="F8" s="3" t="s">
        <v>17</v>
      </c>
      <c r="G8" s="3" t="s">
        <v>35</v>
      </c>
      <c r="H8" s="3" t="s">
        <v>11</v>
      </c>
      <c r="I8" s="3" t="s">
        <v>12</v>
      </c>
      <c r="J8" s="3" t="s">
        <v>43</v>
      </c>
      <c r="K8" s="3" t="s">
        <v>14</v>
      </c>
      <c r="L8" s="3" t="s">
        <v>45</v>
      </c>
      <c r="M8">
        <v>1</v>
      </c>
    </row>
    <row r="9" spans="1:13" x14ac:dyDescent="0.25">
      <c r="A9" s="2">
        <v>46170</v>
      </c>
      <c r="B9" s="1" t="str">
        <f ca="1">IF(Información1[[#This Row],[Fecha]]='Ajuste de fechas'!$A$2,"Día actual","Día anterior")</f>
        <v>Día anterior</v>
      </c>
      <c r="C9" s="3" t="s">
        <v>8</v>
      </c>
      <c r="D9" t="s">
        <v>10</v>
      </c>
      <c r="E9" s="3" t="s">
        <v>65</v>
      </c>
      <c r="F9" s="3" t="s">
        <v>6</v>
      </c>
      <c r="G9" s="3" t="s">
        <v>35</v>
      </c>
      <c r="H9" s="3" t="s">
        <v>11</v>
      </c>
      <c r="I9" s="3" t="s">
        <v>12</v>
      </c>
      <c r="J9" s="3" t="s">
        <v>43</v>
      </c>
      <c r="K9" s="3" t="s">
        <v>14</v>
      </c>
      <c r="L9" s="3" t="s">
        <v>45</v>
      </c>
      <c r="M9">
        <v>1</v>
      </c>
    </row>
    <row r="10" spans="1:13" x14ac:dyDescent="0.25">
      <c r="A10" s="2">
        <v>46170</v>
      </c>
      <c r="B10" s="1" t="str">
        <f ca="1">IF(Información1[[#This Row],[Fecha]]='Ajuste de fechas'!$A$2,"Día actual","Día anterior")</f>
        <v>Día anterior</v>
      </c>
      <c r="C10" s="3" t="s">
        <v>8</v>
      </c>
      <c r="D10" t="s">
        <v>10</v>
      </c>
      <c r="E10" s="3" t="s">
        <v>114</v>
      </c>
      <c r="F10" s="3" t="s">
        <v>22</v>
      </c>
      <c r="G10" s="3" t="s">
        <v>115</v>
      </c>
      <c r="H10" s="3" t="s">
        <v>11</v>
      </c>
      <c r="I10" s="3" t="s">
        <v>7</v>
      </c>
      <c r="J10" s="3" t="s">
        <v>48</v>
      </c>
      <c r="K10" s="3" t="s">
        <v>14</v>
      </c>
      <c r="L10" s="3" t="s">
        <v>44</v>
      </c>
      <c r="M10">
        <v>1</v>
      </c>
    </row>
    <row r="11" spans="1:13" x14ac:dyDescent="0.25">
      <c r="A11" s="2">
        <v>46170</v>
      </c>
      <c r="B11" s="1" t="str">
        <f ca="1">IF(Información1[[#This Row],[Fecha]]='Ajuste de fechas'!$A$2,"Día actual","Día anterior")</f>
        <v>Día anterior</v>
      </c>
      <c r="C11" s="3" t="s">
        <v>8</v>
      </c>
      <c r="D11" t="s">
        <v>10</v>
      </c>
      <c r="E11" s="3" t="s">
        <v>116</v>
      </c>
      <c r="F11" s="3" t="s">
        <v>19</v>
      </c>
      <c r="G11" s="3" t="s">
        <v>117</v>
      </c>
      <c r="H11" s="3" t="s">
        <v>11</v>
      </c>
      <c r="I11" s="3" t="s">
        <v>7</v>
      </c>
      <c r="J11" s="3" t="s">
        <v>47</v>
      </c>
      <c r="K11" s="3" t="s">
        <v>14</v>
      </c>
      <c r="L11" s="3" t="s">
        <v>44</v>
      </c>
      <c r="M11">
        <v>1</v>
      </c>
    </row>
    <row r="12" spans="1:13" x14ac:dyDescent="0.25">
      <c r="A12" s="2">
        <v>46170</v>
      </c>
      <c r="B12" s="1" t="str">
        <f ca="1">IF(Información1[[#This Row],[Fecha]]='Ajuste de fechas'!$A$2,"Día actual","Día anterior")</f>
        <v>Día anterior</v>
      </c>
      <c r="C12" s="3" t="s">
        <v>8</v>
      </c>
      <c r="D12" t="s">
        <v>10</v>
      </c>
      <c r="E12" s="3" t="s">
        <v>118</v>
      </c>
      <c r="F12" s="3" t="s">
        <v>66</v>
      </c>
      <c r="G12" s="3" t="s">
        <v>107</v>
      </c>
      <c r="H12" s="3" t="s">
        <v>11</v>
      </c>
      <c r="I12" s="3" t="s">
        <v>7</v>
      </c>
      <c r="J12" s="3" t="s">
        <v>43</v>
      </c>
      <c r="K12" s="3" t="s">
        <v>14</v>
      </c>
      <c r="L12" s="3" t="s">
        <v>86</v>
      </c>
      <c r="M12">
        <v>1</v>
      </c>
    </row>
    <row r="13" spans="1:13" x14ac:dyDescent="0.25">
      <c r="A13" s="2">
        <v>46170</v>
      </c>
      <c r="B13" s="1" t="str">
        <f ca="1">IF(Información1[[#This Row],[Fecha]]='Ajuste de fechas'!$A$2,"Día actual","Día anterior")</f>
        <v>Día anterior</v>
      </c>
      <c r="C13" s="3" t="s">
        <v>8</v>
      </c>
      <c r="D13" t="s">
        <v>10</v>
      </c>
      <c r="E13" s="3" t="s">
        <v>119</v>
      </c>
      <c r="F13" s="3" t="s">
        <v>22</v>
      </c>
      <c r="G13" s="3" t="s">
        <v>120</v>
      </c>
      <c r="H13" s="3" t="s">
        <v>11</v>
      </c>
      <c r="I13" s="3" t="s">
        <v>7</v>
      </c>
      <c r="J13" s="3" t="s">
        <v>48</v>
      </c>
      <c r="K13" s="3" t="s">
        <v>14</v>
      </c>
      <c r="L13" s="3" t="s">
        <v>44</v>
      </c>
      <c r="M13">
        <v>1</v>
      </c>
    </row>
    <row r="14" spans="1:13" x14ac:dyDescent="0.25">
      <c r="A14" s="2">
        <v>46170</v>
      </c>
      <c r="B14" s="1" t="str">
        <f ca="1">IF(Información1[[#This Row],[Fecha]]='Ajuste de fechas'!$A$2,"Día actual","Día anterior")</f>
        <v>Día anterior</v>
      </c>
      <c r="C14" s="3" t="s">
        <v>8</v>
      </c>
      <c r="D14" t="s">
        <v>10</v>
      </c>
      <c r="E14" s="3" t="s">
        <v>121</v>
      </c>
      <c r="F14" s="3" t="s">
        <v>67</v>
      </c>
      <c r="G14" s="3" t="s">
        <v>100</v>
      </c>
      <c r="H14" s="3" t="s">
        <v>11</v>
      </c>
      <c r="I14" s="3" t="s">
        <v>7</v>
      </c>
      <c r="J14" s="3" t="s">
        <v>24</v>
      </c>
      <c r="K14" s="3" t="s">
        <v>14</v>
      </c>
      <c r="L14" s="3" t="s">
        <v>44</v>
      </c>
      <c r="M14">
        <v>1</v>
      </c>
    </row>
    <row r="15" spans="1:13" x14ac:dyDescent="0.25">
      <c r="A15" s="2">
        <v>46170</v>
      </c>
      <c r="B15" s="1" t="str">
        <f ca="1">IF(Información1[[#This Row],[Fecha]]='Ajuste de fechas'!$A$2,"Día actual","Día anterior")</f>
        <v>Día anterior</v>
      </c>
      <c r="C15" s="3" t="s">
        <v>8</v>
      </c>
      <c r="D15" t="s">
        <v>10</v>
      </c>
      <c r="E15" s="3" t="s">
        <v>122</v>
      </c>
      <c r="F15" s="3" t="s">
        <v>19</v>
      </c>
      <c r="G15" s="3" t="s">
        <v>69</v>
      </c>
      <c r="H15" s="3" t="s">
        <v>11</v>
      </c>
      <c r="I15" s="3" t="s">
        <v>25</v>
      </c>
      <c r="J15" s="3" t="s">
        <v>47</v>
      </c>
      <c r="K15" s="3" t="s">
        <v>14</v>
      </c>
      <c r="L15" s="3" t="s">
        <v>45</v>
      </c>
      <c r="M15">
        <v>1</v>
      </c>
    </row>
    <row r="16" spans="1:13" x14ac:dyDescent="0.25">
      <c r="A16" s="2">
        <v>46170</v>
      </c>
      <c r="B16" s="1" t="str">
        <f ca="1">IF(Información1[[#This Row],[Fecha]]='Ajuste de fechas'!$A$2,"Día actual","Día anterior")</f>
        <v>Día anterior</v>
      </c>
      <c r="C16" s="3" t="s">
        <v>8</v>
      </c>
      <c r="D16" t="s">
        <v>10</v>
      </c>
      <c r="E16" s="3" t="s">
        <v>123</v>
      </c>
      <c r="F16" s="3" t="s">
        <v>21</v>
      </c>
      <c r="G16" s="3" t="s">
        <v>110</v>
      </c>
      <c r="H16" s="3" t="s">
        <v>11</v>
      </c>
      <c r="I16" s="3" t="s">
        <v>25</v>
      </c>
      <c r="J16" s="3" t="s">
        <v>43</v>
      </c>
      <c r="K16" s="3" t="s">
        <v>14</v>
      </c>
      <c r="L16" s="3" t="s">
        <v>45</v>
      </c>
      <c r="M16">
        <v>1</v>
      </c>
    </row>
    <row r="17" spans="1:13" x14ac:dyDescent="0.25">
      <c r="A17" s="2">
        <v>46170</v>
      </c>
      <c r="B17" s="1" t="str">
        <f ca="1">IF(Información1[[#This Row],[Fecha]]='Ajuste de fechas'!$A$2,"Día actual","Día anterior")</f>
        <v>Día anterior</v>
      </c>
      <c r="C17" s="3" t="s">
        <v>8</v>
      </c>
      <c r="D17" t="s">
        <v>10</v>
      </c>
      <c r="E17" s="3" t="s">
        <v>124</v>
      </c>
      <c r="F17" s="3" t="s">
        <v>104</v>
      </c>
      <c r="G17" s="3" t="s">
        <v>105</v>
      </c>
      <c r="H17" s="3" t="s">
        <v>11</v>
      </c>
      <c r="I17" s="3" t="s">
        <v>7</v>
      </c>
      <c r="J17" s="3" t="s">
        <v>24</v>
      </c>
      <c r="K17" s="3" t="s">
        <v>14</v>
      </c>
      <c r="L17" s="3" t="s">
        <v>44</v>
      </c>
      <c r="M17">
        <v>1</v>
      </c>
    </row>
    <row r="18" spans="1:13" x14ac:dyDescent="0.25">
      <c r="A18" s="2">
        <v>46170</v>
      </c>
      <c r="B18" s="1" t="str">
        <f ca="1">IF(Información1[[#This Row],[Fecha]]='Ajuste de fechas'!$A$2,"Día actual","Día anterior")</f>
        <v>Día anterior</v>
      </c>
      <c r="C18" s="3" t="s">
        <v>8</v>
      </c>
      <c r="D18" t="s">
        <v>10</v>
      </c>
      <c r="E18" s="3" t="s">
        <v>106</v>
      </c>
      <c r="F18" s="3" t="s">
        <v>53</v>
      </c>
      <c r="G18" s="3" t="s">
        <v>80</v>
      </c>
      <c r="H18" s="3" t="s">
        <v>11</v>
      </c>
      <c r="I18" s="3" t="s">
        <v>7</v>
      </c>
      <c r="J18" s="3" t="s">
        <v>43</v>
      </c>
      <c r="K18" s="3" t="s">
        <v>14</v>
      </c>
      <c r="L18" s="3" t="s">
        <v>46</v>
      </c>
      <c r="M18">
        <v>1</v>
      </c>
    </row>
    <row r="19" spans="1:13" x14ac:dyDescent="0.25">
      <c r="A19" s="2">
        <v>46170</v>
      </c>
      <c r="B19" s="1" t="str">
        <f ca="1">IF(Información1[[#This Row],[Fecha]]='Ajuste de fechas'!$A$2,"Día actual","Día anterior")</f>
        <v>Día anterior</v>
      </c>
      <c r="C19" s="3" t="s">
        <v>8</v>
      </c>
      <c r="D19" t="s">
        <v>10</v>
      </c>
      <c r="E19" s="3" t="s">
        <v>125</v>
      </c>
      <c r="F19" s="3" t="s">
        <v>19</v>
      </c>
      <c r="G19" s="3" t="s">
        <v>84</v>
      </c>
      <c r="H19" s="3" t="s">
        <v>11</v>
      </c>
      <c r="I19" s="3" t="s">
        <v>25</v>
      </c>
      <c r="J19" s="3" t="s">
        <v>47</v>
      </c>
      <c r="K19" s="3" t="s">
        <v>14</v>
      </c>
      <c r="L19" s="3" t="s">
        <v>45</v>
      </c>
      <c r="M19">
        <v>1</v>
      </c>
    </row>
    <row r="20" spans="1:13" x14ac:dyDescent="0.25">
      <c r="A20" s="2">
        <v>46170</v>
      </c>
      <c r="B20" s="1" t="str">
        <f ca="1">IF(Información1[[#This Row],[Fecha]]='Ajuste de fechas'!$A$2,"Día actual","Día anterior")</f>
        <v>Día anterior</v>
      </c>
      <c r="C20" s="3" t="s">
        <v>8</v>
      </c>
      <c r="D20" t="s">
        <v>10</v>
      </c>
      <c r="E20" s="3" t="s">
        <v>126</v>
      </c>
      <c r="F20" s="3" t="s">
        <v>6</v>
      </c>
      <c r="G20" s="3" t="s">
        <v>94</v>
      </c>
      <c r="H20" s="3" t="s">
        <v>11</v>
      </c>
      <c r="I20" s="3" t="s">
        <v>25</v>
      </c>
      <c r="J20" s="3" t="s">
        <v>43</v>
      </c>
      <c r="K20" s="3" t="s">
        <v>14</v>
      </c>
      <c r="L20" s="3" t="s">
        <v>45</v>
      </c>
      <c r="M20">
        <v>1</v>
      </c>
    </row>
    <row r="21" spans="1:13" x14ac:dyDescent="0.25">
      <c r="A21" s="2">
        <v>46170</v>
      </c>
      <c r="B21" s="1" t="str">
        <f ca="1">IF(Información1[[#This Row],[Fecha]]='Ajuste de fechas'!$A$2,"Día actual","Día anterior")</f>
        <v>Día anterior</v>
      </c>
      <c r="C21" s="3" t="s">
        <v>8</v>
      </c>
      <c r="D21" t="s">
        <v>10</v>
      </c>
      <c r="E21" s="3" t="s">
        <v>127</v>
      </c>
      <c r="F21" s="3" t="s">
        <v>6</v>
      </c>
      <c r="G21" s="3" t="s">
        <v>94</v>
      </c>
      <c r="H21" s="3" t="s">
        <v>11</v>
      </c>
      <c r="I21" s="3" t="s">
        <v>25</v>
      </c>
      <c r="J21" s="3" t="s">
        <v>43</v>
      </c>
      <c r="K21" s="3" t="s">
        <v>14</v>
      </c>
      <c r="L21" s="3" t="s">
        <v>45</v>
      </c>
      <c r="M21">
        <v>1</v>
      </c>
    </row>
    <row r="22" spans="1:13" x14ac:dyDescent="0.25">
      <c r="A22" s="2">
        <v>46170</v>
      </c>
      <c r="B22" s="1" t="str">
        <f ca="1">IF(Información1[[#This Row],[Fecha]]='Ajuste de fechas'!$A$2,"Día actual","Día anterior")</f>
        <v>Día anterior</v>
      </c>
      <c r="C22" s="3" t="s">
        <v>32</v>
      </c>
      <c r="D22" t="s">
        <v>33</v>
      </c>
      <c r="E22" s="3" t="s">
        <v>128</v>
      </c>
      <c r="F22" s="3" t="s">
        <v>19</v>
      </c>
      <c r="G22" s="3" t="s">
        <v>117</v>
      </c>
      <c r="H22" s="3" t="s">
        <v>129</v>
      </c>
      <c r="I22" s="3" t="s">
        <v>12</v>
      </c>
      <c r="J22" s="3" t="s">
        <v>47</v>
      </c>
      <c r="K22" s="3" t="s">
        <v>27</v>
      </c>
      <c r="L22" s="3" t="s">
        <v>44</v>
      </c>
      <c r="M22">
        <v>1</v>
      </c>
    </row>
    <row r="23" spans="1:13" x14ac:dyDescent="0.25">
      <c r="A23" s="2">
        <v>46170</v>
      </c>
      <c r="B23" s="1" t="str">
        <f ca="1">IF(Información1[[#This Row],[Fecha]]='Ajuste de fechas'!$A$2,"Día actual","Día anterior")</f>
        <v>Día anterior</v>
      </c>
      <c r="C23" s="3" t="s">
        <v>32</v>
      </c>
      <c r="D23" t="s">
        <v>33</v>
      </c>
      <c r="E23" s="3" t="s">
        <v>130</v>
      </c>
      <c r="F23" s="3" t="s">
        <v>26</v>
      </c>
      <c r="G23" s="3" t="s">
        <v>131</v>
      </c>
      <c r="H23" s="3" t="s">
        <v>129</v>
      </c>
      <c r="I23" s="3" t="s">
        <v>12</v>
      </c>
      <c r="J23" s="3" t="s">
        <v>43</v>
      </c>
      <c r="K23" s="3" t="s">
        <v>27</v>
      </c>
      <c r="L23" s="3" t="s">
        <v>45</v>
      </c>
      <c r="M23">
        <v>1</v>
      </c>
    </row>
    <row r="24" spans="1:13" x14ac:dyDescent="0.25">
      <c r="A24" s="2">
        <v>46170</v>
      </c>
      <c r="B24" s="1" t="str">
        <f ca="1">IF(Información1[[#This Row],[Fecha]]='Ajuste de fechas'!$A$2,"Día actual","Día anterior")</f>
        <v>Día anterior</v>
      </c>
      <c r="C24" s="3" t="s">
        <v>32</v>
      </c>
      <c r="D24" t="s">
        <v>33</v>
      </c>
      <c r="E24" s="3" t="s">
        <v>132</v>
      </c>
      <c r="F24" s="3" t="s">
        <v>19</v>
      </c>
      <c r="G24" s="3" t="s">
        <v>133</v>
      </c>
      <c r="H24" s="3" t="s">
        <v>129</v>
      </c>
      <c r="I24" s="3" t="s">
        <v>7</v>
      </c>
      <c r="J24" s="3" t="s">
        <v>47</v>
      </c>
      <c r="K24" s="3" t="s">
        <v>27</v>
      </c>
      <c r="L24" s="3" t="s">
        <v>44</v>
      </c>
      <c r="M24">
        <v>1</v>
      </c>
    </row>
    <row r="25" spans="1:13" x14ac:dyDescent="0.25">
      <c r="A25" s="2">
        <v>46170</v>
      </c>
      <c r="B25" s="1" t="str">
        <f ca="1">IF(Información1[[#This Row],[Fecha]]='Ajuste de fechas'!$A$2,"Día actual","Día anterior")</f>
        <v>Día anterior</v>
      </c>
      <c r="C25" s="3" t="s">
        <v>32</v>
      </c>
      <c r="D25" t="s">
        <v>33</v>
      </c>
      <c r="E25" s="3" t="s">
        <v>134</v>
      </c>
      <c r="F25" s="3" t="s">
        <v>19</v>
      </c>
      <c r="G25" s="3" t="s">
        <v>117</v>
      </c>
      <c r="H25" s="3" t="s">
        <v>129</v>
      </c>
      <c r="I25" s="3" t="s">
        <v>7</v>
      </c>
      <c r="J25" s="3" t="s">
        <v>47</v>
      </c>
      <c r="K25" s="3" t="s">
        <v>27</v>
      </c>
      <c r="L25" s="3" t="s">
        <v>44</v>
      </c>
      <c r="M25">
        <v>1</v>
      </c>
    </row>
    <row r="26" spans="1:13" x14ac:dyDescent="0.25">
      <c r="A26" s="2">
        <v>46170</v>
      </c>
      <c r="B26" s="1" t="str">
        <f ca="1">IF(Información1[[#This Row],[Fecha]]='Ajuste de fechas'!$A$2,"Día actual","Día anterior")</f>
        <v>Día anterior</v>
      </c>
      <c r="C26" s="3" t="s">
        <v>32</v>
      </c>
      <c r="D26" t="s">
        <v>33</v>
      </c>
      <c r="E26" s="3" t="s">
        <v>135</v>
      </c>
      <c r="F26" s="3" t="s">
        <v>19</v>
      </c>
      <c r="G26" s="3" t="s">
        <v>133</v>
      </c>
      <c r="H26" s="3" t="s">
        <v>129</v>
      </c>
      <c r="I26" s="3" t="s">
        <v>7</v>
      </c>
      <c r="J26" s="3" t="s">
        <v>47</v>
      </c>
      <c r="K26" s="3" t="s">
        <v>27</v>
      </c>
      <c r="L26" s="3" t="s">
        <v>44</v>
      </c>
      <c r="M26">
        <v>1</v>
      </c>
    </row>
    <row r="27" spans="1:13" x14ac:dyDescent="0.25">
      <c r="A27" s="2">
        <v>46170</v>
      </c>
      <c r="B27" s="1" t="str">
        <f ca="1">IF(Información1[[#This Row],[Fecha]]='Ajuste de fechas'!$A$2,"Día actual","Día anterior")</f>
        <v>Día anterior</v>
      </c>
      <c r="C27" s="3" t="s">
        <v>32</v>
      </c>
      <c r="D27" t="s">
        <v>33</v>
      </c>
      <c r="E27" s="3" t="s">
        <v>136</v>
      </c>
      <c r="F27" s="3" t="s">
        <v>17</v>
      </c>
      <c r="G27" s="3" t="s">
        <v>137</v>
      </c>
      <c r="H27" s="3" t="s">
        <v>129</v>
      </c>
      <c r="I27" s="3" t="s">
        <v>7</v>
      </c>
      <c r="J27" s="3" t="s">
        <v>43</v>
      </c>
      <c r="K27" s="3" t="s">
        <v>27</v>
      </c>
      <c r="L27" s="3" t="s">
        <v>45</v>
      </c>
      <c r="M27">
        <v>1</v>
      </c>
    </row>
    <row r="28" spans="1:13" x14ac:dyDescent="0.25">
      <c r="A28" s="2">
        <v>46170</v>
      </c>
      <c r="B28" s="1" t="str">
        <f ca="1">IF(Información1[[#This Row],[Fecha]]='Ajuste de fechas'!$A$2,"Día actual","Día anterior")</f>
        <v>Día anterior</v>
      </c>
      <c r="C28" s="3" t="s">
        <v>32</v>
      </c>
      <c r="D28" t="s">
        <v>33</v>
      </c>
      <c r="E28" s="3" t="s">
        <v>138</v>
      </c>
      <c r="F28" s="3" t="s">
        <v>15</v>
      </c>
      <c r="G28" s="3"/>
      <c r="H28" s="3" t="s">
        <v>129</v>
      </c>
      <c r="I28" s="3" t="s">
        <v>7</v>
      </c>
      <c r="J28" s="3" t="s">
        <v>43</v>
      </c>
      <c r="K28" s="3" t="s">
        <v>27</v>
      </c>
      <c r="L28" s="3" t="s">
        <v>45</v>
      </c>
      <c r="M28">
        <v>1</v>
      </c>
    </row>
    <row r="29" spans="1:13" x14ac:dyDescent="0.25">
      <c r="A29" s="2">
        <v>46170</v>
      </c>
      <c r="B29" s="1" t="str">
        <f ca="1">IF(Información1[[#This Row],[Fecha]]='Ajuste de fechas'!$A$2,"Día actual","Día anterior")</f>
        <v>Día anterior</v>
      </c>
      <c r="C29" s="3" t="s">
        <v>32</v>
      </c>
      <c r="D29" t="s">
        <v>33</v>
      </c>
      <c r="E29" s="3" t="s">
        <v>139</v>
      </c>
      <c r="F29" s="3" t="s">
        <v>21</v>
      </c>
      <c r="G29" s="3" t="s">
        <v>140</v>
      </c>
      <c r="H29" s="3" t="s">
        <v>129</v>
      </c>
      <c r="I29" s="3" t="s">
        <v>7</v>
      </c>
      <c r="J29" s="3" t="s">
        <v>43</v>
      </c>
      <c r="K29" s="3" t="s">
        <v>27</v>
      </c>
      <c r="L29" s="3" t="s">
        <v>44</v>
      </c>
      <c r="M29">
        <v>1</v>
      </c>
    </row>
    <row r="30" spans="1:13" x14ac:dyDescent="0.25">
      <c r="A30" s="2">
        <v>46170</v>
      </c>
      <c r="B30" s="1" t="str">
        <f ca="1">IF(Información1[[#This Row],[Fecha]]='Ajuste de fechas'!$A$2,"Día actual","Día anterior")</f>
        <v>Día anterior</v>
      </c>
      <c r="C30" s="3" t="s">
        <v>32</v>
      </c>
      <c r="D30" t="s">
        <v>33</v>
      </c>
      <c r="E30" s="3" t="s">
        <v>141</v>
      </c>
      <c r="F30" s="3" t="s">
        <v>26</v>
      </c>
      <c r="G30" s="3" t="s">
        <v>62</v>
      </c>
      <c r="H30" s="3" t="s">
        <v>129</v>
      </c>
      <c r="I30" s="3" t="s">
        <v>7</v>
      </c>
      <c r="J30" s="3" t="s">
        <v>43</v>
      </c>
      <c r="K30" s="3" t="s">
        <v>27</v>
      </c>
      <c r="L30" s="3" t="s">
        <v>44</v>
      </c>
      <c r="M30">
        <v>1</v>
      </c>
    </row>
    <row r="31" spans="1:13" x14ac:dyDescent="0.25">
      <c r="A31" s="2">
        <v>46170</v>
      </c>
      <c r="B31" s="1" t="str">
        <f ca="1">IF(Información1[[#This Row],[Fecha]]='Ajuste de fechas'!$A$2,"Día actual","Día anterior")</f>
        <v>Día anterior</v>
      </c>
      <c r="C31" s="3" t="s">
        <v>32</v>
      </c>
      <c r="D31" t="s">
        <v>33</v>
      </c>
      <c r="E31" s="3" t="s">
        <v>142</v>
      </c>
      <c r="F31" s="3" t="s">
        <v>26</v>
      </c>
      <c r="G31" s="3" t="s">
        <v>143</v>
      </c>
      <c r="H31" s="3" t="s">
        <v>129</v>
      </c>
      <c r="I31" s="3" t="s">
        <v>7</v>
      </c>
      <c r="J31" s="3" t="s">
        <v>43</v>
      </c>
      <c r="K31" s="3" t="s">
        <v>27</v>
      </c>
      <c r="L31" s="3" t="s">
        <v>44</v>
      </c>
      <c r="M31">
        <v>1</v>
      </c>
    </row>
    <row r="32" spans="1:13" x14ac:dyDescent="0.25">
      <c r="A32" s="2">
        <v>46170</v>
      </c>
      <c r="B32" s="1" t="str">
        <f ca="1">IF(Información1[[#This Row],[Fecha]]='Ajuste de fechas'!$A$2,"Día actual","Día anterior")</f>
        <v>Día anterior</v>
      </c>
      <c r="C32" s="3" t="s">
        <v>32</v>
      </c>
      <c r="D32" t="s">
        <v>33</v>
      </c>
      <c r="E32" s="3" t="s">
        <v>144</v>
      </c>
      <c r="F32" s="3" t="s">
        <v>15</v>
      </c>
      <c r="G32" s="3" t="s">
        <v>145</v>
      </c>
      <c r="H32" s="3" t="s">
        <v>129</v>
      </c>
      <c r="I32" s="3" t="s">
        <v>25</v>
      </c>
      <c r="J32" s="3" t="s">
        <v>43</v>
      </c>
      <c r="K32" s="3" t="s">
        <v>27</v>
      </c>
      <c r="L32" s="3" t="s">
        <v>45</v>
      </c>
      <c r="M32">
        <v>1</v>
      </c>
    </row>
    <row r="33" spans="1:13" x14ac:dyDescent="0.25">
      <c r="A33" s="2">
        <v>46170</v>
      </c>
      <c r="B33" s="1" t="str">
        <f ca="1">IF(Información1[[#This Row],[Fecha]]='Ajuste de fechas'!$A$2,"Día actual","Día anterior")</f>
        <v>Día anterior</v>
      </c>
      <c r="C33" s="3" t="s">
        <v>32</v>
      </c>
      <c r="D33" t="s">
        <v>33</v>
      </c>
      <c r="E33" s="3" t="s">
        <v>146</v>
      </c>
      <c r="F33" s="3" t="s">
        <v>19</v>
      </c>
      <c r="G33" s="3" t="s">
        <v>109</v>
      </c>
      <c r="H33" s="3" t="s">
        <v>129</v>
      </c>
      <c r="I33" s="3" t="s">
        <v>7</v>
      </c>
      <c r="J33" s="3" t="s">
        <v>47</v>
      </c>
      <c r="K33" s="3" t="s">
        <v>27</v>
      </c>
      <c r="L33" s="3" t="s">
        <v>44</v>
      </c>
      <c r="M33">
        <v>1</v>
      </c>
    </row>
    <row r="34" spans="1:13" x14ac:dyDescent="0.25">
      <c r="A34" s="2">
        <v>46170</v>
      </c>
      <c r="B34" s="1" t="str">
        <f ca="1">IF(Información1[[#This Row],[Fecha]]='Ajuste de fechas'!$A$2,"Día actual","Día anterior")</f>
        <v>Día anterior</v>
      </c>
      <c r="C34" s="3" t="s">
        <v>32</v>
      </c>
      <c r="D34" t="s">
        <v>33</v>
      </c>
      <c r="E34" s="3" t="s">
        <v>147</v>
      </c>
      <c r="F34" s="3" t="s">
        <v>23</v>
      </c>
      <c r="G34" s="3" t="s">
        <v>74</v>
      </c>
      <c r="H34" s="3" t="s">
        <v>129</v>
      </c>
      <c r="I34" s="3" t="s">
        <v>7</v>
      </c>
      <c r="J34" s="3" t="s">
        <v>43</v>
      </c>
      <c r="K34" s="3" t="s">
        <v>27</v>
      </c>
      <c r="L34" s="3" t="s">
        <v>46</v>
      </c>
      <c r="M34">
        <v>2</v>
      </c>
    </row>
    <row r="35" spans="1:13" x14ac:dyDescent="0.25">
      <c r="A35" s="2">
        <v>46170</v>
      </c>
      <c r="B35" s="1" t="str">
        <f ca="1">IF(Información1[[#This Row],[Fecha]]='Ajuste de fechas'!$A$2,"Día actual","Día anterior")</f>
        <v>Día anterior</v>
      </c>
      <c r="C35" s="3" t="s">
        <v>32</v>
      </c>
      <c r="D35" t="s">
        <v>33</v>
      </c>
      <c r="E35" s="3" t="s">
        <v>148</v>
      </c>
      <c r="F35" s="3" t="s">
        <v>15</v>
      </c>
      <c r="G35" s="3"/>
      <c r="H35" s="3" t="s">
        <v>129</v>
      </c>
      <c r="I35" s="3" t="s">
        <v>7</v>
      </c>
      <c r="J35" s="3" t="s">
        <v>43</v>
      </c>
      <c r="K35" s="3" t="s">
        <v>27</v>
      </c>
      <c r="L35" s="3" t="s">
        <v>46</v>
      </c>
      <c r="M35">
        <v>1</v>
      </c>
    </row>
    <row r="36" spans="1:13" x14ac:dyDescent="0.25">
      <c r="A36" s="2">
        <v>46170</v>
      </c>
      <c r="B36" s="1" t="str">
        <f ca="1">IF(Información1[[#This Row],[Fecha]]='Ajuste de fechas'!$A$2,"Día actual","Día anterior")</f>
        <v>Día anterior</v>
      </c>
      <c r="C36" s="3" t="s">
        <v>32</v>
      </c>
      <c r="D36" t="s">
        <v>33</v>
      </c>
      <c r="E36" s="3" t="s">
        <v>149</v>
      </c>
      <c r="F36" s="3" t="s">
        <v>19</v>
      </c>
      <c r="G36" s="3" t="s">
        <v>101</v>
      </c>
      <c r="H36" s="3" t="s">
        <v>129</v>
      </c>
      <c r="I36" s="3" t="s">
        <v>7</v>
      </c>
      <c r="J36" s="3" t="s">
        <v>47</v>
      </c>
      <c r="K36" s="3" t="s">
        <v>27</v>
      </c>
      <c r="L36" s="3" t="s">
        <v>44</v>
      </c>
      <c r="M36">
        <v>1</v>
      </c>
    </row>
    <row r="37" spans="1:13" x14ac:dyDescent="0.25">
      <c r="A37" s="2">
        <v>46170</v>
      </c>
      <c r="B37" s="1" t="str">
        <f ca="1">IF(Información1[[#This Row],[Fecha]]='Ajuste de fechas'!$A$2,"Día actual","Día anterior")</f>
        <v>Día anterior</v>
      </c>
      <c r="C37" s="3" t="s">
        <v>32</v>
      </c>
      <c r="D37" t="s">
        <v>33</v>
      </c>
      <c r="E37" s="3" t="s">
        <v>150</v>
      </c>
      <c r="F37" s="3" t="s">
        <v>34</v>
      </c>
      <c r="G37" s="3" t="s">
        <v>151</v>
      </c>
      <c r="H37" s="3" t="s">
        <v>129</v>
      </c>
      <c r="I37" s="3" t="s">
        <v>7</v>
      </c>
      <c r="J37" s="3" t="s">
        <v>43</v>
      </c>
      <c r="K37" s="3" t="s">
        <v>27</v>
      </c>
      <c r="L37" s="3" t="s">
        <v>46</v>
      </c>
      <c r="M37">
        <v>1</v>
      </c>
    </row>
    <row r="38" spans="1:13" x14ac:dyDescent="0.25">
      <c r="A38" s="2">
        <v>46170</v>
      </c>
      <c r="B38" s="1" t="str">
        <f ca="1">IF(Información1[[#This Row],[Fecha]]='Ajuste de fechas'!$A$2,"Día actual","Día anterior")</f>
        <v>Día anterior</v>
      </c>
      <c r="C38" s="3" t="s">
        <v>32</v>
      </c>
      <c r="D38" t="s">
        <v>33</v>
      </c>
      <c r="E38" s="3" t="s">
        <v>152</v>
      </c>
      <c r="F38" s="3" t="s">
        <v>26</v>
      </c>
      <c r="G38" s="3" t="s">
        <v>143</v>
      </c>
      <c r="H38" s="3" t="s">
        <v>129</v>
      </c>
      <c r="I38" s="3" t="s">
        <v>7</v>
      </c>
      <c r="J38" s="3" t="s">
        <v>43</v>
      </c>
      <c r="K38" s="3" t="s">
        <v>27</v>
      </c>
      <c r="L38" s="3" t="s">
        <v>46</v>
      </c>
      <c r="M38">
        <v>1</v>
      </c>
    </row>
    <row r="39" spans="1:13" x14ac:dyDescent="0.25">
      <c r="A39" s="2">
        <v>46170</v>
      </c>
      <c r="B39" s="1" t="str">
        <f ca="1">IF(Información1[[#This Row],[Fecha]]='Ajuste de fechas'!$A$2,"Día actual","Día anterior")</f>
        <v>Día anterior</v>
      </c>
      <c r="C39" s="3" t="s">
        <v>32</v>
      </c>
      <c r="D39" t="s">
        <v>33</v>
      </c>
      <c r="E39" s="3" t="s">
        <v>153</v>
      </c>
      <c r="F39" s="3" t="s">
        <v>21</v>
      </c>
      <c r="G39" s="3" t="s">
        <v>140</v>
      </c>
      <c r="H39" s="3" t="s">
        <v>129</v>
      </c>
      <c r="I39" s="3" t="s">
        <v>7</v>
      </c>
      <c r="J39" s="3" t="s">
        <v>43</v>
      </c>
      <c r="K39" s="3" t="s">
        <v>27</v>
      </c>
      <c r="L39" s="3" t="s">
        <v>46</v>
      </c>
      <c r="M39">
        <v>1</v>
      </c>
    </row>
    <row r="40" spans="1:13" x14ac:dyDescent="0.25">
      <c r="A40" s="2">
        <v>46170</v>
      </c>
      <c r="B40" s="1" t="str">
        <f ca="1">IF(Información1[[#This Row],[Fecha]]='Ajuste de fechas'!$A$2,"Día actual","Día anterior")</f>
        <v>Día anterior</v>
      </c>
      <c r="C40" s="3" t="s">
        <v>32</v>
      </c>
      <c r="D40" t="s">
        <v>33</v>
      </c>
      <c r="E40" s="3" t="s">
        <v>154</v>
      </c>
      <c r="F40" s="3" t="s">
        <v>15</v>
      </c>
      <c r="G40" s="3" t="s">
        <v>155</v>
      </c>
      <c r="H40" s="3" t="s">
        <v>129</v>
      </c>
      <c r="I40" s="3" t="s">
        <v>7</v>
      </c>
      <c r="J40" s="3" t="s">
        <v>43</v>
      </c>
      <c r="K40" s="3" t="s">
        <v>27</v>
      </c>
      <c r="L40" s="3" t="s">
        <v>46</v>
      </c>
      <c r="M40">
        <v>1</v>
      </c>
    </row>
    <row r="41" spans="1:13" x14ac:dyDescent="0.25">
      <c r="A41" s="2">
        <v>46170</v>
      </c>
      <c r="B41" s="1" t="str">
        <f ca="1">IF(Información1[[#This Row],[Fecha]]='Ajuste de fechas'!$A$2,"Día actual","Día anterior")</f>
        <v>Día anterior</v>
      </c>
      <c r="C41" s="3" t="s">
        <v>32</v>
      </c>
      <c r="D41" t="s">
        <v>33</v>
      </c>
      <c r="E41" s="3" t="s">
        <v>138</v>
      </c>
      <c r="F41" s="3" t="s">
        <v>15</v>
      </c>
      <c r="G41" s="3"/>
      <c r="H41" s="3" t="s">
        <v>129</v>
      </c>
      <c r="I41" s="3" t="s">
        <v>25</v>
      </c>
      <c r="J41" s="3" t="s">
        <v>43</v>
      </c>
      <c r="K41" s="3" t="s">
        <v>27</v>
      </c>
      <c r="L41" s="3" t="s">
        <v>45</v>
      </c>
      <c r="M41">
        <v>1</v>
      </c>
    </row>
    <row r="42" spans="1:13" x14ac:dyDescent="0.25">
      <c r="A42" s="2">
        <v>46170</v>
      </c>
      <c r="B42" s="1" t="str">
        <f ca="1">IF(Información1[[#This Row],[Fecha]]='Ajuste de fechas'!$A$2,"Día actual","Día anterior")</f>
        <v>Día anterior</v>
      </c>
      <c r="C42" s="3" t="s">
        <v>57</v>
      </c>
      <c r="D42" t="s">
        <v>58</v>
      </c>
      <c r="E42" s="3" t="s">
        <v>156</v>
      </c>
      <c r="F42" s="3" t="s">
        <v>22</v>
      </c>
      <c r="G42" s="3" t="s">
        <v>157</v>
      </c>
      <c r="H42" s="3" t="s">
        <v>11</v>
      </c>
      <c r="I42" s="3" t="s">
        <v>7</v>
      </c>
      <c r="J42" s="3" t="s">
        <v>48</v>
      </c>
      <c r="K42" s="3" t="s">
        <v>59</v>
      </c>
      <c r="L42" s="3" t="s">
        <v>44</v>
      </c>
      <c r="M42">
        <v>1</v>
      </c>
    </row>
    <row r="43" spans="1:13" x14ac:dyDescent="0.25">
      <c r="A43" s="2">
        <v>46170</v>
      </c>
      <c r="B43" s="1" t="str">
        <f ca="1">IF(Información1[[#This Row],[Fecha]]='Ajuste de fechas'!$A$2,"Día actual","Día anterior")</f>
        <v>Día anterior</v>
      </c>
      <c r="C43" s="3" t="s">
        <v>57</v>
      </c>
      <c r="D43" t="s">
        <v>58</v>
      </c>
      <c r="E43" s="3" t="s">
        <v>158</v>
      </c>
      <c r="F43" s="3" t="s">
        <v>19</v>
      </c>
      <c r="G43" s="3" t="s">
        <v>85</v>
      </c>
      <c r="H43" s="3" t="s">
        <v>11</v>
      </c>
      <c r="I43" s="3" t="s">
        <v>7</v>
      </c>
      <c r="J43" s="3" t="s">
        <v>47</v>
      </c>
      <c r="K43" s="3" t="s">
        <v>59</v>
      </c>
      <c r="L43" s="3" t="s">
        <v>44</v>
      </c>
      <c r="M43">
        <v>1</v>
      </c>
    </row>
    <row r="44" spans="1:13" x14ac:dyDescent="0.25">
      <c r="A44" s="2">
        <v>46170</v>
      </c>
      <c r="B44" s="1" t="str">
        <f ca="1">IF(Información1[[#This Row],[Fecha]]='Ajuste de fechas'!$A$2,"Día actual","Día anterior")</f>
        <v>Día anterior</v>
      </c>
      <c r="C44" s="3" t="s">
        <v>57</v>
      </c>
      <c r="D44" t="s">
        <v>58</v>
      </c>
      <c r="E44" s="3" t="s">
        <v>159</v>
      </c>
      <c r="F44" s="3" t="s">
        <v>19</v>
      </c>
      <c r="G44" s="3" t="s">
        <v>160</v>
      </c>
      <c r="H44" s="3" t="s">
        <v>11</v>
      </c>
      <c r="I44" s="3" t="s">
        <v>7</v>
      </c>
      <c r="J44" s="3" t="s">
        <v>47</v>
      </c>
      <c r="K44" s="3" t="s">
        <v>59</v>
      </c>
      <c r="L44" s="3" t="s">
        <v>44</v>
      </c>
      <c r="M44">
        <v>1</v>
      </c>
    </row>
    <row r="45" spans="1:13" x14ac:dyDescent="0.25">
      <c r="A45" s="2">
        <v>46170</v>
      </c>
      <c r="B45" s="1" t="str">
        <f ca="1">IF(Información1[[#This Row],[Fecha]]='Ajuste de fechas'!$A$2,"Día actual","Día anterior")</f>
        <v>Día anterior</v>
      </c>
      <c r="C45" s="3" t="s">
        <v>57</v>
      </c>
      <c r="D45" t="s">
        <v>58</v>
      </c>
      <c r="E45" s="3" t="s">
        <v>161</v>
      </c>
      <c r="F45" s="3" t="s">
        <v>89</v>
      </c>
      <c r="G45" s="3" t="s">
        <v>98</v>
      </c>
      <c r="H45" s="3" t="s">
        <v>11</v>
      </c>
      <c r="I45" s="3" t="s">
        <v>7</v>
      </c>
      <c r="J45" s="3" t="s">
        <v>43</v>
      </c>
      <c r="K45" s="3" t="s">
        <v>59</v>
      </c>
      <c r="L45" s="3" t="s">
        <v>44</v>
      </c>
      <c r="M45">
        <v>1</v>
      </c>
    </row>
    <row r="46" spans="1:13" x14ac:dyDescent="0.25">
      <c r="A46" s="2">
        <v>46170</v>
      </c>
      <c r="B46" s="1" t="str">
        <f ca="1">IF(Información1[[#This Row],[Fecha]]='Ajuste de fechas'!$A$2,"Día actual","Día anterior")</f>
        <v>Día anterior</v>
      </c>
      <c r="C46" s="3" t="s">
        <v>57</v>
      </c>
      <c r="D46" t="s">
        <v>58</v>
      </c>
      <c r="E46" s="3" t="s">
        <v>106</v>
      </c>
      <c r="F46" s="3" t="s">
        <v>53</v>
      </c>
      <c r="G46" s="3" t="s">
        <v>80</v>
      </c>
      <c r="H46" s="3" t="s">
        <v>11</v>
      </c>
      <c r="I46" s="3" t="s">
        <v>7</v>
      </c>
      <c r="J46" s="3" t="s">
        <v>43</v>
      </c>
      <c r="K46" s="3" t="s">
        <v>59</v>
      </c>
      <c r="L46" s="3" t="s">
        <v>46</v>
      </c>
      <c r="M46">
        <v>1</v>
      </c>
    </row>
    <row r="47" spans="1:13" x14ac:dyDescent="0.25">
      <c r="A47" s="2">
        <v>46170</v>
      </c>
      <c r="B47" s="1" t="str">
        <f ca="1">IF(Información1[[#This Row],[Fecha]]='Ajuste de fechas'!$A$2,"Día actual","Día anterior")</f>
        <v>Día anterior</v>
      </c>
      <c r="C47" s="3" t="s">
        <v>57</v>
      </c>
      <c r="D47" t="s">
        <v>58</v>
      </c>
      <c r="E47" s="3" t="s">
        <v>162</v>
      </c>
      <c r="F47" s="3" t="s">
        <v>53</v>
      </c>
      <c r="G47" s="3" t="s">
        <v>113</v>
      </c>
      <c r="H47" s="3" t="s">
        <v>11</v>
      </c>
      <c r="I47" s="3" t="s">
        <v>7</v>
      </c>
      <c r="J47" s="3" t="s">
        <v>43</v>
      </c>
      <c r="K47" s="3" t="s">
        <v>59</v>
      </c>
      <c r="L47" s="3" t="s">
        <v>46</v>
      </c>
      <c r="M47">
        <v>1</v>
      </c>
    </row>
    <row r="48" spans="1:13" x14ac:dyDescent="0.25">
      <c r="A48" s="2">
        <v>46170</v>
      </c>
      <c r="B48" s="1" t="str">
        <f ca="1">IF(Información1[[#This Row],[Fecha]]='Ajuste de fechas'!$A$2,"Día actual","Día anterior")</f>
        <v>Día anterior</v>
      </c>
      <c r="C48" s="3" t="s">
        <v>57</v>
      </c>
      <c r="D48" t="s">
        <v>58</v>
      </c>
      <c r="E48" s="3" t="s">
        <v>154</v>
      </c>
      <c r="F48" s="3" t="s">
        <v>15</v>
      </c>
      <c r="G48" s="3" t="s">
        <v>155</v>
      </c>
      <c r="H48" s="3" t="s">
        <v>11</v>
      </c>
      <c r="I48" s="3" t="s">
        <v>7</v>
      </c>
      <c r="J48" s="3" t="s">
        <v>43</v>
      </c>
      <c r="K48" s="3" t="s">
        <v>59</v>
      </c>
      <c r="L48" s="3" t="s">
        <v>46</v>
      </c>
      <c r="M48">
        <v>1</v>
      </c>
    </row>
    <row r="49" spans="1:13" x14ac:dyDescent="0.25">
      <c r="A49" s="2">
        <v>46170</v>
      </c>
      <c r="B49" s="1" t="str">
        <f ca="1">IF(Información1[[#This Row],[Fecha]]='Ajuste de fechas'!$A$2,"Día actual","Día anterior")</f>
        <v>Día anterior</v>
      </c>
      <c r="C49" s="3" t="s">
        <v>57</v>
      </c>
      <c r="D49" t="s">
        <v>58</v>
      </c>
      <c r="E49" s="3" t="s">
        <v>163</v>
      </c>
      <c r="F49" s="3" t="s">
        <v>15</v>
      </c>
      <c r="G49" s="3" t="s">
        <v>164</v>
      </c>
      <c r="H49" s="3" t="s">
        <v>11</v>
      </c>
      <c r="I49" s="3" t="s">
        <v>7</v>
      </c>
      <c r="J49" s="3" t="s">
        <v>43</v>
      </c>
      <c r="K49" s="3" t="s">
        <v>59</v>
      </c>
      <c r="L49" s="3" t="s">
        <v>46</v>
      </c>
      <c r="M49">
        <v>1</v>
      </c>
    </row>
    <row r="50" spans="1:13" x14ac:dyDescent="0.25">
      <c r="A50" s="2">
        <v>46170</v>
      </c>
      <c r="B50" s="1" t="str">
        <f ca="1">IF(Información1[[#This Row],[Fecha]]='Ajuste de fechas'!$A$2,"Día actual","Día anterior")</f>
        <v>Día anterior</v>
      </c>
      <c r="C50" s="3" t="s">
        <v>57</v>
      </c>
      <c r="D50" t="s">
        <v>58</v>
      </c>
      <c r="E50" s="3" t="s">
        <v>153</v>
      </c>
      <c r="F50" s="3" t="s">
        <v>21</v>
      </c>
      <c r="G50" s="3" t="s">
        <v>140</v>
      </c>
      <c r="H50" s="3" t="s">
        <v>11</v>
      </c>
      <c r="I50" s="3" t="s">
        <v>7</v>
      </c>
      <c r="J50" s="3" t="s">
        <v>43</v>
      </c>
      <c r="K50" s="3" t="s">
        <v>59</v>
      </c>
      <c r="L50" s="3" t="s">
        <v>46</v>
      </c>
      <c r="M50">
        <v>1</v>
      </c>
    </row>
    <row r="51" spans="1:13" x14ac:dyDescent="0.25">
      <c r="A51" s="2">
        <v>46170</v>
      </c>
      <c r="B51" s="1" t="str">
        <f ca="1">IF(Información1[[#This Row],[Fecha]]='Ajuste de fechas'!$A$2,"Día actual","Día anterior")</f>
        <v>Día anterior</v>
      </c>
      <c r="C51" s="3" t="s">
        <v>57</v>
      </c>
      <c r="D51" t="s">
        <v>58</v>
      </c>
      <c r="E51" s="3" t="s">
        <v>165</v>
      </c>
      <c r="F51" s="3" t="s">
        <v>34</v>
      </c>
      <c r="G51" s="3" t="s">
        <v>151</v>
      </c>
      <c r="H51" s="3" t="s">
        <v>11</v>
      </c>
      <c r="I51" s="3" t="s">
        <v>7</v>
      </c>
      <c r="J51" s="3" t="s">
        <v>43</v>
      </c>
      <c r="K51" s="3" t="s">
        <v>59</v>
      </c>
      <c r="L51" s="3" t="s">
        <v>46</v>
      </c>
      <c r="M51">
        <v>1</v>
      </c>
    </row>
    <row r="52" spans="1:13" x14ac:dyDescent="0.25">
      <c r="A52" s="2">
        <v>46170</v>
      </c>
      <c r="B52" s="1" t="str">
        <f ca="1">IF(Información1[[#This Row],[Fecha]]='Ajuste de fechas'!$A$2,"Día actual","Día anterior")</f>
        <v>Día anterior</v>
      </c>
      <c r="C52" s="3" t="s">
        <v>57</v>
      </c>
      <c r="D52" t="s">
        <v>58</v>
      </c>
      <c r="E52" s="3" t="s">
        <v>166</v>
      </c>
      <c r="F52" s="3" t="s">
        <v>26</v>
      </c>
      <c r="G52" s="3" t="s">
        <v>143</v>
      </c>
      <c r="H52" s="3" t="s">
        <v>11</v>
      </c>
      <c r="I52" s="3" t="s">
        <v>7</v>
      </c>
      <c r="J52" s="3" t="s">
        <v>43</v>
      </c>
      <c r="K52" s="3" t="s">
        <v>59</v>
      </c>
      <c r="L52" s="3" t="s">
        <v>46</v>
      </c>
      <c r="M52">
        <v>1</v>
      </c>
    </row>
    <row r="53" spans="1:13" x14ac:dyDescent="0.25">
      <c r="A53" s="2">
        <v>46170</v>
      </c>
      <c r="B53" s="1" t="str">
        <f ca="1">IF(Información1[[#This Row],[Fecha]]='Ajuste de fechas'!$A$2,"Día actual","Día anterior")</f>
        <v>Día anterior</v>
      </c>
      <c r="C53" s="3" t="s">
        <v>95</v>
      </c>
      <c r="D53" t="s">
        <v>96</v>
      </c>
      <c r="E53" s="3" t="s">
        <v>163</v>
      </c>
      <c r="F53" s="3" t="s">
        <v>15</v>
      </c>
      <c r="G53" s="3" t="s">
        <v>164</v>
      </c>
      <c r="H53" s="3" t="s">
        <v>11</v>
      </c>
      <c r="I53" s="3" t="s">
        <v>7</v>
      </c>
      <c r="J53" s="3" t="s">
        <v>43</v>
      </c>
      <c r="K53" s="3" t="s">
        <v>97</v>
      </c>
      <c r="L53" s="3" t="s">
        <v>46</v>
      </c>
      <c r="M53">
        <v>1</v>
      </c>
    </row>
    <row r="54" spans="1:13" x14ac:dyDescent="0.25">
      <c r="A54" s="2">
        <v>46170</v>
      </c>
      <c r="B54" s="1" t="str">
        <f ca="1">IF(Información1[[#This Row],[Fecha]]='Ajuste de fechas'!$A$2,"Día actual","Día anterior")</f>
        <v>Día anterior</v>
      </c>
      <c r="C54" s="3" t="s">
        <v>95</v>
      </c>
      <c r="D54" t="s">
        <v>96</v>
      </c>
      <c r="E54" s="3" t="s">
        <v>169</v>
      </c>
      <c r="F54" s="3" t="s">
        <v>26</v>
      </c>
      <c r="G54" s="3" t="s">
        <v>143</v>
      </c>
      <c r="H54" s="3" t="s">
        <v>11</v>
      </c>
      <c r="I54" s="3" t="s">
        <v>7</v>
      </c>
      <c r="J54" s="3" t="s">
        <v>43</v>
      </c>
      <c r="K54" s="3" t="s">
        <v>97</v>
      </c>
      <c r="L54" s="3" t="s">
        <v>46</v>
      </c>
      <c r="M54">
        <v>1</v>
      </c>
    </row>
    <row r="55" spans="1:13" x14ac:dyDescent="0.25">
      <c r="A55" s="2">
        <v>46170</v>
      </c>
      <c r="B55" s="1" t="str">
        <f ca="1">IF(Información1[[#This Row],[Fecha]]='Ajuste de fechas'!$A$2,"Día actual","Día anterior")</f>
        <v>Día anterior</v>
      </c>
      <c r="C55" s="3" t="s">
        <v>95</v>
      </c>
      <c r="D55" t="s">
        <v>96</v>
      </c>
      <c r="E55" s="3" t="s">
        <v>150</v>
      </c>
      <c r="F55" s="3" t="s">
        <v>34</v>
      </c>
      <c r="G55" s="3" t="s">
        <v>151</v>
      </c>
      <c r="H55" s="3" t="s">
        <v>11</v>
      </c>
      <c r="I55" s="3" t="s">
        <v>7</v>
      </c>
      <c r="J55" s="3" t="s">
        <v>43</v>
      </c>
      <c r="K55" s="3" t="s">
        <v>97</v>
      </c>
      <c r="L55" s="3" t="s">
        <v>46</v>
      </c>
      <c r="M55">
        <v>1</v>
      </c>
    </row>
    <row r="56" spans="1:13" x14ac:dyDescent="0.25">
      <c r="A56" s="2">
        <v>46170</v>
      </c>
      <c r="B56" s="1" t="str">
        <f ca="1">IF(Información1[[#This Row],[Fecha]]='Ajuste de fechas'!$A$2,"Día actual","Día anterior")</f>
        <v>Día anterior</v>
      </c>
      <c r="C56" s="3" t="s">
        <v>55</v>
      </c>
      <c r="D56" t="s">
        <v>88</v>
      </c>
      <c r="E56" s="3" t="s">
        <v>170</v>
      </c>
      <c r="F56" s="3" t="s">
        <v>22</v>
      </c>
      <c r="G56" s="3"/>
      <c r="H56" s="3" t="s">
        <v>11</v>
      </c>
      <c r="I56" s="3" t="s">
        <v>7</v>
      </c>
      <c r="J56" s="3" t="s">
        <v>48</v>
      </c>
      <c r="K56" s="3" t="s">
        <v>103</v>
      </c>
      <c r="L56" s="3" t="s">
        <v>86</v>
      </c>
      <c r="M56">
        <v>1</v>
      </c>
    </row>
    <row r="57" spans="1:13" x14ac:dyDescent="0.25">
      <c r="A57" s="2">
        <v>46170</v>
      </c>
      <c r="B57" s="1" t="str">
        <f ca="1">IF(Información1[[#This Row],[Fecha]]='Ajuste de fechas'!$A$2,"Día actual","Día anterior")</f>
        <v>Día anterior</v>
      </c>
      <c r="C57" s="3" t="s">
        <v>55</v>
      </c>
      <c r="D57" t="s">
        <v>88</v>
      </c>
      <c r="E57" s="3" t="s">
        <v>171</v>
      </c>
      <c r="F57" s="3" t="s">
        <v>19</v>
      </c>
      <c r="G57" s="3" t="s">
        <v>172</v>
      </c>
      <c r="H57" s="3" t="s">
        <v>11</v>
      </c>
      <c r="I57" s="3" t="s">
        <v>7</v>
      </c>
      <c r="J57" s="3" t="s">
        <v>47</v>
      </c>
      <c r="K57" s="3" t="s">
        <v>56</v>
      </c>
      <c r="L57" s="3" t="s">
        <v>44</v>
      </c>
      <c r="M57">
        <v>1</v>
      </c>
    </row>
    <row r="58" spans="1:13" x14ac:dyDescent="0.25">
      <c r="A58" s="2">
        <v>46170</v>
      </c>
      <c r="B58" s="1" t="str">
        <f ca="1">IF(Información1[[#This Row],[Fecha]]='Ajuste de fechas'!$A$2,"Día actual","Día anterior")</f>
        <v>Día anterior</v>
      </c>
      <c r="C58" s="3" t="s">
        <v>55</v>
      </c>
      <c r="D58" t="s">
        <v>88</v>
      </c>
      <c r="E58" s="3" t="s">
        <v>173</v>
      </c>
      <c r="F58" s="3" t="s">
        <v>21</v>
      </c>
      <c r="G58" s="3" t="s">
        <v>110</v>
      </c>
      <c r="H58" s="3" t="s">
        <v>11</v>
      </c>
      <c r="I58" s="3" t="s">
        <v>25</v>
      </c>
      <c r="J58" s="3" t="s">
        <v>43</v>
      </c>
      <c r="K58" s="3" t="s">
        <v>9</v>
      </c>
      <c r="L58" s="3" t="s">
        <v>45</v>
      </c>
      <c r="M58">
        <v>1</v>
      </c>
    </row>
    <row r="59" spans="1:13" x14ac:dyDescent="0.25">
      <c r="A59" s="2">
        <v>46170</v>
      </c>
      <c r="B59" s="1" t="str">
        <f ca="1">IF(Información1[[#This Row],[Fecha]]='Ajuste de fechas'!$A$2,"Día actual","Día anterior")</f>
        <v>Día anterior</v>
      </c>
      <c r="C59" s="3" t="s">
        <v>55</v>
      </c>
      <c r="D59" t="s">
        <v>88</v>
      </c>
      <c r="E59" s="3" t="s">
        <v>174</v>
      </c>
      <c r="F59" s="3" t="s">
        <v>53</v>
      </c>
      <c r="G59" s="3" t="s">
        <v>113</v>
      </c>
      <c r="H59" s="3" t="s">
        <v>11</v>
      </c>
      <c r="I59" s="3" t="s">
        <v>7</v>
      </c>
      <c r="J59" s="3" t="s">
        <v>43</v>
      </c>
      <c r="K59" s="3" t="s">
        <v>56</v>
      </c>
      <c r="L59" s="3" t="s">
        <v>44</v>
      </c>
      <c r="M59">
        <v>1</v>
      </c>
    </row>
    <row r="60" spans="1:13" x14ac:dyDescent="0.25">
      <c r="A60" s="2">
        <v>46170</v>
      </c>
      <c r="B60" s="1" t="str">
        <f ca="1">IF(Información1[[#This Row],[Fecha]]='Ajuste de fechas'!$A$2,"Día actual","Día anterior")</f>
        <v>Día anterior</v>
      </c>
      <c r="C60" s="3" t="s">
        <v>55</v>
      </c>
      <c r="D60" t="s">
        <v>88</v>
      </c>
      <c r="E60" s="3" t="s">
        <v>175</v>
      </c>
      <c r="F60" s="3" t="s">
        <v>23</v>
      </c>
      <c r="G60" s="3" t="s">
        <v>109</v>
      </c>
      <c r="H60" s="3" t="s">
        <v>11</v>
      </c>
      <c r="I60" s="3" t="s">
        <v>7</v>
      </c>
      <c r="J60" s="3" t="s">
        <v>43</v>
      </c>
      <c r="K60" s="3" t="s">
        <v>56</v>
      </c>
      <c r="L60" s="3" t="s">
        <v>44</v>
      </c>
      <c r="M60">
        <v>1</v>
      </c>
    </row>
    <row r="61" spans="1:13" x14ac:dyDescent="0.25">
      <c r="A61" s="2">
        <v>46170</v>
      </c>
      <c r="B61" s="1" t="str">
        <f ca="1">IF(Información1[[#This Row],[Fecha]]='Ajuste de fechas'!$A$2,"Día actual","Día anterior")</f>
        <v>Día anterior</v>
      </c>
      <c r="C61" s="3" t="s">
        <v>55</v>
      </c>
      <c r="D61" t="s">
        <v>60</v>
      </c>
      <c r="E61" s="3" t="s">
        <v>176</v>
      </c>
      <c r="F61" s="3" t="s">
        <v>19</v>
      </c>
      <c r="G61" s="3" t="s">
        <v>61</v>
      </c>
      <c r="H61" s="3" t="s">
        <v>11</v>
      </c>
      <c r="I61" s="3" t="s">
        <v>7</v>
      </c>
      <c r="J61" s="3" t="s">
        <v>47</v>
      </c>
      <c r="K61" s="3" t="s">
        <v>54</v>
      </c>
      <c r="L61" s="3" t="s">
        <v>44</v>
      </c>
      <c r="M61">
        <v>1</v>
      </c>
    </row>
    <row r="62" spans="1:13" x14ac:dyDescent="0.25">
      <c r="A62" s="2">
        <v>46170</v>
      </c>
      <c r="B62" s="1" t="str">
        <f ca="1">IF(Información1[[#This Row],[Fecha]]='Ajuste de fechas'!$A$2,"Día actual","Día anterior")</f>
        <v>Día anterior</v>
      </c>
      <c r="C62" s="3" t="s">
        <v>55</v>
      </c>
      <c r="D62" t="s">
        <v>60</v>
      </c>
      <c r="E62" s="3" t="s">
        <v>177</v>
      </c>
      <c r="F62" s="3" t="s">
        <v>19</v>
      </c>
      <c r="G62" s="3" t="s">
        <v>81</v>
      </c>
      <c r="H62" s="3" t="s">
        <v>11</v>
      </c>
      <c r="I62" s="3" t="s">
        <v>7</v>
      </c>
      <c r="J62" s="3" t="s">
        <v>47</v>
      </c>
      <c r="K62" s="3" t="s">
        <v>56</v>
      </c>
      <c r="L62" s="3" t="s">
        <v>44</v>
      </c>
      <c r="M62">
        <v>1</v>
      </c>
    </row>
    <row r="63" spans="1:13" x14ac:dyDescent="0.25">
      <c r="A63" s="2">
        <v>46170</v>
      </c>
      <c r="B63" s="1" t="str">
        <f ca="1">IF(Información1[[#This Row],[Fecha]]='Ajuste de fechas'!$A$2,"Día actual","Día anterior")</f>
        <v>Día anterior</v>
      </c>
      <c r="C63" s="3" t="s">
        <v>55</v>
      </c>
      <c r="D63" t="s">
        <v>60</v>
      </c>
      <c r="E63" s="3" t="s">
        <v>178</v>
      </c>
      <c r="F63" s="3" t="s">
        <v>26</v>
      </c>
      <c r="G63" s="3" t="s">
        <v>84</v>
      </c>
      <c r="H63" s="3" t="s">
        <v>11</v>
      </c>
      <c r="I63" s="3" t="s">
        <v>7</v>
      </c>
      <c r="J63" s="3" t="s">
        <v>43</v>
      </c>
      <c r="K63" s="3" t="s">
        <v>56</v>
      </c>
      <c r="L63" s="3" t="s">
        <v>44</v>
      </c>
      <c r="M63">
        <v>1</v>
      </c>
    </row>
    <row r="64" spans="1:13" x14ac:dyDescent="0.25">
      <c r="A64" s="2">
        <v>46170</v>
      </c>
      <c r="B64" s="1" t="str">
        <f ca="1">IF(Información1[[#This Row],[Fecha]]='Ajuste de fechas'!$A$2,"Día actual","Día anterior")</f>
        <v>Día anterior</v>
      </c>
      <c r="C64" s="3" t="s">
        <v>55</v>
      </c>
      <c r="D64" t="s">
        <v>60</v>
      </c>
      <c r="E64" s="3" t="s">
        <v>176</v>
      </c>
      <c r="F64" s="3" t="s">
        <v>179</v>
      </c>
      <c r="G64" s="3" t="s">
        <v>61</v>
      </c>
      <c r="H64" s="3" t="s">
        <v>11</v>
      </c>
      <c r="I64" s="3" t="s">
        <v>7</v>
      </c>
      <c r="J64" s="3" t="s">
        <v>43</v>
      </c>
      <c r="K64" s="3" t="s">
        <v>54</v>
      </c>
      <c r="L64" s="3" t="s">
        <v>44</v>
      </c>
      <c r="M64">
        <v>1</v>
      </c>
    </row>
    <row r="65" spans="1:13" x14ac:dyDescent="0.25">
      <c r="A65" s="2">
        <v>46170</v>
      </c>
      <c r="B65" s="1" t="str">
        <f ca="1">IF(Información1[[#This Row],[Fecha]]='Ajuste de fechas'!$A$2,"Día actual","Día anterior")</f>
        <v>Día anterior</v>
      </c>
      <c r="C65" s="3" t="s">
        <v>55</v>
      </c>
      <c r="D65" t="s">
        <v>60</v>
      </c>
      <c r="E65" s="3" t="s">
        <v>180</v>
      </c>
      <c r="F65" s="3" t="s">
        <v>53</v>
      </c>
      <c r="G65" s="3" t="s">
        <v>181</v>
      </c>
      <c r="H65" s="3" t="s">
        <v>11</v>
      </c>
      <c r="I65" s="3" t="s">
        <v>7</v>
      </c>
      <c r="J65" s="3" t="s">
        <v>43</v>
      </c>
      <c r="K65" s="3" t="s">
        <v>56</v>
      </c>
      <c r="L65" s="3" t="s">
        <v>44</v>
      </c>
      <c r="M65">
        <v>1</v>
      </c>
    </row>
    <row r="66" spans="1:13" x14ac:dyDescent="0.25">
      <c r="A66" s="2">
        <v>46170</v>
      </c>
      <c r="B66" s="1" t="str">
        <f ca="1">IF(Información1[[#This Row],[Fecha]]='Ajuste de fechas'!$A$2,"Día actual","Día anterior")</f>
        <v>Día anterior</v>
      </c>
      <c r="C66" s="3" t="s">
        <v>55</v>
      </c>
      <c r="D66" t="s">
        <v>60</v>
      </c>
      <c r="E66" s="3" t="s">
        <v>182</v>
      </c>
      <c r="F66" s="3" t="s">
        <v>21</v>
      </c>
      <c r="G66" s="3" t="s">
        <v>183</v>
      </c>
      <c r="H66" s="3" t="s">
        <v>11</v>
      </c>
      <c r="I66" s="3" t="s">
        <v>12</v>
      </c>
      <c r="J66" s="3" t="s">
        <v>43</v>
      </c>
      <c r="K66" s="3" t="s">
        <v>54</v>
      </c>
      <c r="L66" s="3" t="s">
        <v>44</v>
      </c>
      <c r="M66">
        <v>1</v>
      </c>
    </row>
    <row r="67" spans="1:13" x14ac:dyDescent="0.25">
      <c r="A67" s="2">
        <v>46170</v>
      </c>
      <c r="B67" s="1" t="str">
        <f ca="1">IF(Información1[[#This Row],[Fecha]]='Ajuste de fechas'!$A$2,"Día actual","Día anterior")</f>
        <v>Día anterior</v>
      </c>
      <c r="C67" s="3" t="s">
        <v>55</v>
      </c>
      <c r="D67" t="s">
        <v>60</v>
      </c>
      <c r="E67" s="3" t="s">
        <v>184</v>
      </c>
      <c r="F67" s="3" t="s">
        <v>21</v>
      </c>
      <c r="G67" s="3" t="s">
        <v>185</v>
      </c>
      <c r="H67" s="3" t="s">
        <v>11</v>
      </c>
      <c r="I67" s="3" t="s">
        <v>12</v>
      </c>
      <c r="J67" s="3" t="s">
        <v>43</v>
      </c>
      <c r="K67" s="3" t="s">
        <v>54</v>
      </c>
      <c r="L67" s="3" t="s">
        <v>44</v>
      </c>
      <c r="M67">
        <v>1</v>
      </c>
    </row>
    <row r="68" spans="1:13" x14ac:dyDescent="0.25">
      <c r="A68" s="2">
        <v>46170</v>
      </c>
      <c r="B68" s="1" t="str">
        <f ca="1">IF(Información1[[#This Row],[Fecha]]='Ajuste de fechas'!$A$2,"Día actual","Día anterior")</f>
        <v>Día anterior</v>
      </c>
      <c r="C68" s="3" t="s">
        <v>55</v>
      </c>
      <c r="D68" t="s">
        <v>60</v>
      </c>
      <c r="E68" s="3" t="s">
        <v>186</v>
      </c>
      <c r="F68" s="3" t="s">
        <v>75</v>
      </c>
      <c r="G68" s="3" t="s">
        <v>187</v>
      </c>
      <c r="H68" s="3" t="s">
        <v>11</v>
      </c>
      <c r="I68" s="3" t="s">
        <v>7</v>
      </c>
      <c r="J68" s="3" t="s">
        <v>43</v>
      </c>
      <c r="K68" s="3" t="s">
        <v>54</v>
      </c>
      <c r="L68" s="3" t="s">
        <v>46</v>
      </c>
      <c r="M68">
        <v>1</v>
      </c>
    </row>
    <row r="69" spans="1:13" x14ac:dyDescent="0.25">
      <c r="A69" s="2">
        <v>46170</v>
      </c>
      <c r="B69" s="1" t="str">
        <f ca="1">IF(Información1[[#This Row],[Fecha]]='Ajuste de fechas'!$A$2,"Día actual","Día anterior")</f>
        <v>Día anterior</v>
      </c>
      <c r="C69" s="3" t="s">
        <v>55</v>
      </c>
      <c r="D69" t="s">
        <v>60</v>
      </c>
      <c r="E69" s="3" t="s">
        <v>188</v>
      </c>
      <c r="F69" s="3" t="s">
        <v>21</v>
      </c>
      <c r="G69" s="3" t="s">
        <v>189</v>
      </c>
      <c r="H69" s="3" t="s">
        <v>11</v>
      </c>
      <c r="I69" s="3" t="s">
        <v>7</v>
      </c>
      <c r="J69" s="3" t="s">
        <v>43</v>
      </c>
      <c r="K69" s="3" t="s">
        <v>54</v>
      </c>
      <c r="L69" s="3" t="s">
        <v>46</v>
      </c>
      <c r="M69">
        <v>1</v>
      </c>
    </row>
    <row r="70" spans="1:13" x14ac:dyDescent="0.25">
      <c r="A70" s="2">
        <v>46170</v>
      </c>
      <c r="B70" s="1" t="str">
        <f ca="1">IF(Información1[[#This Row],[Fecha]]='Ajuste de fechas'!$A$2,"Día actual","Día anterior")</f>
        <v>Día anterior</v>
      </c>
      <c r="C70" s="3" t="s">
        <v>55</v>
      </c>
      <c r="D70" t="s">
        <v>60</v>
      </c>
      <c r="E70" s="3" t="s">
        <v>153</v>
      </c>
      <c r="F70" s="3" t="s">
        <v>21</v>
      </c>
      <c r="G70" s="3" t="s">
        <v>140</v>
      </c>
      <c r="H70" s="3" t="s">
        <v>11</v>
      </c>
      <c r="I70" s="3" t="s">
        <v>7</v>
      </c>
      <c r="J70" s="3" t="s">
        <v>43</v>
      </c>
      <c r="K70" s="3" t="s">
        <v>54</v>
      </c>
      <c r="L70" s="3" t="s">
        <v>46</v>
      </c>
      <c r="M70">
        <v>1</v>
      </c>
    </row>
    <row r="71" spans="1:13" x14ac:dyDescent="0.25">
      <c r="A71" s="2">
        <v>46170</v>
      </c>
      <c r="B71" s="1" t="str">
        <f ca="1">IF(Información1[[#This Row],[Fecha]]='Ajuste de fechas'!$A$2,"Día actual","Día anterior")</f>
        <v>Día anterior</v>
      </c>
      <c r="C71" s="3" t="s">
        <v>55</v>
      </c>
      <c r="D71" t="s">
        <v>60</v>
      </c>
      <c r="E71" s="3" t="s">
        <v>166</v>
      </c>
      <c r="F71" s="3" t="s">
        <v>26</v>
      </c>
      <c r="G71" s="3" t="s">
        <v>143</v>
      </c>
      <c r="H71" s="3" t="s">
        <v>11</v>
      </c>
      <c r="I71" s="3" t="s">
        <v>7</v>
      </c>
      <c r="J71" s="3" t="s">
        <v>43</v>
      </c>
      <c r="K71" s="3" t="s">
        <v>54</v>
      </c>
      <c r="L71" s="3" t="s">
        <v>46</v>
      </c>
      <c r="M71">
        <v>1</v>
      </c>
    </row>
    <row r="72" spans="1:13" x14ac:dyDescent="0.25">
      <c r="A72" s="2">
        <v>46170</v>
      </c>
      <c r="B72" s="1" t="str">
        <f ca="1">IF(Información1[[#This Row],[Fecha]]='Ajuste de fechas'!$A$2,"Día actual","Día anterior")</f>
        <v>Día anterior</v>
      </c>
      <c r="C72" s="3" t="s">
        <v>55</v>
      </c>
      <c r="D72" t="s">
        <v>60</v>
      </c>
      <c r="E72" s="3" t="s">
        <v>190</v>
      </c>
      <c r="F72" s="3" t="s">
        <v>89</v>
      </c>
      <c r="G72" s="3" t="s">
        <v>98</v>
      </c>
      <c r="H72" s="3" t="s">
        <v>11</v>
      </c>
      <c r="I72" s="3" t="s">
        <v>7</v>
      </c>
      <c r="J72" s="3" t="s">
        <v>43</v>
      </c>
      <c r="K72" s="3" t="s">
        <v>56</v>
      </c>
      <c r="L72" s="3" t="s">
        <v>44</v>
      </c>
      <c r="M72">
        <v>1</v>
      </c>
    </row>
    <row r="73" spans="1:13" x14ac:dyDescent="0.25">
      <c r="A73" s="2">
        <v>46170</v>
      </c>
      <c r="B73" s="1" t="str">
        <f ca="1">IF(Información1[[#This Row],[Fecha]]='Ajuste de fechas'!$A$2,"Día actual","Día anterior")</f>
        <v>Día anterior</v>
      </c>
      <c r="C73" s="3" t="s">
        <v>55</v>
      </c>
      <c r="D73" t="s">
        <v>60</v>
      </c>
      <c r="E73" s="3" t="s">
        <v>191</v>
      </c>
      <c r="F73" s="3" t="s">
        <v>72</v>
      </c>
      <c r="G73" s="3" t="s">
        <v>192</v>
      </c>
      <c r="H73" s="3" t="s">
        <v>11</v>
      </c>
      <c r="I73" s="3" t="s">
        <v>7</v>
      </c>
      <c r="J73" s="3" t="s">
        <v>43</v>
      </c>
      <c r="K73" s="3" t="s">
        <v>54</v>
      </c>
      <c r="L73" s="3" t="s">
        <v>46</v>
      </c>
      <c r="M73">
        <v>1</v>
      </c>
    </row>
    <row r="74" spans="1:13" x14ac:dyDescent="0.25">
      <c r="A74" s="2">
        <v>46170</v>
      </c>
      <c r="B74" s="1" t="str">
        <f ca="1">IF(Información1[[#This Row],[Fecha]]='Ajuste de fechas'!$A$2,"Día actual","Día anterior")</f>
        <v>Día anterior</v>
      </c>
      <c r="C74" s="3" t="s">
        <v>55</v>
      </c>
      <c r="D74" t="s">
        <v>60</v>
      </c>
      <c r="E74" s="3" t="s">
        <v>106</v>
      </c>
      <c r="F74" s="3" t="s">
        <v>53</v>
      </c>
      <c r="G74" s="3" t="s">
        <v>80</v>
      </c>
      <c r="H74" s="3" t="s">
        <v>11</v>
      </c>
      <c r="I74" s="3" t="s">
        <v>7</v>
      </c>
      <c r="J74" s="3" t="s">
        <v>43</v>
      </c>
      <c r="K74" s="3" t="s">
        <v>54</v>
      </c>
      <c r="L74" s="3" t="s">
        <v>46</v>
      </c>
      <c r="M74">
        <v>1</v>
      </c>
    </row>
    <row r="75" spans="1:13" x14ac:dyDescent="0.25">
      <c r="A75" s="2">
        <v>46170</v>
      </c>
      <c r="B75" s="1" t="str">
        <f ca="1">IF(Información1[[#This Row],[Fecha]]='Ajuste de fechas'!$A$2,"Día actual","Día anterior")</f>
        <v>Día anterior</v>
      </c>
      <c r="C75" s="3" t="s">
        <v>55</v>
      </c>
      <c r="D75" t="s">
        <v>60</v>
      </c>
      <c r="E75" s="3" t="s">
        <v>162</v>
      </c>
      <c r="F75" s="3" t="s">
        <v>53</v>
      </c>
      <c r="G75" s="3" t="s">
        <v>113</v>
      </c>
      <c r="H75" s="3" t="s">
        <v>11</v>
      </c>
      <c r="I75" s="3" t="s">
        <v>7</v>
      </c>
      <c r="J75" s="3" t="s">
        <v>43</v>
      </c>
      <c r="K75" s="3" t="s">
        <v>54</v>
      </c>
      <c r="L75" s="3" t="s">
        <v>46</v>
      </c>
      <c r="M75">
        <v>1</v>
      </c>
    </row>
    <row r="76" spans="1:13" x14ac:dyDescent="0.25">
      <c r="A76" s="2">
        <v>46170</v>
      </c>
      <c r="B76" s="1" t="str">
        <f ca="1">IF(Información1[[#This Row],[Fecha]]='Ajuste de fechas'!$A$2,"Día actual","Día anterior")</f>
        <v>Día anterior</v>
      </c>
      <c r="C76" s="3" t="s">
        <v>55</v>
      </c>
      <c r="D76" t="s">
        <v>88</v>
      </c>
      <c r="E76" s="3" t="s">
        <v>193</v>
      </c>
      <c r="F76" s="3" t="s">
        <v>22</v>
      </c>
      <c r="G76" s="3" t="s">
        <v>194</v>
      </c>
      <c r="H76" s="3" t="s">
        <v>11</v>
      </c>
      <c r="I76" s="3" t="s">
        <v>7</v>
      </c>
      <c r="J76" s="3" t="s">
        <v>48</v>
      </c>
      <c r="K76" s="3" t="s">
        <v>103</v>
      </c>
      <c r="L76" s="3" t="s">
        <v>86</v>
      </c>
      <c r="M76">
        <v>1</v>
      </c>
    </row>
    <row r="77" spans="1:13" x14ac:dyDescent="0.25">
      <c r="A77" s="2">
        <v>46170</v>
      </c>
      <c r="B77" s="1" t="str">
        <f ca="1">IF(Información1[[#This Row],[Fecha]]='Ajuste de fechas'!$A$2,"Día actual","Día anterior")</f>
        <v>Día anterior</v>
      </c>
      <c r="C77" s="3" t="s">
        <v>76</v>
      </c>
      <c r="D77" t="s">
        <v>77</v>
      </c>
      <c r="E77" s="3" t="s">
        <v>163</v>
      </c>
      <c r="F77" s="3" t="s">
        <v>15</v>
      </c>
      <c r="G77" s="3" t="s">
        <v>164</v>
      </c>
      <c r="H77" s="3" t="s">
        <v>11</v>
      </c>
      <c r="I77" s="3" t="s">
        <v>7</v>
      </c>
      <c r="J77" s="3" t="s">
        <v>43</v>
      </c>
      <c r="K77" s="3" t="s">
        <v>78</v>
      </c>
      <c r="L77" s="3" t="s">
        <v>46</v>
      </c>
      <c r="M77">
        <v>1</v>
      </c>
    </row>
    <row r="78" spans="1:13" x14ac:dyDescent="0.25">
      <c r="A78" s="2">
        <v>46170</v>
      </c>
      <c r="B78" s="1" t="str">
        <f ca="1">IF(Información1[[#This Row],[Fecha]]='Ajuste de fechas'!$A$2,"Día actual","Día anterior")</f>
        <v>Día anterior</v>
      </c>
      <c r="C78" s="3" t="s">
        <v>28</v>
      </c>
      <c r="D78" t="s">
        <v>30</v>
      </c>
      <c r="E78" s="3" t="s">
        <v>195</v>
      </c>
      <c r="F78" s="3" t="s">
        <v>19</v>
      </c>
      <c r="G78" s="3"/>
      <c r="H78" s="3" t="s">
        <v>11</v>
      </c>
      <c r="I78" s="3" t="s">
        <v>7</v>
      </c>
      <c r="J78" s="3" t="s">
        <v>47</v>
      </c>
      <c r="K78" s="3" t="s">
        <v>36</v>
      </c>
      <c r="L78" s="3" t="s">
        <v>44</v>
      </c>
      <c r="M78">
        <v>1</v>
      </c>
    </row>
    <row r="79" spans="1:13" x14ac:dyDescent="0.25">
      <c r="A79" s="2">
        <v>46170</v>
      </c>
      <c r="B79" s="1" t="str">
        <f ca="1">IF(Información1[[#This Row],[Fecha]]='Ajuste de fechas'!$A$2,"Día actual","Día anterior")</f>
        <v>Día anterior</v>
      </c>
      <c r="C79" s="3" t="s">
        <v>28</v>
      </c>
      <c r="D79" t="s">
        <v>31</v>
      </c>
      <c r="E79" s="3" t="s">
        <v>196</v>
      </c>
      <c r="F79" s="3" t="s">
        <v>17</v>
      </c>
      <c r="G79" s="3" t="s">
        <v>71</v>
      </c>
      <c r="H79" s="3" t="s">
        <v>11</v>
      </c>
      <c r="I79" s="3" t="s">
        <v>7</v>
      </c>
      <c r="J79" s="3" t="s">
        <v>43</v>
      </c>
      <c r="K79" s="3" t="s">
        <v>29</v>
      </c>
      <c r="L79" s="3" t="s">
        <v>44</v>
      </c>
      <c r="M79">
        <v>1</v>
      </c>
    </row>
    <row r="80" spans="1:13" x14ac:dyDescent="0.25">
      <c r="A80" s="2">
        <v>46170</v>
      </c>
      <c r="B80" s="1" t="str">
        <f ca="1">IF(Información1[[#This Row],[Fecha]]='Ajuste de fechas'!$A$2,"Día actual","Día anterior")</f>
        <v>Día anterior</v>
      </c>
      <c r="C80" s="3" t="s">
        <v>28</v>
      </c>
      <c r="D80" t="s">
        <v>30</v>
      </c>
      <c r="E80" s="3" t="s">
        <v>197</v>
      </c>
      <c r="F80" s="3" t="s">
        <v>53</v>
      </c>
      <c r="G80" s="3" t="s">
        <v>113</v>
      </c>
      <c r="H80" s="3" t="s">
        <v>11</v>
      </c>
      <c r="I80" s="3" t="s">
        <v>7</v>
      </c>
      <c r="J80" s="3" t="s">
        <v>43</v>
      </c>
      <c r="K80" s="3" t="s">
        <v>36</v>
      </c>
      <c r="L80" s="3" t="s">
        <v>44</v>
      </c>
      <c r="M80">
        <v>1</v>
      </c>
    </row>
    <row r="81" spans="1:13" x14ac:dyDescent="0.25">
      <c r="A81" s="2">
        <v>46170</v>
      </c>
      <c r="B81" s="1" t="str">
        <f ca="1">IF(Información1[[#This Row],[Fecha]]='Ajuste de fechas'!$A$2,"Día actual","Día anterior")</f>
        <v>Día anterior</v>
      </c>
      <c r="C81" s="3" t="s">
        <v>28</v>
      </c>
      <c r="D81" t="s">
        <v>30</v>
      </c>
      <c r="E81" s="3" t="s">
        <v>198</v>
      </c>
      <c r="F81" s="3" t="s">
        <v>53</v>
      </c>
      <c r="G81" s="3" t="s">
        <v>113</v>
      </c>
      <c r="H81" s="3" t="s">
        <v>11</v>
      </c>
      <c r="I81" s="3" t="s">
        <v>7</v>
      </c>
      <c r="J81" s="3" t="s">
        <v>43</v>
      </c>
      <c r="K81" s="3" t="s">
        <v>36</v>
      </c>
      <c r="L81" s="3" t="s">
        <v>44</v>
      </c>
      <c r="M81">
        <v>1</v>
      </c>
    </row>
    <row r="82" spans="1:13" x14ac:dyDescent="0.25">
      <c r="A82" s="2">
        <v>46170</v>
      </c>
      <c r="B82" s="1" t="str">
        <f ca="1">IF(Información1[[#This Row],[Fecha]]='Ajuste de fechas'!$A$2,"Día actual","Día anterior")</f>
        <v>Día anterior</v>
      </c>
      <c r="C82" s="3" t="s">
        <v>28</v>
      </c>
      <c r="D82" t="s">
        <v>31</v>
      </c>
      <c r="E82" s="3" t="s">
        <v>199</v>
      </c>
      <c r="F82" s="3" t="s">
        <v>53</v>
      </c>
      <c r="G82" s="3" t="s">
        <v>113</v>
      </c>
      <c r="H82" s="3" t="s">
        <v>11</v>
      </c>
      <c r="I82" s="3" t="s">
        <v>7</v>
      </c>
      <c r="J82" s="3" t="s">
        <v>43</v>
      </c>
      <c r="K82" s="3" t="s">
        <v>29</v>
      </c>
      <c r="L82" s="3" t="s">
        <v>44</v>
      </c>
      <c r="M82">
        <v>1</v>
      </c>
    </row>
    <row r="83" spans="1:13" x14ac:dyDescent="0.25">
      <c r="A83" s="2">
        <v>46170</v>
      </c>
      <c r="B83" s="1" t="str">
        <f ca="1">IF(Información1[[#This Row],[Fecha]]='Ajuste de fechas'!$A$2,"Día actual","Día anterior")</f>
        <v>Día anterior</v>
      </c>
      <c r="C83" s="3" t="s">
        <v>28</v>
      </c>
      <c r="D83" t="s">
        <v>31</v>
      </c>
      <c r="E83" s="3" t="s">
        <v>200</v>
      </c>
      <c r="F83" s="3" t="s">
        <v>23</v>
      </c>
      <c r="G83" s="3" t="s">
        <v>87</v>
      </c>
      <c r="H83" s="3" t="s">
        <v>11</v>
      </c>
      <c r="I83" s="3" t="s">
        <v>7</v>
      </c>
      <c r="J83" s="3" t="s">
        <v>43</v>
      </c>
      <c r="K83" s="3" t="s">
        <v>29</v>
      </c>
      <c r="L83" s="3" t="s">
        <v>44</v>
      </c>
      <c r="M83">
        <v>1</v>
      </c>
    </row>
    <row r="84" spans="1:13" x14ac:dyDescent="0.25">
      <c r="A84" s="2">
        <v>46170</v>
      </c>
      <c r="B84" s="1" t="str">
        <f ca="1">IF(Información1[[#This Row],[Fecha]]='Ajuste de fechas'!$A$2,"Día actual","Día anterior")</f>
        <v>Día anterior</v>
      </c>
      <c r="C84" s="3" t="s">
        <v>28</v>
      </c>
      <c r="D84" t="s">
        <v>30</v>
      </c>
      <c r="E84" s="3" t="s">
        <v>201</v>
      </c>
      <c r="F84" s="3" t="s">
        <v>19</v>
      </c>
      <c r="G84" s="3" t="s">
        <v>202</v>
      </c>
      <c r="H84" s="3" t="s">
        <v>11</v>
      </c>
      <c r="I84" s="3" t="s">
        <v>25</v>
      </c>
      <c r="J84" s="3" t="s">
        <v>47</v>
      </c>
      <c r="K84" s="3" t="s">
        <v>36</v>
      </c>
      <c r="L84" s="3" t="s">
        <v>44</v>
      </c>
      <c r="M84">
        <v>1</v>
      </c>
    </row>
    <row r="85" spans="1:13" x14ac:dyDescent="0.25">
      <c r="A85" s="2">
        <v>46170</v>
      </c>
      <c r="B85" s="1" t="str">
        <f ca="1">IF(Información1[[#This Row],[Fecha]]='Ajuste de fechas'!$A$2,"Día actual","Día anterior")</f>
        <v>Día anterior</v>
      </c>
      <c r="C85" s="3" t="s">
        <v>28</v>
      </c>
      <c r="D85" t="s">
        <v>30</v>
      </c>
      <c r="E85" s="3" t="s">
        <v>154</v>
      </c>
      <c r="F85" s="3" t="s">
        <v>15</v>
      </c>
      <c r="G85" s="3" t="s">
        <v>155</v>
      </c>
      <c r="H85" s="3" t="s">
        <v>11</v>
      </c>
      <c r="I85" s="3" t="s">
        <v>7</v>
      </c>
      <c r="J85" s="3" t="s">
        <v>43</v>
      </c>
      <c r="K85" s="3" t="s">
        <v>36</v>
      </c>
      <c r="L85" s="3" t="s">
        <v>46</v>
      </c>
      <c r="M85">
        <v>1</v>
      </c>
    </row>
    <row r="86" spans="1:13" x14ac:dyDescent="0.25">
      <c r="A86" s="2">
        <v>46170</v>
      </c>
      <c r="B86" s="1" t="str">
        <f ca="1">IF(Información1[[#This Row],[Fecha]]='Ajuste de fechas'!$A$2,"Día actual","Día anterior")</f>
        <v>Día anterior</v>
      </c>
      <c r="C86" s="3" t="s">
        <v>28</v>
      </c>
      <c r="D86" t="s">
        <v>31</v>
      </c>
      <c r="E86" s="3" t="s">
        <v>203</v>
      </c>
      <c r="F86" s="3" t="s">
        <v>24</v>
      </c>
      <c r="G86" s="3" t="s">
        <v>155</v>
      </c>
      <c r="H86" s="3" t="s">
        <v>11</v>
      </c>
      <c r="I86" s="3" t="s">
        <v>7</v>
      </c>
      <c r="J86" s="3" t="s">
        <v>24</v>
      </c>
      <c r="K86" s="3" t="s">
        <v>29</v>
      </c>
      <c r="L86" s="3" t="s">
        <v>45</v>
      </c>
      <c r="M86">
        <v>1</v>
      </c>
    </row>
    <row r="87" spans="1:13" x14ac:dyDescent="0.25">
      <c r="A87" s="2">
        <v>46170</v>
      </c>
      <c r="B87" s="1" t="str">
        <f ca="1">IF(Información1[[#This Row],[Fecha]]='Ajuste de fechas'!$A$2,"Día actual","Día anterior")</f>
        <v>Día anterior</v>
      </c>
      <c r="C87" s="3" t="s">
        <v>28</v>
      </c>
      <c r="D87" t="s">
        <v>31</v>
      </c>
      <c r="E87" s="3" t="s">
        <v>154</v>
      </c>
      <c r="F87" s="3" t="s">
        <v>15</v>
      </c>
      <c r="G87" s="3" t="s">
        <v>155</v>
      </c>
      <c r="H87" s="3" t="s">
        <v>11</v>
      </c>
      <c r="I87" s="3" t="s">
        <v>7</v>
      </c>
      <c r="J87" s="3" t="s">
        <v>43</v>
      </c>
      <c r="K87" s="3" t="s">
        <v>29</v>
      </c>
      <c r="L87" s="3" t="s">
        <v>46</v>
      </c>
      <c r="M87">
        <v>1</v>
      </c>
    </row>
    <row r="88" spans="1:13" x14ac:dyDescent="0.25">
      <c r="A88" s="2">
        <v>46170</v>
      </c>
      <c r="B88" s="1" t="str">
        <f ca="1">IF(Información1[[#This Row],[Fecha]]='Ajuste de fechas'!$A$2,"Día actual","Día anterior")</f>
        <v>Día anterior</v>
      </c>
      <c r="C88" s="3" t="s">
        <v>28</v>
      </c>
      <c r="D88" t="s">
        <v>31</v>
      </c>
      <c r="E88" s="3" t="s">
        <v>204</v>
      </c>
      <c r="F88" s="3" t="s">
        <v>19</v>
      </c>
      <c r="G88" s="3" t="s">
        <v>90</v>
      </c>
      <c r="H88" s="3" t="s">
        <v>11</v>
      </c>
      <c r="I88" s="3" t="s">
        <v>7</v>
      </c>
      <c r="J88" s="3" t="s">
        <v>47</v>
      </c>
      <c r="K88" s="3" t="s">
        <v>29</v>
      </c>
      <c r="L88" s="3" t="s">
        <v>44</v>
      </c>
      <c r="M88">
        <v>1</v>
      </c>
    </row>
    <row r="89" spans="1:13" x14ac:dyDescent="0.25">
      <c r="A89" s="2">
        <v>46170</v>
      </c>
      <c r="B89" s="1" t="str">
        <f ca="1">IF(Información1[[#This Row],[Fecha]]='Ajuste de fechas'!$A$2,"Día actual","Día anterior")</f>
        <v>Día anterior</v>
      </c>
      <c r="C89" s="3" t="s">
        <v>28</v>
      </c>
      <c r="D89" t="s">
        <v>30</v>
      </c>
      <c r="E89" s="3" t="s">
        <v>205</v>
      </c>
      <c r="F89" s="3" t="s">
        <v>23</v>
      </c>
      <c r="G89" s="3" t="s">
        <v>74</v>
      </c>
      <c r="H89" s="3" t="s">
        <v>11</v>
      </c>
      <c r="I89" s="3" t="s">
        <v>7</v>
      </c>
      <c r="J89" s="3" t="s">
        <v>43</v>
      </c>
      <c r="K89" s="3" t="s">
        <v>36</v>
      </c>
      <c r="L89" s="3" t="s">
        <v>44</v>
      </c>
      <c r="M89">
        <v>1</v>
      </c>
    </row>
    <row r="90" spans="1:13" x14ac:dyDescent="0.25">
      <c r="A90" s="2">
        <v>46170</v>
      </c>
      <c r="B90" s="1" t="str">
        <f ca="1">IF(Información1[[#This Row],[Fecha]]='Ajuste de fechas'!$A$2,"Día actual","Día anterior")</f>
        <v>Día anterior</v>
      </c>
      <c r="C90" s="3" t="s">
        <v>28</v>
      </c>
      <c r="D90" t="s">
        <v>31</v>
      </c>
      <c r="E90" s="3" t="s">
        <v>206</v>
      </c>
      <c r="F90" s="3" t="s">
        <v>23</v>
      </c>
      <c r="G90" s="3" t="s">
        <v>74</v>
      </c>
      <c r="H90" s="3" t="s">
        <v>11</v>
      </c>
      <c r="I90" s="3" t="s">
        <v>7</v>
      </c>
      <c r="J90" s="3" t="s">
        <v>43</v>
      </c>
      <c r="K90" s="3" t="s">
        <v>29</v>
      </c>
      <c r="L90" s="3" t="s">
        <v>44</v>
      </c>
      <c r="M90">
        <v>1</v>
      </c>
    </row>
    <row r="91" spans="1:13" x14ac:dyDescent="0.25">
      <c r="A91" s="2">
        <v>46170</v>
      </c>
      <c r="B91" s="1" t="str">
        <f ca="1">IF(Información1[[#This Row],[Fecha]]='Ajuste de fechas'!$A$2,"Día actual","Día anterior")</f>
        <v>Día anterior</v>
      </c>
      <c r="C91" s="3" t="s">
        <v>28</v>
      </c>
      <c r="D91" t="s">
        <v>30</v>
      </c>
      <c r="E91" s="3" t="s">
        <v>207</v>
      </c>
      <c r="F91" s="3" t="s">
        <v>53</v>
      </c>
      <c r="G91" s="3" t="s">
        <v>208</v>
      </c>
      <c r="H91" s="3" t="s">
        <v>11</v>
      </c>
      <c r="I91" s="3" t="s">
        <v>7</v>
      </c>
      <c r="J91" s="3" t="s">
        <v>43</v>
      </c>
      <c r="K91" s="3" t="s">
        <v>36</v>
      </c>
      <c r="L91" s="3" t="s">
        <v>44</v>
      </c>
      <c r="M91">
        <v>1</v>
      </c>
    </row>
    <row r="92" spans="1:13" x14ac:dyDescent="0.25">
      <c r="A92" s="2">
        <v>46170</v>
      </c>
      <c r="B92" s="1" t="str">
        <f ca="1">IF(Información1[[#This Row],[Fecha]]='Ajuste de fechas'!$A$2,"Día actual","Día anterior")</f>
        <v>Día anterior</v>
      </c>
      <c r="C92" s="3" t="s">
        <v>28</v>
      </c>
      <c r="D92" t="s">
        <v>30</v>
      </c>
      <c r="E92" s="3" t="s">
        <v>209</v>
      </c>
      <c r="F92" s="3" t="s">
        <v>26</v>
      </c>
      <c r="G92" s="3" t="s">
        <v>143</v>
      </c>
      <c r="H92" s="3" t="s">
        <v>11</v>
      </c>
      <c r="I92" s="3" t="s">
        <v>7</v>
      </c>
      <c r="J92" s="3" t="s">
        <v>43</v>
      </c>
      <c r="K92" s="3" t="s">
        <v>36</v>
      </c>
      <c r="L92" s="3" t="s">
        <v>44</v>
      </c>
      <c r="M92">
        <v>1</v>
      </c>
    </row>
    <row r="93" spans="1:13" x14ac:dyDescent="0.25">
      <c r="A93" s="2">
        <v>46170</v>
      </c>
      <c r="B93" s="1" t="str">
        <f ca="1">IF(Información1[[#This Row],[Fecha]]='Ajuste de fechas'!$A$2,"Día actual","Día anterior")</f>
        <v>Día anterior</v>
      </c>
      <c r="C93" s="3" t="s">
        <v>28</v>
      </c>
      <c r="D93" t="s">
        <v>31</v>
      </c>
      <c r="E93" s="3" t="s">
        <v>210</v>
      </c>
      <c r="F93" s="3" t="s">
        <v>26</v>
      </c>
      <c r="G93" s="3" t="s">
        <v>143</v>
      </c>
      <c r="H93" s="3" t="s">
        <v>11</v>
      </c>
      <c r="I93" s="3" t="s">
        <v>7</v>
      </c>
      <c r="J93" s="3" t="s">
        <v>43</v>
      </c>
      <c r="K93" s="3" t="s">
        <v>29</v>
      </c>
      <c r="L93" s="3" t="s">
        <v>44</v>
      </c>
      <c r="M93">
        <v>1</v>
      </c>
    </row>
    <row r="94" spans="1:13" x14ac:dyDescent="0.25">
      <c r="A94" s="2">
        <v>46170</v>
      </c>
      <c r="B94" s="1" t="str">
        <f ca="1">IF(Información1[[#This Row],[Fecha]]='Ajuste de fechas'!$A$2,"Día actual","Día anterior")</f>
        <v>Día anterior</v>
      </c>
      <c r="C94" s="3" t="s">
        <v>28</v>
      </c>
      <c r="D94" t="s">
        <v>31</v>
      </c>
      <c r="E94" s="3" t="s">
        <v>211</v>
      </c>
      <c r="F94" s="3" t="s">
        <v>19</v>
      </c>
      <c r="G94" s="3" t="s">
        <v>102</v>
      </c>
      <c r="H94" s="3" t="s">
        <v>11</v>
      </c>
      <c r="I94" s="3" t="s">
        <v>7</v>
      </c>
      <c r="J94" s="3" t="s">
        <v>47</v>
      </c>
      <c r="K94" s="3" t="s">
        <v>29</v>
      </c>
      <c r="L94" s="3" t="s">
        <v>44</v>
      </c>
      <c r="M94">
        <v>1</v>
      </c>
    </row>
    <row r="95" spans="1:13" x14ac:dyDescent="0.25">
      <c r="A95" s="2">
        <v>46170</v>
      </c>
      <c r="B95" s="1" t="str">
        <f ca="1">IF(Información1[[#This Row],[Fecha]]='Ajuste de fechas'!$A$2,"Día actual","Día anterior")</f>
        <v>Día anterior</v>
      </c>
      <c r="C95" s="3" t="s">
        <v>28</v>
      </c>
      <c r="D95" t="s">
        <v>31</v>
      </c>
      <c r="E95" s="3" t="s">
        <v>212</v>
      </c>
      <c r="F95" s="3" t="s">
        <v>23</v>
      </c>
      <c r="G95" s="3" t="s">
        <v>93</v>
      </c>
      <c r="H95" s="3" t="s">
        <v>11</v>
      </c>
      <c r="I95" s="3" t="s">
        <v>25</v>
      </c>
      <c r="J95" s="3" t="s">
        <v>43</v>
      </c>
      <c r="K95" s="3" t="s">
        <v>9</v>
      </c>
      <c r="L95" s="3" t="s">
        <v>45</v>
      </c>
      <c r="M95">
        <v>1</v>
      </c>
    </row>
    <row r="96" spans="1:13" x14ac:dyDescent="0.25">
      <c r="A96" s="2">
        <v>46170</v>
      </c>
      <c r="B96" s="1" t="str">
        <f ca="1">IF(Información1[[#This Row],[Fecha]]='Ajuste de fechas'!$A$2,"Día actual","Día anterior")</f>
        <v>Día anterior</v>
      </c>
      <c r="C96" s="3" t="s">
        <v>28</v>
      </c>
      <c r="D96" t="s">
        <v>31</v>
      </c>
      <c r="E96" s="3" t="s">
        <v>213</v>
      </c>
      <c r="F96" s="3" t="s">
        <v>26</v>
      </c>
      <c r="G96" s="3" t="s">
        <v>137</v>
      </c>
      <c r="H96" s="3" t="s">
        <v>11</v>
      </c>
      <c r="I96" s="3" t="s">
        <v>7</v>
      </c>
      <c r="J96" s="3" t="s">
        <v>43</v>
      </c>
      <c r="K96" s="3" t="s">
        <v>29</v>
      </c>
      <c r="L96" s="3" t="s">
        <v>44</v>
      </c>
      <c r="M96">
        <v>1</v>
      </c>
    </row>
    <row r="97" spans="1:13" x14ac:dyDescent="0.25">
      <c r="A97" s="2">
        <v>46170</v>
      </c>
      <c r="B97" s="1" t="str">
        <f ca="1">IF(Información1[[#This Row],[Fecha]]='Ajuste de fechas'!$A$2,"Día actual","Día anterior")</f>
        <v>Día anterior</v>
      </c>
      <c r="C97" s="3" t="s">
        <v>28</v>
      </c>
      <c r="D97" t="s">
        <v>30</v>
      </c>
      <c r="E97" s="3" t="s">
        <v>214</v>
      </c>
      <c r="F97" s="3" t="s">
        <v>19</v>
      </c>
      <c r="G97" s="3" t="s">
        <v>215</v>
      </c>
      <c r="H97" s="3" t="s">
        <v>11</v>
      </c>
      <c r="I97" s="3" t="s">
        <v>7</v>
      </c>
      <c r="J97" s="3" t="s">
        <v>47</v>
      </c>
      <c r="K97" s="3" t="s">
        <v>36</v>
      </c>
      <c r="L97" s="3" t="s">
        <v>86</v>
      </c>
      <c r="M97">
        <v>1</v>
      </c>
    </row>
    <row r="98" spans="1:13" x14ac:dyDescent="0.25">
      <c r="A98" s="2">
        <v>46170</v>
      </c>
      <c r="B98" s="1" t="str">
        <f ca="1">IF(Información1[[#This Row],[Fecha]]='Ajuste de fechas'!$A$2,"Día actual","Día anterior")</f>
        <v>Día anterior</v>
      </c>
      <c r="C98" s="3" t="s">
        <v>28</v>
      </c>
      <c r="D98" t="s">
        <v>30</v>
      </c>
      <c r="E98" s="3" t="s">
        <v>216</v>
      </c>
      <c r="F98" s="3" t="s">
        <v>19</v>
      </c>
      <c r="G98" s="3" t="s">
        <v>217</v>
      </c>
      <c r="H98" s="3" t="s">
        <v>11</v>
      </c>
      <c r="I98" s="3" t="s">
        <v>7</v>
      </c>
      <c r="J98" s="3" t="s">
        <v>47</v>
      </c>
      <c r="K98" s="3" t="s">
        <v>36</v>
      </c>
      <c r="L98" s="3" t="s">
        <v>44</v>
      </c>
      <c r="M98">
        <v>1</v>
      </c>
    </row>
    <row r="99" spans="1:13" x14ac:dyDescent="0.25">
      <c r="A99" s="2">
        <v>46170</v>
      </c>
      <c r="B99" s="1" t="str">
        <f ca="1">IF(Información1[[#This Row],[Fecha]]='Ajuste de fechas'!$A$2,"Día actual","Día anterior")</f>
        <v>Día anterior</v>
      </c>
      <c r="C99" s="3" t="s">
        <v>28</v>
      </c>
      <c r="D99" t="s">
        <v>31</v>
      </c>
      <c r="E99" s="3" t="s">
        <v>218</v>
      </c>
      <c r="F99" s="3" t="s">
        <v>21</v>
      </c>
      <c r="G99" s="3" t="s">
        <v>110</v>
      </c>
      <c r="H99" s="3" t="s">
        <v>11</v>
      </c>
      <c r="I99" s="3" t="s">
        <v>25</v>
      </c>
      <c r="J99" s="3" t="s">
        <v>43</v>
      </c>
      <c r="K99" s="3" t="s">
        <v>9</v>
      </c>
      <c r="L99" s="3" t="s">
        <v>45</v>
      </c>
      <c r="M99">
        <v>1</v>
      </c>
    </row>
    <row r="100" spans="1:13" x14ac:dyDescent="0.25">
      <c r="A100" s="2">
        <v>46170</v>
      </c>
      <c r="B100" s="1" t="str">
        <f ca="1">IF(Información1[[#This Row],[Fecha]]='Ajuste de fechas'!$A$2,"Día actual","Día anterior")</f>
        <v>Día anterior</v>
      </c>
      <c r="C100" s="3" t="s">
        <v>28</v>
      </c>
      <c r="D100" t="s">
        <v>30</v>
      </c>
      <c r="E100" s="3" t="s">
        <v>219</v>
      </c>
      <c r="F100" s="3" t="s">
        <v>19</v>
      </c>
      <c r="G100" s="3" t="s">
        <v>109</v>
      </c>
      <c r="H100" s="3" t="s">
        <v>11</v>
      </c>
      <c r="I100" s="3" t="s">
        <v>7</v>
      </c>
      <c r="J100" s="3" t="s">
        <v>47</v>
      </c>
      <c r="K100" s="3" t="s">
        <v>36</v>
      </c>
      <c r="L100" s="3" t="s">
        <v>44</v>
      </c>
      <c r="M100">
        <v>1</v>
      </c>
    </row>
    <row r="101" spans="1:13" x14ac:dyDescent="0.25">
      <c r="A101" s="2">
        <v>46170</v>
      </c>
      <c r="B101" s="1" t="str">
        <f ca="1">IF(Información1[[#This Row],[Fecha]]='Ajuste de fechas'!$A$2,"Día actual","Día anterior")</f>
        <v>Día anterior</v>
      </c>
      <c r="C101" s="3" t="s">
        <v>28</v>
      </c>
      <c r="D101" t="s">
        <v>31</v>
      </c>
      <c r="E101" s="3" t="s">
        <v>220</v>
      </c>
      <c r="F101" s="3" t="s">
        <v>22</v>
      </c>
      <c r="G101" s="3" t="s">
        <v>221</v>
      </c>
      <c r="H101" s="3" t="s">
        <v>11</v>
      </c>
      <c r="I101" s="3" t="s">
        <v>7</v>
      </c>
      <c r="J101" s="3" t="s">
        <v>48</v>
      </c>
      <c r="K101" s="3" t="s">
        <v>9</v>
      </c>
      <c r="L101" s="3" t="s">
        <v>45</v>
      </c>
      <c r="M101">
        <v>1</v>
      </c>
    </row>
    <row r="102" spans="1:13" x14ac:dyDescent="0.25">
      <c r="A102" s="2">
        <v>46170</v>
      </c>
      <c r="B102" s="1" t="str">
        <f ca="1">IF(Información1[[#This Row],[Fecha]]='Ajuste de fechas'!$A$2,"Día actual","Día anterior")</f>
        <v>Día anterior</v>
      </c>
      <c r="C102" s="3" t="s">
        <v>28</v>
      </c>
      <c r="D102" t="s">
        <v>31</v>
      </c>
      <c r="E102" s="3" t="s">
        <v>222</v>
      </c>
      <c r="F102" s="3" t="s">
        <v>22</v>
      </c>
      <c r="G102" s="3" t="s">
        <v>221</v>
      </c>
      <c r="H102" s="3" t="s">
        <v>11</v>
      </c>
      <c r="I102" s="3" t="s">
        <v>7</v>
      </c>
      <c r="J102" s="3" t="s">
        <v>48</v>
      </c>
      <c r="K102" s="3" t="s">
        <v>29</v>
      </c>
      <c r="L102" s="3" t="s">
        <v>44</v>
      </c>
      <c r="M102">
        <v>1</v>
      </c>
    </row>
    <row r="103" spans="1:13" x14ac:dyDescent="0.25">
      <c r="A103" s="2">
        <v>46170</v>
      </c>
      <c r="B103" s="1" t="str">
        <f ca="1">IF(Información1[[#This Row],[Fecha]]='Ajuste de fechas'!$A$2,"Día actual","Día anterior")</f>
        <v>Día anterior</v>
      </c>
      <c r="C103" s="3" t="s">
        <v>28</v>
      </c>
      <c r="D103" t="s">
        <v>30</v>
      </c>
      <c r="E103" s="3" t="s">
        <v>214</v>
      </c>
      <c r="F103" s="3" t="s">
        <v>19</v>
      </c>
      <c r="G103" s="3" t="s">
        <v>70</v>
      </c>
      <c r="H103" s="3" t="s">
        <v>11</v>
      </c>
      <c r="I103" s="3" t="s">
        <v>7</v>
      </c>
      <c r="J103" s="3" t="s">
        <v>47</v>
      </c>
      <c r="K103" s="3" t="s">
        <v>36</v>
      </c>
      <c r="L103" s="3" t="s">
        <v>86</v>
      </c>
      <c r="M103">
        <v>1</v>
      </c>
    </row>
    <row r="104" spans="1:13" x14ac:dyDescent="0.25">
      <c r="A104" s="2">
        <v>46170</v>
      </c>
      <c r="B104" s="1" t="str">
        <f ca="1">IF(Información1[[#This Row],[Fecha]]='Ajuste de fechas'!$A$2,"Día actual","Día anterior")</f>
        <v>Día anterior</v>
      </c>
      <c r="C104" s="3" t="s">
        <v>28</v>
      </c>
      <c r="D104" t="s">
        <v>31</v>
      </c>
      <c r="E104" s="3" t="s">
        <v>223</v>
      </c>
      <c r="F104" s="3" t="s">
        <v>73</v>
      </c>
      <c r="G104" s="3" t="s">
        <v>70</v>
      </c>
      <c r="H104" s="3" t="s">
        <v>11</v>
      </c>
      <c r="I104" s="3" t="s">
        <v>7</v>
      </c>
      <c r="J104" s="3" t="s">
        <v>43</v>
      </c>
      <c r="K104" s="3" t="s">
        <v>29</v>
      </c>
      <c r="L104" s="3" t="s">
        <v>44</v>
      </c>
      <c r="M104">
        <v>1</v>
      </c>
    </row>
    <row r="105" spans="1:13" x14ac:dyDescent="0.25">
      <c r="A105" s="2">
        <v>46170</v>
      </c>
      <c r="B105" s="1" t="str">
        <f ca="1">IF(Información1[[#This Row],[Fecha]]='Ajuste de fechas'!$A$2,"Día actual","Día anterior")</f>
        <v>Día anterior</v>
      </c>
      <c r="C105" s="3" t="s">
        <v>28</v>
      </c>
      <c r="D105" t="s">
        <v>31</v>
      </c>
      <c r="E105" s="3" t="s">
        <v>224</v>
      </c>
      <c r="F105" s="3" t="s">
        <v>26</v>
      </c>
      <c r="G105" s="3" t="s">
        <v>70</v>
      </c>
      <c r="H105" s="3" t="s">
        <v>11</v>
      </c>
      <c r="I105" s="3" t="s">
        <v>7</v>
      </c>
      <c r="J105" s="3" t="s">
        <v>43</v>
      </c>
      <c r="K105" s="3" t="s">
        <v>29</v>
      </c>
      <c r="L105" s="3" t="s">
        <v>44</v>
      </c>
      <c r="M105">
        <v>1</v>
      </c>
    </row>
    <row r="106" spans="1:13" x14ac:dyDescent="0.25">
      <c r="A106" s="2">
        <v>46170</v>
      </c>
      <c r="B106" s="1" t="str">
        <f ca="1">IF(Información1[[#This Row],[Fecha]]='Ajuste de fechas'!$A$2,"Día actual","Día anterior")</f>
        <v>Día anterior</v>
      </c>
      <c r="C106" s="3" t="s">
        <v>28</v>
      </c>
      <c r="D106" t="s">
        <v>31</v>
      </c>
      <c r="E106" s="3" t="s">
        <v>225</v>
      </c>
      <c r="F106" s="3" t="s">
        <v>53</v>
      </c>
      <c r="G106" s="3" t="s">
        <v>80</v>
      </c>
      <c r="H106" s="3" t="s">
        <v>11</v>
      </c>
      <c r="I106" s="3" t="s">
        <v>7</v>
      </c>
      <c r="J106" s="3" t="s">
        <v>43</v>
      </c>
      <c r="K106" s="3" t="s">
        <v>29</v>
      </c>
      <c r="L106" s="3" t="s">
        <v>44</v>
      </c>
      <c r="M106">
        <v>1</v>
      </c>
    </row>
    <row r="107" spans="1:13" x14ac:dyDescent="0.25">
      <c r="A107" s="2">
        <v>46170</v>
      </c>
      <c r="B107" s="1" t="str">
        <f ca="1">IF(Información1[[#This Row],[Fecha]]='Ajuste de fechas'!$A$2,"Día actual","Día anterior")</f>
        <v>Día anterior</v>
      </c>
      <c r="C107" s="3" t="s">
        <v>28</v>
      </c>
      <c r="D107" t="s">
        <v>30</v>
      </c>
      <c r="E107" s="3" t="s">
        <v>226</v>
      </c>
      <c r="F107" s="3" t="s">
        <v>67</v>
      </c>
      <c r="G107" s="3" t="s">
        <v>68</v>
      </c>
      <c r="H107" s="3" t="s">
        <v>11</v>
      </c>
      <c r="I107" s="3" t="s">
        <v>7</v>
      </c>
      <c r="J107" s="3" t="s">
        <v>24</v>
      </c>
      <c r="K107" s="3" t="s">
        <v>36</v>
      </c>
      <c r="L107" s="3" t="s">
        <v>44</v>
      </c>
      <c r="M107">
        <v>1</v>
      </c>
    </row>
    <row r="108" spans="1:13" x14ac:dyDescent="0.25">
      <c r="A108" s="2">
        <v>46170</v>
      </c>
      <c r="B108" s="1" t="str">
        <f ca="1">IF(Información1[[#This Row],[Fecha]]='Ajuste de fechas'!$A$2,"Día actual","Día anterior")</f>
        <v>Día anterior</v>
      </c>
      <c r="C108" s="3" t="s">
        <v>28</v>
      </c>
      <c r="D108" t="s">
        <v>30</v>
      </c>
      <c r="E108" s="3" t="s">
        <v>227</v>
      </c>
      <c r="F108" s="3" t="s">
        <v>67</v>
      </c>
      <c r="G108" s="3" t="s">
        <v>68</v>
      </c>
      <c r="H108" s="3" t="s">
        <v>11</v>
      </c>
      <c r="I108" s="3" t="s">
        <v>7</v>
      </c>
      <c r="J108" s="3" t="s">
        <v>24</v>
      </c>
      <c r="K108" s="3" t="s">
        <v>36</v>
      </c>
      <c r="L108" s="3" t="s">
        <v>44</v>
      </c>
      <c r="M108">
        <v>1</v>
      </c>
    </row>
    <row r="109" spans="1:13" x14ac:dyDescent="0.25">
      <c r="A109" s="2">
        <v>46170</v>
      </c>
      <c r="B109" s="1" t="str">
        <f ca="1">IF(Información1[[#This Row],[Fecha]]='Ajuste de fechas'!$A$2,"Día actual","Día anterior")</f>
        <v>Día anterior</v>
      </c>
      <c r="C109" s="3" t="s">
        <v>28</v>
      </c>
      <c r="D109" t="s">
        <v>30</v>
      </c>
      <c r="E109" s="3" t="s">
        <v>228</v>
      </c>
      <c r="F109" s="3" t="s">
        <v>26</v>
      </c>
      <c r="G109" s="3" t="s">
        <v>68</v>
      </c>
      <c r="H109" s="3" t="s">
        <v>11</v>
      </c>
      <c r="I109" s="3" t="s">
        <v>7</v>
      </c>
      <c r="J109" s="3" t="s">
        <v>43</v>
      </c>
      <c r="K109" s="3" t="s">
        <v>36</v>
      </c>
      <c r="L109" s="3" t="s">
        <v>44</v>
      </c>
      <c r="M109">
        <v>1</v>
      </c>
    </row>
    <row r="110" spans="1:13" x14ac:dyDescent="0.25">
      <c r="A110" s="2">
        <v>46170</v>
      </c>
      <c r="B110" s="1" t="str">
        <f ca="1">IF(Información1[[#This Row],[Fecha]]='Ajuste de fechas'!$A$2,"Día actual","Día anterior")</f>
        <v>Día anterior</v>
      </c>
      <c r="C110" s="3" t="s">
        <v>233</v>
      </c>
      <c r="D110" t="s">
        <v>234</v>
      </c>
      <c r="E110" s="3" t="s">
        <v>106</v>
      </c>
      <c r="F110" s="3" t="s">
        <v>53</v>
      </c>
      <c r="G110" s="3" t="s">
        <v>80</v>
      </c>
      <c r="H110" s="3" t="s">
        <v>11</v>
      </c>
      <c r="I110" s="3" t="s">
        <v>7</v>
      </c>
      <c r="J110" s="3" t="s">
        <v>43</v>
      </c>
      <c r="K110" s="3" t="s">
        <v>235</v>
      </c>
      <c r="L110" s="3" t="s">
        <v>46</v>
      </c>
      <c r="M110">
        <v>1</v>
      </c>
    </row>
    <row r="111" spans="1:13" x14ac:dyDescent="0.25">
      <c r="A111" s="2">
        <v>46170</v>
      </c>
      <c r="B111" s="1" t="str">
        <f ca="1">IF(Información1[[#This Row],[Fecha]]='Ajuste de fechas'!$A$2,"Día actual","Día anterior")</f>
        <v>Día anterior</v>
      </c>
      <c r="C111" s="3" t="s">
        <v>233</v>
      </c>
      <c r="D111" t="s">
        <v>234</v>
      </c>
      <c r="E111" s="3" t="s">
        <v>147</v>
      </c>
      <c r="F111" s="3" t="s">
        <v>23</v>
      </c>
      <c r="G111" s="3" t="s">
        <v>74</v>
      </c>
      <c r="H111" s="3" t="s">
        <v>11</v>
      </c>
      <c r="I111" s="3" t="s">
        <v>7</v>
      </c>
      <c r="J111" s="3" t="s">
        <v>43</v>
      </c>
      <c r="K111" s="3" t="s">
        <v>235</v>
      </c>
      <c r="L111" s="3" t="s">
        <v>46</v>
      </c>
      <c r="M111">
        <v>1</v>
      </c>
    </row>
    <row r="112" spans="1:13" x14ac:dyDescent="0.25">
      <c r="A112" s="2">
        <v>46170</v>
      </c>
      <c r="B112" s="1" t="str">
        <f ca="1">IF(Información1[[#This Row],[Fecha]]='Ajuste de fechas'!$A$2,"Día actual","Día anterior")</f>
        <v>Día anterior</v>
      </c>
      <c r="C112" s="3" t="s">
        <v>233</v>
      </c>
      <c r="D112" t="s">
        <v>234</v>
      </c>
      <c r="E112" s="3" t="s">
        <v>112</v>
      </c>
      <c r="F112" s="3" t="s">
        <v>53</v>
      </c>
      <c r="G112" s="3" t="s">
        <v>113</v>
      </c>
      <c r="H112" s="3" t="s">
        <v>11</v>
      </c>
      <c r="I112" s="3" t="s">
        <v>7</v>
      </c>
      <c r="J112" s="3" t="s">
        <v>43</v>
      </c>
      <c r="K112" s="3" t="s">
        <v>235</v>
      </c>
      <c r="L112" s="3" t="s">
        <v>46</v>
      </c>
      <c r="M112">
        <v>1</v>
      </c>
    </row>
    <row r="113" spans="1:13" x14ac:dyDescent="0.25">
      <c r="A113" s="2">
        <v>46170</v>
      </c>
      <c r="B113" s="1" t="str">
        <f ca="1">IF(Información1[[#This Row],[Fecha]]='Ajuste de fechas'!$A$2,"Día actual","Día anterior")</f>
        <v>Día anterior</v>
      </c>
      <c r="C113" s="3" t="s">
        <v>233</v>
      </c>
      <c r="D113" t="s">
        <v>234</v>
      </c>
      <c r="E113" s="3" t="s">
        <v>236</v>
      </c>
      <c r="F113" s="3" t="s">
        <v>53</v>
      </c>
      <c r="G113" s="3" t="s">
        <v>113</v>
      </c>
      <c r="H113" s="3" t="s">
        <v>11</v>
      </c>
      <c r="I113" s="3" t="s">
        <v>7</v>
      </c>
      <c r="J113" s="3" t="s">
        <v>43</v>
      </c>
      <c r="K113" s="3" t="s">
        <v>235</v>
      </c>
      <c r="L113" s="3" t="s">
        <v>44</v>
      </c>
      <c r="M113">
        <v>1</v>
      </c>
    </row>
    <row r="114" spans="1:13" x14ac:dyDescent="0.25">
      <c r="A114" s="2">
        <v>46170</v>
      </c>
      <c r="B114" s="1" t="str">
        <f ca="1">IF(Información1[[#This Row],[Fecha]]='Ajuste de fechas'!$A$2,"Día actual","Día anterior")</f>
        <v>Día anterior</v>
      </c>
      <c r="C114" s="3" t="s">
        <v>233</v>
      </c>
      <c r="D114" t="s">
        <v>234</v>
      </c>
      <c r="E114" s="3" t="s">
        <v>153</v>
      </c>
      <c r="F114" s="3" t="s">
        <v>21</v>
      </c>
      <c r="G114" s="3" t="s">
        <v>140</v>
      </c>
      <c r="H114" s="3" t="s">
        <v>11</v>
      </c>
      <c r="I114" s="3" t="s">
        <v>7</v>
      </c>
      <c r="J114" s="3" t="s">
        <v>43</v>
      </c>
      <c r="K114" s="3" t="s">
        <v>235</v>
      </c>
      <c r="L114" s="3" t="s">
        <v>46</v>
      </c>
      <c r="M114">
        <v>1</v>
      </c>
    </row>
    <row r="115" spans="1:13" x14ac:dyDescent="0.25">
      <c r="A115" s="2">
        <v>46170</v>
      </c>
      <c r="B115" s="1" t="str">
        <f ca="1">IF(Información1[[#This Row],[Fecha]]='Ajuste de fechas'!$A$2,"Día actual","Día anterior")</f>
        <v>Día anterior</v>
      </c>
      <c r="C115" s="3" t="s">
        <v>233</v>
      </c>
      <c r="D115" t="s">
        <v>234</v>
      </c>
      <c r="E115" s="3" t="s">
        <v>108</v>
      </c>
      <c r="F115" s="3" t="s">
        <v>82</v>
      </c>
      <c r="G115" s="3" t="s">
        <v>83</v>
      </c>
      <c r="H115" s="3" t="s">
        <v>11</v>
      </c>
      <c r="I115" s="3" t="s">
        <v>7</v>
      </c>
      <c r="J115" s="3" t="s">
        <v>43</v>
      </c>
      <c r="K115" s="3" t="s">
        <v>235</v>
      </c>
      <c r="L115" s="3" t="s">
        <v>46</v>
      </c>
      <c r="M115">
        <v>1</v>
      </c>
    </row>
    <row r="116" spans="1:13" x14ac:dyDescent="0.25">
      <c r="A116" s="2">
        <v>46170</v>
      </c>
      <c r="B116" s="1" t="str">
        <f ca="1">IF(Información1[[#This Row],[Fecha]]='Ajuste de fechas'!$A$2,"Día actual","Día anterior")</f>
        <v>Día anterior</v>
      </c>
      <c r="C116" s="3" t="s">
        <v>233</v>
      </c>
      <c r="D116" t="s">
        <v>234</v>
      </c>
      <c r="E116" s="3" t="s">
        <v>237</v>
      </c>
      <c r="F116" s="3" t="s">
        <v>19</v>
      </c>
      <c r="G116" s="3" t="s">
        <v>238</v>
      </c>
      <c r="H116" s="3" t="s">
        <v>11</v>
      </c>
      <c r="I116" s="3" t="s">
        <v>7</v>
      </c>
      <c r="J116" s="3" t="s">
        <v>47</v>
      </c>
      <c r="K116" s="3" t="s">
        <v>235</v>
      </c>
      <c r="L116" s="3" t="s">
        <v>86</v>
      </c>
      <c r="M116">
        <v>1</v>
      </c>
    </row>
    <row r="117" spans="1:13" x14ac:dyDescent="0.25">
      <c r="A117" s="2">
        <v>46170</v>
      </c>
      <c r="B117" s="1" t="str">
        <f ca="1">IF(Información1[[#This Row],[Fecha]]='Ajuste de fechas'!$A$2,"Día actual","Día anterior")</f>
        <v>Día anterior</v>
      </c>
      <c r="C117" s="3" t="s">
        <v>233</v>
      </c>
      <c r="D117" t="s">
        <v>234</v>
      </c>
      <c r="E117" s="3" t="s">
        <v>149</v>
      </c>
      <c r="F117" s="3" t="s">
        <v>19</v>
      </c>
      <c r="G117" s="3" t="s">
        <v>101</v>
      </c>
      <c r="H117" s="3" t="s">
        <v>11</v>
      </c>
      <c r="I117" s="3" t="s">
        <v>7</v>
      </c>
      <c r="J117" s="3" t="s">
        <v>47</v>
      </c>
      <c r="K117" s="3" t="s">
        <v>235</v>
      </c>
      <c r="L117" s="3" t="s">
        <v>44</v>
      </c>
      <c r="M117">
        <v>1</v>
      </c>
    </row>
    <row r="118" spans="1:13" x14ac:dyDescent="0.25">
      <c r="A118" s="2">
        <v>46170</v>
      </c>
      <c r="B118" s="1" t="str">
        <f ca="1">IF(Información1[[#This Row],[Fecha]]='Ajuste de fechas'!$A$2,"Día actual","Día anterior")</f>
        <v>Día anterior</v>
      </c>
      <c r="C118" s="3" t="s">
        <v>233</v>
      </c>
      <c r="D118" t="s">
        <v>234</v>
      </c>
      <c r="E118" s="3" t="s">
        <v>239</v>
      </c>
      <c r="F118" s="3" t="s">
        <v>66</v>
      </c>
      <c r="G118" s="3" t="s">
        <v>61</v>
      </c>
      <c r="H118" s="3" t="s">
        <v>11</v>
      </c>
      <c r="I118" s="3" t="s">
        <v>7</v>
      </c>
      <c r="J118" s="3" t="s">
        <v>43</v>
      </c>
      <c r="K118" s="3" t="s">
        <v>235</v>
      </c>
      <c r="L118" s="3" t="s">
        <v>44</v>
      </c>
      <c r="M118">
        <v>1</v>
      </c>
    </row>
    <row r="119" spans="1:13" x14ac:dyDescent="0.25">
      <c r="A119" s="2">
        <v>46170</v>
      </c>
      <c r="B119" s="1" t="str">
        <f ca="1">IF(Información1[[#This Row],[Fecha]]='Ajuste de fechas'!$A$2,"Día actual","Día anterior")</f>
        <v>Día anterior</v>
      </c>
      <c r="C119" s="3" t="s">
        <v>233</v>
      </c>
      <c r="D119" t="s">
        <v>234</v>
      </c>
      <c r="E119" s="3" t="s">
        <v>240</v>
      </c>
      <c r="F119" s="3" t="s">
        <v>26</v>
      </c>
      <c r="G119" s="3" t="s">
        <v>137</v>
      </c>
      <c r="H119" s="3" t="s">
        <v>11</v>
      </c>
      <c r="I119" s="3" t="s">
        <v>7</v>
      </c>
      <c r="J119" s="3" t="s">
        <v>43</v>
      </c>
      <c r="K119" s="3" t="s">
        <v>235</v>
      </c>
      <c r="L119" s="3" t="s">
        <v>44</v>
      </c>
      <c r="M119">
        <v>1</v>
      </c>
    </row>
    <row r="120" spans="1:13" x14ac:dyDescent="0.25">
      <c r="A120" s="2">
        <v>46170</v>
      </c>
      <c r="B120" s="1" t="str">
        <f ca="1">IF(Información1[[#This Row],[Fecha]]='Ajuste de fechas'!$A$2,"Día actual","Día anterior")</f>
        <v>Día anterior</v>
      </c>
      <c r="C120" s="3" t="s">
        <v>233</v>
      </c>
      <c r="D120" t="s">
        <v>234</v>
      </c>
      <c r="E120" s="3" t="s">
        <v>241</v>
      </c>
      <c r="F120" s="3" t="s">
        <v>67</v>
      </c>
      <c r="G120" s="3" t="s">
        <v>100</v>
      </c>
      <c r="H120" s="3" t="s">
        <v>11</v>
      </c>
      <c r="I120" s="3" t="s">
        <v>7</v>
      </c>
      <c r="J120" s="3" t="s">
        <v>24</v>
      </c>
      <c r="K120" s="3" t="s">
        <v>235</v>
      </c>
      <c r="L120" s="3" t="s">
        <v>44</v>
      </c>
      <c r="M120">
        <v>1</v>
      </c>
    </row>
    <row r="121" spans="1:13" x14ac:dyDescent="0.25">
      <c r="A121" s="2">
        <v>46170</v>
      </c>
      <c r="B121" s="1" t="str">
        <f ca="1">IF(Información1[[#This Row],[Fecha]]='Ajuste de fechas'!$A$2,"Día actual","Día anterior")</f>
        <v>Día anterior</v>
      </c>
      <c r="C121" s="3" t="s">
        <v>233</v>
      </c>
      <c r="D121" t="s">
        <v>234</v>
      </c>
      <c r="E121" s="3" t="s">
        <v>242</v>
      </c>
      <c r="F121" s="3" t="s">
        <v>67</v>
      </c>
      <c r="G121" s="3" t="s">
        <v>100</v>
      </c>
      <c r="H121" s="3" t="s">
        <v>11</v>
      </c>
      <c r="I121" s="3" t="s">
        <v>7</v>
      </c>
      <c r="J121" s="3" t="s">
        <v>24</v>
      </c>
      <c r="K121" s="3" t="s">
        <v>235</v>
      </c>
      <c r="L121" s="3" t="s">
        <v>44</v>
      </c>
      <c r="M121">
        <v>1</v>
      </c>
    </row>
    <row r="122" spans="1:13" x14ac:dyDescent="0.25">
      <c r="A122" s="2">
        <v>46170</v>
      </c>
      <c r="B122" s="1" t="str">
        <f ca="1">IF(Información1[[#This Row],[Fecha]]='Ajuste de fechas'!$A$2,"Día actual","Día anterior")</f>
        <v>Día anterior</v>
      </c>
      <c r="C122" s="3" t="s">
        <v>233</v>
      </c>
      <c r="D122" t="s">
        <v>234</v>
      </c>
      <c r="E122" s="3" t="s">
        <v>243</v>
      </c>
      <c r="F122" s="3" t="s">
        <v>19</v>
      </c>
      <c r="G122" s="3" t="s">
        <v>244</v>
      </c>
      <c r="H122" s="3" t="s">
        <v>11</v>
      </c>
      <c r="I122" s="3" t="s">
        <v>7</v>
      </c>
      <c r="J122" s="3" t="s">
        <v>47</v>
      </c>
      <c r="K122" s="3" t="s">
        <v>235</v>
      </c>
      <c r="L122" s="3" t="s">
        <v>44</v>
      </c>
      <c r="M122">
        <v>1</v>
      </c>
    </row>
    <row r="123" spans="1:13" x14ac:dyDescent="0.25">
      <c r="A123" s="2">
        <v>46170</v>
      </c>
      <c r="B123" s="1" t="str">
        <f ca="1">IF(Información1[[#This Row],[Fecha]]='Ajuste de fechas'!$A$2,"Día actual","Día anterior")</f>
        <v>Día anterior</v>
      </c>
      <c r="C123" s="3" t="s">
        <v>233</v>
      </c>
      <c r="D123" t="s">
        <v>234</v>
      </c>
      <c r="E123" s="3" t="s">
        <v>245</v>
      </c>
      <c r="F123" s="3" t="s">
        <v>19</v>
      </c>
      <c r="G123" s="3" t="s">
        <v>117</v>
      </c>
      <c r="H123" s="3" t="s">
        <v>11</v>
      </c>
      <c r="I123" s="3" t="s">
        <v>7</v>
      </c>
      <c r="J123" s="3" t="s">
        <v>47</v>
      </c>
      <c r="K123" s="3" t="s">
        <v>235</v>
      </c>
      <c r="L123" s="3" t="s">
        <v>44</v>
      </c>
      <c r="M123">
        <v>1</v>
      </c>
    </row>
    <row r="124" spans="1:13" x14ac:dyDescent="0.25">
      <c r="A124" s="2">
        <v>46170</v>
      </c>
      <c r="B124" s="1" t="str">
        <f ca="1">IF(Información1[[#This Row],[Fecha]]='Ajuste de fechas'!$A$2,"Día actual","Día anterior")</f>
        <v>Día anterior</v>
      </c>
      <c r="C124" s="3" t="s">
        <v>233</v>
      </c>
      <c r="D124" t="s">
        <v>234</v>
      </c>
      <c r="E124" s="3" t="s">
        <v>246</v>
      </c>
      <c r="F124" s="3" t="s">
        <v>23</v>
      </c>
      <c r="G124" s="3" t="s">
        <v>247</v>
      </c>
      <c r="H124" s="3" t="s">
        <v>11</v>
      </c>
      <c r="I124" s="3" t="s">
        <v>25</v>
      </c>
      <c r="J124" s="3" t="s">
        <v>43</v>
      </c>
      <c r="K124" s="3" t="s">
        <v>235</v>
      </c>
      <c r="L124" s="3" t="s">
        <v>44</v>
      </c>
      <c r="M124">
        <v>1</v>
      </c>
    </row>
    <row r="125" spans="1:13" x14ac:dyDescent="0.25">
      <c r="A125" s="2">
        <v>46170</v>
      </c>
      <c r="B125" s="1" t="str">
        <f ca="1">IF(Información1[[#This Row],[Fecha]]='Ajuste de fechas'!$A$2,"Día actual","Día anterior")</f>
        <v>Día anterior</v>
      </c>
      <c r="C125" s="3" t="s">
        <v>233</v>
      </c>
      <c r="D125" t="s">
        <v>234</v>
      </c>
      <c r="E125" s="3" t="s">
        <v>248</v>
      </c>
      <c r="F125" s="3" t="s">
        <v>19</v>
      </c>
      <c r="G125" s="3" t="s">
        <v>249</v>
      </c>
      <c r="H125" s="3" t="s">
        <v>11</v>
      </c>
      <c r="I125" s="3" t="s">
        <v>7</v>
      </c>
      <c r="J125" s="3" t="s">
        <v>47</v>
      </c>
      <c r="K125" s="3" t="s">
        <v>235</v>
      </c>
      <c r="L125" s="3" t="s">
        <v>44</v>
      </c>
      <c r="M125">
        <v>1</v>
      </c>
    </row>
    <row r="126" spans="1:13" x14ac:dyDescent="0.25">
      <c r="A126" s="2">
        <v>46170</v>
      </c>
      <c r="B126" s="1" t="str">
        <f ca="1">IF(Información1[[#This Row],[Fecha]]='Ajuste de fechas'!$A$2,"Día actual","Día anterior")</f>
        <v>Día anterior</v>
      </c>
      <c r="C126" s="3" t="s">
        <v>233</v>
      </c>
      <c r="D126" t="s">
        <v>234</v>
      </c>
      <c r="E126" s="3" t="s">
        <v>250</v>
      </c>
      <c r="F126" s="3" t="s">
        <v>89</v>
      </c>
      <c r="G126" s="3" t="s">
        <v>102</v>
      </c>
      <c r="H126" s="3" t="s">
        <v>11</v>
      </c>
      <c r="I126" s="3" t="s">
        <v>7</v>
      </c>
      <c r="J126" s="3" t="s">
        <v>43</v>
      </c>
      <c r="K126" s="3" t="s">
        <v>235</v>
      </c>
      <c r="L126" s="3" t="s">
        <v>44</v>
      </c>
      <c r="M126">
        <v>1</v>
      </c>
    </row>
    <row r="127" spans="1:13" x14ac:dyDescent="0.25">
      <c r="A127" s="2">
        <v>46170</v>
      </c>
      <c r="B127" s="1" t="str">
        <f ca="1">IF(Información1[[#This Row],[Fecha]]='Ajuste de fechas'!$A$2,"Día actual","Día anterior")</f>
        <v>Día anterior</v>
      </c>
      <c r="C127" s="3" t="s">
        <v>233</v>
      </c>
      <c r="D127" t="s">
        <v>234</v>
      </c>
      <c r="E127" s="3" t="s">
        <v>251</v>
      </c>
      <c r="F127" s="3" t="s">
        <v>22</v>
      </c>
      <c r="G127" s="3" t="s">
        <v>80</v>
      </c>
      <c r="H127" s="3" t="s">
        <v>11</v>
      </c>
      <c r="I127" s="3" t="s">
        <v>7</v>
      </c>
      <c r="J127" s="3" t="s">
        <v>48</v>
      </c>
      <c r="K127" s="3" t="s">
        <v>235</v>
      </c>
      <c r="L127" s="3" t="s">
        <v>44</v>
      </c>
      <c r="M127">
        <v>1</v>
      </c>
    </row>
    <row r="128" spans="1:13" x14ac:dyDescent="0.25">
      <c r="A128" s="2">
        <v>46171</v>
      </c>
      <c r="B128" s="1" t="str">
        <f ca="1">IF(Información1[[#This Row],[Fecha]]='Ajuste de fechas'!$A$2,"Día actual","Día anterior")</f>
        <v>Día actual</v>
      </c>
      <c r="C128" s="3" t="s">
        <v>32</v>
      </c>
      <c r="D128" t="s">
        <v>33</v>
      </c>
      <c r="E128" s="3" t="s">
        <v>252</v>
      </c>
      <c r="F128" s="3" t="s">
        <v>19</v>
      </c>
      <c r="G128" s="3" t="s">
        <v>253</v>
      </c>
      <c r="H128" s="3" t="s">
        <v>129</v>
      </c>
      <c r="I128" s="3" t="s">
        <v>25</v>
      </c>
      <c r="J128" s="3" t="s">
        <v>47</v>
      </c>
      <c r="K128" s="3" t="s">
        <v>27</v>
      </c>
      <c r="L128" s="3" t="s">
        <v>44</v>
      </c>
      <c r="M128">
        <v>3</v>
      </c>
    </row>
    <row r="129" spans="1:13" x14ac:dyDescent="0.25">
      <c r="A129" s="2">
        <v>46171</v>
      </c>
      <c r="B129" s="1" t="str">
        <f ca="1">IF(Información1[[#This Row],[Fecha]]='Ajuste de fechas'!$A$2,"Día actual","Día anterior")</f>
        <v>Día actual</v>
      </c>
      <c r="C129" s="3" t="s">
        <v>32</v>
      </c>
      <c r="D129" t="s">
        <v>33</v>
      </c>
      <c r="E129" s="3" t="s">
        <v>254</v>
      </c>
      <c r="F129" s="3" t="s">
        <v>19</v>
      </c>
      <c r="G129" s="3" t="s">
        <v>133</v>
      </c>
      <c r="H129" s="3" t="s">
        <v>129</v>
      </c>
      <c r="I129" s="3" t="s">
        <v>25</v>
      </c>
      <c r="J129" s="3" t="s">
        <v>47</v>
      </c>
      <c r="K129" s="3" t="s">
        <v>27</v>
      </c>
      <c r="L129" s="3" t="s">
        <v>44</v>
      </c>
      <c r="M129">
        <v>3</v>
      </c>
    </row>
    <row r="130" spans="1:13" x14ac:dyDescent="0.25">
      <c r="A130" s="2">
        <v>46171</v>
      </c>
      <c r="B130" s="1" t="str">
        <f ca="1">IF(Información1[[#This Row],[Fecha]]='Ajuste de fechas'!$A$2,"Día actual","Día anterior")</f>
        <v>Día actual</v>
      </c>
      <c r="C130" s="3" t="s">
        <v>32</v>
      </c>
      <c r="D130" t="s">
        <v>33</v>
      </c>
      <c r="E130" s="3" t="s">
        <v>255</v>
      </c>
      <c r="F130" s="3" t="s">
        <v>179</v>
      </c>
      <c r="G130" s="3" t="s">
        <v>256</v>
      </c>
      <c r="H130" s="3" t="s">
        <v>129</v>
      </c>
      <c r="I130" s="3" t="s">
        <v>25</v>
      </c>
      <c r="J130" s="3" t="s">
        <v>43</v>
      </c>
      <c r="K130" s="3" t="s">
        <v>27</v>
      </c>
      <c r="L130" s="3" t="s">
        <v>44</v>
      </c>
      <c r="M130">
        <v>3</v>
      </c>
    </row>
    <row r="131" spans="1:13" x14ac:dyDescent="0.25">
      <c r="A131" s="2">
        <v>46171</v>
      </c>
      <c r="B131" s="1" t="str">
        <f ca="1">IF(Información1[[#This Row],[Fecha]]='Ajuste de fechas'!$A$2,"Día actual","Día anterior")</f>
        <v>Día actual</v>
      </c>
      <c r="C131" s="3" t="s">
        <v>32</v>
      </c>
      <c r="D131" t="s">
        <v>33</v>
      </c>
      <c r="E131" s="3" t="s">
        <v>257</v>
      </c>
      <c r="F131" s="3" t="s">
        <v>258</v>
      </c>
      <c r="G131" s="3" t="s">
        <v>259</v>
      </c>
      <c r="H131" s="3" t="s">
        <v>129</v>
      </c>
      <c r="I131" s="3" t="s">
        <v>7</v>
      </c>
      <c r="J131" s="3" t="s">
        <v>24</v>
      </c>
      <c r="K131" s="3" t="s">
        <v>27</v>
      </c>
      <c r="L131" s="3" t="s">
        <v>44</v>
      </c>
      <c r="M131">
        <v>3</v>
      </c>
    </row>
    <row r="132" spans="1:13" x14ac:dyDescent="0.25">
      <c r="A132" s="2">
        <v>46171</v>
      </c>
      <c r="B132" s="1" t="str">
        <f ca="1">IF(Información1[[#This Row],[Fecha]]='Ajuste de fechas'!$A$2,"Día actual","Día anterior")</f>
        <v>Día actual</v>
      </c>
      <c r="C132" s="3" t="s">
        <v>32</v>
      </c>
      <c r="D132" t="s">
        <v>33</v>
      </c>
      <c r="E132" s="3" t="s">
        <v>260</v>
      </c>
      <c r="F132" s="3" t="s">
        <v>23</v>
      </c>
      <c r="G132" s="3" t="s">
        <v>99</v>
      </c>
      <c r="H132" s="3" t="s">
        <v>129</v>
      </c>
      <c r="I132" s="3" t="s">
        <v>7</v>
      </c>
      <c r="J132" s="3" t="s">
        <v>43</v>
      </c>
      <c r="K132" s="3" t="s">
        <v>27</v>
      </c>
      <c r="L132" s="3" t="s">
        <v>46</v>
      </c>
      <c r="M132">
        <v>3</v>
      </c>
    </row>
    <row r="133" spans="1:13" x14ac:dyDescent="0.25">
      <c r="A133" s="2">
        <v>46171</v>
      </c>
      <c r="B133" s="1" t="str">
        <f ca="1">IF(Información1[[#This Row],[Fecha]]='Ajuste de fechas'!$A$2,"Día actual","Día anterior")</f>
        <v>Día actual</v>
      </c>
      <c r="C133" s="3" t="s">
        <v>32</v>
      </c>
      <c r="D133" t="s">
        <v>33</v>
      </c>
      <c r="E133" s="3" t="s">
        <v>261</v>
      </c>
      <c r="F133" s="3" t="s">
        <v>22</v>
      </c>
      <c r="G133" s="3" t="s">
        <v>117</v>
      </c>
      <c r="H133" s="3" t="s">
        <v>129</v>
      </c>
      <c r="I133" s="3" t="s">
        <v>7</v>
      </c>
      <c r="J133" s="3" t="s">
        <v>48</v>
      </c>
      <c r="K133" s="3" t="s">
        <v>27</v>
      </c>
      <c r="L133" s="3" t="s">
        <v>44</v>
      </c>
      <c r="M133">
        <v>3</v>
      </c>
    </row>
    <row r="134" spans="1:13" x14ac:dyDescent="0.25">
      <c r="A134" s="2">
        <v>46171</v>
      </c>
      <c r="B134" s="1" t="str">
        <f ca="1">IF(Información1[[#This Row],[Fecha]]='Ajuste de fechas'!$A$2,"Día actual","Día anterior")</f>
        <v>Día actual</v>
      </c>
      <c r="C134" s="3" t="s">
        <v>32</v>
      </c>
      <c r="D134" t="s">
        <v>33</v>
      </c>
      <c r="E134" s="3" t="s">
        <v>262</v>
      </c>
      <c r="F134" s="3" t="s">
        <v>53</v>
      </c>
      <c r="G134" s="3" t="s">
        <v>113</v>
      </c>
      <c r="H134" s="3" t="s">
        <v>129</v>
      </c>
      <c r="I134" s="3" t="s">
        <v>7</v>
      </c>
      <c r="J134" s="3" t="s">
        <v>43</v>
      </c>
      <c r="K134" s="3" t="s">
        <v>27</v>
      </c>
      <c r="L134" s="3" t="s">
        <v>46</v>
      </c>
      <c r="M134">
        <v>3</v>
      </c>
    </row>
    <row r="135" spans="1:13" x14ac:dyDescent="0.25">
      <c r="A135" s="2">
        <v>46171</v>
      </c>
      <c r="B135" s="1" t="str">
        <f ca="1">IF(Información1[[#This Row],[Fecha]]='Ajuste de fechas'!$A$2,"Día actual","Día anterior")</f>
        <v>Día actual</v>
      </c>
      <c r="C135" s="3" t="s">
        <v>32</v>
      </c>
      <c r="D135" t="s">
        <v>33</v>
      </c>
      <c r="E135" s="3" t="s">
        <v>263</v>
      </c>
      <c r="F135" s="3" t="s">
        <v>19</v>
      </c>
      <c r="G135" s="3" t="s">
        <v>264</v>
      </c>
      <c r="H135" s="3" t="s">
        <v>129</v>
      </c>
      <c r="I135" s="3" t="s">
        <v>7</v>
      </c>
      <c r="J135" s="3" t="s">
        <v>47</v>
      </c>
      <c r="K135" s="3" t="s">
        <v>27</v>
      </c>
      <c r="L135" s="3" t="s">
        <v>44</v>
      </c>
      <c r="M135">
        <v>3</v>
      </c>
    </row>
    <row r="136" spans="1:13" x14ac:dyDescent="0.25">
      <c r="A136" s="2">
        <v>46171</v>
      </c>
      <c r="B136" s="1" t="str">
        <f ca="1">IF(Información1[[#This Row],[Fecha]]='Ajuste de fechas'!$A$2,"Día actual","Día anterior")</f>
        <v>Día actual</v>
      </c>
      <c r="C136" s="3" t="s">
        <v>32</v>
      </c>
      <c r="D136" t="s">
        <v>33</v>
      </c>
      <c r="E136" s="3" t="s">
        <v>265</v>
      </c>
      <c r="F136" s="3" t="s">
        <v>19</v>
      </c>
      <c r="G136" s="3" t="s">
        <v>232</v>
      </c>
      <c r="H136" s="3" t="s">
        <v>129</v>
      </c>
      <c r="I136" s="3" t="s">
        <v>7</v>
      </c>
      <c r="J136" s="3" t="s">
        <v>47</v>
      </c>
      <c r="K136" s="3" t="s">
        <v>27</v>
      </c>
      <c r="L136" s="3" t="s">
        <v>44</v>
      </c>
      <c r="M136">
        <v>3</v>
      </c>
    </row>
    <row r="137" spans="1:13" x14ac:dyDescent="0.25">
      <c r="A137" s="2">
        <v>46171</v>
      </c>
      <c r="B137" s="1" t="str">
        <f ca="1">IF(Información1[[#This Row],[Fecha]]='Ajuste de fechas'!$A$2,"Día actual","Día anterior")</f>
        <v>Día actual</v>
      </c>
      <c r="C137" s="3" t="s">
        <v>32</v>
      </c>
      <c r="D137" t="s">
        <v>33</v>
      </c>
      <c r="E137" s="3" t="s">
        <v>266</v>
      </c>
      <c r="F137" s="3" t="s">
        <v>34</v>
      </c>
      <c r="G137" s="3" t="s">
        <v>267</v>
      </c>
      <c r="H137" s="3" t="s">
        <v>129</v>
      </c>
      <c r="I137" s="3" t="s">
        <v>7</v>
      </c>
      <c r="J137" s="3" t="s">
        <v>43</v>
      </c>
      <c r="K137" s="3" t="s">
        <v>27</v>
      </c>
      <c r="L137" s="3" t="s">
        <v>46</v>
      </c>
      <c r="M137">
        <v>3</v>
      </c>
    </row>
    <row r="138" spans="1:13" x14ac:dyDescent="0.25">
      <c r="A138" s="2">
        <v>46171</v>
      </c>
      <c r="B138" s="1" t="str">
        <f ca="1">IF(Información1[[#This Row],[Fecha]]='Ajuste de fechas'!$A$2,"Día actual","Día anterior")</f>
        <v>Día actual</v>
      </c>
      <c r="C138" s="3" t="s">
        <v>32</v>
      </c>
      <c r="D138" t="s">
        <v>33</v>
      </c>
      <c r="E138" s="3" t="s">
        <v>268</v>
      </c>
      <c r="F138" s="3" t="s">
        <v>179</v>
      </c>
      <c r="G138" s="3"/>
      <c r="H138" s="3" t="s">
        <v>129</v>
      </c>
      <c r="I138" s="3" t="s">
        <v>7</v>
      </c>
      <c r="J138" s="3" t="s">
        <v>43</v>
      </c>
      <c r="K138" s="3" t="s">
        <v>27</v>
      </c>
      <c r="L138" s="3" t="s">
        <v>46</v>
      </c>
      <c r="M138">
        <v>3</v>
      </c>
    </row>
    <row r="139" spans="1:13" x14ac:dyDescent="0.25">
      <c r="A139" s="2">
        <v>46171</v>
      </c>
      <c r="B139" s="1" t="str">
        <f ca="1">IF(Información1[[#This Row],[Fecha]]='Ajuste de fechas'!$A$2,"Día actual","Día anterior")</f>
        <v>Día actual</v>
      </c>
      <c r="C139" s="3" t="s">
        <v>32</v>
      </c>
      <c r="D139" t="s">
        <v>33</v>
      </c>
      <c r="E139" s="3" t="s">
        <v>269</v>
      </c>
      <c r="F139" s="3" t="s">
        <v>53</v>
      </c>
      <c r="G139" s="3"/>
      <c r="H139" s="3" t="s">
        <v>129</v>
      </c>
      <c r="I139" s="3" t="s">
        <v>25</v>
      </c>
      <c r="J139" s="3" t="s">
        <v>43</v>
      </c>
      <c r="K139" s="3" t="s">
        <v>27</v>
      </c>
      <c r="L139" s="3" t="s">
        <v>44</v>
      </c>
      <c r="M139">
        <v>3</v>
      </c>
    </row>
    <row r="140" spans="1:13" x14ac:dyDescent="0.25">
      <c r="A140" s="2">
        <v>46171</v>
      </c>
      <c r="B140" s="1" t="str">
        <f ca="1">IF(Información1[[#This Row],[Fecha]]='Ajuste de fechas'!$A$2,"Día actual","Día anterior")</f>
        <v>Día actual</v>
      </c>
      <c r="C140" s="3" t="s">
        <v>32</v>
      </c>
      <c r="D140" t="s">
        <v>33</v>
      </c>
      <c r="E140" s="3" t="s">
        <v>270</v>
      </c>
      <c r="F140" s="3" t="s">
        <v>15</v>
      </c>
      <c r="G140" s="3" t="s">
        <v>145</v>
      </c>
      <c r="H140" s="3" t="s">
        <v>129</v>
      </c>
      <c r="I140" s="3" t="s">
        <v>25</v>
      </c>
      <c r="J140" s="3" t="s">
        <v>43</v>
      </c>
      <c r="K140" s="3" t="s">
        <v>27</v>
      </c>
      <c r="L140" s="3" t="s">
        <v>45</v>
      </c>
      <c r="M140">
        <v>3</v>
      </c>
    </row>
    <row r="141" spans="1:13" x14ac:dyDescent="0.25">
      <c r="A141" s="2">
        <v>46171</v>
      </c>
      <c r="B141" s="1" t="str">
        <f ca="1">IF(Información1[[#This Row],[Fecha]]='Ajuste de fechas'!$A$2,"Día actual","Día anterior")</f>
        <v>Día actual</v>
      </c>
      <c r="C141" s="3" t="s">
        <v>32</v>
      </c>
      <c r="D141" t="s">
        <v>33</v>
      </c>
      <c r="E141" s="3" t="s">
        <v>271</v>
      </c>
      <c r="F141" s="3" t="s">
        <v>21</v>
      </c>
      <c r="G141" s="3"/>
      <c r="H141" s="3" t="s">
        <v>129</v>
      </c>
      <c r="I141" s="3" t="s">
        <v>7</v>
      </c>
      <c r="J141" s="3" t="s">
        <v>43</v>
      </c>
      <c r="K141" s="3" t="s">
        <v>27</v>
      </c>
      <c r="L141" s="3" t="s">
        <v>46</v>
      </c>
      <c r="M141">
        <v>3</v>
      </c>
    </row>
    <row r="142" spans="1:13" x14ac:dyDescent="0.25">
      <c r="A142" s="2">
        <v>46171</v>
      </c>
      <c r="B142" s="1" t="str">
        <f ca="1">IF(Información1[[#This Row],[Fecha]]='Ajuste de fechas'!$A$2,"Día actual","Día anterior")</f>
        <v>Día actual</v>
      </c>
      <c r="C142" s="3" t="s">
        <v>32</v>
      </c>
      <c r="D142" t="s">
        <v>33</v>
      </c>
      <c r="E142" s="3" t="s">
        <v>272</v>
      </c>
      <c r="F142" s="3" t="s">
        <v>26</v>
      </c>
      <c r="G142" s="3" t="s">
        <v>62</v>
      </c>
      <c r="H142" s="3" t="s">
        <v>129</v>
      </c>
      <c r="I142" s="3" t="s">
        <v>7</v>
      </c>
      <c r="J142" s="3" t="s">
        <v>43</v>
      </c>
      <c r="K142" s="3" t="s">
        <v>27</v>
      </c>
      <c r="L142" s="3" t="s">
        <v>46</v>
      </c>
      <c r="M142">
        <v>3</v>
      </c>
    </row>
    <row r="143" spans="1:13" x14ac:dyDescent="0.25">
      <c r="A143" s="2">
        <v>46171</v>
      </c>
      <c r="B143" s="1" t="str">
        <f ca="1">IF(Información1[[#This Row],[Fecha]]='Ajuste de fechas'!$A$2,"Día actual","Día anterior")</f>
        <v>Día actual</v>
      </c>
      <c r="C143" s="3" t="s">
        <v>32</v>
      </c>
      <c r="D143" t="s">
        <v>33</v>
      </c>
      <c r="E143" s="3" t="s">
        <v>273</v>
      </c>
      <c r="F143" s="3" t="s">
        <v>26</v>
      </c>
      <c r="G143" s="3" t="s">
        <v>62</v>
      </c>
      <c r="H143" s="3" t="s">
        <v>129</v>
      </c>
      <c r="I143" s="3" t="s">
        <v>7</v>
      </c>
      <c r="J143" s="3" t="s">
        <v>43</v>
      </c>
      <c r="K143" s="3" t="s">
        <v>27</v>
      </c>
      <c r="L143" s="3" t="s">
        <v>46</v>
      </c>
      <c r="M143">
        <v>3</v>
      </c>
    </row>
    <row r="144" spans="1:13" x14ac:dyDescent="0.25">
      <c r="A144" s="2">
        <v>46171</v>
      </c>
      <c r="B144" s="1" t="str">
        <f ca="1">IF(Información1[[#This Row],[Fecha]]='Ajuste de fechas'!$A$2,"Día actual","Día anterior")</f>
        <v>Día actual</v>
      </c>
      <c r="C144" s="3" t="s">
        <v>233</v>
      </c>
      <c r="D144" t="s">
        <v>234</v>
      </c>
      <c r="E144" s="3" t="s">
        <v>262</v>
      </c>
      <c r="F144" s="3" t="s">
        <v>53</v>
      </c>
      <c r="G144" s="3" t="s">
        <v>113</v>
      </c>
      <c r="H144" s="3" t="s">
        <v>11</v>
      </c>
      <c r="I144" s="3" t="s">
        <v>7</v>
      </c>
      <c r="J144" s="3" t="s">
        <v>43</v>
      </c>
      <c r="K144" s="3" t="s">
        <v>235</v>
      </c>
      <c r="L144" s="3" t="s">
        <v>46</v>
      </c>
      <c r="M144">
        <v>2</v>
      </c>
    </row>
    <row r="145" spans="1:13" x14ac:dyDescent="0.25">
      <c r="A145" s="2">
        <v>46171</v>
      </c>
      <c r="B145" s="1" t="str">
        <f ca="1">IF(Información1[[#This Row],[Fecha]]='Ajuste de fechas'!$A$2,"Día actual","Día anterior")</f>
        <v>Día actual</v>
      </c>
      <c r="C145" s="3" t="s">
        <v>233</v>
      </c>
      <c r="D145" t="s">
        <v>234</v>
      </c>
      <c r="E145" s="3" t="s">
        <v>274</v>
      </c>
      <c r="F145" s="3" t="s">
        <v>19</v>
      </c>
      <c r="G145" s="3" t="s">
        <v>275</v>
      </c>
      <c r="H145" s="3" t="s">
        <v>11</v>
      </c>
      <c r="I145" s="3" t="s">
        <v>7</v>
      </c>
      <c r="J145" s="3" t="s">
        <v>47</v>
      </c>
      <c r="K145" s="3" t="s">
        <v>235</v>
      </c>
      <c r="L145" s="3" t="s">
        <v>44</v>
      </c>
      <c r="M145">
        <v>2</v>
      </c>
    </row>
    <row r="146" spans="1:13" x14ac:dyDescent="0.25">
      <c r="A146" s="2">
        <v>46171</v>
      </c>
      <c r="B146" s="1" t="str">
        <f ca="1">IF(Información1[[#This Row],[Fecha]]='Ajuste de fechas'!$A$2,"Día actual","Día anterior")</f>
        <v>Día actual</v>
      </c>
      <c r="C146" s="3" t="s">
        <v>233</v>
      </c>
      <c r="D146" t="s">
        <v>234</v>
      </c>
      <c r="E146" s="3" t="s">
        <v>276</v>
      </c>
      <c r="F146" s="3" t="s">
        <v>53</v>
      </c>
      <c r="G146" s="3" t="s">
        <v>208</v>
      </c>
      <c r="H146" s="3" t="s">
        <v>11</v>
      </c>
      <c r="I146" s="3" t="s">
        <v>7</v>
      </c>
      <c r="J146" s="3" t="s">
        <v>43</v>
      </c>
      <c r="K146" s="3" t="s">
        <v>235</v>
      </c>
      <c r="L146" s="3" t="s">
        <v>44</v>
      </c>
      <c r="M146">
        <v>2</v>
      </c>
    </row>
    <row r="147" spans="1:13" x14ac:dyDescent="0.25">
      <c r="A147" s="2">
        <v>46171</v>
      </c>
      <c r="B147" s="1" t="str">
        <f ca="1">IF(Información1[[#This Row],[Fecha]]='Ajuste de fechas'!$A$2,"Día actual","Día anterior")</f>
        <v>Día actual</v>
      </c>
      <c r="C147" s="3" t="s">
        <v>233</v>
      </c>
      <c r="D147" t="s">
        <v>234</v>
      </c>
      <c r="E147" s="3" t="s">
        <v>273</v>
      </c>
      <c r="F147" s="3" t="s">
        <v>26</v>
      </c>
      <c r="G147" s="3" t="s">
        <v>62</v>
      </c>
      <c r="H147" s="3" t="s">
        <v>11</v>
      </c>
      <c r="I147" s="3" t="s">
        <v>7</v>
      </c>
      <c r="J147" s="3" t="s">
        <v>43</v>
      </c>
      <c r="K147" s="3" t="s">
        <v>235</v>
      </c>
      <c r="L147" s="3" t="s">
        <v>46</v>
      </c>
      <c r="M147">
        <v>2</v>
      </c>
    </row>
    <row r="148" spans="1:13" x14ac:dyDescent="0.25">
      <c r="A148" s="2">
        <v>46171</v>
      </c>
      <c r="B148" s="1" t="str">
        <f ca="1">IF(Información1[[#This Row],[Fecha]]='Ajuste de fechas'!$A$2,"Día actual","Día anterior")</f>
        <v>Día actual</v>
      </c>
      <c r="C148" s="3" t="s">
        <v>233</v>
      </c>
      <c r="D148" t="s">
        <v>234</v>
      </c>
      <c r="E148" s="3" t="s">
        <v>277</v>
      </c>
      <c r="F148" s="3" t="s">
        <v>24</v>
      </c>
      <c r="G148" s="3" t="s">
        <v>278</v>
      </c>
      <c r="H148" s="3" t="s">
        <v>11</v>
      </c>
      <c r="I148" s="3" t="s">
        <v>7</v>
      </c>
      <c r="J148" s="3" t="s">
        <v>24</v>
      </c>
      <c r="K148" s="3" t="s">
        <v>235</v>
      </c>
      <c r="L148" s="3" t="s">
        <v>44</v>
      </c>
      <c r="M148">
        <v>2</v>
      </c>
    </row>
    <row r="149" spans="1:13" x14ac:dyDescent="0.25">
      <c r="A149" s="2">
        <v>46171</v>
      </c>
      <c r="B149" s="1" t="str">
        <f ca="1">IF(Información1[[#This Row],[Fecha]]='Ajuste de fechas'!$A$2,"Día actual","Día anterior")</f>
        <v>Día actual</v>
      </c>
      <c r="C149" s="3" t="s">
        <v>233</v>
      </c>
      <c r="D149" t="s">
        <v>234</v>
      </c>
      <c r="E149" s="3" t="s">
        <v>279</v>
      </c>
      <c r="F149" s="3" t="s">
        <v>26</v>
      </c>
      <c r="G149" s="3" t="s">
        <v>280</v>
      </c>
      <c r="H149" s="3" t="s">
        <v>11</v>
      </c>
      <c r="I149" s="3" t="s">
        <v>7</v>
      </c>
      <c r="J149" s="3" t="s">
        <v>43</v>
      </c>
      <c r="K149" s="3" t="s">
        <v>235</v>
      </c>
      <c r="L149" s="3" t="s">
        <v>44</v>
      </c>
      <c r="M149">
        <v>2</v>
      </c>
    </row>
    <row r="150" spans="1:13" x14ac:dyDescent="0.25">
      <c r="A150" s="2">
        <v>46171</v>
      </c>
      <c r="B150" s="1" t="str">
        <f ca="1">IF(Información1[[#This Row],[Fecha]]='Ajuste de fechas'!$A$2,"Día actual","Día anterior")</f>
        <v>Día actual</v>
      </c>
      <c r="C150" s="3" t="s">
        <v>233</v>
      </c>
      <c r="D150" t="s">
        <v>234</v>
      </c>
      <c r="E150" s="3" t="s">
        <v>281</v>
      </c>
      <c r="F150" s="3" t="s">
        <v>22</v>
      </c>
      <c r="G150" s="3" t="s">
        <v>282</v>
      </c>
      <c r="H150" s="3" t="s">
        <v>11</v>
      </c>
      <c r="I150" s="3" t="s">
        <v>7</v>
      </c>
      <c r="J150" s="3" t="s">
        <v>48</v>
      </c>
      <c r="K150" s="3" t="s">
        <v>235</v>
      </c>
      <c r="L150" s="3" t="s">
        <v>86</v>
      </c>
      <c r="M150">
        <v>2</v>
      </c>
    </row>
    <row r="151" spans="1:13" x14ac:dyDescent="0.25">
      <c r="A151" s="2">
        <v>46171</v>
      </c>
      <c r="B151" s="1" t="str">
        <f ca="1">IF(Información1[[#This Row],[Fecha]]='Ajuste de fechas'!$A$2,"Día actual","Día anterior")</f>
        <v>Día actual</v>
      </c>
      <c r="C151" s="3" t="s">
        <v>233</v>
      </c>
      <c r="D151" t="s">
        <v>234</v>
      </c>
      <c r="E151" s="3" t="s">
        <v>283</v>
      </c>
      <c r="F151" s="3" t="s">
        <v>67</v>
      </c>
      <c r="G151" s="3" t="s">
        <v>100</v>
      </c>
      <c r="H151" s="3" t="s">
        <v>11</v>
      </c>
      <c r="I151" s="3" t="s">
        <v>7</v>
      </c>
      <c r="J151" s="3" t="s">
        <v>24</v>
      </c>
      <c r="K151" s="3" t="s">
        <v>235</v>
      </c>
      <c r="L151" s="3" t="s">
        <v>44</v>
      </c>
      <c r="M151">
        <v>2</v>
      </c>
    </row>
    <row r="152" spans="1:13" x14ac:dyDescent="0.25">
      <c r="A152" s="2">
        <v>46171</v>
      </c>
      <c r="B152" s="1" t="str">
        <f ca="1">IF(Información1[[#This Row],[Fecha]]='Ajuste de fechas'!$A$2,"Día actual","Día anterior")</f>
        <v>Día actual</v>
      </c>
      <c r="C152" s="3" t="s">
        <v>233</v>
      </c>
      <c r="D152" t="s">
        <v>234</v>
      </c>
      <c r="E152" s="3" t="s">
        <v>284</v>
      </c>
      <c r="F152" s="3" t="s">
        <v>67</v>
      </c>
      <c r="G152" s="3" t="s">
        <v>68</v>
      </c>
      <c r="H152" s="3" t="s">
        <v>11</v>
      </c>
      <c r="I152" s="3" t="s">
        <v>7</v>
      </c>
      <c r="J152" s="3" t="s">
        <v>24</v>
      </c>
      <c r="K152" s="3" t="s">
        <v>235</v>
      </c>
      <c r="L152" s="3" t="s">
        <v>45</v>
      </c>
      <c r="M152">
        <v>2</v>
      </c>
    </row>
    <row r="153" spans="1:13" x14ac:dyDescent="0.25">
      <c r="A153" s="2">
        <v>46171</v>
      </c>
      <c r="B153" s="1" t="str">
        <f ca="1">IF(Información1[[#This Row],[Fecha]]='Ajuste de fechas'!$A$2,"Día actual","Día anterior")</f>
        <v>Día actual</v>
      </c>
      <c r="C153" s="3" t="s">
        <v>233</v>
      </c>
      <c r="D153" t="s">
        <v>234</v>
      </c>
      <c r="E153" s="3" t="s">
        <v>285</v>
      </c>
      <c r="F153" s="3" t="s">
        <v>67</v>
      </c>
      <c r="G153" s="3" t="s">
        <v>68</v>
      </c>
      <c r="H153" s="3" t="s">
        <v>11</v>
      </c>
      <c r="I153" s="3" t="s">
        <v>7</v>
      </c>
      <c r="J153" s="3" t="s">
        <v>24</v>
      </c>
      <c r="K153" s="3" t="s">
        <v>235</v>
      </c>
      <c r="L153" s="3" t="s">
        <v>44</v>
      </c>
      <c r="M153">
        <v>2</v>
      </c>
    </row>
    <row r="154" spans="1:13" x14ac:dyDescent="0.25">
      <c r="A154" s="2">
        <v>46171</v>
      </c>
      <c r="B154" s="1" t="str">
        <f ca="1">IF(Información1[[#This Row],[Fecha]]='Ajuste de fechas'!$A$2,"Día actual","Día anterior")</f>
        <v>Día actual</v>
      </c>
      <c r="C154" s="3" t="s">
        <v>233</v>
      </c>
      <c r="D154" t="s">
        <v>234</v>
      </c>
      <c r="E154" s="3" t="s">
        <v>286</v>
      </c>
      <c r="F154" s="3" t="s">
        <v>19</v>
      </c>
      <c r="G154" s="3" t="s">
        <v>287</v>
      </c>
      <c r="H154" s="3" t="s">
        <v>11</v>
      </c>
      <c r="I154" s="3" t="s">
        <v>7</v>
      </c>
      <c r="J154" s="3" t="s">
        <v>47</v>
      </c>
      <c r="K154" s="3" t="s">
        <v>235</v>
      </c>
      <c r="L154" s="3" t="s">
        <v>44</v>
      </c>
      <c r="M154">
        <v>2</v>
      </c>
    </row>
    <row r="155" spans="1:13" x14ac:dyDescent="0.25">
      <c r="A155" s="2">
        <v>46171</v>
      </c>
      <c r="B155" s="1" t="str">
        <f ca="1">IF(Información1[[#This Row],[Fecha]]='Ajuste de fechas'!$A$2,"Día actual","Día anterior")</f>
        <v>Día actual</v>
      </c>
      <c r="C155" s="3" t="s">
        <v>233</v>
      </c>
      <c r="D155" t="s">
        <v>234</v>
      </c>
      <c r="E155" s="3" t="s">
        <v>245</v>
      </c>
      <c r="F155" s="3" t="s">
        <v>19</v>
      </c>
      <c r="G155" s="3" t="s">
        <v>117</v>
      </c>
      <c r="H155" s="3" t="s">
        <v>11</v>
      </c>
      <c r="I155" s="3" t="s">
        <v>7</v>
      </c>
      <c r="J155" s="3" t="s">
        <v>47</v>
      </c>
      <c r="K155" s="3" t="s">
        <v>235</v>
      </c>
      <c r="L155" s="3" t="s">
        <v>44</v>
      </c>
      <c r="M155">
        <v>2</v>
      </c>
    </row>
    <row r="156" spans="1:13" x14ac:dyDescent="0.25">
      <c r="A156" s="2">
        <v>46171</v>
      </c>
      <c r="B156" s="1" t="str">
        <f ca="1">IF(Información1[[#This Row],[Fecha]]='Ajuste de fechas'!$A$2,"Día actual","Día anterior")</f>
        <v>Día actual</v>
      </c>
      <c r="C156" s="3" t="s">
        <v>233</v>
      </c>
      <c r="D156" t="s">
        <v>234</v>
      </c>
      <c r="E156" s="3" t="s">
        <v>288</v>
      </c>
      <c r="F156" s="3" t="s">
        <v>19</v>
      </c>
      <c r="G156" s="3" t="s">
        <v>289</v>
      </c>
      <c r="H156" s="3" t="s">
        <v>11</v>
      </c>
      <c r="I156" s="3" t="s">
        <v>7</v>
      </c>
      <c r="J156" s="3" t="s">
        <v>47</v>
      </c>
      <c r="K156" s="3" t="s">
        <v>235</v>
      </c>
      <c r="L156" s="3" t="s">
        <v>44</v>
      </c>
      <c r="M156">
        <v>2</v>
      </c>
    </row>
    <row r="157" spans="1:13" x14ac:dyDescent="0.25">
      <c r="A157" s="2">
        <v>46171</v>
      </c>
      <c r="B157" s="1" t="str">
        <f ca="1">IF(Información1[[#This Row],[Fecha]]='Ajuste de fechas'!$A$2,"Día actual","Día anterior")</f>
        <v>Día actual</v>
      </c>
      <c r="C157" s="3" t="s">
        <v>233</v>
      </c>
      <c r="D157" t="s">
        <v>234</v>
      </c>
      <c r="E157" s="3" t="s">
        <v>290</v>
      </c>
      <c r="F157" s="3" t="s">
        <v>19</v>
      </c>
      <c r="G157" s="3" t="s">
        <v>291</v>
      </c>
      <c r="H157" s="3" t="s">
        <v>11</v>
      </c>
      <c r="I157" s="3" t="s">
        <v>7</v>
      </c>
      <c r="J157" s="3" t="s">
        <v>47</v>
      </c>
      <c r="K157" s="3" t="s">
        <v>235</v>
      </c>
      <c r="L157" s="3" t="s">
        <v>44</v>
      </c>
      <c r="M157">
        <v>2</v>
      </c>
    </row>
    <row r="158" spans="1:13" x14ac:dyDescent="0.25">
      <c r="A158" s="2">
        <v>46171</v>
      </c>
      <c r="B158" s="1" t="str">
        <f ca="1">IF(Información1[[#This Row],[Fecha]]='Ajuste de fechas'!$A$2,"Día actual","Día anterior")</f>
        <v>Día actual</v>
      </c>
      <c r="C158" s="3" t="s">
        <v>233</v>
      </c>
      <c r="D158" t="s">
        <v>234</v>
      </c>
      <c r="E158" s="3" t="s">
        <v>292</v>
      </c>
      <c r="F158" s="3" t="s">
        <v>89</v>
      </c>
      <c r="G158" s="3" t="s">
        <v>293</v>
      </c>
      <c r="H158" s="3" t="s">
        <v>11</v>
      </c>
      <c r="I158" s="3" t="s">
        <v>7</v>
      </c>
      <c r="J158" s="3" t="s">
        <v>43</v>
      </c>
      <c r="K158" s="3" t="s">
        <v>235</v>
      </c>
      <c r="L158" s="3" t="s">
        <v>44</v>
      </c>
      <c r="M158">
        <v>2</v>
      </c>
    </row>
    <row r="159" spans="1:13" x14ac:dyDescent="0.25">
      <c r="A159" s="2">
        <v>46170</v>
      </c>
      <c r="B159" s="1" t="str">
        <f ca="1">IF(Información1[[#This Row],[Fecha]]='Ajuste de fechas'!$A$2,"Día actual","Día anterior")</f>
        <v>Día anterior</v>
      </c>
      <c r="C159" s="3" t="s">
        <v>229</v>
      </c>
      <c r="D159" t="s">
        <v>230</v>
      </c>
      <c r="E159" s="3" t="s">
        <v>294</v>
      </c>
      <c r="F159" s="3" t="s">
        <v>21</v>
      </c>
      <c r="G159" s="3" t="s">
        <v>185</v>
      </c>
      <c r="H159" s="3" t="s">
        <v>129</v>
      </c>
      <c r="I159" s="3" t="s">
        <v>7</v>
      </c>
      <c r="J159" s="3" t="s">
        <v>43</v>
      </c>
      <c r="K159" s="3" t="s">
        <v>54</v>
      </c>
      <c r="L159" s="3" t="s">
        <v>44</v>
      </c>
      <c r="M159">
        <v>1</v>
      </c>
    </row>
    <row r="160" spans="1:13" x14ac:dyDescent="0.25">
      <c r="A160" s="2">
        <v>46170</v>
      </c>
      <c r="B160" s="1" t="str">
        <f ca="1">IF(Información1[[#This Row],[Fecha]]='Ajuste de fechas'!$A$2,"Día actual","Día anterior")</f>
        <v>Día anterior</v>
      </c>
      <c r="C160" s="3" t="s">
        <v>229</v>
      </c>
      <c r="D160" t="s">
        <v>230</v>
      </c>
      <c r="E160" s="3" t="s">
        <v>112</v>
      </c>
      <c r="F160" s="3" t="s">
        <v>53</v>
      </c>
      <c r="G160" s="3" t="s">
        <v>113</v>
      </c>
      <c r="H160" s="3" t="s">
        <v>129</v>
      </c>
      <c r="I160" s="3" t="s">
        <v>7</v>
      </c>
      <c r="J160" s="3" t="s">
        <v>43</v>
      </c>
      <c r="K160" s="3" t="s">
        <v>54</v>
      </c>
      <c r="L160" s="3" t="s">
        <v>46</v>
      </c>
      <c r="M160">
        <v>1</v>
      </c>
    </row>
    <row r="161" spans="1:13" x14ac:dyDescent="0.25">
      <c r="A161" s="2">
        <v>46170</v>
      </c>
      <c r="B161" s="1" t="str">
        <f ca="1">IF(Información1[[#This Row],[Fecha]]='Ajuste de fechas'!$A$2,"Día actual","Día anterior")</f>
        <v>Día anterior</v>
      </c>
      <c r="C161" s="3" t="s">
        <v>229</v>
      </c>
      <c r="D161" t="s">
        <v>230</v>
      </c>
      <c r="E161" s="3" t="s">
        <v>147</v>
      </c>
      <c r="F161" s="3" t="s">
        <v>23</v>
      </c>
      <c r="G161" s="3" t="s">
        <v>74</v>
      </c>
      <c r="H161" s="3" t="s">
        <v>129</v>
      </c>
      <c r="I161" s="3" t="s">
        <v>7</v>
      </c>
      <c r="J161" s="3" t="s">
        <v>43</v>
      </c>
      <c r="K161" s="3" t="s">
        <v>54</v>
      </c>
      <c r="L161" s="3" t="s">
        <v>46</v>
      </c>
      <c r="M161">
        <v>1</v>
      </c>
    </row>
    <row r="162" spans="1:13" x14ac:dyDescent="0.25">
      <c r="A162" s="2">
        <v>46170</v>
      </c>
      <c r="B162" s="1" t="str">
        <f ca="1">IF(Información1[[#This Row],[Fecha]]='Ajuste de fechas'!$A$2,"Día actual","Día anterior")</f>
        <v>Día anterior</v>
      </c>
      <c r="C162" s="3" t="s">
        <v>229</v>
      </c>
      <c r="D162" t="s">
        <v>230</v>
      </c>
      <c r="E162" s="3" t="s">
        <v>106</v>
      </c>
      <c r="F162" s="3" t="s">
        <v>53</v>
      </c>
      <c r="G162" s="3" t="s">
        <v>80</v>
      </c>
      <c r="H162" s="3" t="s">
        <v>129</v>
      </c>
      <c r="I162" s="3" t="s">
        <v>7</v>
      </c>
      <c r="J162" s="3" t="s">
        <v>43</v>
      </c>
      <c r="K162" s="3" t="s">
        <v>54</v>
      </c>
      <c r="L162" s="3" t="s">
        <v>46</v>
      </c>
      <c r="M162">
        <v>1</v>
      </c>
    </row>
    <row r="163" spans="1:13" x14ac:dyDescent="0.25">
      <c r="A163" s="2">
        <v>46170</v>
      </c>
      <c r="B163" s="1" t="str">
        <f ca="1">IF(Información1[[#This Row],[Fecha]]='Ajuste de fechas'!$A$2,"Día actual","Día anterior")</f>
        <v>Día anterior</v>
      </c>
      <c r="C163" s="3" t="s">
        <v>229</v>
      </c>
      <c r="D163" t="s">
        <v>230</v>
      </c>
      <c r="E163" s="3" t="s">
        <v>295</v>
      </c>
      <c r="F163" s="3" t="s">
        <v>72</v>
      </c>
      <c r="G163" s="3" t="s">
        <v>192</v>
      </c>
      <c r="H163" s="3" t="s">
        <v>129</v>
      </c>
      <c r="I163" s="3" t="s">
        <v>7</v>
      </c>
      <c r="J163" s="3" t="s">
        <v>43</v>
      </c>
      <c r="K163" s="3" t="s">
        <v>54</v>
      </c>
      <c r="L163" s="3" t="s">
        <v>46</v>
      </c>
      <c r="M163">
        <v>1</v>
      </c>
    </row>
    <row r="164" spans="1:13" x14ac:dyDescent="0.25">
      <c r="A164" s="2">
        <v>46170</v>
      </c>
      <c r="B164" s="1" t="str">
        <f ca="1">IF(Información1[[#This Row],[Fecha]]='Ajuste de fechas'!$A$2,"Día actual","Día anterior")</f>
        <v>Día anterior</v>
      </c>
      <c r="C164" s="3" t="s">
        <v>229</v>
      </c>
      <c r="D164" t="s">
        <v>230</v>
      </c>
      <c r="E164" s="3" t="s">
        <v>296</v>
      </c>
      <c r="F164" s="3" t="s">
        <v>19</v>
      </c>
      <c r="G164" s="3" t="s">
        <v>297</v>
      </c>
      <c r="H164" s="3" t="s">
        <v>129</v>
      </c>
      <c r="I164" s="3" t="s">
        <v>7</v>
      </c>
      <c r="J164" s="3" t="s">
        <v>47</v>
      </c>
      <c r="K164" s="3" t="s">
        <v>54</v>
      </c>
      <c r="L164" s="3" t="s">
        <v>44</v>
      </c>
      <c r="M164">
        <v>1</v>
      </c>
    </row>
    <row r="165" spans="1:13" x14ac:dyDescent="0.25">
      <c r="A165" s="2">
        <v>46170</v>
      </c>
      <c r="B165" s="1" t="str">
        <f ca="1">IF(Información1[[#This Row],[Fecha]]='Ajuste de fechas'!$A$2,"Día actual","Día anterior")</f>
        <v>Día anterior</v>
      </c>
      <c r="C165" s="3" t="s">
        <v>229</v>
      </c>
      <c r="D165" t="s">
        <v>230</v>
      </c>
      <c r="E165" s="3" t="s">
        <v>150</v>
      </c>
      <c r="F165" s="3" t="s">
        <v>34</v>
      </c>
      <c r="G165" s="3" t="s">
        <v>151</v>
      </c>
      <c r="H165" s="3" t="s">
        <v>129</v>
      </c>
      <c r="I165" s="3" t="s">
        <v>7</v>
      </c>
      <c r="J165" s="3" t="s">
        <v>43</v>
      </c>
      <c r="K165" s="3" t="s">
        <v>54</v>
      </c>
      <c r="L165" s="3" t="s">
        <v>46</v>
      </c>
      <c r="M165">
        <v>1</v>
      </c>
    </row>
    <row r="166" spans="1:13" x14ac:dyDescent="0.25">
      <c r="A166" s="2">
        <v>46170</v>
      </c>
      <c r="B166" s="1" t="str">
        <f ca="1">IF(Información1[[#This Row],[Fecha]]='Ajuste de fechas'!$A$2,"Día actual","Día anterior")</f>
        <v>Día anterior</v>
      </c>
      <c r="C166" s="3" t="s">
        <v>229</v>
      </c>
      <c r="D166" t="s">
        <v>230</v>
      </c>
      <c r="E166" s="3" t="s">
        <v>298</v>
      </c>
      <c r="F166" s="3" t="s">
        <v>75</v>
      </c>
      <c r="G166" s="3" t="s">
        <v>187</v>
      </c>
      <c r="H166" s="3" t="s">
        <v>129</v>
      </c>
      <c r="I166" s="3" t="s">
        <v>7</v>
      </c>
      <c r="J166" s="3" t="s">
        <v>43</v>
      </c>
      <c r="K166" s="3" t="s">
        <v>54</v>
      </c>
      <c r="L166" s="3" t="s">
        <v>46</v>
      </c>
      <c r="M166">
        <v>1</v>
      </c>
    </row>
    <row r="167" spans="1:13" x14ac:dyDescent="0.25">
      <c r="A167" s="2">
        <v>46170</v>
      </c>
      <c r="B167" s="1" t="str">
        <f ca="1">IF(Información1[[#This Row],[Fecha]]='Ajuste de fechas'!$A$2,"Día actual","Día anterior")</f>
        <v>Día anterior</v>
      </c>
      <c r="C167" s="3" t="s">
        <v>229</v>
      </c>
      <c r="D167" t="s">
        <v>230</v>
      </c>
      <c r="E167" s="3" t="s">
        <v>299</v>
      </c>
      <c r="F167" s="3" t="s">
        <v>19</v>
      </c>
      <c r="G167" s="3" t="s">
        <v>300</v>
      </c>
      <c r="H167" s="3" t="s">
        <v>129</v>
      </c>
      <c r="I167" s="3" t="s">
        <v>7</v>
      </c>
      <c r="J167" s="3" t="s">
        <v>47</v>
      </c>
      <c r="K167" s="3" t="s">
        <v>54</v>
      </c>
      <c r="L167" s="3" t="s">
        <v>44</v>
      </c>
      <c r="M167">
        <v>1</v>
      </c>
    </row>
    <row r="168" spans="1:13" x14ac:dyDescent="0.25">
      <c r="A168" s="2">
        <v>46170</v>
      </c>
      <c r="B168" s="1" t="str">
        <f ca="1">IF(Información1[[#This Row],[Fecha]]='Ajuste de fechas'!$A$2,"Día actual","Día anterior")</f>
        <v>Día anterior</v>
      </c>
      <c r="C168" s="3" t="s">
        <v>229</v>
      </c>
      <c r="D168" t="s">
        <v>230</v>
      </c>
      <c r="E168" s="3" t="s">
        <v>301</v>
      </c>
      <c r="F168" s="3" t="s">
        <v>89</v>
      </c>
      <c r="G168" s="3" t="s">
        <v>98</v>
      </c>
      <c r="H168" s="3" t="s">
        <v>129</v>
      </c>
      <c r="I168" s="3" t="s">
        <v>7</v>
      </c>
      <c r="J168" s="3" t="s">
        <v>43</v>
      </c>
      <c r="K168" s="3" t="s">
        <v>54</v>
      </c>
      <c r="L168" s="3" t="s">
        <v>46</v>
      </c>
      <c r="M168">
        <v>1</v>
      </c>
    </row>
    <row r="169" spans="1:13" x14ac:dyDescent="0.25">
      <c r="A169" s="2">
        <v>46170</v>
      </c>
      <c r="B169" s="1" t="str">
        <f ca="1">IF(Información1[[#This Row],[Fecha]]='Ajuste de fechas'!$A$2,"Día actual","Día anterior")</f>
        <v>Día anterior</v>
      </c>
      <c r="C169" s="3" t="s">
        <v>229</v>
      </c>
      <c r="D169" t="s">
        <v>230</v>
      </c>
      <c r="E169" s="3" t="s">
        <v>302</v>
      </c>
      <c r="F169" s="3" t="s">
        <v>303</v>
      </c>
      <c r="G169" s="3" t="s">
        <v>304</v>
      </c>
      <c r="H169" s="3" t="s">
        <v>129</v>
      </c>
      <c r="I169" s="3" t="s">
        <v>7</v>
      </c>
      <c r="J169" s="3" t="s">
        <v>43</v>
      </c>
      <c r="K169" s="3" t="s">
        <v>54</v>
      </c>
      <c r="L169" s="3" t="s">
        <v>46</v>
      </c>
      <c r="M169">
        <v>1</v>
      </c>
    </row>
    <row r="170" spans="1:13" x14ac:dyDescent="0.25">
      <c r="A170" s="2">
        <v>46170</v>
      </c>
      <c r="B170" s="1" t="str">
        <f ca="1">IF(Información1[[#This Row],[Fecha]]='Ajuste de fechas'!$A$2,"Día actual","Día anterior")</f>
        <v>Día anterior</v>
      </c>
      <c r="C170" s="3" t="s">
        <v>229</v>
      </c>
      <c r="D170" t="s">
        <v>230</v>
      </c>
      <c r="E170" s="3" t="s">
        <v>305</v>
      </c>
      <c r="F170" s="3" t="s">
        <v>306</v>
      </c>
      <c r="G170" s="3" t="s">
        <v>307</v>
      </c>
      <c r="H170" s="3" t="s">
        <v>129</v>
      </c>
      <c r="I170" s="3" t="s">
        <v>7</v>
      </c>
      <c r="J170" s="3" t="s">
        <v>43</v>
      </c>
      <c r="K170" s="3" t="s">
        <v>54</v>
      </c>
      <c r="L170" s="3" t="s">
        <v>46</v>
      </c>
      <c r="M170">
        <v>1</v>
      </c>
    </row>
    <row r="171" spans="1:13" x14ac:dyDescent="0.25">
      <c r="A171" s="2">
        <v>46170</v>
      </c>
      <c r="B171" s="1" t="str">
        <f ca="1">IF(Información1[[#This Row],[Fecha]]='Ajuste de fechas'!$A$2,"Día actual","Día anterior")</f>
        <v>Día anterior</v>
      </c>
      <c r="C171" s="3" t="s">
        <v>229</v>
      </c>
      <c r="D171" t="s">
        <v>230</v>
      </c>
      <c r="E171" s="3" t="s">
        <v>308</v>
      </c>
      <c r="F171" s="3" t="s">
        <v>66</v>
      </c>
      <c r="G171" s="3" t="s">
        <v>309</v>
      </c>
      <c r="H171" s="3" t="s">
        <v>129</v>
      </c>
      <c r="I171" s="3" t="s">
        <v>7</v>
      </c>
      <c r="J171" s="3" t="s">
        <v>43</v>
      </c>
      <c r="K171" s="3" t="s">
        <v>54</v>
      </c>
      <c r="L171" s="3" t="s">
        <v>44</v>
      </c>
      <c r="M171">
        <v>1</v>
      </c>
    </row>
    <row r="172" spans="1:13" x14ac:dyDescent="0.25">
      <c r="A172" s="2">
        <v>46170</v>
      </c>
      <c r="B172" s="1" t="str">
        <f ca="1">IF(Información1[[#This Row],[Fecha]]='Ajuste de fechas'!$A$2,"Día actual","Día anterior")</f>
        <v>Día anterior</v>
      </c>
      <c r="C172" s="3" t="s">
        <v>229</v>
      </c>
      <c r="D172" t="s">
        <v>230</v>
      </c>
      <c r="E172" s="3" t="s">
        <v>310</v>
      </c>
      <c r="F172" s="3" t="s">
        <v>66</v>
      </c>
      <c r="G172" s="3" t="s">
        <v>309</v>
      </c>
      <c r="H172" s="3" t="s">
        <v>129</v>
      </c>
      <c r="I172" s="3" t="s">
        <v>7</v>
      </c>
      <c r="J172" s="3" t="s">
        <v>43</v>
      </c>
      <c r="K172" s="3" t="s">
        <v>54</v>
      </c>
      <c r="L172" s="3" t="s">
        <v>44</v>
      </c>
      <c r="M172">
        <v>1</v>
      </c>
    </row>
    <row r="173" spans="1:13" x14ac:dyDescent="0.25">
      <c r="A173" s="2">
        <v>46170</v>
      </c>
      <c r="B173" s="1" t="str">
        <f ca="1">IF(Información1[[#This Row],[Fecha]]='Ajuste de fechas'!$A$2,"Día actual","Día anterior")</f>
        <v>Día anterior</v>
      </c>
      <c r="C173" s="3" t="s">
        <v>229</v>
      </c>
      <c r="D173" t="s">
        <v>230</v>
      </c>
      <c r="E173" s="3" t="s">
        <v>311</v>
      </c>
      <c r="F173" s="3" t="s">
        <v>179</v>
      </c>
      <c r="G173" s="3" t="s">
        <v>312</v>
      </c>
      <c r="H173" s="3" t="s">
        <v>129</v>
      </c>
      <c r="I173" s="3" t="s">
        <v>7</v>
      </c>
      <c r="J173" s="3" t="s">
        <v>43</v>
      </c>
      <c r="K173" s="3" t="s">
        <v>54</v>
      </c>
      <c r="L173" s="3" t="s">
        <v>44</v>
      </c>
      <c r="M173">
        <v>1</v>
      </c>
    </row>
    <row r="174" spans="1:13" x14ac:dyDescent="0.25">
      <c r="A174" s="2">
        <v>46171</v>
      </c>
      <c r="B174" s="1" t="str">
        <f ca="1">IF(Información1[[#This Row],[Fecha]]='Ajuste de fechas'!$A$2,"Día actual","Día anterior")</f>
        <v>Día actual</v>
      </c>
      <c r="C174" s="3" t="s">
        <v>55</v>
      </c>
      <c r="D174" t="s">
        <v>88</v>
      </c>
      <c r="E174" s="3" t="s">
        <v>313</v>
      </c>
      <c r="F174" s="3" t="s">
        <v>19</v>
      </c>
      <c r="G174" s="3" t="s">
        <v>314</v>
      </c>
      <c r="H174" s="3" t="s">
        <v>11</v>
      </c>
      <c r="I174" s="3" t="s">
        <v>7</v>
      </c>
      <c r="J174" s="3" t="s">
        <v>47</v>
      </c>
      <c r="K174" s="3" t="s">
        <v>56</v>
      </c>
      <c r="L174" s="3" t="s">
        <v>44</v>
      </c>
      <c r="M174">
        <v>1</v>
      </c>
    </row>
    <row r="175" spans="1:13" x14ac:dyDescent="0.25">
      <c r="A175" s="2">
        <v>46171</v>
      </c>
      <c r="B175" s="1" t="str">
        <f ca="1">IF(Información1[[#This Row],[Fecha]]='Ajuste de fechas'!$A$2,"Día actual","Día anterior")</f>
        <v>Día actual</v>
      </c>
      <c r="C175" s="3" t="s">
        <v>57</v>
      </c>
      <c r="D175" t="s">
        <v>58</v>
      </c>
      <c r="E175" s="3" t="s">
        <v>315</v>
      </c>
      <c r="F175" s="3" t="s">
        <v>22</v>
      </c>
      <c r="G175" s="3" t="s">
        <v>61</v>
      </c>
      <c r="H175" s="3" t="s">
        <v>11</v>
      </c>
      <c r="I175" s="3" t="s">
        <v>7</v>
      </c>
      <c r="J175" s="3" t="s">
        <v>48</v>
      </c>
      <c r="K175" s="3" t="s">
        <v>59</v>
      </c>
      <c r="L175" s="3" t="s">
        <v>44</v>
      </c>
      <c r="M175">
        <v>1</v>
      </c>
    </row>
    <row r="176" spans="1:13" x14ac:dyDescent="0.25">
      <c r="A176" s="2">
        <v>46171</v>
      </c>
      <c r="B176" s="1" t="str">
        <f ca="1">IF(Información1[[#This Row],[Fecha]]='Ajuste de fechas'!$A$2,"Día actual","Día anterior")</f>
        <v>Día actual</v>
      </c>
      <c r="C176" s="3" t="s">
        <v>57</v>
      </c>
      <c r="D176" t="s">
        <v>58</v>
      </c>
      <c r="E176" s="3" t="s">
        <v>316</v>
      </c>
      <c r="F176" s="3" t="s">
        <v>19</v>
      </c>
      <c r="G176" s="3"/>
      <c r="H176" s="3" t="s">
        <v>11</v>
      </c>
      <c r="I176" s="3" t="s">
        <v>25</v>
      </c>
      <c r="J176" s="3" t="s">
        <v>47</v>
      </c>
      <c r="K176" s="3" t="s">
        <v>59</v>
      </c>
      <c r="L176" s="3" t="s">
        <v>44</v>
      </c>
      <c r="M176">
        <v>1</v>
      </c>
    </row>
    <row r="177" spans="1:13" x14ac:dyDescent="0.25">
      <c r="A177" s="2">
        <v>46171</v>
      </c>
      <c r="B177" s="1" t="str">
        <f ca="1">IF(Información1[[#This Row],[Fecha]]='Ajuste de fechas'!$A$2,"Día actual","Día anterior")</f>
        <v>Día actual</v>
      </c>
      <c r="C177" s="3" t="s">
        <v>57</v>
      </c>
      <c r="D177" t="s">
        <v>58</v>
      </c>
      <c r="E177" s="3" t="s">
        <v>317</v>
      </c>
      <c r="F177" s="3" t="s">
        <v>23</v>
      </c>
      <c r="G177" s="3" t="s">
        <v>99</v>
      </c>
      <c r="H177" s="3" t="s">
        <v>11</v>
      </c>
      <c r="I177" s="3" t="s">
        <v>7</v>
      </c>
      <c r="J177" s="3" t="s">
        <v>43</v>
      </c>
      <c r="K177" s="3" t="s">
        <v>59</v>
      </c>
      <c r="L177" s="3" t="s">
        <v>46</v>
      </c>
      <c r="M177">
        <v>1</v>
      </c>
    </row>
    <row r="178" spans="1:13" x14ac:dyDescent="0.25">
      <c r="A178" s="2">
        <v>46171</v>
      </c>
      <c r="B178" s="1" t="str">
        <f ca="1">IF(Información1[[#This Row],[Fecha]]='Ajuste de fechas'!$A$2,"Día actual","Día anterior")</f>
        <v>Día actual</v>
      </c>
      <c r="C178" s="3" t="s">
        <v>57</v>
      </c>
      <c r="D178" t="s">
        <v>58</v>
      </c>
      <c r="E178" s="3" t="s">
        <v>318</v>
      </c>
      <c r="F178" s="3" t="s">
        <v>34</v>
      </c>
      <c r="G178" s="3" t="s">
        <v>267</v>
      </c>
      <c r="H178" s="3" t="s">
        <v>11</v>
      </c>
      <c r="I178" s="3" t="s">
        <v>7</v>
      </c>
      <c r="J178" s="3" t="s">
        <v>43</v>
      </c>
      <c r="K178" s="3" t="s">
        <v>59</v>
      </c>
      <c r="L178" s="3" t="s">
        <v>46</v>
      </c>
      <c r="M178">
        <v>1</v>
      </c>
    </row>
    <row r="179" spans="1:13" x14ac:dyDescent="0.25">
      <c r="A179" s="2">
        <v>46171</v>
      </c>
      <c r="B179" s="1" t="str">
        <f ca="1">IF(Información1[[#This Row],[Fecha]]='Ajuste de fechas'!$A$2,"Día actual","Día anterior")</f>
        <v>Día actual</v>
      </c>
      <c r="C179" s="3" t="s">
        <v>57</v>
      </c>
      <c r="D179" t="s">
        <v>58</v>
      </c>
      <c r="E179" s="3" t="s">
        <v>319</v>
      </c>
      <c r="F179" s="3" t="s">
        <v>320</v>
      </c>
      <c r="G179" s="3" t="s">
        <v>321</v>
      </c>
      <c r="H179" s="3" t="s">
        <v>11</v>
      </c>
      <c r="I179" s="3" t="s">
        <v>7</v>
      </c>
      <c r="J179" s="3" t="s">
        <v>43</v>
      </c>
      <c r="K179" s="3" t="s">
        <v>59</v>
      </c>
      <c r="L179" s="3" t="s">
        <v>46</v>
      </c>
      <c r="M179">
        <v>1</v>
      </c>
    </row>
    <row r="180" spans="1:13" x14ac:dyDescent="0.25">
      <c r="A180" s="2">
        <v>46171</v>
      </c>
      <c r="B180" s="1" t="str">
        <f ca="1">IF(Información1[[#This Row],[Fecha]]='Ajuste de fechas'!$A$2,"Día actual","Día anterior")</f>
        <v>Día actual</v>
      </c>
      <c r="C180" s="3" t="s">
        <v>57</v>
      </c>
      <c r="D180" t="s">
        <v>58</v>
      </c>
      <c r="E180" s="3" t="s">
        <v>268</v>
      </c>
      <c r="F180" s="3" t="s">
        <v>179</v>
      </c>
      <c r="G180" s="3" t="s">
        <v>312</v>
      </c>
      <c r="H180" s="3" t="s">
        <v>11</v>
      </c>
      <c r="I180" s="3" t="s">
        <v>7</v>
      </c>
      <c r="J180" s="3" t="s">
        <v>43</v>
      </c>
      <c r="K180" s="3" t="s">
        <v>59</v>
      </c>
      <c r="L180" s="3" t="s">
        <v>46</v>
      </c>
      <c r="M180">
        <v>1</v>
      </c>
    </row>
    <row r="181" spans="1:13" x14ac:dyDescent="0.25">
      <c r="A181" s="2">
        <v>46171</v>
      </c>
      <c r="B181" s="1" t="str">
        <f ca="1">IF(Información1[[#This Row],[Fecha]]='Ajuste de fechas'!$A$2,"Día actual","Día anterior")</f>
        <v>Día actual</v>
      </c>
      <c r="C181" s="3" t="s">
        <v>57</v>
      </c>
      <c r="D181" t="s">
        <v>58</v>
      </c>
      <c r="E181" s="3" t="s">
        <v>322</v>
      </c>
      <c r="F181" s="3" t="s">
        <v>26</v>
      </c>
      <c r="G181" s="3" t="s">
        <v>62</v>
      </c>
      <c r="H181" s="3" t="s">
        <v>11</v>
      </c>
      <c r="I181" s="3" t="s">
        <v>7</v>
      </c>
      <c r="J181" s="3" t="s">
        <v>43</v>
      </c>
      <c r="K181" s="3" t="s">
        <v>59</v>
      </c>
      <c r="L181" s="3" t="s">
        <v>46</v>
      </c>
      <c r="M181">
        <v>1</v>
      </c>
    </row>
    <row r="182" spans="1:13" x14ac:dyDescent="0.25">
      <c r="A182" s="2">
        <v>46171</v>
      </c>
      <c r="B182" s="1" t="str">
        <f ca="1">IF(Información1[[#This Row],[Fecha]]='Ajuste de fechas'!$A$2,"Día actual","Día anterior")</f>
        <v>Día actual</v>
      </c>
      <c r="C182" s="3" t="s">
        <v>57</v>
      </c>
      <c r="D182" t="s">
        <v>58</v>
      </c>
      <c r="E182" s="3" t="s">
        <v>323</v>
      </c>
      <c r="F182" s="3" t="s">
        <v>26</v>
      </c>
      <c r="G182" s="3" t="s">
        <v>62</v>
      </c>
      <c r="H182" s="3" t="s">
        <v>11</v>
      </c>
      <c r="I182" s="3" t="s">
        <v>7</v>
      </c>
      <c r="J182" s="3" t="s">
        <v>43</v>
      </c>
      <c r="K182" s="3" t="s">
        <v>59</v>
      </c>
      <c r="L182" s="3" t="s">
        <v>46</v>
      </c>
      <c r="M182">
        <v>1</v>
      </c>
    </row>
    <row r="183" spans="1:13" x14ac:dyDescent="0.25">
      <c r="A183" s="2">
        <v>46171</v>
      </c>
      <c r="B183" s="1" t="str">
        <f ca="1">IF(Información1[[#This Row],[Fecha]]='Ajuste de fechas'!$A$2,"Día actual","Día anterior")</f>
        <v>Día actual</v>
      </c>
      <c r="C183" s="3" t="s">
        <v>55</v>
      </c>
      <c r="D183" t="s">
        <v>60</v>
      </c>
      <c r="E183" s="3" t="s">
        <v>324</v>
      </c>
      <c r="F183" s="3" t="s">
        <v>24</v>
      </c>
      <c r="G183" s="3" t="s">
        <v>325</v>
      </c>
      <c r="H183" s="3" t="s">
        <v>11</v>
      </c>
      <c r="I183" s="3" t="s">
        <v>7</v>
      </c>
      <c r="J183" s="3" t="s">
        <v>24</v>
      </c>
      <c r="K183" s="3" t="s">
        <v>56</v>
      </c>
      <c r="L183" s="3" t="s">
        <v>44</v>
      </c>
      <c r="M183">
        <v>1</v>
      </c>
    </row>
    <row r="184" spans="1:13" x14ac:dyDescent="0.25">
      <c r="A184" s="2">
        <v>46171</v>
      </c>
      <c r="B184" s="1" t="str">
        <f ca="1">IF(Información1[[#This Row],[Fecha]]='Ajuste de fechas'!$A$2,"Día actual","Día anterior")</f>
        <v>Día actual</v>
      </c>
      <c r="C184" s="3" t="s">
        <v>55</v>
      </c>
      <c r="D184" t="s">
        <v>60</v>
      </c>
      <c r="E184" s="3" t="s">
        <v>315</v>
      </c>
      <c r="F184" s="3" t="s">
        <v>22</v>
      </c>
      <c r="G184" s="3" t="s">
        <v>61</v>
      </c>
      <c r="H184" s="3" t="s">
        <v>11</v>
      </c>
      <c r="I184" s="3" t="s">
        <v>7</v>
      </c>
      <c r="J184" s="3" t="s">
        <v>48</v>
      </c>
      <c r="K184" s="3" t="s">
        <v>56</v>
      </c>
      <c r="L184" s="3" t="s">
        <v>44</v>
      </c>
      <c r="M184">
        <v>1</v>
      </c>
    </row>
    <row r="185" spans="1:13" x14ac:dyDescent="0.25">
      <c r="A185" s="2">
        <v>46171</v>
      </c>
      <c r="B185" s="1" t="str">
        <f ca="1">IF(Información1[[#This Row],[Fecha]]='Ajuste de fechas'!$A$2,"Día actual","Día anterior")</f>
        <v>Día actual</v>
      </c>
      <c r="C185" s="3" t="s">
        <v>55</v>
      </c>
      <c r="D185" t="s">
        <v>60</v>
      </c>
      <c r="E185" s="3" t="s">
        <v>326</v>
      </c>
      <c r="F185" s="3" t="s">
        <v>21</v>
      </c>
      <c r="G185" s="3" t="s">
        <v>231</v>
      </c>
      <c r="H185" s="3" t="s">
        <v>11</v>
      </c>
      <c r="I185" s="3" t="s">
        <v>7</v>
      </c>
      <c r="J185" s="3" t="s">
        <v>43</v>
      </c>
      <c r="K185" s="3" t="s">
        <v>56</v>
      </c>
      <c r="L185" s="3" t="s">
        <v>44</v>
      </c>
      <c r="M185">
        <v>1</v>
      </c>
    </row>
    <row r="186" spans="1:13" x14ac:dyDescent="0.25">
      <c r="A186" s="2">
        <v>46171</v>
      </c>
      <c r="B186" s="1" t="str">
        <f ca="1">IF(Información1[[#This Row],[Fecha]]='Ajuste de fechas'!$A$2,"Día actual","Día anterior")</f>
        <v>Día actual</v>
      </c>
      <c r="C186" s="3" t="s">
        <v>55</v>
      </c>
      <c r="D186" t="s">
        <v>60</v>
      </c>
      <c r="E186" s="3" t="s">
        <v>327</v>
      </c>
      <c r="F186" s="3" t="s">
        <v>21</v>
      </c>
      <c r="G186" s="3" t="s">
        <v>110</v>
      </c>
      <c r="H186" s="3" t="s">
        <v>11</v>
      </c>
      <c r="I186" s="3" t="s">
        <v>7</v>
      </c>
      <c r="J186" s="3" t="s">
        <v>43</v>
      </c>
      <c r="K186" s="3" t="s">
        <v>56</v>
      </c>
      <c r="L186" s="3" t="s">
        <v>44</v>
      </c>
      <c r="M186">
        <v>1</v>
      </c>
    </row>
    <row r="187" spans="1:13" x14ac:dyDescent="0.25">
      <c r="A187" s="2">
        <v>46171</v>
      </c>
      <c r="B187" s="1" t="str">
        <f ca="1">IF(Información1[[#This Row],[Fecha]]='Ajuste de fechas'!$A$2,"Día actual","Día anterior")</f>
        <v>Día actual</v>
      </c>
      <c r="C187" s="3" t="s">
        <v>55</v>
      </c>
      <c r="D187" t="s">
        <v>60</v>
      </c>
      <c r="E187" s="3" t="s">
        <v>317</v>
      </c>
      <c r="F187" s="3" t="s">
        <v>23</v>
      </c>
      <c r="G187" s="3" t="s">
        <v>99</v>
      </c>
      <c r="H187" s="3" t="s">
        <v>11</v>
      </c>
      <c r="I187" s="3" t="s">
        <v>7</v>
      </c>
      <c r="J187" s="3" t="s">
        <v>43</v>
      </c>
      <c r="K187" s="3" t="s">
        <v>54</v>
      </c>
      <c r="L187" s="3" t="s">
        <v>46</v>
      </c>
      <c r="M187">
        <v>1</v>
      </c>
    </row>
    <row r="188" spans="1:13" x14ac:dyDescent="0.25">
      <c r="A188" s="2">
        <v>46171</v>
      </c>
      <c r="B188" s="1" t="str">
        <f ca="1">IF(Información1[[#This Row],[Fecha]]='Ajuste de fechas'!$A$2,"Día actual","Día anterior")</f>
        <v>Día actual</v>
      </c>
      <c r="C188" s="3" t="s">
        <v>55</v>
      </c>
      <c r="D188" t="s">
        <v>60</v>
      </c>
      <c r="E188" s="3" t="s">
        <v>322</v>
      </c>
      <c r="F188" s="3" t="s">
        <v>26</v>
      </c>
      <c r="G188" s="3" t="s">
        <v>62</v>
      </c>
      <c r="H188" s="3" t="s">
        <v>11</v>
      </c>
      <c r="I188" s="3" t="s">
        <v>7</v>
      </c>
      <c r="J188" s="3" t="s">
        <v>43</v>
      </c>
      <c r="K188" s="3" t="s">
        <v>54</v>
      </c>
      <c r="L188" s="3" t="s">
        <v>46</v>
      </c>
      <c r="M188">
        <v>1</v>
      </c>
    </row>
    <row r="189" spans="1:13" x14ac:dyDescent="0.25">
      <c r="A189" s="2">
        <v>46171</v>
      </c>
      <c r="B189" s="1" t="str">
        <f ca="1">IF(Información1[[#This Row],[Fecha]]='Ajuste de fechas'!$A$2,"Día actual","Día anterior")</f>
        <v>Día actual</v>
      </c>
      <c r="C189" s="3" t="s">
        <v>55</v>
      </c>
      <c r="D189" t="s">
        <v>60</v>
      </c>
      <c r="E189" s="3" t="s">
        <v>323</v>
      </c>
      <c r="F189" s="3" t="s">
        <v>26</v>
      </c>
      <c r="G189" s="3" t="s">
        <v>62</v>
      </c>
      <c r="H189" s="3" t="s">
        <v>11</v>
      </c>
      <c r="I189" s="3" t="s">
        <v>7</v>
      </c>
      <c r="J189" s="3" t="s">
        <v>43</v>
      </c>
      <c r="K189" s="3" t="s">
        <v>54</v>
      </c>
      <c r="L189" s="3" t="s">
        <v>46</v>
      </c>
      <c r="M189">
        <v>1</v>
      </c>
    </row>
    <row r="190" spans="1:13" x14ac:dyDescent="0.25">
      <c r="A190" s="2">
        <v>46171</v>
      </c>
      <c r="B190" s="1" t="str">
        <f ca="1">IF(Información1[[#This Row],[Fecha]]='Ajuste de fechas'!$A$2,"Día actual","Día anterior")</f>
        <v>Día actual</v>
      </c>
      <c r="C190" s="3" t="s">
        <v>28</v>
      </c>
      <c r="D190" t="s">
        <v>31</v>
      </c>
      <c r="E190" s="3" t="s">
        <v>328</v>
      </c>
      <c r="F190" s="3" t="s">
        <v>24</v>
      </c>
      <c r="G190" s="3"/>
      <c r="H190" s="3" t="s">
        <v>11</v>
      </c>
      <c r="I190" s="3" t="s">
        <v>7</v>
      </c>
      <c r="J190" s="3" t="s">
        <v>24</v>
      </c>
      <c r="K190" s="3" t="s">
        <v>29</v>
      </c>
      <c r="L190" s="3" t="s">
        <v>44</v>
      </c>
      <c r="M190">
        <v>1</v>
      </c>
    </row>
    <row r="191" spans="1:13" x14ac:dyDescent="0.25">
      <c r="A191" s="2">
        <v>46171</v>
      </c>
      <c r="B191" s="1" t="str">
        <f ca="1">IF(Información1[[#This Row],[Fecha]]='Ajuste de fechas'!$A$2,"Día actual","Día anterior")</f>
        <v>Día actual</v>
      </c>
      <c r="C191" s="3" t="s">
        <v>28</v>
      </c>
      <c r="D191" t="s">
        <v>31</v>
      </c>
      <c r="E191" s="3" t="s">
        <v>329</v>
      </c>
      <c r="F191" s="3" t="s">
        <v>22</v>
      </c>
      <c r="G191" s="3"/>
      <c r="H191" s="3" t="s">
        <v>11</v>
      </c>
      <c r="I191" s="3" t="s">
        <v>7</v>
      </c>
      <c r="J191" s="3" t="s">
        <v>48</v>
      </c>
      <c r="K191" s="3" t="s">
        <v>29</v>
      </c>
      <c r="L191" s="3" t="s">
        <v>44</v>
      </c>
      <c r="M191">
        <v>1</v>
      </c>
    </row>
    <row r="192" spans="1:13" x14ac:dyDescent="0.25">
      <c r="A192" s="2">
        <v>46171</v>
      </c>
      <c r="B192" s="1" t="str">
        <f ca="1">IF(Información1[[#This Row],[Fecha]]='Ajuste de fechas'!$A$2,"Día actual","Día anterior")</f>
        <v>Día actual</v>
      </c>
      <c r="C192" s="3" t="s">
        <v>8</v>
      </c>
      <c r="D192" t="s">
        <v>10</v>
      </c>
      <c r="E192" s="3" t="s">
        <v>330</v>
      </c>
      <c r="F192" s="3" t="s">
        <v>6</v>
      </c>
      <c r="G192" s="3" t="s">
        <v>52</v>
      </c>
      <c r="H192" s="3" t="s">
        <v>11</v>
      </c>
      <c r="I192" s="3" t="s">
        <v>25</v>
      </c>
      <c r="J192" s="3" t="s">
        <v>43</v>
      </c>
      <c r="K192" s="3" t="s">
        <v>9</v>
      </c>
      <c r="L192" s="3" t="s">
        <v>45</v>
      </c>
      <c r="M192">
        <v>1</v>
      </c>
    </row>
    <row r="193" spans="1:13" x14ac:dyDescent="0.25">
      <c r="A193" s="2">
        <v>46171</v>
      </c>
      <c r="B193" s="1" t="str">
        <f ca="1">IF(Información1[[#This Row],[Fecha]]='Ajuste de fechas'!$A$2,"Día actual","Día anterior")</f>
        <v>Día actual</v>
      </c>
      <c r="C193" s="3" t="s">
        <v>28</v>
      </c>
      <c r="D193" t="s">
        <v>31</v>
      </c>
      <c r="E193" s="3" t="s">
        <v>331</v>
      </c>
      <c r="F193" s="3" t="s">
        <v>53</v>
      </c>
      <c r="G193" s="3" t="s">
        <v>113</v>
      </c>
      <c r="H193" s="3" t="s">
        <v>11</v>
      </c>
      <c r="I193" s="3" t="s">
        <v>7</v>
      </c>
      <c r="J193" s="3" t="s">
        <v>43</v>
      </c>
      <c r="K193" s="3" t="s">
        <v>29</v>
      </c>
      <c r="L193" s="3" t="s">
        <v>44</v>
      </c>
      <c r="M193">
        <v>1</v>
      </c>
    </row>
    <row r="194" spans="1:13" x14ac:dyDescent="0.25">
      <c r="A194" s="2">
        <v>46171</v>
      </c>
      <c r="B194" s="1" t="str">
        <f ca="1">IF(Información1[[#This Row],[Fecha]]='Ajuste de fechas'!$A$2,"Día actual","Día anterior")</f>
        <v>Día actual</v>
      </c>
      <c r="C194" s="3" t="s">
        <v>8</v>
      </c>
      <c r="D194" t="s">
        <v>10</v>
      </c>
      <c r="E194" s="3" t="s">
        <v>262</v>
      </c>
      <c r="F194" s="3" t="s">
        <v>53</v>
      </c>
      <c r="G194" s="3" t="s">
        <v>113</v>
      </c>
      <c r="H194" s="3" t="s">
        <v>11</v>
      </c>
      <c r="I194" s="3" t="s">
        <v>7</v>
      </c>
      <c r="J194" s="3" t="s">
        <v>43</v>
      </c>
      <c r="K194" s="3" t="s">
        <v>14</v>
      </c>
      <c r="L194" s="3" t="s">
        <v>46</v>
      </c>
      <c r="M194">
        <v>1</v>
      </c>
    </row>
    <row r="195" spans="1:13" x14ac:dyDescent="0.25">
      <c r="A195" s="2">
        <v>46171</v>
      </c>
      <c r="B195" s="1" t="str">
        <f ca="1">IF(Información1[[#This Row],[Fecha]]='Ajuste de fechas'!$A$2,"Día actual","Día anterior")</f>
        <v>Día actual</v>
      </c>
      <c r="C195" s="3" t="s">
        <v>28</v>
      </c>
      <c r="D195" t="s">
        <v>31</v>
      </c>
      <c r="E195" s="3" t="s">
        <v>332</v>
      </c>
      <c r="F195" s="3" t="s">
        <v>19</v>
      </c>
      <c r="G195" s="3" t="s">
        <v>264</v>
      </c>
      <c r="H195" s="3" t="s">
        <v>11</v>
      </c>
      <c r="I195" s="3" t="s">
        <v>7</v>
      </c>
      <c r="J195" s="3" t="s">
        <v>47</v>
      </c>
      <c r="K195" s="3" t="s">
        <v>29</v>
      </c>
      <c r="L195" s="3" t="s">
        <v>44</v>
      </c>
      <c r="M195">
        <v>1</v>
      </c>
    </row>
    <row r="196" spans="1:13" x14ac:dyDescent="0.25">
      <c r="A196" s="2">
        <v>46171</v>
      </c>
      <c r="B196" s="1" t="str">
        <f ca="1">IF(Información1[[#This Row],[Fecha]]='Ajuste de fechas'!$A$2,"Día actual","Día anterior")</f>
        <v>Día actual</v>
      </c>
      <c r="C196" s="3" t="s">
        <v>8</v>
      </c>
      <c r="D196" t="s">
        <v>10</v>
      </c>
      <c r="E196" s="3" t="s">
        <v>333</v>
      </c>
      <c r="F196" s="3" t="s">
        <v>6</v>
      </c>
      <c r="G196" s="3" t="s">
        <v>35</v>
      </c>
      <c r="H196" s="3" t="s">
        <v>11</v>
      </c>
      <c r="I196" s="3" t="s">
        <v>7</v>
      </c>
      <c r="J196" s="3" t="s">
        <v>43</v>
      </c>
      <c r="K196" s="3" t="s">
        <v>9</v>
      </c>
      <c r="L196" s="3" t="s">
        <v>45</v>
      </c>
      <c r="M196">
        <v>1</v>
      </c>
    </row>
    <row r="197" spans="1:13" x14ac:dyDescent="0.25">
      <c r="A197" s="2">
        <v>46171</v>
      </c>
      <c r="B197" s="1" t="str">
        <f ca="1">IF(Información1[[#This Row],[Fecha]]='Ajuste de fechas'!$A$2,"Día actual","Día anterior")</f>
        <v>Día actual</v>
      </c>
      <c r="C197" s="3" t="s">
        <v>8</v>
      </c>
      <c r="D197" t="s">
        <v>10</v>
      </c>
      <c r="E197" s="3" t="s">
        <v>20</v>
      </c>
      <c r="F197" s="3" t="s">
        <v>19</v>
      </c>
      <c r="G197" s="3" t="s">
        <v>35</v>
      </c>
      <c r="H197" s="3" t="s">
        <v>11</v>
      </c>
      <c r="I197" s="3" t="s">
        <v>12</v>
      </c>
      <c r="J197" s="3" t="s">
        <v>47</v>
      </c>
      <c r="K197" s="3" t="s">
        <v>14</v>
      </c>
      <c r="L197" s="3" t="s">
        <v>45</v>
      </c>
      <c r="M197">
        <v>1</v>
      </c>
    </row>
    <row r="198" spans="1:13" x14ac:dyDescent="0.25">
      <c r="A198" s="2">
        <v>46171</v>
      </c>
      <c r="B198" s="1" t="str">
        <f ca="1">IF(Información1[[#This Row],[Fecha]]='Ajuste de fechas'!$A$2,"Día actual","Día anterior")</f>
        <v>Día actual</v>
      </c>
      <c r="C198" s="3" t="s">
        <v>8</v>
      </c>
      <c r="D198" t="s">
        <v>10</v>
      </c>
      <c r="E198" s="3" t="s">
        <v>18</v>
      </c>
      <c r="F198" s="3" t="s">
        <v>19</v>
      </c>
      <c r="G198" s="3" t="s">
        <v>35</v>
      </c>
      <c r="H198" s="3" t="s">
        <v>11</v>
      </c>
      <c r="I198" s="3" t="s">
        <v>12</v>
      </c>
      <c r="J198" s="3" t="s">
        <v>47</v>
      </c>
      <c r="K198" s="3" t="s">
        <v>14</v>
      </c>
      <c r="L198" s="3" t="s">
        <v>45</v>
      </c>
      <c r="M198">
        <v>1</v>
      </c>
    </row>
    <row r="199" spans="1:13" x14ac:dyDescent="0.25">
      <c r="A199" s="2">
        <v>46171</v>
      </c>
      <c r="B199" s="1" t="str">
        <f ca="1">IF(Información1[[#This Row],[Fecha]]='Ajuste de fechas'!$A$2,"Día actual","Día anterior")</f>
        <v>Día actual</v>
      </c>
      <c r="C199" s="3" t="s">
        <v>8</v>
      </c>
      <c r="D199" t="s">
        <v>10</v>
      </c>
      <c r="E199" s="3" t="s">
        <v>92</v>
      </c>
      <c r="F199" s="3" t="s">
        <v>67</v>
      </c>
      <c r="G199" s="3" t="s">
        <v>35</v>
      </c>
      <c r="H199" s="3" t="s">
        <v>11</v>
      </c>
      <c r="I199" s="3" t="s">
        <v>12</v>
      </c>
      <c r="J199" s="3" t="s">
        <v>24</v>
      </c>
      <c r="K199" s="3" t="s">
        <v>14</v>
      </c>
      <c r="L199" s="3" t="s">
        <v>45</v>
      </c>
      <c r="M199">
        <v>1</v>
      </c>
    </row>
    <row r="200" spans="1:13" x14ac:dyDescent="0.25">
      <c r="A200" s="2">
        <v>46171</v>
      </c>
      <c r="B200" s="1" t="str">
        <f ca="1">IF(Información1[[#This Row],[Fecha]]='Ajuste de fechas'!$A$2,"Día actual","Día anterior")</f>
        <v>Día actual</v>
      </c>
      <c r="C200" s="3" t="s">
        <v>8</v>
      </c>
      <c r="D200" t="s">
        <v>10</v>
      </c>
      <c r="E200" s="3" t="s">
        <v>64</v>
      </c>
      <c r="F200" s="3" t="s">
        <v>21</v>
      </c>
      <c r="G200" s="3" t="s">
        <v>35</v>
      </c>
      <c r="H200" s="3" t="s">
        <v>11</v>
      </c>
      <c r="I200" s="3" t="s">
        <v>12</v>
      </c>
      <c r="J200" s="3" t="s">
        <v>43</v>
      </c>
      <c r="K200" s="3" t="s">
        <v>14</v>
      </c>
      <c r="L200" s="3" t="s">
        <v>45</v>
      </c>
      <c r="M200">
        <v>1</v>
      </c>
    </row>
    <row r="201" spans="1:13" x14ac:dyDescent="0.25">
      <c r="A201" s="2">
        <v>46171</v>
      </c>
      <c r="B201" s="1" t="str">
        <f ca="1">IF(Información1[[#This Row],[Fecha]]='Ajuste de fechas'!$A$2,"Día actual","Día anterior")</f>
        <v>Día actual</v>
      </c>
      <c r="C201" s="3" t="s">
        <v>8</v>
      </c>
      <c r="D201" t="s">
        <v>10</v>
      </c>
      <c r="E201" s="3" t="s">
        <v>13</v>
      </c>
      <c r="F201" s="3" t="s">
        <v>15</v>
      </c>
      <c r="G201" s="3" t="s">
        <v>35</v>
      </c>
      <c r="H201" s="3" t="s">
        <v>11</v>
      </c>
      <c r="I201" s="3" t="s">
        <v>12</v>
      </c>
      <c r="J201" s="3" t="s">
        <v>43</v>
      </c>
      <c r="K201" s="3" t="s">
        <v>14</v>
      </c>
      <c r="L201" s="3" t="s">
        <v>45</v>
      </c>
      <c r="M201">
        <v>1</v>
      </c>
    </row>
    <row r="202" spans="1:13" x14ac:dyDescent="0.25">
      <c r="A202" s="2">
        <v>46171</v>
      </c>
      <c r="B202" s="1" t="str">
        <f ca="1">IF(Información1[[#This Row],[Fecha]]='Ajuste de fechas'!$A$2,"Día actual","Día anterior")</f>
        <v>Día actual</v>
      </c>
      <c r="C202" s="3" t="s">
        <v>8</v>
      </c>
      <c r="D202" t="s">
        <v>10</v>
      </c>
      <c r="E202" s="3" t="s">
        <v>16</v>
      </c>
      <c r="F202" s="3" t="s">
        <v>17</v>
      </c>
      <c r="G202" s="3" t="s">
        <v>35</v>
      </c>
      <c r="H202" s="3" t="s">
        <v>11</v>
      </c>
      <c r="I202" s="3" t="s">
        <v>12</v>
      </c>
      <c r="J202" s="3" t="s">
        <v>43</v>
      </c>
      <c r="K202" s="3" t="s">
        <v>14</v>
      </c>
      <c r="L202" s="3" t="s">
        <v>45</v>
      </c>
      <c r="M202">
        <v>1</v>
      </c>
    </row>
    <row r="203" spans="1:13" x14ac:dyDescent="0.25">
      <c r="A203" s="2">
        <v>46171</v>
      </c>
      <c r="B203" s="1" t="str">
        <f ca="1">IF(Información1[[#This Row],[Fecha]]='Ajuste de fechas'!$A$2,"Día actual","Día anterior")</f>
        <v>Día actual</v>
      </c>
      <c r="C203" s="3" t="s">
        <v>8</v>
      </c>
      <c r="D203" t="s">
        <v>10</v>
      </c>
      <c r="E203" s="3" t="s">
        <v>65</v>
      </c>
      <c r="F203" s="3" t="s">
        <v>6</v>
      </c>
      <c r="G203" s="3" t="s">
        <v>35</v>
      </c>
      <c r="H203" s="3" t="s">
        <v>11</v>
      </c>
      <c r="I203" s="3" t="s">
        <v>12</v>
      </c>
      <c r="J203" s="3" t="s">
        <v>43</v>
      </c>
      <c r="K203" s="3" t="s">
        <v>14</v>
      </c>
      <c r="L203" s="3" t="s">
        <v>45</v>
      </c>
      <c r="M203">
        <v>1</v>
      </c>
    </row>
    <row r="204" spans="1:13" x14ac:dyDescent="0.25">
      <c r="A204" s="2">
        <v>46171</v>
      </c>
      <c r="B204" s="1" t="str">
        <f ca="1">IF(Información1[[#This Row],[Fecha]]='Ajuste de fechas'!$A$2,"Día actual","Día anterior")</f>
        <v>Día actual</v>
      </c>
      <c r="C204" s="3" t="s">
        <v>28</v>
      </c>
      <c r="D204" t="s">
        <v>31</v>
      </c>
      <c r="E204" s="3" t="s">
        <v>334</v>
      </c>
      <c r="F204" s="3" t="s">
        <v>23</v>
      </c>
      <c r="G204" s="3" t="s">
        <v>99</v>
      </c>
      <c r="H204" s="3" t="s">
        <v>11</v>
      </c>
      <c r="I204" s="3" t="s">
        <v>7</v>
      </c>
      <c r="J204" s="3" t="s">
        <v>43</v>
      </c>
      <c r="K204" s="3" t="s">
        <v>29</v>
      </c>
      <c r="L204" s="3" t="s">
        <v>44</v>
      </c>
      <c r="M204">
        <v>1</v>
      </c>
    </row>
    <row r="205" spans="1:13" x14ac:dyDescent="0.25">
      <c r="A205" s="2">
        <v>46171</v>
      </c>
      <c r="B205" s="1" t="str">
        <f ca="1">IF(Información1[[#This Row],[Fecha]]='Ajuste de fechas'!$A$2,"Día actual","Día anterior")</f>
        <v>Día actual</v>
      </c>
      <c r="C205" s="3" t="s">
        <v>8</v>
      </c>
      <c r="D205" t="s">
        <v>10</v>
      </c>
      <c r="E205" s="3" t="s">
        <v>317</v>
      </c>
      <c r="F205" s="3" t="s">
        <v>23</v>
      </c>
      <c r="G205" s="3" t="s">
        <v>99</v>
      </c>
      <c r="H205" s="3" t="s">
        <v>11</v>
      </c>
      <c r="I205" s="3" t="s">
        <v>7</v>
      </c>
      <c r="J205" s="3" t="s">
        <v>43</v>
      </c>
      <c r="K205" s="3" t="s">
        <v>14</v>
      </c>
      <c r="L205" s="3" t="s">
        <v>46</v>
      </c>
      <c r="M205">
        <v>1</v>
      </c>
    </row>
    <row r="206" spans="1:13" x14ac:dyDescent="0.25">
      <c r="A206" s="2">
        <v>46171</v>
      </c>
      <c r="B206" s="1" t="str">
        <f ca="1">IF(Información1[[#This Row],[Fecha]]='Ajuste de fechas'!$A$2,"Día actual","Día anterior")</f>
        <v>Día actual</v>
      </c>
      <c r="C206" s="3" t="s">
        <v>28</v>
      </c>
      <c r="D206" t="s">
        <v>31</v>
      </c>
      <c r="E206" s="3" t="s">
        <v>335</v>
      </c>
      <c r="F206" s="3" t="s">
        <v>336</v>
      </c>
      <c r="G206" s="3" t="s">
        <v>337</v>
      </c>
      <c r="H206" s="3" t="s">
        <v>11</v>
      </c>
      <c r="I206" s="3" t="s">
        <v>25</v>
      </c>
      <c r="J206" s="3" t="s">
        <v>43</v>
      </c>
      <c r="K206" s="3" t="s">
        <v>29</v>
      </c>
      <c r="L206" s="3" t="s">
        <v>44</v>
      </c>
      <c r="M206">
        <v>1</v>
      </c>
    </row>
    <row r="207" spans="1:13" x14ac:dyDescent="0.25">
      <c r="A207" s="2">
        <v>46171</v>
      </c>
      <c r="B207" s="1" t="str">
        <f ca="1">IF(Información1[[#This Row],[Fecha]]='Ajuste de fechas'!$A$2,"Día actual","Día anterior")</f>
        <v>Día actual</v>
      </c>
      <c r="C207" s="3" t="s">
        <v>8</v>
      </c>
      <c r="D207" t="s">
        <v>10</v>
      </c>
      <c r="E207" s="3" t="s">
        <v>338</v>
      </c>
      <c r="F207" s="3" t="s">
        <v>6</v>
      </c>
      <c r="G207" s="3" t="s">
        <v>339</v>
      </c>
      <c r="H207" s="3" t="s">
        <v>11</v>
      </c>
      <c r="I207" s="3" t="s">
        <v>25</v>
      </c>
      <c r="J207" s="3" t="s">
        <v>43</v>
      </c>
      <c r="K207" s="3" t="s">
        <v>9</v>
      </c>
      <c r="L207" s="3" t="s">
        <v>45</v>
      </c>
      <c r="M207">
        <v>1</v>
      </c>
    </row>
    <row r="208" spans="1:13" x14ac:dyDescent="0.25">
      <c r="A208" s="2">
        <v>46171</v>
      </c>
      <c r="B208" s="1" t="str">
        <f ca="1">IF(Información1[[#This Row],[Fecha]]='Ajuste de fechas'!$A$2,"Día actual","Día anterior")</f>
        <v>Día actual</v>
      </c>
      <c r="C208" s="3" t="s">
        <v>28</v>
      </c>
      <c r="D208" t="s">
        <v>31</v>
      </c>
      <c r="E208" s="3" t="s">
        <v>340</v>
      </c>
      <c r="F208" s="3" t="s">
        <v>53</v>
      </c>
      <c r="G208" s="3" t="s">
        <v>208</v>
      </c>
      <c r="H208" s="3" t="s">
        <v>11</v>
      </c>
      <c r="I208" s="3" t="s">
        <v>7</v>
      </c>
      <c r="J208" s="3" t="s">
        <v>43</v>
      </c>
      <c r="K208" s="3" t="s">
        <v>29</v>
      </c>
      <c r="L208" s="3" t="s">
        <v>44</v>
      </c>
      <c r="M208">
        <v>1</v>
      </c>
    </row>
    <row r="209" spans="1:13" x14ac:dyDescent="0.25">
      <c r="A209" s="2">
        <v>46171</v>
      </c>
      <c r="B209" s="1" t="str">
        <f ca="1">IF(Información1[[#This Row],[Fecha]]='Ajuste de fechas'!$A$2,"Día actual","Día anterior")</f>
        <v>Día actual</v>
      </c>
      <c r="C209" s="3" t="s">
        <v>28</v>
      </c>
      <c r="D209" t="s">
        <v>31</v>
      </c>
      <c r="E209" s="3" t="s">
        <v>341</v>
      </c>
      <c r="F209" s="3" t="s">
        <v>19</v>
      </c>
      <c r="G209" s="3" t="s">
        <v>91</v>
      </c>
      <c r="H209" s="3" t="s">
        <v>11</v>
      </c>
      <c r="I209" s="3" t="s">
        <v>7</v>
      </c>
      <c r="J209" s="3" t="s">
        <v>47</v>
      </c>
      <c r="K209" s="3" t="s">
        <v>29</v>
      </c>
      <c r="L209" s="3" t="s">
        <v>44</v>
      </c>
      <c r="M209">
        <v>1</v>
      </c>
    </row>
    <row r="210" spans="1:13" x14ac:dyDescent="0.25">
      <c r="A210" s="2">
        <v>46170</v>
      </c>
      <c r="B210" s="1" t="str">
        <f ca="1">IF(Información1[[#This Row],[Fecha]]='Ajuste de fechas'!$A$2,"Día actual","Día anterior")</f>
        <v>Día anterior</v>
      </c>
      <c r="C210" s="3" t="s">
        <v>95</v>
      </c>
      <c r="D210" t="s">
        <v>167</v>
      </c>
      <c r="E210" s="3" t="s">
        <v>305</v>
      </c>
      <c r="F210" s="3" t="s">
        <v>306</v>
      </c>
      <c r="G210" s="3" t="s">
        <v>307</v>
      </c>
      <c r="H210" s="3" t="s">
        <v>11</v>
      </c>
      <c r="I210" s="3" t="s">
        <v>7</v>
      </c>
      <c r="J210" s="3" t="s">
        <v>43</v>
      </c>
      <c r="K210" s="3" t="s">
        <v>168</v>
      </c>
      <c r="L210" s="3" t="s">
        <v>46</v>
      </c>
      <c r="M210">
        <v>1</v>
      </c>
    </row>
    <row r="211" spans="1:13" x14ac:dyDescent="0.25">
      <c r="A211" s="2">
        <v>46171</v>
      </c>
      <c r="B211" s="1" t="str">
        <f ca="1">IF(Información1[[#This Row],[Fecha]]='Ajuste de fechas'!$A$2,"Día actual","Día anterior")</f>
        <v>Día actual</v>
      </c>
      <c r="C211" s="3" t="s">
        <v>8</v>
      </c>
      <c r="D211" t="s">
        <v>10</v>
      </c>
      <c r="E211" s="3" t="s">
        <v>342</v>
      </c>
      <c r="F211" s="3" t="s">
        <v>19</v>
      </c>
      <c r="G211" s="3" t="s">
        <v>343</v>
      </c>
      <c r="H211" s="3" t="s">
        <v>11</v>
      </c>
      <c r="I211" s="3" t="s">
        <v>25</v>
      </c>
      <c r="J211" s="3" t="s">
        <v>47</v>
      </c>
      <c r="K211" s="3" t="s">
        <v>9</v>
      </c>
      <c r="L211" s="3" t="s">
        <v>45</v>
      </c>
      <c r="M211">
        <v>1</v>
      </c>
    </row>
    <row r="212" spans="1:13" x14ac:dyDescent="0.25">
      <c r="A212" s="2">
        <v>46171</v>
      </c>
      <c r="B212" s="1" t="str">
        <f ca="1">IF(Información1[[#This Row],[Fecha]]='Ajuste de fechas'!$A$2,"Día actual","Día anterior")</f>
        <v>Día actual</v>
      </c>
      <c r="C212" s="3" t="s">
        <v>28</v>
      </c>
      <c r="D212" t="s">
        <v>31</v>
      </c>
      <c r="E212" s="3" t="s">
        <v>344</v>
      </c>
      <c r="F212" s="3" t="s">
        <v>19</v>
      </c>
      <c r="G212" s="3" t="s">
        <v>345</v>
      </c>
      <c r="H212" s="3" t="s">
        <v>11</v>
      </c>
      <c r="I212" s="3" t="s">
        <v>25</v>
      </c>
      <c r="J212" s="3" t="s">
        <v>47</v>
      </c>
      <c r="K212" s="3" t="s">
        <v>29</v>
      </c>
      <c r="L212" s="3" t="s">
        <v>44</v>
      </c>
      <c r="M212">
        <v>1</v>
      </c>
    </row>
    <row r="213" spans="1:13" x14ac:dyDescent="0.25">
      <c r="A213" s="2">
        <v>46171</v>
      </c>
      <c r="B213" s="1" t="str">
        <f ca="1">IF(Información1[[#This Row],[Fecha]]='Ajuste de fechas'!$A$2,"Día actual","Día anterior")</f>
        <v>Día actual</v>
      </c>
      <c r="C213" s="3" t="s">
        <v>8</v>
      </c>
      <c r="D213" t="s">
        <v>10</v>
      </c>
      <c r="E213" s="3" t="s">
        <v>346</v>
      </c>
      <c r="F213" s="3" t="s">
        <v>6</v>
      </c>
      <c r="G213" s="3" t="s">
        <v>79</v>
      </c>
      <c r="H213" s="3" t="s">
        <v>11</v>
      </c>
      <c r="I213" s="3" t="s">
        <v>25</v>
      </c>
      <c r="J213" s="3" t="s">
        <v>43</v>
      </c>
      <c r="K213" s="3" t="s">
        <v>9</v>
      </c>
      <c r="L213" s="3" t="s">
        <v>45</v>
      </c>
      <c r="M213">
        <v>1</v>
      </c>
    </row>
    <row r="214" spans="1:13" x14ac:dyDescent="0.25">
      <c r="A214" s="2">
        <v>46171</v>
      </c>
      <c r="B214" s="1" t="str">
        <f ca="1">IF(Información1[[#This Row],[Fecha]]='Ajuste de fechas'!$A$2,"Día actual","Día anterior")</f>
        <v>Día actual</v>
      </c>
      <c r="C214" s="3" t="s">
        <v>8</v>
      </c>
      <c r="D214" t="s">
        <v>10</v>
      </c>
      <c r="E214" s="3" t="s">
        <v>347</v>
      </c>
      <c r="F214" s="3" t="s">
        <v>6</v>
      </c>
      <c r="G214" s="3" t="s">
        <v>79</v>
      </c>
      <c r="H214" s="3" t="s">
        <v>11</v>
      </c>
      <c r="I214" s="3" t="s">
        <v>25</v>
      </c>
      <c r="J214" s="3" t="s">
        <v>43</v>
      </c>
      <c r="K214" s="3" t="s">
        <v>9</v>
      </c>
      <c r="L214" s="3" t="s">
        <v>45</v>
      </c>
      <c r="M214">
        <v>1</v>
      </c>
    </row>
    <row r="215" spans="1:13" x14ac:dyDescent="0.25">
      <c r="A215" s="2">
        <v>46171</v>
      </c>
      <c r="B215" s="1" t="str">
        <f ca="1">IF(Información1[[#This Row],[Fecha]]='Ajuste de fechas'!$A$2,"Día actual","Día anterior")</f>
        <v>Día actual</v>
      </c>
      <c r="C215" s="3" t="s">
        <v>28</v>
      </c>
      <c r="D215" t="s">
        <v>31</v>
      </c>
      <c r="E215" s="3" t="s">
        <v>348</v>
      </c>
      <c r="F215" s="3" t="s">
        <v>75</v>
      </c>
      <c r="G215" s="3" t="s">
        <v>102</v>
      </c>
      <c r="H215" s="3" t="s">
        <v>11</v>
      </c>
      <c r="I215" s="3" t="s">
        <v>7</v>
      </c>
      <c r="J215" s="3" t="s">
        <v>43</v>
      </c>
      <c r="K215" s="3" t="s">
        <v>29</v>
      </c>
      <c r="L215" s="3" t="s">
        <v>44</v>
      </c>
      <c r="M215">
        <v>1</v>
      </c>
    </row>
    <row r="216" spans="1:13" x14ac:dyDescent="0.25">
      <c r="A216" s="2">
        <v>46171</v>
      </c>
      <c r="B216" s="1" t="str">
        <f ca="1">IF(Información1[[#This Row],[Fecha]]='Ajuste de fechas'!$A$2,"Día actual","Día anterior")</f>
        <v>Día actual</v>
      </c>
      <c r="C216" s="3" t="s">
        <v>8</v>
      </c>
      <c r="D216" t="s">
        <v>10</v>
      </c>
      <c r="E216" s="3" t="s">
        <v>349</v>
      </c>
      <c r="F216" s="3" t="s">
        <v>6</v>
      </c>
      <c r="G216" s="3" t="s">
        <v>93</v>
      </c>
      <c r="H216" s="3" t="s">
        <v>11</v>
      </c>
      <c r="I216" s="3" t="s">
        <v>25</v>
      </c>
      <c r="J216" s="3" t="s">
        <v>43</v>
      </c>
      <c r="K216" s="3" t="s">
        <v>14</v>
      </c>
      <c r="L216" s="3" t="s">
        <v>45</v>
      </c>
      <c r="M216">
        <v>1</v>
      </c>
    </row>
    <row r="217" spans="1:13" x14ac:dyDescent="0.25">
      <c r="A217" s="2">
        <v>46171</v>
      </c>
      <c r="B217" s="1" t="str">
        <f ca="1">IF(Información1[[#This Row],[Fecha]]='Ajuste de fechas'!$A$2,"Día actual","Día anterior")</f>
        <v>Día actual</v>
      </c>
      <c r="C217" s="3" t="s">
        <v>28</v>
      </c>
      <c r="D217" t="s">
        <v>30</v>
      </c>
      <c r="E217" s="3" t="s">
        <v>350</v>
      </c>
      <c r="F217" s="3" t="s">
        <v>19</v>
      </c>
      <c r="G217" s="3" t="s">
        <v>351</v>
      </c>
      <c r="H217" s="3" t="s">
        <v>11</v>
      </c>
      <c r="I217" s="3" t="s">
        <v>25</v>
      </c>
      <c r="J217" s="3" t="s">
        <v>47</v>
      </c>
      <c r="K217" s="3" t="s">
        <v>36</v>
      </c>
      <c r="L217" s="3" t="s">
        <v>44</v>
      </c>
      <c r="M217">
        <v>1</v>
      </c>
    </row>
    <row r="218" spans="1:13" x14ac:dyDescent="0.25">
      <c r="A218" s="2">
        <v>46171</v>
      </c>
      <c r="B218" s="1" t="str">
        <f ca="1">IF(Información1[[#This Row],[Fecha]]='Ajuste de fechas'!$A$2,"Día actual","Día anterior")</f>
        <v>Día actual</v>
      </c>
      <c r="C218" s="3" t="s">
        <v>28</v>
      </c>
      <c r="D218" t="s">
        <v>31</v>
      </c>
      <c r="E218" s="3" t="s">
        <v>352</v>
      </c>
      <c r="F218" s="3" t="s">
        <v>19</v>
      </c>
      <c r="G218" s="3" t="s">
        <v>351</v>
      </c>
      <c r="H218" s="3" t="s">
        <v>11</v>
      </c>
      <c r="I218" s="3" t="s">
        <v>25</v>
      </c>
      <c r="J218" s="3" t="s">
        <v>47</v>
      </c>
      <c r="K218" s="3" t="s">
        <v>29</v>
      </c>
      <c r="L218" s="3" t="s">
        <v>44</v>
      </c>
      <c r="M218">
        <v>1</v>
      </c>
    </row>
    <row r="219" spans="1:13" x14ac:dyDescent="0.25">
      <c r="A219" s="2">
        <v>46171</v>
      </c>
      <c r="B219" s="1" t="str">
        <f ca="1">IF(Información1[[#This Row],[Fecha]]='Ajuste de fechas'!$A$2,"Día actual","Día anterior")</f>
        <v>Día actual</v>
      </c>
      <c r="C219" s="3" t="s">
        <v>28</v>
      </c>
      <c r="D219" t="s">
        <v>31</v>
      </c>
      <c r="E219" s="3" t="s">
        <v>353</v>
      </c>
      <c r="F219" s="3" t="s">
        <v>26</v>
      </c>
      <c r="G219" s="3" t="s">
        <v>354</v>
      </c>
      <c r="H219" s="3" t="s">
        <v>11</v>
      </c>
      <c r="I219" s="3" t="s">
        <v>7</v>
      </c>
      <c r="J219" s="3" t="s">
        <v>43</v>
      </c>
      <c r="K219" s="3" t="s">
        <v>29</v>
      </c>
      <c r="L219" s="3" t="s">
        <v>44</v>
      </c>
      <c r="M219">
        <v>1</v>
      </c>
    </row>
    <row r="220" spans="1:13" x14ac:dyDescent="0.25">
      <c r="A220" s="2">
        <v>46171</v>
      </c>
      <c r="B220" s="1" t="str">
        <f ca="1">IF(Información1[[#This Row],[Fecha]]='Ajuste de fechas'!$A$2,"Día actual","Día anterior")</f>
        <v>Día actual</v>
      </c>
      <c r="C220" s="3" t="s">
        <v>28</v>
      </c>
      <c r="D220" t="s">
        <v>31</v>
      </c>
      <c r="E220" s="3" t="s">
        <v>355</v>
      </c>
      <c r="F220" s="3" t="s">
        <v>24</v>
      </c>
      <c r="G220" s="3" t="s">
        <v>61</v>
      </c>
      <c r="H220" s="3" t="s">
        <v>11</v>
      </c>
      <c r="I220" s="3" t="s">
        <v>7</v>
      </c>
      <c r="J220" s="3" t="s">
        <v>24</v>
      </c>
      <c r="K220" s="3" t="s">
        <v>29</v>
      </c>
      <c r="L220" s="3" t="s">
        <v>44</v>
      </c>
      <c r="M220">
        <v>1</v>
      </c>
    </row>
    <row r="221" spans="1:13" x14ac:dyDescent="0.25">
      <c r="A221" s="2">
        <v>46171</v>
      </c>
      <c r="B221" s="1" t="str">
        <f ca="1">IF(Información1[[#This Row],[Fecha]]='Ajuste de fechas'!$A$2,"Día actual","Día anterior")</f>
        <v>Día actual</v>
      </c>
      <c r="C221" s="3" t="s">
        <v>8</v>
      </c>
      <c r="D221" t="s">
        <v>10</v>
      </c>
      <c r="E221" s="3" t="s">
        <v>356</v>
      </c>
      <c r="F221" s="3" t="s">
        <v>336</v>
      </c>
      <c r="G221" s="3" t="s">
        <v>357</v>
      </c>
      <c r="H221" s="3" t="s">
        <v>11</v>
      </c>
      <c r="I221" s="3" t="s">
        <v>25</v>
      </c>
      <c r="J221" s="3" t="s">
        <v>43</v>
      </c>
      <c r="K221" s="3" t="s">
        <v>9</v>
      </c>
      <c r="L221" s="3" t="s">
        <v>45</v>
      </c>
      <c r="M221">
        <v>1</v>
      </c>
    </row>
    <row r="222" spans="1:13" x14ac:dyDescent="0.25">
      <c r="A222" s="2">
        <v>46171</v>
      </c>
      <c r="B222" s="1" t="str">
        <f ca="1">IF(Información1[[#This Row],[Fecha]]='Ajuste de fechas'!$A$2,"Día actual","Día anterior")</f>
        <v>Día actual</v>
      </c>
      <c r="C222" s="3" t="s">
        <v>28</v>
      </c>
      <c r="D222" t="s">
        <v>30</v>
      </c>
      <c r="E222" s="3" t="s">
        <v>358</v>
      </c>
      <c r="F222" s="3" t="s">
        <v>19</v>
      </c>
      <c r="G222" s="3" t="s">
        <v>217</v>
      </c>
      <c r="H222" s="3" t="s">
        <v>11</v>
      </c>
      <c r="I222" s="3" t="s">
        <v>7</v>
      </c>
      <c r="J222" s="3" t="s">
        <v>47</v>
      </c>
      <c r="K222" s="3" t="s">
        <v>36</v>
      </c>
      <c r="L222" s="3" t="s">
        <v>44</v>
      </c>
      <c r="M222">
        <v>1</v>
      </c>
    </row>
    <row r="223" spans="1:13" x14ac:dyDescent="0.25">
      <c r="A223" s="2">
        <v>46171</v>
      </c>
      <c r="B223" s="1" t="str">
        <f ca="1">IF(Información1[[#This Row],[Fecha]]='Ajuste de fechas'!$A$2,"Día actual","Día anterior")</f>
        <v>Día actual</v>
      </c>
      <c r="C223" s="3" t="s">
        <v>28</v>
      </c>
      <c r="D223" t="s">
        <v>31</v>
      </c>
      <c r="E223" s="3" t="s">
        <v>359</v>
      </c>
      <c r="F223" s="3" t="s">
        <v>19</v>
      </c>
      <c r="G223" s="3" t="s">
        <v>360</v>
      </c>
      <c r="H223" s="3" t="s">
        <v>11</v>
      </c>
      <c r="I223" s="3" t="s">
        <v>7</v>
      </c>
      <c r="J223" s="3" t="s">
        <v>47</v>
      </c>
      <c r="K223" s="3" t="s">
        <v>29</v>
      </c>
      <c r="L223" s="3" t="s">
        <v>44</v>
      </c>
      <c r="M223">
        <v>1</v>
      </c>
    </row>
    <row r="224" spans="1:13" x14ac:dyDescent="0.25">
      <c r="A224" s="2">
        <v>46171</v>
      </c>
      <c r="B224" s="1" t="str">
        <f ca="1">IF(Información1[[#This Row],[Fecha]]='Ajuste de fechas'!$A$2,"Día actual","Día anterior")</f>
        <v>Día actual</v>
      </c>
      <c r="C224" s="3" t="s">
        <v>8</v>
      </c>
      <c r="D224" t="s">
        <v>10</v>
      </c>
      <c r="E224" s="3" t="s">
        <v>361</v>
      </c>
      <c r="F224" s="3" t="s">
        <v>22</v>
      </c>
      <c r="G224" s="3" t="s">
        <v>362</v>
      </c>
      <c r="H224" s="3" t="s">
        <v>11</v>
      </c>
      <c r="I224" s="3" t="s">
        <v>7</v>
      </c>
      <c r="J224" s="3" t="s">
        <v>48</v>
      </c>
      <c r="K224" s="3" t="s">
        <v>14</v>
      </c>
      <c r="L224" s="3" t="s">
        <v>44</v>
      </c>
      <c r="M224">
        <v>1</v>
      </c>
    </row>
    <row r="225" spans="1:13" x14ac:dyDescent="0.25">
      <c r="A225" s="2">
        <v>46171</v>
      </c>
      <c r="B225" s="1" t="str">
        <f ca="1">IF(Información1[[#This Row],[Fecha]]='Ajuste de fechas'!$A$2,"Día actual","Día anterior")</f>
        <v>Día actual</v>
      </c>
      <c r="C225" s="3" t="s">
        <v>95</v>
      </c>
      <c r="D225" t="s">
        <v>77</v>
      </c>
      <c r="E225" s="3" t="s">
        <v>363</v>
      </c>
      <c r="F225" s="3" t="s">
        <v>66</v>
      </c>
      <c r="G225" s="3" t="s">
        <v>364</v>
      </c>
      <c r="H225" s="3" t="s">
        <v>11</v>
      </c>
      <c r="I225" s="3" t="s">
        <v>7</v>
      </c>
      <c r="J225" s="3" t="s">
        <v>43</v>
      </c>
      <c r="K225" s="3" t="s">
        <v>78</v>
      </c>
      <c r="L225" s="3" t="s">
        <v>46</v>
      </c>
      <c r="M225">
        <v>1</v>
      </c>
    </row>
    <row r="226" spans="1:13" x14ac:dyDescent="0.25">
      <c r="A226" s="2">
        <v>46171</v>
      </c>
      <c r="B226" s="1" t="str">
        <f ca="1">IF(Información1[[#This Row],[Fecha]]='Ajuste de fechas'!$A$2,"Día actual","Día anterior")</f>
        <v>Día actual</v>
      </c>
      <c r="C226" s="3" t="s">
        <v>76</v>
      </c>
      <c r="D226" t="s">
        <v>77</v>
      </c>
      <c r="E226" s="3" t="s">
        <v>363</v>
      </c>
      <c r="F226" s="3" t="s">
        <v>66</v>
      </c>
      <c r="G226" s="3" t="s">
        <v>364</v>
      </c>
      <c r="H226" s="3" t="s">
        <v>11</v>
      </c>
      <c r="I226" s="3" t="s">
        <v>7</v>
      </c>
      <c r="J226" s="3" t="s">
        <v>43</v>
      </c>
      <c r="K226" s="3" t="s">
        <v>78</v>
      </c>
      <c r="L226" s="3" t="s">
        <v>46</v>
      </c>
      <c r="M226">
        <v>1</v>
      </c>
    </row>
    <row r="227" spans="1:13" x14ac:dyDescent="0.25">
      <c r="A227" s="2">
        <v>46170</v>
      </c>
      <c r="B227" s="1" t="str">
        <f ca="1">IF(Información1[[#This Row],[Fecha]]='Ajuste de fechas'!$A$2,"Día actual","Día anterior")</f>
        <v>Día anterior</v>
      </c>
      <c r="C227" s="3" t="s">
        <v>95</v>
      </c>
      <c r="D227" t="s">
        <v>167</v>
      </c>
      <c r="E227" s="3" t="s">
        <v>298</v>
      </c>
      <c r="F227" s="3" t="s">
        <v>75</v>
      </c>
      <c r="G227" s="3" t="s">
        <v>187</v>
      </c>
      <c r="H227" s="3" t="s">
        <v>11</v>
      </c>
      <c r="I227" s="3" t="s">
        <v>7</v>
      </c>
      <c r="J227" s="3" t="s">
        <v>43</v>
      </c>
      <c r="K227" s="3" t="s">
        <v>168</v>
      </c>
      <c r="L227" s="3" t="s">
        <v>46</v>
      </c>
      <c r="M227">
        <v>1</v>
      </c>
    </row>
    <row r="228" spans="1:13" x14ac:dyDescent="0.25">
      <c r="A228" s="2">
        <v>46171</v>
      </c>
      <c r="B228" s="1" t="str">
        <f ca="1">IF(Información1[[#This Row],[Fecha]]='Ajuste de fechas'!$A$2,"Día actual","Día anterior")</f>
        <v>Día actual</v>
      </c>
      <c r="C228" s="3" t="s">
        <v>8</v>
      </c>
      <c r="D228" t="s">
        <v>10</v>
      </c>
      <c r="E228" s="3" t="s">
        <v>365</v>
      </c>
      <c r="F228" s="3" t="s">
        <v>17</v>
      </c>
      <c r="G228" s="3" t="s">
        <v>63</v>
      </c>
      <c r="H228" s="3" t="s">
        <v>11</v>
      </c>
      <c r="I228" s="3" t="s">
        <v>25</v>
      </c>
      <c r="J228" s="3" t="s">
        <v>43</v>
      </c>
      <c r="K228" s="3" t="s">
        <v>9</v>
      </c>
      <c r="L228" s="3" t="s">
        <v>45</v>
      </c>
      <c r="M228">
        <v>1</v>
      </c>
    </row>
    <row r="229" spans="1:13" x14ac:dyDescent="0.25">
      <c r="A229" s="2">
        <v>46171</v>
      </c>
      <c r="B229" s="1" t="str">
        <f ca="1">IF(Información1[[#This Row],[Fecha]]='Ajuste de fechas'!$A$2,"Día actual","Día anterior")</f>
        <v>Día actual</v>
      </c>
      <c r="C229" s="3" t="s">
        <v>28</v>
      </c>
      <c r="D229" t="s">
        <v>30</v>
      </c>
      <c r="E229" s="3" t="s">
        <v>366</v>
      </c>
      <c r="F229" s="3" t="s">
        <v>22</v>
      </c>
      <c r="G229" s="3" t="s">
        <v>367</v>
      </c>
      <c r="H229" s="3" t="s">
        <v>11</v>
      </c>
      <c r="I229" s="3" t="s">
        <v>7</v>
      </c>
      <c r="J229" s="3" t="s">
        <v>48</v>
      </c>
      <c r="K229" s="3" t="s">
        <v>36</v>
      </c>
      <c r="L229" s="3" t="s">
        <v>44</v>
      </c>
      <c r="M229">
        <v>1</v>
      </c>
    </row>
    <row r="230" spans="1:13" x14ac:dyDescent="0.25">
      <c r="A230" s="2">
        <v>46171</v>
      </c>
      <c r="B230" s="1" t="str">
        <f ca="1">IF(Información1[[#This Row],[Fecha]]='Ajuste de fechas'!$A$2,"Día actual","Día anterior")</f>
        <v>Día actual</v>
      </c>
      <c r="C230" s="3" t="s">
        <v>28</v>
      </c>
      <c r="D230" t="s">
        <v>30</v>
      </c>
      <c r="E230" s="3" t="s">
        <v>368</v>
      </c>
      <c r="F230" s="3" t="s">
        <v>24</v>
      </c>
      <c r="G230" s="3" t="s">
        <v>369</v>
      </c>
      <c r="H230" s="3" t="s">
        <v>11</v>
      </c>
      <c r="I230" s="3" t="s">
        <v>7</v>
      </c>
      <c r="J230" s="3" t="s">
        <v>24</v>
      </c>
      <c r="K230" s="3" t="s">
        <v>36</v>
      </c>
      <c r="L230" s="3" t="s">
        <v>44</v>
      </c>
      <c r="M230">
        <v>1</v>
      </c>
    </row>
    <row r="231" spans="1:13" x14ac:dyDescent="0.25">
      <c r="A231" s="2">
        <v>46171</v>
      </c>
      <c r="B231" s="1" t="str">
        <f ca="1">IF(Información1[[#This Row],[Fecha]]='Ajuste de fechas'!$A$2,"Día actual","Día anterior")</f>
        <v>Día actual</v>
      </c>
      <c r="C231" s="3" t="s">
        <v>28</v>
      </c>
      <c r="D231" t="s">
        <v>30</v>
      </c>
      <c r="E231" s="3" t="s">
        <v>370</v>
      </c>
      <c r="F231" s="3" t="s">
        <v>26</v>
      </c>
      <c r="G231" s="3" t="s">
        <v>62</v>
      </c>
      <c r="H231" s="3" t="s">
        <v>11</v>
      </c>
      <c r="I231" s="3" t="s">
        <v>7</v>
      </c>
      <c r="J231" s="3" t="s">
        <v>43</v>
      </c>
      <c r="K231" s="3" t="s">
        <v>36</v>
      </c>
      <c r="L231" s="3" t="s">
        <v>44</v>
      </c>
      <c r="M231">
        <v>1</v>
      </c>
    </row>
    <row r="232" spans="1:13" x14ac:dyDescent="0.25">
      <c r="A232" s="2">
        <v>46171</v>
      </c>
      <c r="B232" s="1" t="str">
        <f ca="1">IF(Información1[[#This Row],[Fecha]]='Ajuste de fechas'!$A$2,"Día actual","Día anterior")</f>
        <v>Día actual</v>
      </c>
      <c r="C232" s="3" t="s">
        <v>28</v>
      </c>
      <c r="D232" t="s">
        <v>30</v>
      </c>
      <c r="E232" s="3" t="s">
        <v>371</v>
      </c>
      <c r="F232" s="3" t="s">
        <v>26</v>
      </c>
      <c r="G232" s="3" t="s">
        <v>62</v>
      </c>
      <c r="H232" s="3" t="s">
        <v>11</v>
      </c>
      <c r="I232" s="3" t="s">
        <v>7</v>
      </c>
      <c r="J232" s="3" t="s">
        <v>43</v>
      </c>
      <c r="K232" s="3" t="s">
        <v>36</v>
      </c>
      <c r="L232" s="3" t="s">
        <v>44</v>
      </c>
      <c r="M232">
        <v>1</v>
      </c>
    </row>
    <row r="233" spans="1:13" x14ac:dyDescent="0.25">
      <c r="A233" s="2">
        <v>46171</v>
      </c>
      <c r="B233" s="1" t="str">
        <f ca="1">IF(Información1[[#This Row],[Fecha]]='Ajuste de fechas'!$A$2,"Día actual","Día anterior")</f>
        <v>Día actual</v>
      </c>
      <c r="C233" s="3" t="s">
        <v>95</v>
      </c>
      <c r="D233" t="s">
        <v>77</v>
      </c>
      <c r="E233" s="3" t="s">
        <v>323</v>
      </c>
      <c r="F233" s="3" t="s">
        <v>26</v>
      </c>
      <c r="G233" s="3" t="s">
        <v>62</v>
      </c>
      <c r="H233" s="3" t="s">
        <v>11</v>
      </c>
      <c r="I233" s="3" t="s">
        <v>7</v>
      </c>
      <c r="J233" s="3" t="s">
        <v>43</v>
      </c>
      <c r="K233" s="3" t="s">
        <v>78</v>
      </c>
      <c r="L233" s="3" t="s">
        <v>46</v>
      </c>
      <c r="M233">
        <v>1</v>
      </c>
    </row>
    <row r="234" spans="1:13" x14ac:dyDescent="0.25">
      <c r="A234" s="2">
        <v>46171</v>
      </c>
      <c r="B234" s="1" t="str">
        <f ca="1">IF(Información1[[#This Row],[Fecha]]='Ajuste de fechas'!$A$2,"Día actual","Día anterior")</f>
        <v>Día actual</v>
      </c>
      <c r="C234" s="3" t="s">
        <v>28</v>
      </c>
      <c r="D234" t="s">
        <v>31</v>
      </c>
      <c r="E234" s="3" t="s">
        <v>372</v>
      </c>
      <c r="F234" s="3" t="s">
        <v>26</v>
      </c>
      <c r="G234" s="3" t="s">
        <v>62</v>
      </c>
      <c r="H234" s="3" t="s">
        <v>11</v>
      </c>
      <c r="I234" s="3" t="s">
        <v>7</v>
      </c>
      <c r="J234" s="3" t="s">
        <v>43</v>
      </c>
      <c r="K234" s="3" t="s">
        <v>29</v>
      </c>
      <c r="L234" s="3" t="s">
        <v>44</v>
      </c>
      <c r="M234">
        <v>1</v>
      </c>
    </row>
    <row r="235" spans="1:13" x14ac:dyDescent="0.25">
      <c r="A235" s="2">
        <v>46171</v>
      </c>
      <c r="B235" s="1" t="str">
        <f ca="1">IF(Información1[[#This Row],[Fecha]]='Ajuste de fechas'!$A$2,"Día actual","Día anterior")</f>
        <v>Día actual</v>
      </c>
      <c r="C235" s="3" t="s">
        <v>28</v>
      </c>
      <c r="D235" t="s">
        <v>31</v>
      </c>
      <c r="E235" s="3" t="s">
        <v>371</v>
      </c>
      <c r="F235" s="3" t="s">
        <v>26</v>
      </c>
      <c r="G235" s="3" t="s">
        <v>62</v>
      </c>
      <c r="H235" s="3" t="s">
        <v>11</v>
      </c>
      <c r="I235" s="3" t="s">
        <v>7</v>
      </c>
      <c r="J235" s="3" t="s">
        <v>43</v>
      </c>
      <c r="K235" s="3" t="s">
        <v>29</v>
      </c>
      <c r="L235" s="3" t="s">
        <v>44</v>
      </c>
      <c r="M235">
        <v>1</v>
      </c>
    </row>
    <row r="236" spans="1:13" x14ac:dyDescent="0.25">
      <c r="A236" s="2">
        <v>46171</v>
      </c>
      <c r="B236" s="1" t="str">
        <f ca="1">IF(Información1[[#This Row],[Fecha]]='Ajuste de fechas'!$A$2,"Día actual","Día anterior")</f>
        <v>Día actual</v>
      </c>
      <c r="C236" s="3" t="s">
        <v>8</v>
      </c>
      <c r="D236" t="s">
        <v>10</v>
      </c>
      <c r="E236" s="3" t="s">
        <v>373</v>
      </c>
      <c r="F236" s="3" t="s">
        <v>19</v>
      </c>
      <c r="G236" s="3" t="s">
        <v>374</v>
      </c>
      <c r="H236" s="3" t="s">
        <v>11</v>
      </c>
      <c r="I236" s="3" t="s">
        <v>25</v>
      </c>
      <c r="J236" s="3" t="s">
        <v>47</v>
      </c>
      <c r="K236" s="3" t="s">
        <v>9</v>
      </c>
      <c r="L236" s="3" t="s">
        <v>45</v>
      </c>
      <c r="M236">
        <v>1</v>
      </c>
    </row>
    <row r="237" spans="1:13" x14ac:dyDescent="0.25">
      <c r="A237" s="2">
        <v>46171</v>
      </c>
      <c r="B237" s="1" t="str">
        <f ca="1">IF(Información1[[#This Row],[Fecha]]='Ajuste de fechas'!$A$2,"Día actual","Día anterior")</f>
        <v>Día actual</v>
      </c>
      <c r="C237" s="3" t="s">
        <v>95</v>
      </c>
      <c r="D237" t="s">
        <v>77</v>
      </c>
      <c r="E237" s="3" t="s">
        <v>375</v>
      </c>
      <c r="F237" s="3" t="s">
        <v>21</v>
      </c>
      <c r="G237" s="3" t="s">
        <v>376</v>
      </c>
      <c r="H237" s="3" t="s">
        <v>11</v>
      </c>
      <c r="I237" s="3" t="s">
        <v>7</v>
      </c>
      <c r="J237" s="3" t="s">
        <v>43</v>
      </c>
      <c r="K237" s="3" t="s">
        <v>78</v>
      </c>
      <c r="L237" s="3" t="s">
        <v>46</v>
      </c>
      <c r="M237">
        <v>1</v>
      </c>
    </row>
    <row r="238" spans="1:13" x14ac:dyDescent="0.25">
      <c r="A238" s="2">
        <v>46171</v>
      </c>
      <c r="B238" s="1" t="str">
        <f ca="1">IF(Información1[[#This Row],[Fecha]]='Ajuste de fechas'!$A$2,"Día actual","Día anterior")</f>
        <v>Día actual</v>
      </c>
      <c r="C238" s="3" t="s">
        <v>28</v>
      </c>
      <c r="D238" t="s">
        <v>30</v>
      </c>
      <c r="E238" s="3" t="s">
        <v>377</v>
      </c>
      <c r="F238" s="3" t="s">
        <v>258</v>
      </c>
      <c r="G238" s="3" t="s">
        <v>68</v>
      </c>
      <c r="H238" s="3" t="s">
        <v>11</v>
      </c>
      <c r="I238" s="3" t="s">
        <v>7</v>
      </c>
      <c r="J238" s="3" t="s">
        <v>24</v>
      </c>
      <c r="K238" s="3" t="s">
        <v>36</v>
      </c>
      <c r="L238" s="3" t="s">
        <v>44</v>
      </c>
      <c r="M238">
        <v>1</v>
      </c>
    </row>
    <row r="239" spans="1:13" x14ac:dyDescent="0.25">
      <c r="A239" s="2">
        <v>46171</v>
      </c>
      <c r="B239" s="1" t="str">
        <f ca="1">IF(Información1[[#This Row],[Fecha]]='Ajuste de fechas'!$A$2,"Día actual","Día anterior")</f>
        <v>Día actual</v>
      </c>
      <c r="C239" s="3" t="s">
        <v>28</v>
      </c>
      <c r="D239" t="s">
        <v>30</v>
      </c>
      <c r="E239" s="3" t="s">
        <v>378</v>
      </c>
      <c r="F239" s="3" t="s">
        <v>34</v>
      </c>
      <c r="G239" s="3" t="s">
        <v>267</v>
      </c>
      <c r="H239" s="3" t="s">
        <v>11</v>
      </c>
      <c r="I239" s="3" t="s">
        <v>7</v>
      </c>
      <c r="J239" s="3" t="s">
        <v>43</v>
      </c>
      <c r="K239" s="3" t="s">
        <v>36</v>
      </c>
      <c r="L239" s="3" t="s">
        <v>44</v>
      </c>
      <c r="M239">
        <v>1</v>
      </c>
    </row>
    <row r="240" spans="1:13" x14ac:dyDescent="0.25">
      <c r="A240" s="2">
        <v>46171</v>
      </c>
      <c r="B240" s="1" t="str">
        <f ca="1">IF(Información1[[#This Row],[Fecha]]='Ajuste de fechas'!$A$2,"Día actual","Día anterior")</f>
        <v>Día actual</v>
      </c>
      <c r="C240" s="3" t="s">
        <v>28</v>
      </c>
      <c r="D240" t="s">
        <v>31</v>
      </c>
      <c r="E240" s="3" t="s">
        <v>379</v>
      </c>
      <c r="F240" s="3" t="s">
        <v>34</v>
      </c>
      <c r="G240" s="3" t="s">
        <v>267</v>
      </c>
      <c r="H240" s="3" t="s">
        <v>11</v>
      </c>
      <c r="I240" s="3" t="s">
        <v>7</v>
      </c>
      <c r="J240" s="3" t="s">
        <v>43</v>
      </c>
      <c r="K240" s="3" t="s">
        <v>29</v>
      </c>
      <c r="L240" s="3" t="s">
        <v>44</v>
      </c>
      <c r="M240">
        <v>1</v>
      </c>
    </row>
    <row r="241" spans="1:13" x14ac:dyDescent="0.25">
      <c r="A241" s="2">
        <v>46171</v>
      </c>
      <c r="B241" s="1" t="str">
        <f ca="1">IF(Información1[[#This Row],[Fecha]]='Ajuste de fechas'!$A$2,"Día actual","Día anterior")</f>
        <v>Día actual</v>
      </c>
      <c r="C241" s="3" t="s">
        <v>8</v>
      </c>
      <c r="D241" t="s">
        <v>10</v>
      </c>
      <c r="E241" s="3" t="s">
        <v>266</v>
      </c>
      <c r="F241" s="3" t="s">
        <v>34</v>
      </c>
      <c r="G241" s="3" t="s">
        <v>267</v>
      </c>
      <c r="H241" s="3" t="s">
        <v>11</v>
      </c>
      <c r="I241" s="3" t="s">
        <v>7</v>
      </c>
      <c r="J241" s="3" t="s">
        <v>43</v>
      </c>
      <c r="K241" s="3" t="s">
        <v>14</v>
      </c>
      <c r="L241" s="3" t="s">
        <v>46</v>
      </c>
      <c r="M241">
        <v>1</v>
      </c>
    </row>
    <row r="242" spans="1:13" x14ac:dyDescent="0.25">
      <c r="A242" s="2">
        <v>46171</v>
      </c>
      <c r="B242" s="1" t="str">
        <f ca="1">IF(Información1[[#This Row],[Fecha]]='Ajuste de fechas'!$A$2,"Día actual","Día anterior")</f>
        <v>Día actual</v>
      </c>
      <c r="C242" s="3" t="s">
        <v>28</v>
      </c>
      <c r="D242" t="s">
        <v>31</v>
      </c>
      <c r="E242" s="3" t="s">
        <v>380</v>
      </c>
      <c r="F242" s="3" t="s">
        <v>26</v>
      </c>
      <c r="G242" s="3" t="s">
        <v>84</v>
      </c>
      <c r="H242" s="3" t="s">
        <v>11</v>
      </c>
      <c r="I242" s="3" t="s">
        <v>7</v>
      </c>
      <c r="J242" s="3" t="s">
        <v>43</v>
      </c>
      <c r="K242" s="3" t="s">
        <v>29</v>
      </c>
      <c r="L242" s="3" t="s">
        <v>44</v>
      </c>
      <c r="M242">
        <v>1</v>
      </c>
    </row>
    <row r="243" spans="1:13" x14ac:dyDescent="0.25">
      <c r="A243" s="2">
        <v>46171</v>
      </c>
      <c r="B243" s="1" t="str">
        <f ca="1">IF(Información1[[#This Row],[Fecha]]='Ajuste de fechas'!$A$2,"Día actual","Día anterior")</f>
        <v>Día actual</v>
      </c>
      <c r="C243" s="3" t="s">
        <v>8</v>
      </c>
      <c r="D243" t="s">
        <v>10</v>
      </c>
      <c r="E243" s="3" t="s">
        <v>381</v>
      </c>
      <c r="F243" s="3" t="s">
        <v>6</v>
      </c>
      <c r="G243" s="3" t="s">
        <v>94</v>
      </c>
      <c r="H243" s="3" t="s">
        <v>11</v>
      </c>
      <c r="I243" s="3" t="s">
        <v>25</v>
      </c>
      <c r="J243" s="3" t="s">
        <v>43</v>
      </c>
      <c r="K243" s="3" t="s">
        <v>9</v>
      </c>
      <c r="L243" s="3" t="s">
        <v>45</v>
      </c>
      <c r="M243">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50</v>
      </c>
      <c r="B1" t="s">
        <v>51</v>
      </c>
    </row>
    <row r="2" spans="1:2" x14ac:dyDescent="0.25">
      <c r="A2" s="2">
        <f ca="1">TODAY()</f>
        <v>46171</v>
      </c>
      <c r="B2" s="2">
        <f ca="1">A2-1</f>
        <v>46170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2026-05-30T00:18:33Z</dcterms:modified>
</cp:coreProperties>
</file>