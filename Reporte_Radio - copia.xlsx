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FC8EF1D8-F9F1-4F95-8D31-C27A562DFA4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3" i="2"/>
  <c r="B114" i="2"/>
  <c r="B115" i="2"/>
  <c r="B117" i="2"/>
  <c r="B119" i="2"/>
  <c r="B121" i="2"/>
  <c r="B123" i="2"/>
  <c r="B125" i="2"/>
  <c r="B127" i="2"/>
  <c r="B129" i="2"/>
  <c r="B131" i="2"/>
  <c r="B133" i="2"/>
  <c r="B135" i="2"/>
  <c r="B138" i="2"/>
  <c r="B140" i="2"/>
  <c r="B142" i="2"/>
  <c r="B144" i="2"/>
  <c r="B146" i="2"/>
  <c r="B148" i="2"/>
  <c r="B150" i="2"/>
  <c r="B152" i="2"/>
  <c r="B154" i="2"/>
  <c r="B157" i="2"/>
  <c r="B159" i="2"/>
  <c r="B161" i="2"/>
  <c r="B163" i="2"/>
  <c r="B165" i="2"/>
  <c r="B168" i="2"/>
  <c r="B170" i="2"/>
  <c r="B172" i="2"/>
  <c r="B66" i="2"/>
  <c r="B112" i="2"/>
  <c r="B116" i="2"/>
  <c r="B118" i="2"/>
  <c r="B120" i="2"/>
  <c r="B122" i="2"/>
  <c r="B124" i="2"/>
  <c r="B126" i="2"/>
  <c r="B128" i="2"/>
  <c r="B130" i="2"/>
  <c r="B132" i="2"/>
  <c r="B134" i="2"/>
  <c r="B136" i="2"/>
  <c r="B137" i="2"/>
  <c r="B139" i="2"/>
  <c r="B141" i="2"/>
  <c r="B143" i="2"/>
  <c r="B145" i="2"/>
  <c r="B147" i="2"/>
  <c r="B149" i="2"/>
  <c r="B151" i="2"/>
  <c r="B153" i="2"/>
  <c r="B155" i="2"/>
  <c r="B156" i="2"/>
  <c r="B158" i="2"/>
  <c r="B160" i="2"/>
  <c r="B162" i="2"/>
  <c r="B164" i="2"/>
  <c r="B166" i="2"/>
  <c r="B167" i="2"/>
  <c r="B169" i="2"/>
  <c r="B17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<sst xmlns="http://schemas.openxmlformats.org/spreadsheetml/2006/main" count="1723" uniqueCount="313">
  <si>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</si>
  <si>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</si>
  <si>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</si>
  <si>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</si>
  <si>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</si>
  <si>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</si>
  <si>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</si>
  <si>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</si>
  <si>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</si>
  <si>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</si>
  <si>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</si>
  <si>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</si>
  <si>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</si>
  <si>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</si>
  <si>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</si>
  <si>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</si>
  <si>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</si>
  <si>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</si>
  <si>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</si>
  <si>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</si>
  <si>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</si>
  <si>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</si>
  <si>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</si>
  <si>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</si>
  <si>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</si>
  <si>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</si>
  <si>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</si>
  <si>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</si>
  <si>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</si>
  <si>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</si>
  <si>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</si>
  <si>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</si>
  <si>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</si>
  <si>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</si>
  <si>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</si>
  <si>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</si>
  <si>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</si>
  <si>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</si>
  <si>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</si>
  <si>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</si>
  <si>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</si>
  <si>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</si>
  <si>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</si>
  <si>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</si>
  <si>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</si>
  <si>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</si>
  <si>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</si>
  <si>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</si>
  <si>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</si>
  <si>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</si>
  <si>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</si>
  <si>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</si>
  <si>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</si>
  <si>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</si>
  <si>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</si>
  <si>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</si>
  <si>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</si>
  <si>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La Poderosa Tuxpan 93.1 FM</t>
  </si>
  <si>
    <t>NN Nuestras Noticias Zona Norte</t>
  </si>
  <si>
    <t>Liz Argüelles</t>
  </si>
  <si>
    <t>Abasto De Agua</t>
  </si>
  <si>
    <t>PGJEH</t>
  </si>
  <si>
    <t>Ataque Armado</t>
  </si>
  <si>
    <t>Vía telefónica el reporte de Bombero y Protección Civil con Abner Yáñez informa de las diversas emergencias reportadas por la ciudadanía y que fueron atendidas.</t>
  </si>
  <si>
    <t>Día del maestro</t>
  </si>
  <si>
    <t>Juan Carlos Santamaria</t>
  </si>
  <si>
    <t>NQ 90.1 FM</t>
  </si>
  <si>
    <t>Enlace Hidalgo2</t>
  </si>
  <si>
    <t>Jesús Riveros</t>
  </si>
  <si>
    <t>Ke Buena 106.7 FM</t>
  </si>
  <si>
    <t>Noticias 106.7</t>
  </si>
  <si>
    <t>David Cárdenas</t>
  </si>
  <si>
    <t>Enlace Hidalgo1</t>
  </si>
  <si>
    <t>Mundial De Futbol</t>
  </si>
  <si>
    <t>OCSAD</t>
  </si>
  <si>
    <t>Atención Afectaciones Por Lluvias</t>
  </si>
  <si>
    <t>Falta de transporte</t>
  </si>
  <si>
    <t>Ruta de la Transformación</t>
  </si>
  <si>
    <t>Combate a la delincuencia</t>
  </si>
  <si>
    <t>Hacienda</t>
  </si>
  <si>
    <t>Refrendo Vehicular</t>
  </si>
  <si>
    <t>Entrevista pautada</t>
  </si>
  <si>
    <t>Hospital Tula</t>
  </si>
  <si>
    <t>Queja transporte público</t>
  </si>
  <si>
    <t>Eulalio Larrieta agradece a Edith Balderas de la Secretaria de Educación Pública.</t>
  </si>
  <si>
    <t>Eulalio Larrieta agradece Paola García y Lic. Sarahi Pineda, por estar atentas a los mensajes de la ciudadanía y por atenderlos.</t>
  </si>
  <si>
    <t>Detención de policía</t>
  </si>
  <si>
    <t>Justa Académica</t>
  </si>
  <si>
    <t>Turismo</t>
  </si>
  <si>
    <t>Gobierno de Hidalgo llama a tomar acción en la protección a los polinizadores</t>
  </si>
  <si>
    <t>Conservación de Polinizadores</t>
  </si>
  <si>
    <t>Firma De Convenio</t>
  </si>
  <si>
    <t>Obra en los 84 municipios, garantía de la administración de Julio Menchaca, AUDIO APOYO</t>
  </si>
  <si>
    <t>Julio Menchaca anuncia obras de impacto para Mixquiahuala, AUDIO APOYO</t>
  </si>
  <si>
    <t>Radiodifusoras</t>
  </si>
  <si>
    <t>Atropellamiento de policía</t>
  </si>
  <si>
    <t>Congreso</t>
  </si>
  <si>
    <t>Tauromaquia</t>
  </si>
  <si>
    <t>Saderh</t>
  </si>
  <si>
    <t>Delegación</t>
  </si>
  <si>
    <t>Programas Del Bienestar</t>
  </si>
  <si>
    <t>Inhabilitación</t>
  </si>
  <si>
    <t>Eulalio Larrieta agradece a Carlos Gamiño por estar al pendiente de temas</t>
  </si>
  <si>
    <t>Exigen Esclarecer Feminicidio</t>
  </si>
  <si>
    <t>Infraestructura Hidráulica</t>
  </si>
  <si>
    <t>Radioescucha Sr. Paredes sigue reportando que no funciona la lámpara que está en la esquina del callejón de Quintana Roo y Plaza de Patoni</t>
  </si>
  <si>
    <t>Luminarias</t>
  </si>
  <si>
    <t>Vía telefónica Guillermo Huerta Meneses, subsecretario de Ingresos de la Secretaría de Hacienda de Hidalgo - Refrendo vehicular. Comenta que ya estan a 40 dias para que finalice este programa de Refrendo Vehicular, terminando el 30 de junio del 2026, recordó que Hidalgo es la única entidad que otorga beneficios por cumplir con esta obligación, el 100 % de los recursos recaudados son para obras publicas como lo dijo el gobernador Julio Mechaca</t>
  </si>
  <si>
    <t>Relleno Sanitario</t>
  </si>
  <si>
    <t>Canal 12 Huejutla</t>
  </si>
  <si>
    <t>Contacto Informativo M</t>
  </si>
  <si>
    <t>Jackeline Vázquez</t>
  </si>
  <si>
    <t>Una mujer de 29 años de edad fue localizada lesionada por impactos de arma de fuego en un camino de terracería ubicado en el cerro del Jicuco, aquí en el municipio de Tezontepec de Aldama. Ocurrió durante la noche de ayer miércoles; la víctima ya fue identificada con las iniciales YPH, vecina de Actopan.</t>
  </si>
  <si>
    <t>Los nueve policías municipales de Progreso de Obregón, vinculados a procesos por homicidio, doloros calificados y lesiones, detenidos el pasado 13 de mayo y actualmente bajo prisión preventiva oficiosa, enfrentan acusaciones por delitos que el Código Penal de Hidalgo considera entre los de mayor gravedad,</t>
  </si>
  <si>
    <t>Pese a que el gobierno federal este año ya entregará apoyo económico con la Beca Rita Cetina para adquirir uniformes en escuelas primarias públicas, el gobierno de Hidalgo entregará en tiempo y forma paquetes de útiles y vestuario escolar a estudiantes de nivel básico en el inicio del próximo ciclo, aseguró Natividad Castrejón Valdez, secretario de Educación estatal.Desde marzo de este año, la Secretaría de Educación Pública de Hidalgo (SEPH) recolectó las responsivas firmadas por madres y padres de familia, referentes a la solicitud de tallas del programa de uniformes y calzado escolar para el ciclo 2026-2027, sin embargo hasta la fecha el gobierno estatal no ha emitido las licitaciones para comprar los paquetes.</t>
  </si>
  <si>
    <t>El calendario escolar de la Secretaría de Educación Pública (SEP) contempla una suspensión de actividades para estudiantes de preescolar, primaria y secundaria el próximo 29 de mayo; la medida permitirá un fin de semana largo antes del cierre del ciclo escolar 2025-2026.La fecha corresponde a la sesión mensual del Consejo Técnico Escolar (CTE), por lo que docentes y directivos acudirán a labores internas relacionadas con organización académica y revisión de actividades; mientras que el alumnado retomará clases hasta el lunes 1 de junio.</t>
  </si>
  <si>
    <t>Suspensión De Clases</t>
  </si>
  <si>
    <t>Julio Menchaca presenta “Plan B” alineado con la visión de austeridad republicana del Gobierno de México</t>
  </si>
  <si>
    <t>Plan B</t>
  </si>
  <si>
    <t>Julio Menchaca reconoce al magisterio y fortalece la educación en Hidalgo con inversión histórica, AUDIO APOYO</t>
  </si>
  <si>
    <t>Comento conductor que hoy el gobernador Julio Menchaca estuvo en Tlaxcoapan y en Tlahuelilpan, en donde realizó varios anuncios importantes. “Usted sabe que cada que realiza una gira de trabajo trae buenas noticias para las comunidades y para los municipios que visita.”</t>
  </si>
  <si>
    <t>Conductor Jesús Gonzales informó sobre la declaración de uno de los pasajeros que iba en la combi, señaló que el chofer se orilló a dejar pasaje en una zona autorizada pero que el chofer de la camioneta no respetó el alto y se estampó contra la camioneta, el chofer de la camioneta no se sabe si fue detenido</t>
  </si>
  <si>
    <t>Accidente transporte público</t>
  </si>
  <si>
    <t>Tras el accidente ocurrido la noche del miércoles en el Boulevard Minero de Pachuca, donde una persona murió y al menos 17 resultaron lesionadas, el representante legal de Líneas Intermunicipales de Pachuca - Tilcuauctla S.A de C.V. Guillermo Islas; se pronunció señalando al conductor de un vehículo de carga como responsable de este accidente, el cual involucró una camioneta de transporte público tipo Urban y un vehículo de carga de materiales, AUDIO VIDEO</t>
  </si>
  <si>
    <t>Tras la situación que se vive en Tula con el tema de la recolección de basura, el gobierno municipal anunció que en un plazo no mayor a 20 días, comenzará a operar un nuevo relleno sanitario regional, eso afirmo el alcalde de este municipio Cristhian Martínez Reséndiz, cuenta inicialmente con una superficie de 2.5 hectáreas, aunque existe posibilidad de ampliación ,AUDIO APOYO</t>
  </si>
  <si>
    <t>Familiares de Al Muatasem Belah Alwiraikat Flores, ciudadano pachuqueño integrante de la delegación mexicana en la Flotilla Global Sumud, confirmaron este jueves la liberación del joven hidalguense, luego de haber permanecido incomunicado tras la intervención de fuerzas militares israelíes en aguas internacionales, AUDIO APOYO</t>
  </si>
  <si>
    <t>Retención de activista</t>
  </si>
  <si>
    <t>Radioescucha Silvia Colín de aquí de Tula se comunicó con nosotros, participa en esto que usted y yo platicábamos al inicio de este espacio, quien verdaderamente regula, observa, sanciona a estos transportistas, a estos choferes que sin duda, pues sin ninguna responsabilidad, sin ningún compromiso social, conducen las unidades como a ellos les place, exceso de velocidad, con el celular en la mano, distrayéndose y sin duda, pues haciendo otra cosa, además de manejar.</t>
  </si>
  <si>
    <t>Quejas transporte público</t>
  </si>
  <si>
    <t>Hidalgo se integró oficialmente al programa federal "México Anfitrión 2026", una iniciativa impulsada por el gobierno de la presidenta Claudia Sheinbaum Pardo para fortalecer la cultura de hospitalidad de cara al próximo Mundial de Fútbol.La secretaria de Turismo del estado, Elizabeth Quintanar Gómez, informó que Hidalgo ocupa la posición 16 a nivel nacional en la obtención de este distintivo gratuito, el cual está dirigido a prestadores de servicios turísticos y comunidades receptoras de visitantes nacionales e internacionales. El programa promueve buenas prácticas de atención, inclusión, sostenibilidad y capacitación en idiomas, consolidando la imagen de México como un destino de clase mundial.La funcionaria destacó la relevancia de que la entidad se sume a esta estrategia, especialmente ante la gran expectativa que genera la presencia de la selección nacional de Sudáfrica, escuadra que establecerá su campamento base en Pachuca durante el torneo de la FIFA. AUDIO DE APOYO</t>
  </si>
  <si>
    <t>Policía Estatal asegura en Pachuca a presunta implicada en esquema "gota a gota"</t>
  </si>
  <si>
    <t>La presidenta municipal de Atotonilco de Tula, Yocelyn Tovar Mendoza, informó que uno de los mayores retos al inicio de su gestión ha sido recibir una administración con severos desfalcos financieros y numerosas obras inconclusas."Recibí un municipio con un gran desfalco financiero. Nos dejaron bastantes obras inconclusas que hoy nos generan problemas administrativos muy complicados, los cuales ya han sido observados por la contraloría y la auditoría. Si no se hubieran generado estas irregularidades, los recursos se habrían ejecutado de manera eficiente en beneficio de la demarcación", señaló la alcaldesa.Esta situación refleja una realidad recurrente en diversas alcaldías del estado de Hidalgo. Debido a los periodos de gestión municipal, los alcaldes entrantes suelen invertir una cantidad considerable de tiempo y recursos en subsanar las irregularidades fiscales y operativas heredadas de las administraciones pasadas, lo que llega a ralentizar la consolidación de sus propios planes de desarrollo y proyectos de trabajo locales.</t>
  </si>
  <si>
    <t>Irregularidades exalcalde</t>
  </si>
  <si>
    <t>Atitalaquia abrió un espacio de diálogo internacional sobre las raíces y tradiciones de los pueblos originarios al realizar la conferencia "Conexiones entre Brasil y México: Vida y Muerte de la Cosmopercepción de los Otomíes en Hidalgo". La ponencia, impartida por la investigadora brasileña Juliana Cabral Araujo en la biblioteca municipal, destacó las similitudes entre las tradiciones del Día de Muertos en la región otomí-tepehua y comunidades del noreste de Brasil, como el uso de flores, altares, comida tradicional y la iluminación de panteones. El gobierno municipal de Atitalaquia, encabezado por Claudia Sandoval Ramírez, señaló que estas actividades fortalecen la identidad cultural y el intercambio académico internacional, contando con la participación de estudiantes del CETIS 26 y habitantes del municipio.</t>
  </si>
  <si>
    <t>Preservación de pueblos originarios</t>
  </si>
  <si>
    <t>Tras múltiples obstáculos surgidos en el proceso de ejecución de las obras de revestimiento del canal principal Viejo Requena —perteneciente al Distrito de Riego 003 Tula—, finalmente se cristalizó el proyecto con la apertura de la compuerta situada en la localidad de El Llano, en las inmediaciones de las comunidades de San Francisco Bojay y Santa Ana Ahuehuepan, en Tula de Allende. Esto permitirá poner a salvo el ciclo agrícola primavera-verano, informó el director de la Conagua en Hidalgo, José Ángel Felix. El día de hoy ya se está liberando agua al canal Viejo Requena, el cual beneficia directamente a los últimos cinco kilómetros en la zona de El Llano. AUDIO DE APOYO</t>
  </si>
  <si>
    <t>Tecnificación De Riego</t>
  </si>
  <si>
    <t>Fue del once al dieciséis de mayo de este año que las brigadas operativas realizaron acciones de fumigación y control del lirio acuático y el mosquito Culex en doscientas hectáreas de la Presa Endhó y ciento noventa y ocho hectáreas en nueve comunidades de la región, beneficiando directamente a diez mil ciento sesenta y nueve habitantes de tres mil trescientos noventa viviendas. Se realizaron también fumigaciones terrestres en las comunidades de San Francisco Bojay, Colonia General Pedro María Anaya, San Mateo, La Curva, La Loma, La Ermita, San Gabriel, El Retiro, Santa María Michimaltongo Pueblo y Xitejé de Zapata, utilizando equipos tecnológicos y aspersión manual al interior de las viviendas. Desde el inicio de este proyecto entendimos que la recuperación de la Presa Endhó tenía que construirse de la mano de las comunidades. Por eso hemos atendido sus inquietudes y ajustado los calendarios operativos para responder a sus demandas y necesidades.</t>
  </si>
  <si>
    <t>Fumigación mosco Culex</t>
  </si>
  <si>
    <t>El tren AIFA Pachuca, a cargo del agrupamiento de ingenieros militares de la Sedena, se encuentra en un desarrollo con un avance superior al 34.80%. Se proyecta que este tren, el AIFA Pachuca, comienza operaciones en el primer semestre de 2027, reduciendo los tiempos de traslado de Pachuca a la Ciudad de México a aproximadamente una hora con 20 minutos. AUDIO DE APOYO</t>
  </si>
  <si>
    <t>Tren AIFA</t>
  </si>
  <si>
    <t>Del 3 de junio al 3 de julio en Hidalgo, se entregarán las tarjetas para las becas Rita Centina a más de 109 mil tutores estudiantes de primaria. Al pendiente, si usted solicitó esta beca para sus niñas o niños, del 3 de junio al 3 de julio.</t>
  </si>
  <si>
    <t>Luego de que Martiniano N., exoficial mayor durante la administración pasada, solicitó una audiencia de alegatos aclaratorios para impugnar la sentencia de 12 años que recibió un tribunal colegiado del Poder Judicial de Hidalgo, confirmó la resolución. Los magistrados consideraron infundados los argumentos del exfuncionario en el caso del presunto desvío de 18 millones de pesos para compra de crema antibacterial. El exfuncionario buscará el amparo de la justicia federal.</t>
  </si>
  <si>
    <t>TSJEH</t>
  </si>
  <si>
    <t>Detención Estafa Siniestra</t>
  </si>
  <si>
    <t>En entrevista con medios de comunicación, El gobernador Julio Menchaca Salazar puntualizó que la Secretaría de Relaciones Exteriores es el conducto constitucional correcto para intervenir por la pronta liberación del pachuqueño. AUDIO ENTREVISTA JMS</t>
  </si>
  <si>
    <t>Familiares de Moazat Sem Velat Huiraycat Flores, joven originario de Pachuca, Hidalgo, denunciaron su presunta retención por parte del ejército israelí durante un operativo militar en aguas internacionales del mar Mediterráneo. Ante esta situación, han convocado a una movilización ciudadana para exigir su liberación inmediata.A través de redes sociales, la familia solicitó la intervención urgente del gobierno de México y del estado de Hidalgo para activar los protocolos consulares correspondientes, exigir una fe de vida y garantizar el retorno seguro de los ciudadanos mexicanos que participaban en la flotilla global Sumud.De acuerdo con los reportes de sus familiares, Huiraycat Flores fue interceptado luego de que la embarcación civil en la que navegaba fuera presuntamente embestida de manera deliberada por un buque militar de Israel. Este incidente ocurre en un contexto de extrema tensión en el mar Mediterráneo, agravado por el conflicto armado en la región del Medio Oriente.</t>
  </si>
  <si>
    <t>En el marco del día de la maestra y el maestro al gobernador de Hidalgo, Julio Menchaca Salazar, reconoció la labor del magisterio como pieza clave en la formación de generaciones con valores y compromiso social al destacar una inversión superior a los mil millones de pesos entre 2022 y 2025 para el pago de prestaciones docentes. El mandatario aseguró que su administración mantendrá el respaldo al sector educativo y recordó que el presupuesto en educación pasó de 24 mil 700 millones de pesos en 2022 a una proyección de más de 33 mil millones para 2026. AUDIO DE APOYO</t>
  </si>
  <si>
    <t>La Fiscalía General de la República (FGR) obtuvo dichos mandamientos judiciales tras detectar un presunto desvío de miles de millones de pesos en la partida de gastos de seguridad pública y operaciones encubiertas de la Policía Federal. Los delitos imputados fueron delincuencia organizada y lavado de dinero. Entre los 19 exfuncionarios involucrados destacaron figuras muy cercanas a Osorio Chong, incluyendo a los dos hidalguenses. La Secretaría de Anticorrupción y Buen Gobierno informó sobre la inhabilitación de hasta veinte años contra dos exfuncionarios de la extinta Policía Federal, tras acreditarse faltas administrativas graves relacionadas con el desvío de más de sesenta y cinco millones de dólares. De acuerdo con el comunicado oficial, el Tribunal Federal de Justicia Administrativa sancionó a Frida M., exsecretaria general, con veinte años de inhabilitación e indemnización económica, mientras que Damián C., extitular de la División de Inteligencia, recibió quince años de inhabilitación, también con una sanción económica. Las investigaciones señalan que el recurso desviado estaba destinado al pago de obligaciones derivadas de un contrato firmado en 2015 con la empresa Rafael Advanced Defense Systems Ltd.</t>
  </si>
  <si>
    <t>Radioescucha: “Le hacemos la invitación a Christian Yair Castaneda y al equipo de transporte público, para que realicen bien su trabajo y revisen las unidades y estén en buen estado”.</t>
  </si>
  <si>
    <t>Radioescucha: Me gustaría que las autoridades pongan atención en el transporte público y los usuarios seguimos siendo vulnerables, ya que algunas colectivas tienen fallas mecánicas, cristales polarizados, algunos choferes abusan del uso del celular, con sobrecupo; por favor, checar eso para evitar accidentes".</t>
  </si>
  <si>
    <t>Radioescucha que se revise el servicio de transporte de las unidades que van a San Miguel El Cerezo, no respetan a las personas de la tercera edad y siempre van llenas.</t>
  </si>
  <si>
    <t>Radioescucha comenta: “Ojalá que las autoridades que regulan el transporte en el estado de Hidalgo, recuerden que es muy probable que el accidente se pueda repetir; no solo se trata de tarifas, se trata de transporte digno para los pachuqueños. Los conductores deben ser certificados en operación y trato al público, y las unidades en óptimas condiciones con acciones continuas de mantenimiento y actualización, y que los patrones sean conscientes y no antepongan su negocio con la seguridad de la ciudadanía</t>
  </si>
  <si>
    <t>Radioescucha urge que la SEMOT tome cartas en el asunto después del accidente de ayer por la tarde, así como son los conductores del transporte público prepotentes, altaneros, peleoneros y siempre con sobrecupo de pasaje, así sea la sanción. Ojalá la línea de transporte no sea de algún influyente, porque si no, no se va a realizar nada.</t>
  </si>
  <si>
    <t>Radioescucha pide que la SEMOT, realice un buen estudio para optimizar el servicio público del Tuzobús, considerando la incorporación de más unidades; ya que la demanda de cada punto hoy es diferente.</t>
  </si>
  <si>
    <t>Reingeniería del Tuzobús</t>
  </si>
  <si>
    <t>Radioescucha pide que faltan transportes en Santa Matilde a Real Toledo, ya que el Tuzobús no se da abasto.</t>
  </si>
  <si>
    <t>Radioescucha Ricardo, lamentablemente, el accidente de la urban es debido a que algunos conductores son unos cafres para manejar. El día de ayer, 3 taxis rapidísimo en el carril de Tuzobús en el tramo de Felipe Ángeles. Yo creo también que el 90 % de los conductores se pasan también los semáforos y por eso provocan accidentes.</t>
  </si>
  <si>
    <t>Radioescucha pide que hagan responsable al concesionario del accidente de ayer de la Urban, ya que el seguro solo cobra 12 pasajeros y la unidad iba con sobrecupo.</t>
  </si>
  <si>
    <t>Radioescucha reporta que una maestra en la comunidad de Santa Cruz está afectando la salud emocional de los alumnos, esto en el municipio de Zempoala.</t>
  </si>
  <si>
    <t>Queja padres de familia</t>
  </si>
  <si>
    <t>Radioescucha reporta que cae poca agua en la calle Prolongación de Roble en Campestre Villas del Álamo Fovissste y ya se hizo el reporte a Caasim</t>
  </si>
  <si>
    <t>Radioescucha reporta falta de agua en Zona Plateada</t>
  </si>
  <si>
    <t>Informan que un grupo de manifestantes de Antorcha Campesina se dirige a las instalaciones de la Comisión Estatal de Vivienda (CEVI)</t>
  </si>
  <si>
    <t>Antorcha Campesina</t>
  </si>
  <si>
    <t>Radioescucha quiere agradecer al oficial de transito de motocicleta de apellido Cervantes, que brindó el apoyo para llevar al hospital a una persona que estaba delicada de salud al reventar la vesícula.</t>
  </si>
  <si>
    <t>La Dirección de Protección Civil, Bomberos y Gestión Integral de Riesgos de Pachuca, emitió algunas recomendaciones para saber qué hacer en caso de un ataque de abejas. Entre estas medidas, destacan buscar resguardo en zonas cerradas, cubrir rostro, boca y nariz y no hacer movimientos bruscos ni tratar de espantarlas.Protección Civil de Pachuca explicó que el fenómeno de encambrazón es un proceso natural en donde una colonia se divide y una reina vieja sale a buscar un nuevo hogar con parte de la población. Es importante no arrojar objetos y no intentar retirar los encambres. En este proceso, las abejas viajarán y puede ocurrir que paren a descansar en ramas, árboles, troncos, paredes y autos. Si detectas un encambre de abejas, aléjate del área y reporta a los teléfonos de emergencia 911 o 771-7110-707.</t>
  </si>
  <si>
    <t>Prevención De Riesgos</t>
  </si>
  <si>
    <t>Un perro fue resguardado por autoridades municipales luego de ser encontrado dentro de una vivienda aparentemente abandonada en el fraccionamiento Media Luna, en Pachuca.El caso fue atendido por elementos de la Secretaría de Seguridad Pública, Tránsito y Vialidad de la capital hidalguense, tras un reporte relacionado con presunto abandono animal al interior de un domicilio particular.</t>
  </si>
  <si>
    <t>Rescate Animal</t>
  </si>
  <si>
    <t>Atención emocional y acompañamiento humano, prioridad para el gobierno de Hidalgo</t>
  </si>
  <si>
    <t>Salud Mental</t>
  </si>
  <si>
    <t>La Secretaría de Seguridad Pública de Hidalgo informó que elementos de la Policía Estatal localizaron y aseguraron una camioneta Pick-Up color café que contaba con reporte de robo en Estados Unidos.De acuerdo con la dependencia, el aseguramiento se realizó derivado de los operativos de prevención implementados en la zona metropolitana. La unidad fue detectada la tarde de este martes en el municipio de Mineral de la Reforma, donde se encontraba estacionada. Los oficiales realizaron la consulta correspondiente en el sistema NICB, siglas de National Insurance Crime Bureau, mediante el cual confirmaron que la camioneta tenía reporte de robo en Houston, Texas.</t>
  </si>
  <si>
    <t>Recuperación De Vehículos Robados</t>
  </si>
  <si>
    <t>Derivado de un accidente automovilístico registrado en Pachuca de Soto, en el bulevar Minero, en el que lamentablemente una persona perdió la vida y 17 más resultaron lesionadas, los cuerpos de seguridad y de emergencia acudieron de inmediato para brindar auxilio a las y los involucrados.</t>
  </si>
  <si>
    <t>UPLAPH impulsa proyectos en beneficio de productores agrícolas del Valle del Mezquital</t>
  </si>
  <si>
    <t>Se reportó el fallecimiento de una persona presuntamente por broncoaspiración en las inmediaciones de la Central de Abastos de Pachuca. Elementos de seguridad y paramédicos acudieron al lugar tras un reporte ciudadano, donde confirmaron que el individuo ya no presentaba signos vitales.</t>
  </si>
  <si>
    <t>Una urban Pachuca- Tilcuahutla en Pachuca en el bulevar Minero fue embestida por una camioneta. En el video se aprecia como la camioneta se pasa el alto e impacta desde atrás a la urban y hasta el momento hay 17 personas lesionadas muy graves y una persona sin vida.</t>
  </si>
  <si>
    <t>En Tepeji del Río el operador de una urban y un taxi metropolitano arreglaron sus diferencias a golpes.</t>
  </si>
  <si>
    <t>Pelea transportistas</t>
  </si>
  <si>
    <t>Andrés Torres: ayer se puso otra vez muy complicado el tema del tránsito con la lluvias, que otra vez hubo una batalla campal entre un chofer de un taxi y un automovilista en Villas de Pachuca. Vecinos de la zona dicen que se han vuelto constantes estos pleitos por el tema del paso del semáforo en esa zona.</t>
  </si>
  <si>
    <t>oy deja el cargo como presidente de la Asociación del Alcalde, Eduardo Medécigo. Solo lo pondrá en su currículo, porque nunca nadie le hizo caso.</t>
  </si>
  <si>
    <t>Mal Desempeño</t>
  </si>
  <si>
    <t>Andrés Torres reitera que la estación del 1010 AM de la huasteca El Vocero Huasteco sigue fuera del aire por un capricho y esto es un asunto criminal pues se pone en riesgo a las comunidades que no pueden tener información oportuna con temas tan importantes como un huracán, una inundación o una tormenta. Asegura que hay que enseñarles con "manzanitas" cómo funcionan los medios".</t>
  </si>
  <si>
    <t>Al sur de Pachuca, tres policías bancarios resultaron lesionados luego que la conductora de un automóvil particular perdió el control y se proyecto contra 3 oficiales de la Policía Bancaria.</t>
  </si>
  <si>
    <t>Andrés Torres comenta que posiblemente el 1 de junio se pondrán en marcha las nuevas unidades del Tuzobús. señala que esto lo checó ayer en la Secretaría del Transporte, pero es algo que anunciará el gobernador.</t>
  </si>
  <si>
    <t>Modernización Tuzobús</t>
  </si>
  <si>
    <t>Andrés Torres destaca que el gobernador ha visitado todo el estado por lo menos 8 veces en lo que va de su administración.</t>
  </si>
  <si>
    <t>“Hay convicción para la transformación de Hidalgo”, afirma Menchaca</t>
  </si>
  <si>
    <t>Derivado de la intensa lluvia registrada durante la tarde y noche de este jueves en Pachuca y su zona metropolitana, muchas colonias y negocios sufrieron afectaciones por las inundaciones. El Tránsito también se vio afectado.</t>
  </si>
  <si>
    <t>Afectaciones Por Lluvias</t>
  </si>
  <si>
    <t>Hoy a las 11:15 de la mañana en la Sala del Pueblo, el gobernador Julio Menchaca tomará protesta al nuevo o nueva presidente de la Asociación de Alcaldes del Estado de Hidalgo.</t>
  </si>
  <si>
    <t>Asociación de Alcaldes</t>
  </si>
  <si>
    <t>Hidalgo preparado ante la temporada de lluvias. El Comité Estatal de Emergencias, por conducto de la Subsecretaría de Protección Civil y Gestión de Riesgos del Estado de Hidalgo, realizó la Primera Reunión del Programa de Prevención ante la Presencia de Fenómenos Hidrometeorológicos, con la participación de presidentas y presidentes municipales, así como titulares y directores de Protección Civil de distintas regiones de la entidad. La reunión tuvo como propósito fortalecer las acciones preventivas, las estrategias de atención y los mecanismos de respuesta oportuna ante la temporada de lluvias y otros fenómenos hidrometeorológicos, por instrucción del gobernador de Hidalgo, Julio Menchaca Salazar. Durante el encuentro, el subsecretario de Protección Civil y Gestión de Riesgos, Román Bernal Díaz, destacó que herramientas como el Atlas de Riesgo, los mapas de peligro, así como los planes y programas especiales, permiten planear y proteger la vida de las personas, tanto en zonas urbanas como rurales.</t>
  </si>
  <si>
    <t>Andrés Torres informa que la señal del 1010 AM de El Vocero Huasteco está fuera del aire por la ineptitud del área administrativa, quienes le han mandado un escrito para decirle que: "ni me pidas diesel, ni se te vaya a ocurrir cumplir con tu trabajo". Es mi trabajo y obligación solicitar diesel a las áreas administrativas para tener las estaciones al aire y más en estas temporadas donde por el calor y las intensas lluvias hay tormentas eléctricas y la suspensión del servicio es contante. solamente quienes no son de Hidalgo, no conoce la huasteca y nunca ha trabajado en el servicio público y quienes no han trabajado en medios de comunicación ignoran que todo esto es el día a día de los medios electrónicos como la tele y la radio y que yo no con rolo el tiempo como Thor. Imagínese esas son la vicisitudes que tienen uno que sortear todos los días trabajando con gente que no tiene perfil. Lo siento por mis amigos y mis amigas de la huasteca que debido a estos caprichos, estos enojos, berrinches no tienen un medio de comunicación, que por cierto es un derecho humano el derecho a la comunicación, y más en una estación que trasmite en náhuatl y en castellano, y entonces, no hay forma de avisarle a la gente que habla náhuatl y que escucha la estación allá en la huasteca que vamos a tener muchas lluvias, que vamos a tener mucho calor y que va haber apagones porque alguien en el área administrativa dice " a mí ni me pidas diesel ese no es mi problema, eso lo tienes que solucionar tú y la próxima vez que se vaya la luz te vamos a correr. Ojalá me esté escuchando el señor gobernador para que hagamos algo, porque no es posible que por un capricho ten gamos la estación más importante de la radio pública fuera del aire.</t>
  </si>
  <si>
    <t>Hostigamiento Laboral</t>
  </si>
  <si>
    <t>ITESA destaca en Mundial de Robótica VEX U 2026</t>
  </si>
  <si>
    <t>Campeonato de robótica</t>
  </si>
  <si>
    <t>Durante un recorrido de vigilancia realizado la noche del martes 20 de mayo, elementos de seguridad localizaron a una mujer lesionada por arma de fuego en un camino de terracería del Cerro del Xicuco, en Tezontepec de Aldama. El hallazgo ocurrió cuando los policías patrullaban la zona y detectaron a una persona herida en un punto apartado. Al acercarse, confirmaron que se trataba de una mujer joven, por lo que solicitaron el apoyo de los servicios de emergencia para su atención inmediata. Paramédicos de Protección Civil de Tezontepec de Aldama acudieron al lugar y, tras realizar la valoración correspondiente, confirmaron que la mujer presentaba tres impactos de proyectil de arma de fuego. Debido a la gravedad de las lesiones, recibió atención prehospitalaria y posteriormente fue trasladada a un hospital para continuar con atención médica especializada.</t>
  </si>
  <si>
    <t>Dos personas que viajaban a bordo de una motocicleta sobre la carretera México-Tuxpan, a la altura de Valle Verde, dentro de la ciudad de Tulancingo, fueron embestidos por otra unidad motora este jueves 21 de mayo. Tras el registro del accidente, personas que se encontraban cerca solicitaron apoyo a los cuerpos de emergencia para atender a los afectados. Elementos de atención a emergencias acudieron al sitio para atender la situación; tras valorar el estado de salud de las dos personas lesionadas, se determinó trasladarlas para ofrecerles atención médica especializada.</t>
  </si>
  <si>
    <t>Tres elementos de la Policía Industrial Bancaria de Hidalgo (PIBEH) resultaron lesionados la mañana de este jueves tras ser atropellados por un vehículo en las inmediaciones del Congreso del estado, al Sur de Pachuca. Los hechos ocurrieron alrededor de las 09:00 horas sobre el Circuito Impulsor Primario, cuando una mujer identificada con las iniciales Lourdes N. J., de 45 años de edad, conducía un vehículo Volkswagen Jetta, color azul. De acuerdo con los primeros reportes, la conductora perdió el control de la unidad mientras se encontraba dentro de un estacionamiento de tierra, impactó y derribó una reja metálica, para posteriormente alcanzar a tres personas que se encontraban en calidad de peatones.</t>
  </si>
  <si>
    <t>TESA destaca en Mundial de Robótica VEX U 2026</t>
  </si>
  <si>
    <t>El regidor del Ayuntamiento de Tulancingo, @Roberto Ivey, denunció públicamente haber sido afiliado de manera indebida a Encuentro Solidario dentro del sistema del Instituto Nacional Electoral (INE), hecho que aseguró ocurrió sin su consentimiento. El integrante del Cabildo señaló que nunca ha solicitado ni autorizado registro alguno en otro partido, por lo que informó que ya inició los procedimientos legales correspondientes para esclarecer la situación y sancionar a quien resulte responsable. Ivey Beltrán afirmó que su trayectoria política está ligada a Morena, movimiento en el que milita desde su fundación, por lo que reiteró su permanencia dentro de la bancada morenista en el Ayuntamiento de Tulancingo.</t>
  </si>
  <si>
    <t>PES</t>
  </si>
  <si>
    <t>Afiliación Partidista</t>
  </si>
  <si>
    <t>Partidos</t>
  </si>
  <si>
    <t>Con 20 votos a favor, cinco en contra y una abstención20 votos a favor, cinco en contra y una abstención, diputados del Congreso del Estado de Hidalgo aprobaron la solicitud de consulta popular en materia de corridas de toros. El legislador José Luis Rodríguez Higareda, de la fracción de Movimiento de Regeneración Nacional (Morena) señaló que el objetivo de la consulta se determine si en la entidad federativa debe continuar permitiéndose la realización de corridas de toros, considerando esta práctica como patrimonio cultural inmaterial. El diputado Avelino Tovar Iglesias del Partido Verde Ecologista de México cuestionó la falta de decisión sobre el tema debatido y recordó que la Constitución mexicana, vigente desde diciembre de 2024, prohíbe el maltrato animal y obliga al estado a garantizar su protección, cuidado y conservación. Rodríguez Higareda señaló al respecto que se debe actuar con prudencia, respeto y apertura al diálogo, evitando decisiones apresuradas o motivadas por intereses personales. Consideró que el Congreso no debe asumir que posee la verdad absoluta y defendió la necesidad de consultar a la ciudadanía antes de emitir un dictamen sobre un tema tan polémico. En el mismo sentido, la legisladora Diana Rangel Zúñiga (Morena) argumentó que, cuando un asunto polariza a la sociedad, el Congreso no debe cerrarse al diálogo, sino abrirse a una participación amplia e informada.</t>
  </si>
  <si>
    <t>El director del Sistema Integrado de Transporte Masivo de Hidalgo (SITMAH), Humberto Román Cabrera, informó que las nuevas unidades del Tuzobús comenzarán a circular a partir del próximo 1 de junio; sin embargo, será hasta el 16 de junio cuando operen al 100 por ciento, luego de un periodo de ajuste y pruebas en frecuencias y logística. Detalló que durante las primeras dos semanas se evaluará el funcionamiento de rutas, horarios y demanda de usuarios, con el objetivo de realizar modificaciones en la programación y evitar saturaciones en el carril exclusivo. Román Cabrera explicó que entrarán en operación 80 nuevos equipos: 42 autobuses articulados con capacidad para 80 pasajeros destinados a la ruta troncal y 38 unidades para rutas alimentadoras con capacidad para 50 usuarios.</t>
  </si>
  <si>
    <t>La empresa Líneas Intermunicipales Tilcuautla-Pachuca S.A. de C.V. emitió un posicionamiento luego del accidente registrado la tarde del miércoles sobre el bulevar Minero, en Pachuca, donde una persona perdió la vida y 17 más resultaron heridas tras el choque entre una unidad del transporte público y una camioneta de carga. Por medio de un comunicado dirigido a medios de comunicación, Guillermo Islas, representante legal de la compañía, expresó sus condolencias a la familia de la mujer fallecida y lamentó lo ocurrido durante el percance vial. La empresa aseguró que el conductor de la Urvan participó en las labores de apoyo después del impacto, ayudando a rescatar y auxiliar a pasajeros lesionados que se encontraban dentro de las unidades involucradas. Asimismo, el representante legal señaló que, presuntamente, el operador de la camioneta materialista habría intentado retirarse del lugar tras el accidente, aunque indicó que elementos policiacos intervinieron oportunamente. Durante el mensaje, Islas pidió evitar señalamientos prematuros sobre quién tuvo la responsabilidad del choque y consideró que frecuentemente los operadores del transporte público son responsabilizados de manera inmediata cuando ocurre un hecho de tránsito. También hizo un llamado a posibles testigos y personas que cuenten con videos del accidente para que compartan la información y así contribuir al esclarecimiento de cómo sucedieron los hechos. De acuerdo con la Secretaría de Seguridad Pública de Hidalgo, el saldo preliminar fue de una persona sin vida y 17 lesionados, quienes fueron trasladados a distintos hospitales para recibir atención médica.</t>
  </si>
  <si>
    <t>Vía telefónica Miguel Ángel Tello Vargas, titular de la Unidad de Planeación y Prospectiva, informó que ayer durante la conferencia semanal del gobierno de Hidalgo, se hizo el lanzamiento de la convocatoria del programa “Impulso Indígena”, un concurso de artesanía y diseño que busca fusionar el arte textil tradicional de las comunidades originarias de Hidalgo con el escenario internacional del mundial de futbol. El objetivo es diseñar una playera que represente a los pueblos originarios durante la celebración, para visibilizar y dignificar su trabajo, así como proyectar su cosmovisión ante el mundo. La convocatoria cierra el 6 de junio.</t>
  </si>
  <si>
    <t>Por unanimidad, los integrantes de la Asamblea Municipal de Tulancingo aprobaron que la Secretaría de Seguridad Ciudadana local detenga y ponga a disposición ante el Ministerio Público a quien sea responsable de violencia hacia otra persona en la vía pública. Se trata de una adición de las fracciones séptima y octava del apartado A del artículo 166 del Bando Municipal de Policía y Gobierno, con lo que se alinean disposiciones al respecto con normativas legales federales y estatales. La presentación de la propuesta y su votación ocurrió durante la Décima Sexta Sesión Pública Ordinaria del Ayuntamiento de Tulancingo, celebrada el pasado miércoles 20 de mayo. La Comisión de Equidad de Género del cuerpo edilicio, quien presentó la propuesta legislativa local, señala que “las mujeres tienen derecho a caminar seguras. Esta propuesta refuerza la capacidad de respuesta ante actos de violencia que ocurren a plena luz del día, frente a vecinos, frente a hijos”.</t>
  </si>
  <si>
    <t>Sesión De Cabildo</t>
  </si>
  <si>
    <t>Aunque durante la actual administración del Sistema DIF municipal de Tulancingo no existe registro de abandono total de personas de la tercera edad o incapaces de valerse por sí mismas, sí se ha conocido de cuidadores a cargo de este grupo de población, pero teniendo ellos mismos edad avanzada o complicaciones de salud. Jessica Garrido Cázares, presidenta del organismo asistencial local, señaló que es creciente la cantidad de estas situaciones, donde en varios casos las personas en estas situaciones son de escasos recursos económicos o se encuentran en vulnerabilidad social. “Por ejemplo, hemos tenido el caso de una persona de aproximadamente 35 años de edad, con problemas de salud muy delicados, que se encarga del cuidado de su familiar, de 85 años, quienes no cuentan con ningún familiar que a su vez les apoye”, refirió. Como este, hay más casos donde tanto el cuidador como la persona que tiene a su cargo tienen complicaciones por salud, por la edad, o ambos casos, localizados en varios puntos del municipio. Los colaboradores del Sistema DIF Tulancingo han conocido de estos casos durante los recorridos de trabajo que realizan en colonias y comunidades del municipio, o por reportes de los enlaces vecinales. Son los vecinos de estas personas en vulnerabilidad quienes les apoyan con alimentos, algunos enseres, o incluso con dinero que recaudan cuando existen situaciones delicadas.</t>
  </si>
  <si>
    <t>Atención a adultos mayores</t>
  </si>
  <si>
    <t>Como parte de los trabajos de actualización del Plan Municipal de Desarrollo 2024–2027, el próximo 25 de mayo iniciará el Censo de Pueblos y Comunidades Indígenas en Tulancingo, ejercicio coordinado por la Secretaría de Desarrollo Humano y Social con personal debidamente acreditado. Para ello, se realizarán recorridos en las comunidades catalogadas como indígenas, con el objetivo de recabar información que permita integrar la perspectiva y las necesidades de estos sectores dentro de la planeación municipal. Por ello, previamente se entregó una convocatoria en español y otomí, con el propósito de difundir los objetivos del censo e incentivar la colaboración ciudadana. Durante una reunión previa con enlaces vecinales y representantes comunitarios, se solicitó su apoyo para socializar la importancia de este ejercicio entre la población y fomentar la participación ciudadana. La recopilación de datos se realizará a través de una plataforma digital implementada por la Unidad de Planeación y Prospectiva del Gobierno de Hidalgo, herramienta que permitirá la captura segura y validada de la información.</t>
  </si>
  <si>
    <t>Daniel Martínez señala que ayer las lluvias hicieron que Pachuca colapsara y esto se debe a la falta de un diseño adecuado de una planificación y se construyeran fraccionamientos como Los Tuzos cerca del Rio de las Avenidas. El año pasado 300 casas sufrieron daños. el hecho de que los drenajes tengan solo 4 pulgadas en vez de 8 como mínimo, aunque según expertos deberían ser 12 pulgadas de diámetro como mínimo. Tanto en Pachuca como en Tulancingo se cuenta con drenajes de hace más de 50 años y se construyó por todos lados sin planificación. Muchas personas se quedaron por lo menos atrapadas en estaciones del Tuzobús por una hora. es triste que no se apliquen tecnología para provechar la lluvia.</t>
  </si>
  <si>
    <t>Menchaca propone recorte y reestructura en gobiernos municipales de Hidalgo. El gobernador de Hidalgo, Julio Menchaca Salazar, presentó ante el Congreso local una iniciativa de reforma enfocada en fortalecer la austeridad gubernamental, reducir gastos administrativos y reforzar la paridad de género en las instituciones públicas. La propuesta plantea modificaciones a distintas disposiciones legales con el objetivo de adaptar la legislación estatal a las políticas federales de racionalidad presupuestaria y fortalecimiento institucional impulsadas por el Gobierno de México. Entre las medidas más relevantes destaca la intención de reorganizar la estructura de los ayuntamientos, estableciendo límites en el número de regidores y síndicos. Según el planteamiento, esto permitiría hacer más eficiente la operación administrativa de los municipios y mejorar el aprovechamiento de los recursos públicos. Además, la iniciativa contempla prohibir que organismos electorales y el Tribunal Electoral utilicen recursos públicos para contratar seguros médicos privados, seguros de vida personalizados, pensiones privadas u otros beneficios que no estén contemplados en la normatividad vigente. Otro de los puntos centrales busca reforzar la igualdad sustantiva y la paridad de género dentro de los distintos niveles de gobierno, promoviendo una representación más equilibrada entre mujeres y hombres en espacios de decisión pública.</t>
  </si>
  <si>
    <t>El Estado de Hidalgo está en primer lugar en incidencia de actos de corrupción, superando con muy amplio margen la cifra a nivel nacional, de acuerdo a los resultados de la Encuesta Nacional de Calidad e Impacto Gubernamental (ENCIG) 2025. La estadística levantada por el Instituto Nacional de Estadística y Geografía (Inegi) y presentada este jueves, señala que Hidalgo tiene una prevalencia de corrupción de 46 mil 219 actos por cada cien mil habitantes. La tasa de actos de corrupción a nivel nacional registra 27 mil 438 actos por cada cien mil habitantes; la cifra señala un aumento de casos respecto al año 2023, cuando el índice alcanzó 25 mil 394 casos por cada cien mil habitantes. Tabasco y la Ciudad de México son las entidades que siguen en incidencia de actos de corrupción, con 41 mil 330 y 38 mil 866 por cada cien mil habitantes, respectivamente. Los datos del Inegi señalan que actos con autoridades de seguridad pública y permisos relacionados con la propiedad, fueron los servicios y trámites en los que la población reportó un mayor número de incidentes de corrupción, con 63.5 y 32 por ciento, respectivamente. Los estados del país que registraron las menores prevalencia de actos de corrupción fueron Colima, con 9 mil 99 por cada 100,000 habitantes; Querétaro, con 14 mil 511, y Tamaulipas, con 15 mil 591. Con respecto al ejercicio previo, 6 entidades presentaron cambios significativos en términos estadísticos. Las entidades con incrementos fueron Baja California Sur, Ciudad de México y Yucatán, mientras que Colima, Querétaro y Tlaxcala presentaron disminuciones. Por otro lado, señaló, los trámites para abrir una empresa registraron una disminución de incidentes de corrupción que la población reportó haber experimentado, de 23.5 por ciento en 2025, contra 27.5 en 2023.</t>
  </si>
  <si>
    <t>Corrupción</t>
  </si>
  <si>
    <t>Hoy deja el cargo como presidente de la Asociación del Alcalde, Eduardo Medécigo. Solo lo pondrá en su currículo, porque nunca nadie le hizo caso.</t>
  </si>
  <si>
    <t>TV Cable hidalguense Canal 6</t>
  </si>
  <si>
    <t>Contigo Noticias</t>
  </si>
  <si>
    <t>La delegación hidalguense de Taekwondo sigue sumando éxitos al medallero nacional, conquistando hasta el momento un total de ocho preseas, repartidas en una de oro, cuatro de plata y tres bronces. Los medallistas fueron Samuel Jonathan Uriel Zamora Bernal en la categoría cadete 53 kilogramos con la medalla de oro, Ana Bella de León González, categoría cadete, más 59 kilogramos con plata, Isaí López Cruz, categoría infantil 50 kilogramos con plata, Aranza Mirel Azcano García Infantil 54 kilogramos, también con medalla de plata, Emiliano Lozano Esquivel, categoría cadete 57 kilogramos, también con plata, Oscar Dylan Calderón García, también en categoría cadete menos 49 kilogramos con bronce, Neri Yunuen Vargas Mendoza, categoría cadete femenil, menos 44 kilogramos con bronce también.</t>
  </si>
  <si>
    <t>Nacionales Conade</t>
  </si>
  <si>
    <t>PIBEH impulsa el crecimiento profesional de quienes forman parte de la institución</t>
  </si>
  <si>
    <t>CEDSPI y CBTIS No. 8 formalizan alianza institucional</t>
  </si>
  <si>
    <t>Abren convocatorias para los Premios Estatales de Literatura 2026</t>
  </si>
  <si>
    <t>Cultura</t>
  </si>
  <si>
    <t>Premio estatal de literatura</t>
  </si>
  <si>
    <t>Saderh acuerda con Utmart impulsar sector acuícola en Hidalgo</t>
  </si>
  <si>
    <t>Hoteles y restaurantes de Hidalgo pueden obtener el distintivo “México Anfitrión 2026”</t>
  </si>
  <si>
    <t>Distintivo turístico</t>
  </si>
  <si>
    <t>En 20 días quedará resuelto el problema de la disposición final de la basura que se genera en la zona metropolitana de T, así lo dio a conocer en entrevista el presidente municipal, Cristian Martínez Reséndiz. El Presidente municipal reveló que está siendo habilitado un predio de 2.5 hectáreas en la Comunidad de Teocalco, en la salida de Tula de Allende, cerca de la autopista Arco Norte, para el nuevo relleno sanitario y que la empresa que administrará este nuevo sitio de confinamiento de desechos sólidos urbanos es la misma que trabaja el relleno sanitario de Pachuca, de nombre Marzacot S.A.de C.V., que además, es propietaria del predio que cumple, de acuerdo con lo dicho por el presidente, con todas las normas ambientales y lineamientos técnicos como el que no existan ductos de Pemex cerca en líneas de energía de CFE, cerca, entre otros. El presidente municipal pidió a los tulenses su comprensión, ya que durante estos días el servicio de recolección de basura seguirá siendo intermitente, ya que actualmente las 65 toneladas de basura que se generan a diario son trasladadas a un predio en la comunidad de Bomintza, donde se realiza un trasvase para llevar la basura al Estado de México y hay días que se satura obligando a los servicios públicos.</t>
  </si>
  <si>
    <t>Edson Vélez</t>
  </si>
  <si>
    <t>Contraloría exhorta a proveedores a realizar el canje de registro antes del 15 de junio</t>
  </si>
  <si>
    <t>Contraloría</t>
  </si>
  <si>
    <t>Padrón de proveedores</t>
  </si>
  <si>
    <t>Más de 50 mil servidores públicos han cumplido con su declaración patrimonial en Hidalgo</t>
  </si>
  <si>
    <t>Declaración patrimonial</t>
  </si>
  <si>
    <t>Gobierno de Hidalgo fortalece atención integral y digna para personas adultas mayores</t>
  </si>
  <si>
    <t>Bienestar</t>
  </si>
  <si>
    <t>Envejecimiento saludable</t>
  </si>
  <si>
    <t>Ana Karen Parra Bonilla, presidenta de la Comisión de Derechos Humanos del Estado de Hidalgo (CDHEH), exhortó al Congreso local a mantener una postura neutral respecto a la tauromaquia. Pidió que el análisis sobre la prohibición o defensa de las corridas de toros sea objetivo, apegado a lo jurídico y libre de sesgos políticos.</t>
  </si>
  <si>
    <t>CDHEH</t>
  </si>
  <si>
    <t>Irving Sánchez habló sobre la fuerte lluvia que se registró la tarde de ayer en la capital del Estado, en donde se registraron condiciones de encharcamientos en centros comerciales, puentes, bulevares, incluso en edificios de Gobierno.</t>
  </si>
  <si>
    <t>Gobierno</t>
  </si>
  <si>
    <t>Irving Sánchez</t>
  </si>
  <si>
    <t>Valle del Mezquital - Las intensas lluvias registradas la tarde de este jueves en distintos municipios del Valle del Mezquital dejaron diversas afectaciones, entre ellas encharcamientos, inundaciones en calles y carreteras, caída de árboles y apagones en municipios como Ixmiquilpan, Progreso de Obregón y Francisco I. Madero. En el caso de Ixmiquilpan, ciudadanos reportaron varios apagones en distintos puntos del municipio, uno de ellos afectando directamente los servicios de emergencia de la delegación de la Cruz Roja Mexicana, la cual se quedó temporalmente sin líneas telefónicas. A través de redes sociales, habitantes señalaron que intentaron comunicarse con la corporación para solicitar apoyo; sin embargo, no lograban establecer contacto, situación que complicó la atención de emergencias durante la tormenta. Asimismo, se registraron severos encharcamientos sobre la carretera federal México-Laredo, principalmente en el carril con dirección hacia Pachuca, a la altura de Soriana, un punto que constantemente presenta inundaciones cada vez que se registran precipitaciones de consideración. Mientras tanto, en Progreso de Obregón y Francisco I. Madero las lluvias provocaron acumulación de agua en calles y carreteras, además de la caída de árboles. De acuerdo con reportes ciudadanos, uno de los árboles colapsados obstruyó parcialmente una carretera, por lo que automovilistas pidieron extremar precauciones al circular por la zona. Las autoridades y cuerpos de emergencia de cada demarcación se mantienen realizando recorridos para atender las afectaciones reportadas.</t>
  </si>
  <si>
    <t>Con 20 votos a favor, cinco en contra y una abstención, el Congreso de Hidalgo aprobó la solicitud para realizar una consulta popular que permita a la ciudadanía decidir sobre la continuidad o prohibición de las corridas de toros en la entidad. El debate dividió posturas entre legisladores que consideran la tauromaquia una tradición cultural y quienes sostienen que la protección animal ya está contemplada en la Constitución y no debería someterse a consulta. La propuesta plantea que la población determine si las corridas deben continuar como parte del patrimonio cultural inmaterial o si deben prohibirse los espectáculos relacionados con la tauromaquia. Durante la discusión, diputados de Morena defendieron la consulta como un mecanismo de participación ciudadana ante un tema que genera polarización social, cultural y económica.</t>
  </si>
  <si>
    <t>Entrevista vía telefónica Prisco Manuel Gutiérrez, titular de la CEDSPI - Impulso Indígena: Habló sobre la convocatoria de "Impulso Indígena”, concurso dirigido a artesanas y artesanos del estado, que tiene como objetivo, crear un jersey que confeccione la pasión por el fútbol con diseño y arte textil. La convocatoria está abierta del 18 de mayo al 6 de junio, el ganador del primer lugar obtendrá un premio de 120 mil pesos.</t>
  </si>
  <si>
    <t>Equipo Taurus de la UPT clasifica a la final del Mundial CanSat 2026</t>
  </si>
  <si>
    <t>Despacho del Gobernador y Sebiso llevan apoyos sociales a 2 mil familias de San Bartolo.</t>
  </si>
  <si>
    <t>Despacho</t>
  </si>
  <si>
    <t>Entrega De Apoyos</t>
  </si>
  <si>
    <t>Prevención y planeación fortalecen la respuesta ante fenómenos hidrometeorológicos: Gobierno de Hidalgo. (AUDIO GOR).</t>
  </si>
  <si>
    <t>Comité de emergencias</t>
  </si>
  <si>
    <t>Hay convicción para la transformación de Hidalgo”, afirma Menchaca. (AUDIO JMS).</t>
  </si>
  <si>
    <t>En su colaboración semanal, Gustavo Rosales habló sobre la participación del taekwondo hidalguense en los Nacionales Conade 2026, sumando al medallero de la entidad dos medallas de oro y un bronce, con esto, la disciplina de taekwondo acumula diez preseas repartidas en tres medallas de oro, cuatro de plata y cuatro de bronce. Números basten positivos por parte de la delegación hidalguense de taekwondo.</t>
  </si>
  <si>
    <t>Entrevista vía telefónica Miguel Ángel Tello Vargas, titular de la Unidad de Planeación y Prospectiva de Hidalgo - Impulso Indígena: Habló sobre el la convocatoria "Impulso Indígena", dirigida a artesanos para diseñar un jersey de fútbol que fusione el arte textil de los pueblos originarios con la identidad mundialista. Dicha convocatoria estará abierta hasta el próximo 6 de junio, la publicación de los ganadores se dará a conocer el 15 del mismo mes.</t>
  </si>
  <si>
    <t>Julio Menchaca presenta “Plan B” alineado con la visión de austeridad republicana del Gobierno de México.</t>
  </si>
  <si>
    <t>“Hay convicción para la transformación de Hidalgo”, afirma Menchaca. (AUDIO JMS).</t>
  </si>
  <si>
    <t>Desmantelan predio con cisterna clandestina para resguardo de hidrocarburo.</t>
  </si>
  <si>
    <t>Combate Al Huachicol</t>
  </si>
  <si>
    <t>Prevención y planeación fortalecen la respuesta ante fenómenos hidrometeorológicos: Gobierno de Hidalgo.</t>
  </si>
  <si>
    <t>Radioescucha falta de agua en Villas del Álamo ya se reporto a Caasim y nada, cae muy poca agua y eso que tengo cisterna</t>
  </si>
  <si>
    <t>En redes sociales elementos de la Policía Municipal de Chapantongo fueron denunciados por una presunta agresión contra un adulto mayor que intentaba impedir los trabajos de apertura de un camino en la comunidad de Zimapantongo, habitantes de la zona acusaron a los oficiales por hacer uso excesivo de la fuerza contra los poblados de comunidad, AUDIO APOYO</t>
  </si>
  <si>
    <t>Abuso Policiaco</t>
  </si>
  <si>
    <t>Siguiendo con este tema, Guillermo Islas, representative legal de líneas intermunicipales de Pachuca, responsabiliza a un vehículo de carga por el accidente en un bulevar Minero que cobró la vida de un pasajero. Dijo que, lamentablemente, cuando un transporte público está involucrado, casi siempre lo responsabiliza.</t>
  </si>
  <si>
    <t>También informamos de una persona que perdió la vida tras un accidente, que estuvo involucrado en una urbana de transporte público sobre un bulevar Minero en Pachuca. Ante los hechos, la Secretaría de Movilidad y Transportes de Hidalgo informó que personal del sistema de transporte convencional acudió de inmediato al lugar para coordinarse con las autoridades y dar seguimiento al caso. La dependencia expresó su solidaridad con la familia de la víctima y señaló que brindará atención y orientación a las personas usuarias afectadas. Además aseguró que colaborarán con las investigaciones para esclarecer lo ocurrido y terminar responsabilidades. La SEMOT advirtió que, en caso de confirmarse responsabilidad del concesionario o del conductor, se aplicarán las sanciones correspondientes conforme a la Ley de Movilidad y Transporte del Estado</t>
  </si>
  <si>
    <t>Radioescucha comenta: “Pedimos el apoyo del señor gobernador para apoyar en el accidente de la colectiva, ya que las unidades no contaban con seguro y la verdad los accidentados están viendo su suerte, ya que lo están viendo todo por sus medios. Comenta conductor: “¿Qué pasó aquí, SEMOT? ¿Cómo que no tenía seguro esta unidad y el otro vehículo de carga tampoco? ¿Que no se supone que todos tenemos que tener seguro para circular? Chequen bien qué está pasando”</t>
  </si>
  <si>
    <t>El gobierno municipal de Tula, en coordinación con la Dirección de Protección Civil y Bomberos, informa a la ciudadanía que, derivado de las lluvias y ráfagas de viento registradas en el municipio de Tula de Allende, pues se atendieron diversos reportes por caída de árboles en las comunidades del Cielito, San José, San Lorenzo, San Pedro y El Huerto. Los elementos realizaron labores de retiro y mitigación de riesgos con el objetivo de salvaguardar la integridad de la población y mantenerse libres las vialidades afectadas. Pues recuerde usted, cualquier emergencia aquí en Tula de Allende o en cualquier parte del estado, puede comunicarse al 911, que es el número de emergencias.</t>
  </si>
  <si>
    <t>Vaya que hizo estragos ayer la lluvia de la tarde noche en Pachuca, en Ixmiquilpan, Progreso de Obregón, Francisco I. Madero, aquí en Tula. Muchos problemas en la negación, encharcamientos. Algunos negocios, instituciones como Radio y Televisión de Hidalgo, pues tuvieron ahí que sacar agua de las oficinas para evitar alguna inundación, que se dañaran equipos y también algunas carreteras con encharcamientos. Vimos autos que se los llevaba la corriente. Así es que hay que tomar precauciones, por favor. Hay que atender las indicaciones de protección civil y estar muy atentos a las condiciones climáticas para este fin de semana.</t>
  </si>
  <si>
    <t>Radioescucha informo que el dia de ayer en la Aquiles Serdan, el agua se metio en algunas casas, ya que la lluvia fue muy intensa</t>
  </si>
  <si>
    <t>La Subsecretaría de Protección Civil y Gestión de Riesgos informa a la población que este 22 de mayo de 2026 se prevén chubascos con lluvias puntuales fuertes de 25 a 50 mm en las regiones norte, centro y sureste del estado. Asimismo, se pronostican temperaturas máximas de 30 a 35 °C en la región norte, así como vientos de 10 a 20 km/h con rachas de 30 a 50 km/h.</t>
  </si>
  <si>
    <t>Alerta Meteorológica</t>
  </si>
  <si>
    <t>Jorge Alberto Reyes rindió protesta como presidente de la Asociación de Alcaldes del Estado de Hidalgo en Pachuca. El nuevo representante de las y los alcaldes de Hidalgo agradeció la confianza de las presidentas y presidentes municipales, así como el acompañamiento del gobernador del estado , AUDIO APOYO</t>
  </si>
  <si>
    <t>Tres elementos de la Secretaría de Seguridad Pública de Pachuca resultaron lesionados luego de ser atropellados por una conductora en la calle Sector Primario, a un costado del Congreso del Estado de Hidalgo.De acuerdo con los primeros reportes, la mujer intentaba salir de un estacionamiento cuando, presuntamente, perdió el control de su vehículo. En su trayecto derribó una malla ciclónica y terminó impactando a los policías que se encontraban realizando labores de vialidad en la zona.Tras el incidente, los oficiales fueron atendidos por cuerpos de emergencia, mientras que el área fue asegurada para evitar mayores riesgos y facilitar las investigaciones correspondientes.</t>
  </si>
  <si>
    <t>Hablemos de corrupción. Sí, de esa corrupción sistémica que está profundamente arraigada en las instituciones, la sociedad, las familias y en cualquier nivel socioeconómico de nuestro país. Sin duda, este fenómeno provoca que, en muchas ocasiones, fallemos como el sistema democrático y transparente que deberíamos ser, un sistema donde cada uno de nosotros termina participando para que el engranaje siga operando bajo las reglas de la ilegalidad.Una de las características más alarmantes de la corrupción sistémica es su normalización. Los ciudadanos participan en actos de corrupción porque perciben que es la única forma de sobrevivir, agilizar un proceso o lograr sus objetivos, lo que la convierte en un complejo problema de acción colectiva.Las cifras del INEGI: El costo de la ineficiencia. Pero, ¿cómo llegamos aquí? Ayer, el INEGI ofreció una conferencia de prensa y presentó cifras sumamente reveladoras. El organismo advirtió que la pesada carga de los trámites, las fallas en la atención y la corrupción siguen encareciendo la operación de los negocios y el cumplimiento de las obligaciones ciudadanas en el país.Esto de acuerdo con la Encuesta Nacional de Calidad e Impacto Gubernamental (ENCIG) 2025 del INEGI: El problema general: A nivel nacional, en el 39.1% de los trámites, pagos o solicitudes de servicios públicos, los usuarios enfrentaron algún tipo de obstáculo.Las barreras comunes: Hablamos de lo que usted ya conoce perfectamente: largas filas, requisitos excesivos, traslados a oficinas lejanas, costos elevados y horarios restringidos. El propio instituto agrupa todo esto bajo el concepto de barreras al trámite o "tramititis".El impacto: De ese total de ciudadanos que reportaron complicaciones, el 79.7% señaló que estas barreras burocráticas fueron el principal obstáculo para poder concluir sus gestiones.En conclusión: Cuando el Estado le pone trabas excesivas al ciudadano, no solo frena la economía, sino que crea el caldo de cultivo perfecto para que la corrupción sea vista como la única salida viable</t>
  </si>
  <si>
    <t>Combate a la corrupción</t>
  </si>
  <si>
    <t>Como resultado de trabajos de inteligencia operativa encabezados por la Secretaría de Seguridad Pública de Hidalgo (SSPH), en coordinación con la Procuraduría General de Justicia del Estado de Hidalgo (PGJEH), la Secretaría de la Defensa Nacional (Sedena) y la Guardia Nacional (GN), fue desmantelado un predio presuntamente utilizado para el almacenamiento de hidrocarburo robado en la colonia Praderas del Potrero, en Atotonilco de Tula. El operativo se desarrolló mediante una acción de técnica de cateo derivada de labores de inteligencia de la Policía Estatal, permitiendo ubicar un inmueble que presuntamente funcionaba como punto de resguardo de combustible robado. En el sitio se aseguraron 34 mil 350 litros de hidrocarburo y vehículos presuntamente vinculados con esta actividad ilícita.</t>
  </si>
  <si>
    <t>Prevención y planeación fortalecen la respuesta ante fenómenos hidrometeorológicos: Gobierno de Hidalgo</t>
  </si>
  <si>
    <t>"NN Nuestras Noticias ""El Resumen"""</t>
  </si>
  <si>
    <t>Julio Menchaca reconoce al magisterio y fortalece la educación en Hidalgo con inversión histórica</t>
  </si>
  <si>
    <t>Tomás Sosa</t>
  </si>
  <si>
    <t>Despacho del Gobernador y Sebiso llevan apoyos sociales a 2 mil familias de San Bartolo, AUDIO APOYO</t>
  </si>
  <si>
    <t>Colectivos feministas y familiares realizarán una marcha en Actopan para exigir justicia por Dulce, joven de 21 años víctima de presunto feminicidio. La convocatoria fue realizada por La Mercadita Las Insurgentas Feminista-Protesta, que llamó a la ciudadanía a unirse</t>
  </si>
  <si>
    <t>En encuentro con medios de comunicación, el gobernador Julio Menchaca Salazar indicó que se reunirá con Zoé Robledo, directora general del Instituto IMSS, para mejorar la inversión en el nuevo Hospital General del IMSS en la región de Tula, AUDIO JMS</t>
  </si>
  <si>
    <t>Vía telefónica Miguel Ángel Tello Vargas, titular de la Unidad de Planeación y Prospectiva de Hidalgo - Impulso Indígena: Habló sobre el la convocatoria "Impulso Indígena", dirigida a artesanos para diseñar un jersey de fútbol que fusione el arte textil de los pueblos originarios con la identidad mundialista. Dicha convocatoria estará abierta hasta el próximo 6 de junio, la publicación de los ganadores se dará a conocer el 15 del mismo mes</t>
  </si>
  <si>
    <t>Impulso Indígena</t>
  </si>
  <si>
    <t>La Sultana de La Sierra 93.5 FM</t>
  </si>
  <si>
    <t>Contenido gubernamental</t>
  </si>
  <si>
    <t>Vía telefónica Prisco Gutiérrez titular CEDSPI, el tema del lanzamiento de la convocatoria del programa “Impulso Indígena”</t>
  </si>
  <si>
    <t>Javier Yáñez</t>
  </si>
  <si>
    <t>Ximai 103.5 FM</t>
  </si>
  <si>
    <t>Juan Carlos Peña</t>
  </si>
  <si>
    <t>En encuentro con medios de comunicación, el gobernador Julio Menchaca Salazar reconoció que la cercanía del AIFA, la seguridad en el estado, instalaciones en materia deportiva, las cuales fueron un factor clave para que la FIFA eligiera al estado como sede de concentración de la selección de Sudáfrica durante el mundial de fútbol del 26, aseguró que el estado está listo para la justa mundializa y para ofrecer las condiciones necesarias para recibir a los visitantes, AUDIO JMS</t>
  </si>
  <si>
    <t>La presidenta municipal de Atitalaquia, Claudia Sandoval, entregó la obra de drenaje sanitario en las calles 9 de mayo y 20 de septiembre en la comunidad de Tlamaco, destacando que se trata de infraestructura básica que mejora directamente las condiciones de vida de las familias Durante la entrega, la alcaldesa señaló que su administración apuesta por obras funcionales y de impacto social por encima de proyectos de relumbrón al asegurar que este tipo de acciones garantizan servicios dignos para la población</t>
  </si>
  <si>
    <t>Obras De Infraestructura</t>
  </si>
  <si>
    <t>El gobernador de Hidalgo, Julio Menchaca Salazar, envió al Congreso local una iniciativa de reforma en materia de austeridad presupuestaria, administrativa y paridad de género, la cual se alinea firmemente con el llamado "Plan B" promovido a nivel federal por la presidenta de México, Claudia Sheinbaum Pardo. La propuesta contempla una reestructuración profunda en los ayuntamientos, planteando la reducción del número de regidurías y sindicaturas bajo estrictos criterios de eficiencia, austeridad y equilibrio institucional. Asimismo, la iniciativa busca blindar las finanzas públicas al prohibir que los organismos legales y el Tribunal Electoral contraten —con cargo al erario— seguros médicos privados, seguros de vida, pensiones especiales o cualquier otro esquema similar de previsión social privada.Con este paquete de reformas, el Ejecutivo estatal busca consolidar la política de "pobreza franciscana" y optimización de recursos en la entidad, erradicando los antiguos privilegios burocráticos y garantizando que el presupuesto público se destine prioritariamente al bienestar social,</t>
  </si>
  <si>
    <t>Comenta el conductor Eulalio Larrieta que la Semot: "Debe checar con Tuzobús por qué hacen este tipo de cosas de cerrar; para eso están y dicen que las cierran por seguridad. Las lluvias van a seguir y cada que llueve van a cerrar, pues como que no".</t>
  </si>
  <si>
    <t>Quejas Tuzobús</t>
  </si>
  <si>
    <t>Radioescucha reporta que ayer fue un día caótico por la lluvia. “ Mi hijo salió en la tarde con sus amigos y llegaron a la estación de Prepa 1; tuvieron casi que nadar para llegar y les cerraron la cortina en la cara, dejándolos en la inundación parados sin poder llegar a casa. Después se trasladaron a la otra estación de Santa Julia y también estaba cerrada”.</t>
  </si>
  <si>
    <t>El gobernador Julio Menchaca Salazar encabezó las rutas de la transformación en los municipios de Tlaxcoapan y Tlahuelilpan, donde dio a conocer pues las acciones emprendidas durante su administración y anunció nuevos proyectos de infraestructura por más de 187 millones de pesos.AUDIO APOYO JMS,</t>
  </si>
  <si>
    <t>El gobierno de Hidalgo, que encabeza Julio Menchaca Salazar, pues visitó los municipios de Tlaxcoapan y Tlahuelilpan con las rutas de la transformación, donde se anunciaron obras de infraestructura por más de 187 millones de pesos y pues también se reiteró el compromiso de mantener un gobierno cercano y de rendición de cuentas.En Tlaxcoapan, el mandatario Julio Menchaca Salazar destacó que inversiones superiores a 105 millones de pesos en obras como pavimentación, rehabilitación de espacios públicos y mejoras en accesos comunitarios. Destacan más de 351 mil pesos para proyectos productivos y la premiación de la Copa Hidalgo Tlaxcoapan, donde el equipo Maseya logró el bicampeonato en fútbol. Más tarde en Tlahuelilpan, Menchaca supervisó la rehabilitación del libramiento municipal y confirmó inversiones superiores a 82 millones de pesos en obras, carreteras y urbanas. Además de anunciar nuevos proyectos de pavimentación y reconducción vía para 2026. AUDIO DE APOYO,</t>
  </si>
  <si>
    <t>Cuando hablamos de las Rutas de la Transformación, nos referimos precisamente a cómo las políticas públicas pueden desmantelar la corrupción desde la raíz. Al acercar los servicios de manera directa a las personas, este programa ataca los dos grandes incentivos de la ilegalidad: la distancia física y la burocracia excesiva. El objetivo es claro: optimizar el acceso a los servicios públicos para que los ciudadanos conozcan sus derechos y beneficios sin necesidad de realizar viajes largos, soportar filas interminables o verse orillados a caer en actos de corrupción para cumplir con sus obligaciones.El impacto directo en la ciudadanía : La verdadera importancia de las Rutas de la Transformación radica en que los servicios gubernamentales se trasladan al territorio, no al revés. Esto atiende de manera frontal un problema que ha aquejado a la entidad y al país por décadas</t>
  </si>
  <si>
    <t>De acuerdo con el Monitor de Sequía en México del Servicio Meteorológico Nacional, con corte al 15 de mayo de 2026, la Comisión Nacional del Agua (Conagua), a través de su Dirección Local Hidalgo, informa que, del total de los 84 municipios de la entidad, 15 reportan condiciones anormalmente secas (D0)*, y las 69 demarcaciones restantes se encuentran sin grado de sequía como se enlista a continuación</t>
  </si>
  <si>
    <t>Sequía</t>
  </si>
  <si>
    <t>Un panel organizado por colectivos animalistas en las instalaciones de la Comisión de Derechos Humanos del Estado de Hidalgo, el diputado Avelino Tovar se pronunció sobre la consulta ciudadana respecto a la permanencia de la tauromaquia en la entidad, señaló que dicho mecanismo podría resultar . Por su parte, la diputada Tania Meza Escorza también expresó su apoyo a estas organizaciones que defienden los derechos de los animales y están en contra de la tauromaquia aquí en el Estado de Hidalgo, AUDIO APOYO</t>
  </si>
  <si>
    <t>Activistas y defensores de los animales han manifestado su rechazo a someter a consulta ciudadana la prohibición de las corridas de toros. Argumentan que el maltrato animal no debe ser sometido a votación y exigen al Congreso local legislar directamente la abolición de la tauromaquia</t>
  </si>
  <si>
    <t>Radioescucha pide poner topes en Ferrocarril Central por el 3B y el Oxxo</t>
  </si>
  <si>
    <t>Topes vehiculares</t>
  </si>
  <si>
    <t>Con una inversión de 7.8 millones de pesos (mdp), el Instituto Nacional de Antropología e Historia (INAH), a través de su representación en Hidalgo, trabaja en la rehabilitación de las cuatro zonas arqueológicas abiertas al público en el estado, para brindar una mejor experiencia al turismo local, nacional y extranjero.Estas labores, señaló la secretaria de Cultura del Gobierno de México, Claudia Curiel de Icaza, “forman parte de una política pública de cuidado del patrimonio. Con acciones en Tula, Huapalcalco, Pañhú y Xihuingo, la Secretaría de Cultura y el INAH atienden necesidades específicas de conservación e infraestructura, para que sigan siendo espacios vivos de memoria, conocimiento e identidad para sus comunidades y para quienes los visitan”.</t>
  </si>
  <si>
    <t>Zona Arqueológica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</si>
</sst>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2" tableType="queryTable" totalsRowShown="0">
  <autoFilter ref="A1:M172"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2"/>
  <sheetViews>
    <sheetView tabSelected="1" topLeftCell="A137" workbookViewId="0">
      <selection activeCell="C172" sqref="C172"/>
    </sheetView>
  </sheetViews>
  <sheetFormatPr baseColWidth="10" defaultRowHeight="15" x14ac:dyDescent="0.25"/>
  <cols>
    <col min="1" max="1" width="8.5703125" bestFit="1" customWidth="1"/>
    <col min="2" max="2" width="11.42578125" bestFit="1" customWidth="1"/>
    <col min="3" max="3" width="28.140625" bestFit="1" customWidth="1"/>
    <col min="4" max="4" width="35.570312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42</v>
      </c>
      <c r="C1" t="s">
        <v>43</v>
      </c>
      <c r="D1" t="s">
        <v>44</v>
      </c>
      <c r="E1" t="s">
        <v>1</v>
      </c>
      <c r="F1" t="s">
        <v>2</v>
      </c>
      <c r="G1" t="s">
        <v>4</v>
      </c>
      <c r="H1" t="s">
        <v>3</v>
      </c>
      <c r="I1" t="s">
        <v>5</v>
      </c>
      <c r="J1" t="s">
        <v>45</v>
      </c>
      <c r="K1" t="s">
        <v>46</v>
      </c>
      <c r="L1" t="s">
        <v>47</v>
      </c>
      <c r="M1" t="s">
        <v>54</v>
      </c>
    </row>
    <row r="2" spans="1:13" x14ac:dyDescent="0.25">
      <c r="A2" s="2">
        <v>46163</v>
      </c>
      <c r="B2" s="1" t="str">
        <f ca="1">IF(Información1[[#This Row],[Fecha]]='Ajuste de fechas'!$A$2,"Día actual","Día anterior")</f>
        <v>Día anterior</v>
      </c>
      <c r="C2" s="3" t="s">
        <v>109</v>
      </c>
      <c r="D2" t="s">
        <v>110</v>
      </c>
      <c r="E2" s="3" t="s">
        <v>107</v>
      </c>
      <c r="F2" s="3" t="s">
        <v>79</v>
      </c>
      <c r="G2" s="3" t="s">
        <v>80</v>
      </c>
      <c r="H2" s="3" t="s">
        <v>11</v>
      </c>
      <c r="I2" s="3" t="s">
        <v>12</v>
      </c>
      <c r="J2" s="3" t="s">
        <v>48</v>
      </c>
      <c r="K2" s="3" t="s">
        <v>111</v>
      </c>
      <c r="L2" s="3" t="s">
        <v>81</v>
      </c>
      <c r="M2">
        <v>1</v>
      </c>
    </row>
    <row r="3" spans="1:13" x14ac:dyDescent="0.25">
      <c r="A3" s="2">
        <v>46163</v>
      </c>
      <c r="B3" s="1" t="str">
        <f ca="1">IF(Información1[[#This Row],[Fecha]]='Ajuste de fechas'!$A$2,"Día actual","Día anterior")</f>
        <v>Día anterior</v>
      </c>
      <c r="C3" s="3" t="s">
        <v>28</v>
      </c>
      <c r="D3" t="s">
        <v>31</v>
      </c>
      <c r="E3" s="3" t="s">
        <v>112</v>
      </c>
      <c r="F3" s="3" t="s">
        <v>23</v>
      </c>
      <c r="G3" s="3" t="s">
        <v>62</v>
      </c>
      <c r="H3" s="3" t="s">
        <v>11</v>
      </c>
      <c r="I3" s="3" t="s">
        <v>7</v>
      </c>
      <c r="J3" s="3" t="s">
        <v>48</v>
      </c>
      <c r="K3" s="3" t="s">
        <v>29</v>
      </c>
      <c r="L3" s="3" t="s">
        <v>49</v>
      </c>
      <c r="M3">
        <v>1</v>
      </c>
    </row>
    <row r="4" spans="1:13" x14ac:dyDescent="0.25">
      <c r="A4" s="2">
        <v>46163</v>
      </c>
      <c r="B4" s="1" t="str">
        <f ca="1">IF(Información1[[#This Row],[Fecha]]='Ajuste de fechas'!$A$2,"Día actual","Día anterior")</f>
        <v>Día anterior</v>
      </c>
      <c r="C4" s="3" t="s">
        <v>28</v>
      </c>
      <c r="D4" t="s">
        <v>31</v>
      </c>
      <c r="E4" s="3" t="s">
        <v>113</v>
      </c>
      <c r="F4" s="3" t="s">
        <v>61</v>
      </c>
      <c r="G4" s="3" t="s">
        <v>86</v>
      </c>
      <c r="H4" s="3" t="s">
        <v>11</v>
      </c>
      <c r="I4" s="3" t="s">
        <v>7</v>
      </c>
      <c r="J4" s="3" t="s">
        <v>48</v>
      </c>
      <c r="K4" s="3" t="s">
        <v>29</v>
      </c>
      <c r="L4" s="3" t="s">
        <v>49</v>
      </c>
      <c r="M4">
        <v>1</v>
      </c>
    </row>
    <row r="5" spans="1:13" x14ac:dyDescent="0.25">
      <c r="A5" s="2">
        <v>46163</v>
      </c>
      <c r="B5" s="1" t="str">
        <f ca="1">IF(Información1[[#This Row],[Fecha]]='Ajuste de fechas'!$A$2,"Día actual","Día anterior")</f>
        <v>Día anterior</v>
      </c>
      <c r="C5" s="3" t="s">
        <v>28</v>
      </c>
      <c r="D5" t="s">
        <v>31</v>
      </c>
      <c r="E5" s="3" t="s">
        <v>114</v>
      </c>
      <c r="F5" s="3" t="s">
        <v>21</v>
      </c>
      <c r="G5" s="3" t="s">
        <v>100</v>
      </c>
      <c r="H5" s="3" t="s">
        <v>11</v>
      </c>
      <c r="I5" s="3" t="s">
        <v>7</v>
      </c>
      <c r="J5" s="3" t="s">
        <v>48</v>
      </c>
      <c r="K5" s="3" t="s">
        <v>29</v>
      </c>
      <c r="L5" s="3" t="s">
        <v>49</v>
      </c>
      <c r="M5">
        <v>1</v>
      </c>
    </row>
    <row r="6" spans="1:13" x14ac:dyDescent="0.25">
      <c r="A6" s="2">
        <v>46163</v>
      </c>
      <c r="B6" s="1" t="str">
        <f ca="1">IF(Información1[[#This Row],[Fecha]]='Ajuste de fechas'!$A$2,"Día actual","Día anterior")</f>
        <v>Día anterior</v>
      </c>
      <c r="C6" s="3" t="s">
        <v>28</v>
      </c>
      <c r="D6" t="s">
        <v>31</v>
      </c>
      <c r="E6" s="3" t="s">
        <v>115</v>
      </c>
      <c r="F6" s="3" t="s">
        <v>22</v>
      </c>
      <c r="G6" s="3" t="s">
        <v>116</v>
      </c>
      <c r="H6" s="3" t="s">
        <v>11</v>
      </c>
      <c r="I6" s="3" t="s">
        <v>7</v>
      </c>
      <c r="J6" s="3" t="s">
        <v>53</v>
      </c>
      <c r="K6" s="3" t="s">
        <v>29</v>
      </c>
      <c r="L6" s="3" t="s">
        <v>49</v>
      </c>
      <c r="M6">
        <v>1</v>
      </c>
    </row>
    <row r="7" spans="1:13" x14ac:dyDescent="0.25">
      <c r="A7" s="2">
        <v>46163</v>
      </c>
      <c r="B7" s="1" t="str">
        <f ca="1">IF(Información1[[#This Row],[Fecha]]='Ajuste de fechas'!$A$2,"Día actual","Día anterior")</f>
        <v>Día anterior</v>
      </c>
      <c r="C7" s="3" t="s">
        <v>28</v>
      </c>
      <c r="D7" t="s">
        <v>31</v>
      </c>
      <c r="E7" s="3" t="s">
        <v>117</v>
      </c>
      <c r="F7" s="3" t="s">
        <v>26</v>
      </c>
      <c r="G7" s="3" t="s">
        <v>118</v>
      </c>
      <c r="H7" s="3" t="s">
        <v>11</v>
      </c>
      <c r="I7" s="3" t="s">
        <v>7</v>
      </c>
      <c r="J7" s="3" t="s">
        <v>48</v>
      </c>
      <c r="K7" s="3" t="s">
        <v>29</v>
      </c>
      <c r="L7" s="3" t="s">
        <v>51</v>
      </c>
      <c r="M7">
        <v>1</v>
      </c>
    </row>
    <row r="8" spans="1:13" x14ac:dyDescent="0.25">
      <c r="A8" s="2">
        <v>46163</v>
      </c>
      <c r="B8" s="1" t="str">
        <f ca="1">IF(Información1[[#This Row],[Fecha]]='Ajuste de fechas'!$A$2,"Día actual","Día anterior")</f>
        <v>Día anterior</v>
      </c>
      <c r="C8" s="3" t="s">
        <v>28</v>
      </c>
      <c r="D8" t="s">
        <v>31</v>
      </c>
      <c r="E8" s="3" t="s">
        <v>119</v>
      </c>
      <c r="F8" s="3" t="s">
        <v>26</v>
      </c>
      <c r="G8" s="3" t="s">
        <v>64</v>
      </c>
      <c r="H8" s="3" t="s">
        <v>11</v>
      </c>
      <c r="I8" s="3" t="s">
        <v>7</v>
      </c>
      <c r="J8" s="3" t="s">
        <v>48</v>
      </c>
      <c r="K8" s="3" t="s">
        <v>29</v>
      </c>
      <c r="L8" s="3" t="s">
        <v>51</v>
      </c>
      <c r="M8">
        <v>1</v>
      </c>
    </row>
    <row r="9" spans="1:13" x14ac:dyDescent="0.25">
      <c r="A9" s="2">
        <v>46163</v>
      </c>
      <c r="B9" s="1" t="str">
        <f ca="1">IF(Información1[[#This Row],[Fecha]]='Ajuste de fechas'!$A$2,"Día actual","Día anterior")</f>
        <v>Día anterior</v>
      </c>
      <c r="C9" s="3" t="s">
        <v>28</v>
      </c>
      <c r="D9" t="s">
        <v>31</v>
      </c>
      <c r="E9" s="3" t="s">
        <v>120</v>
      </c>
      <c r="F9" s="3" t="s">
        <v>26</v>
      </c>
      <c r="G9" s="3" t="s">
        <v>77</v>
      </c>
      <c r="H9" s="3" t="s">
        <v>11</v>
      </c>
      <c r="I9" s="3" t="s">
        <v>7</v>
      </c>
      <c r="J9" s="3" t="s">
        <v>48</v>
      </c>
      <c r="K9" s="3" t="s">
        <v>29</v>
      </c>
      <c r="L9" s="3" t="s">
        <v>49</v>
      </c>
      <c r="M9">
        <v>1</v>
      </c>
    </row>
    <row r="10" spans="1:13" x14ac:dyDescent="0.25">
      <c r="A10" s="2">
        <v>46163</v>
      </c>
      <c r="B10" s="1" t="str">
        <f ca="1">IF(Información1[[#This Row],[Fecha]]='Ajuste de fechas'!$A$2,"Día actual","Día anterior")</f>
        <v>Día anterior</v>
      </c>
      <c r="C10" s="3" t="s">
        <v>28</v>
      </c>
      <c r="D10" t="s">
        <v>31</v>
      </c>
      <c r="E10" s="3" t="s">
        <v>121</v>
      </c>
      <c r="F10" s="3" t="s">
        <v>17</v>
      </c>
      <c r="G10" s="3" t="s">
        <v>122</v>
      </c>
      <c r="H10" s="3" t="s">
        <v>11</v>
      </c>
      <c r="I10" s="3" t="s">
        <v>7</v>
      </c>
      <c r="J10" s="3" t="s">
        <v>48</v>
      </c>
      <c r="K10" s="3" t="s">
        <v>29</v>
      </c>
      <c r="L10" s="3" t="s">
        <v>50</v>
      </c>
      <c r="M10">
        <v>1</v>
      </c>
    </row>
    <row r="11" spans="1:13" x14ac:dyDescent="0.25">
      <c r="A11" s="2">
        <v>46163</v>
      </c>
      <c r="B11" s="1" t="str">
        <f ca="1">IF(Información1[[#This Row],[Fecha]]='Ajuste de fechas'!$A$2,"Día actual","Día anterior")</f>
        <v>Día anterior</v>
      </c>
      <c r="C11" s="3" t="s">
        <v>28</v>
      </c>
      <c r="D11" t="s">
        <v>31</v>
      </c>
      <c r="E11" s="3" t="s">
        <v>123</v>
      </c>
      <c r="F11" s="3" t="s">
        <v>17</v>
      </c>
      <c r="G11" s="3" t="s">
        <v>122</v>
      </c>
      <c r="H11" s="3" t="s">
        <v>11</v>
      </c>
      <c r="I11" s="3" t="s">
        <v>7</v>
      </c>
      <c r="J11" s="3" t="s">
        <v>48</v>
      </c>
      <c r="K11" s="3" t="s">
        <v>29</v>
      </c>
      <c r="L11" s="3" t="s">
        <v>49</v>
      </c>
      <c r="M11">
        <v>1</v>
      </c>
    </row>
    <row r="12" spans="1:13" x14ac:dyDescent="0.25">
      <c r="A12" s="2">
        <v>46163</v>
      </c>
      <c r="B12" s="1" t="str">
        <f ca="1">IF(Información1[[#This Row],[Fecha]]='Ajuste de fechas'!$A$2,"Día actual","Día anterior")</f>
        <v>Día anterior</v>
      </c>
      <c r="C12" s="3" t="s">
        <v>28</v>
      </c>
      <c r="D12" t="s">
        <v>31</v>
      </c>
      <c r="E12" s="3" t="s">
        <v>124</v>
      </c>
      <c r="F12" s="3" t="s">
        <v>19</v>
      </c>
      <c r="G12" s="3" t="s">
        <v>108</v>
      </c>
      <c r="H12" s="3" t="s">
        <v>11</v>
      </c>
      <c r="I12" s="3" t="s">
        <v>7</v>
      </c>
      <c r="J12" s="3" t="s">
        <v>52</v>
      </c>
      <c r="K12" s="3" t="s">
        <v>29</v>
      </c>
      <c r="L12" s="3" t="s">
        <v>49</v>
      </c>
      <c r="M12">
        <v>1</v>
      </c>
    </row>
    <row r="13" spans="1:13" x14ac:dyDescent="0.25">
      <c r="A13" s="2">
        <v>46163</v>
      </c>
      <c r="B13" s="1" t="str">
        <f ca="1">IF(Información1[[#This Row],[Fecha]]='Ajuste de fechas'!$A$2,"Día actual","Día anterior")</f>
        <v>Día anterior</v>
      </c>
      <c r="C13" s="3" t="s">
        <v>28</v>
      </c>
      <c r="D13" t="s">
        <v>31</v>
      </c>
      <c r="E13" s="3" t="s">
        <v>125</v>
      </c>
      <c r="F13" s="3" t="s">
        <v>24</v>
      </c>
      <c r="G13" s="3" t="s">
        <v>126</v>
      </c>
      <c r="H13" s="3" t="s">
        <v>11</v>
      </c>
      <c r="I13" s="3" t="s">
        <v>7</v>
      </c>
      <c r="J13" s="3" t="s">
        <v>24</v>
      </c>
      <c r="K13" s="3" t="s">
        <v>29</v>
      </c>
      <c r="L13" s="3" t="s">
        <v>49</v>
      </c>
      <c r="M13">
        <v>1</v>
      </c>
    </row>
    <row r="14" spans="1:13" x14ac:dyDescent="0.25">
      <c r="A14" s="2">
        <v>46163</v>
      </c>
      <c r="B14" s="1" t="str">
        <f ca="1">IF(Información1[[#This Row],[Fecha]]='Ajuste de fechas'!$A$2,"Día actual","Día anterior")</f>
        <v>Día anterior</v>
      </c>
      <c r="C14" s="3" t="s">
        <v>28</v>
      </c>
      <c r="D14" t="s">
        <v>31</v>
      </c>
      <c r="E14" s="3" t="s">
        <v>127</v>
      </c>
      <c r="F14" s="3" t="s">
        <v>17</v>
      </c>
      <c r="G14" s="3" t="s">
        <v>128</v>
      </c>
      <c r="H14" s="3" t="s">
        <v>11</v>
      </c>
      <c r="I14" s="3" t="s">
        <v>25</v>
      </c>
      <c r="J14" s="3" t="s">
        <v>48</v>
      </c>
      <c r="K14" s="3" t="s">
        <v>29</v>
      </c>
      <c r="L14" s="3" t="s">
        <v>50</v>
      </c>
      <c r="M14">
        <v>1</v>
      </c>
    </row>
    <row r="15" spans="1:13" x14ac:dyDescent="0.25">
      <c r="A15" s="2">
        <v>46163</v>
      </c>
      <c r="B15" s="1" t="str">
        <f ca="1">IF(Información1[[#This Row],[Fecha]]='Ajuste de fechas'!$A$2,"Día actual","Día anterior")</f>
        <v>Día anterior</v>
      </c>
      <c r="C15" s="3" t="s">
        <v>28</v>
      </c>
      <c r="D15" t="s">
        <v>31</v>
      </c>
      <c r="E15" s="3" t="s">
        <v>129</v>
      </c>
      <c r="F15" s="3" t="s">
        <v>88</v>
      </c>
      <c r="G15" s="3" t="s">
        <v>73</v>
      </c>
      <c r="H15" s="3" t="s">
        <v>11</v>
      </c>
      <c r="I15" s="3" t="s">
        <v>7</v>
      </c>
      <c r="J15" s="3" t="s">
        <v>48</v>
      </c>
      <c r="K15" s="3" t="s">
        <v>29</v>
      </c>
      <c r="L15" s="3" t="s">
        <v>49</v>
      </c>
      <c r="M15">
        <v>1</v>
      </c>
    </row>
    <row r="16" spans="1:13" x14ac:dyDescent="0.25">
      <c r="A16" s="2">
        <v>46163</v>
      </c>
      <c r="B16" s="1" t="str">
        <f ca="1">IF(Información1[[#This Row],[Fecha]]='Ajuste de fechas'!$A$2,"Día actual","Día anterior")</f>
        <v>Día anterior</v>
      </c>
      <c r="C16" s="3" t="s">
        <v>28</v>
      </c>
      <c r="D16" t="s">
        <v>31</v>
      </c>
      <c r="E16" s="3" t="s">
        <v>130</v>
      </c>
      <c r="F16" s="3" t="s">
        <v>23</v>
      </c>
      <c r="G16" s="3" t="s">
        <v>78</v>
      </c>
      <c r="H16" s="3" t="s">
        <v>11</v>
      </c>
      <c r="I16" s="3" t="s">
        <v>7</v>
      </c>
      <c r="J16" s="3" t="s">
        <v>48</v>
      </c>
      <c r="K16" s="3" t="s">
        <v>29</v>
      </c>
      <c r="L16" s="3" t="s">
        <v>51</v>
      </c>
      <c r="M16">
        <v>1</v>
      </c>
    </row>
    <row r="17" spans="1:13" x14ac:dyDescent="0.25">
      <c r="A17" s="2">
        <v>46163</v>
      </c>
      <c r="B17" s="1" t="str">
        <f ca="1">IF(Información1[[#This Row],[Fecha]]='Ajuste de fechas'!$A$2,"Día actual","Día anterior")</f>
        <v>Día anterior</v>
      </c>
      <c r="C17" s="3" t="s">
        <v>28</v>
      </c>
      <c r="D17" t="s">
        <v>31</v>
      </c>
      <c r="E17" s="3" t="s">
        <v>131</v>
      </c>
      <c r="F17" s="3" t="s">
        <v>19</v>
      </c>
      <c r="G17" s="3" t="s">
        <v>132</v>
      </c>
      <c r="H17" s="3" t="s">
        <v>11</v>
      </c>
      <c r="I17" s="3" t="s">
        <v>7</v>
      </c>
      <c r="J17" s="3" t="s">
        <v>52</v>
      </c>
      <c r="K17" s="3" t="s">
        <v>29</v>
      </c>
      <c r="L17" s="3" t="s">
        <v>49</v>
      </c>
      <c r="M17">
        <v>1</v>
      </c>
    </row>
    <row r="18" spans="1:13" x14ac:dyDescent="0.25">
      <c r="A18" s="2">
        <v>46163</v>
      </c>
      <c r="B18" s="1" t="str">
        <f ca="1">IF(Información1[[#This Row],[Fecha]]='Ajuste de fechas'!$A$2,"Día actual","Día anterior")</f>
        <v>Día anterior</v>
      </c>
      <c r="C18" s="3" t="s">
        <v>28</v>
      </c>
      <c r="D18" t="s">
        <v>31</v>
      </c>
      <c r="E18" s="3" t="s">
        <v>133</v>
      </c>
      <c r="F18" s="3" t="s">
        <v>19</v>
      </c>
      <c r="G18" s="3" t="s">
        <v>134</v>
      </c>
      <c r="H18" s="3" t="s">
        <v>11</v>
      </c>
      <c r="I18" s="3" t="s">
        <v>7</v>
      </c>
      <c r="J18" s="3" t="s">
        <v>52</v>
      </c>
      <c r="K18" s="3" t="s">
        <v>29</v>
      </c>
      <c r="L18" s="3" t="s">
        <v>49</v>
      </c>
      <c r="M18">
        <v>1</v>
      </c>
    </row>
    <row r="19" spans="1:13" x14ac:dyDescent="0.25">
      <c r="A19" s="2">
        <v>46163</v>
      </c>
      <c r="B19" s="1" t="str">
        <f ca="1">IF(Información1[[#This Row],[Fecha]]='Ajuste de fechas'!$A$2,"Día actual","Día anterior")</f>
        <v>Día anterior</v>
      </c>
      <c r="C19" s="3" t="s">
        <v>28</v>
      </c>
      <c r="D19" t="s">
        <v>31</v>
      </c>
      <c r="E19" s="3" t="s">
        <v>135</v>
      </c>
      <c r="F19" s="3" t="s">
        <v>22</v>
      </c>
      <c r="G19" s="3" t="s">
        <v>136</v>
      </c>
      <c r="H19" s="3" t="s">
        <v>11</v>
      </c>
      <c r="I19" s="3" t="s">
        <v>7</v>
      </c>
      <c r="J19" s="3" t="s">
        <v>53</v>
      </c>
      <c r="K19" s="3" t="s">
        <v>29</v>
      </c>
      <c r="L19" s="3" t="s">
        <v>49</v>
      </c>
      <c r="M19">
        <v>1</v>
      </c>
    </row>
    <row r="20" spans="1:13" x14ac:dyDescent="0.25">
      <c r="A20" s="2">
        <v>46163</v>
      </c>
      <c r="B20" s="1" t="str">
        <f ca="1">IF(Información1[[#This Row],[Fecha]]='Ajuste de fechas'!$A$2,"Día actual","Día anterior")</f>
        <v>Día anterior</v>
      </c>
      <c r="C20" s="3" t="s">
        <v>28</v>
      </c>
      <c r="D20" t="s">
        <v>31</v>
      </c>
      <c r="E20" s="3" t="s">
        <v>137</v>
      </c>
      <c r="F20" s="3" t="s">
        <v>22</v>
      </c>
      <c r="G20" s="3" t="s">
        <v>138</v>
      </c>
      <c r="H20" s="3" t="s">
        <v>11</v>
      </c>
      <c r="I20" s="3" t="s">
        <v>7</v>
      </c>
      <c r="J20" s="3" t="s">
        <v>53</v>
      </c>
      <c r="K20" s="3" t="s">
        <v>29</v>
      </c>
      <c r="L20" s="3" t="s">
        <v>49</v>
      </c>
      <c r="M20">
        <v>1</v>
      </c>
    </row>
    <row r="21" spans="1:13" x14ac:dyDescent="0.25">
      <c r="A21" s="2">
        <v>46163</v>
      </c>
      <c r="B21" s="1" t="str">
        <f ca="1">IF(Información1[[#This Row],[Fecha]]='Ajuste de fechas'!$A$2,"Día actual","Día anterior")</f>
        <v>Día anterior</v>
      </c>
      <c r="C21" s="3" t="s">
        <v>28</v>
      </c>
      <c r="D21" t="s">
        <v>31</v>
      </c>
      <c r="E21" s="3" t="s">
        <v>139</v>
      </c>
      <c r="F21" s="3" t="s">
        <v>22</v>
      </c>
      <c r="G21" s="3" t="s">
        <v>140</v>
      </c>
      <c r="H21" s="3" t="s">
        <v>11</v>
      </c>
      <c r="I21" s="3" t="s">
        <v>7</v>
      </c>
      <c r="J21" s="3" t="s">
        <v>53</v>
      </c>
      <c r="K21" s="3" t="s">
        <v>29</v>
      </c>
      <c r="L21" s="3" t="s">
        <v>49</v>
      </c>
      <c r="M21">
        <v>1</v>
      </c>
    </row>
    <row r="22" spans="1:13" x14ac:dyDescent="0.25">
      <c r="A22" s="2">
        <v>46163</v>
      </c>
      <c r="B22" s="1" t="str">
        <f ca="1">IF(Información1[[#This Row],[Fecha]]='Ajuste de fechas'!$A$2,"Día actual","Día anterior")</f>
        <v>Día anterior</v>
      </c>
      <c r="C22" s="3" t="s">
        <v>28</v>
      </c>
      <c r="D22" t="s">
        <v>31</v>
      </c>
      <c r="E22" s="3" t="s">
        <v>141</v>
      </c>
      <c r="F22" s="3" t="s">
        <v>99</v>
      </c>
      <c r="G22" s="3" t="s">
        <v>100</v>
      </c>
      <c r="H22" s="3" t="s">
        <v>11</v>
      </c>
      <c r="I22" s="3" t="s">
        <v>7</v>
      </c>
      <c r="J22" s="3" t="s">
        <v>24</v>
      </c>
      <c r="K22" s="3" t="s">
        <v>29</v>
      </c>
      <c r="L22" s="3" t="s">
        <v>49</v>
      </c>
      <c r="M22">
        <v>1</v>
      </c>
    </row>
    <row r="23" spans="1:13" x14ac:dyDescent="0.25">
      <c r="A23" s="2">
        <v>46163</v>
      </c>
      <c r="B23" s="1" t="str">
        <f ca="1">IF(Información1[[#This Row],[Fecha]]='Ajuste de fechas'!$A$2,"Día actual","Día anterior")</f>
        <v>Día anterior</v>
      </c>
      <c r="C23" s="3" t="s">
        <v>28</v>
      </c>
      <c r="D23" t="s">
        <v>31</v>
      </c>
      <c r="E23" s="3" t="s">
        <v>142</v>
      </c>
      <c r="F23" s="3" t="s">
        <v>143</v>
      </c>
      <c r="G23" s="3" t="s">
        <v>144</v>
      </c>
      <c r="H23" s="3" t="s">
        <v>11</v>
      </c>
      <c r="I23" s="3" t="s">
        <v>7</v>
      </c>
      <c r="J23" s="3" t="s">
        <v>24</v>
      </c>
      <c r="K23" s="3" t="s">
        <v>29</v>
      </c>
      <c r="L23" s="3" t="s">
        <v>49</v>
      </c>
      <c r="M23">
        <v>1</v>
      </c>
    </row>
    <row r="24" spans="1:13" x14ac:dyDescent="0.25">
      <c r="A24" s="2">
        <v>46163</v>
      </c>
      <c r="B24" s="1" t="str">
        <f ca="1">IF(Información1[[#This Row],[Fecha]]='Ajuste de fechas'!$A$2,"Día actual","Día anterior")</f>
        <v>Día anterior</v>
      </c>
      <c r="C24" s="3" t="s">
        <v>28</v>
      </c>
      <c r="D24" t="s">
        <v>31</v>
      </c>
      <c r="E24" s="3" t="s">
        <v>145</v>
      </c>
      <c r="F24" s="3" t="s">
        <v>26</v>
      </c>
      <c r="G24" s="3" t="s">
        <v>126</v>
      </c>
      <c r="H24" s="3" t="s">
        <v>11</v>
      </c>
      <c r="I24" s="3" t="s">
        <v>7</v>
      </c>
      <c r="J24" s="3" t="s">
        <v>48</v>
      </c>
      <c r="K24" s="3" t="s">
        <v>29</v>
      </c>
      <c r="L24" s="3" t="s">
        <v>49</v>
      </c>
      <c r="M24">
        <v>1</v>
      </c>
    </row>
    <row r="25" spans="1:13" x14ac:dyDescent="0.25">
      <c r="A25" s="2">
        <v>46163</v>
      </c>
      <c r="B25" s="1" t="str">
        <f ca="1">IF(Información1[[#This Row],[Fecha]]='Ajuste de fechas'!$A$2,"Día actual","Día anterior")</f>
        <v>Día anterior</v>
      </c>
      <c r="C25" s="3" t="s">
        <v>28</v>
      </c>
      <c r="D25" t="s">
        <v>31</v>
      </c>
      <c r="E25" s="3" t="s">
        <v>146</v>
      </c>
      <c r="F25" s="3" t="s">
        <v>24</v>
      </c>
      <c r="G25" s="3" t="s">
        <v>126</v>
      </c>
      <c r="H25" s="3" t="s">
        <v>11</v>
      </c>
      <c r="I25" s="3" t="s">
        <v>7</v>
      </c>
      <c r="J25" s="3" t="s">
        <v>24</v>
      </c>
      <c r="K25" s="3" t="s">
        <v>29</v>
      </c>
      <c r="L25" s="3" t="s">
        <v>49</v>
      </c>
      <c r="M25">
        <v>1</v>
      </c>
    </row>
    <row r="26" spans="1:13" x14ac:dyDescent="0.25">
      <c r="A26" s="2">
        <v>46163</v>
      </c>
      <c r="B26" s="1" t="str">
        <f ca="1">IF(Información1[[#This Row],[Fecha]]='Ajuste de fechas'!$A$2,"Día actual","Día anterior")</f>
        <v>Día anterior</v>
      </c>
      <c r="C26" s="3" t="s">
        <v>28</v>
      </c>
      <c r="D26" t="s">
        <v>31</v>
      </c>
      <c r="E26" s="3" t="s">
        <v>147</v>
      </c>
      <c r="F26" s="3" t="s">
        <v>26</v>
      </c>
      <c r="G26" s="3" t="s">
        <v>64</v>
      </c>
      <c r="H26" s="3" t="s">
        <v>11</v>
      </c>
      <c r="I26" s="3" t="s">
        <v>7</v>
      </c>
      <c r="J26" s="3" t="s">
        <v>48</v>
      </c>
      <c r="K26" s="3" t="s">
        <v>29</v>
      </c>
      <c r="L26" s="3" t="s">
        <v>49</v>
      </c>
      <c r="M26">
        <v>1</v>
      </c>
    </row>
    <row r="27" spans="1:13" x14ac:dyDescent="0.25">
      <c r="A27" s="2">
        <v>46163</v>
      </c>
      <c r="B27" s="1" t="str">
        <f ca="1">IF(Información1[[#This Row],[Fecha]]='Ajuste de fechas'!$A$2,"Día actual","Día anterior")</f>
        <v>Día anterior</v>
      </c>
      <c r="C27" s="3" t="s">
        <v>28</v>
      </c>
      <c r="D27" t="s">
        <v>31</v>
      </c>
      <c r="E27" s="3" t="s">
        <v>148</v>
      </c>
      <c r="F27" s="3" t="s">
        <v>22</v>
      </c>
      <c r="G27" s="3" t="s">
        <v>101</v>
      </c>
      <c r="H27" s="3" t="s">
        <v>11</v>
      </c>
      <c r="I27" s="3" t="s">
        <v>7</v>
      </c>
      <c r="J27" s="3" t="s">
        <v>53</v>
      </c>
      <c r="K27" s="3" t="s">
        <v>29</v>
      </c>
      <c r="L27" s="3" t="s">
        <v>49</v>
      </c>
      <c r="M27">
        <v>1</v>
      </c>
    </row>
    <row r="28" spans="1:13" x14ac:dyDescent="0.25">
      <c r="A28" s="2">
        <v>46163</v>
      </c>
      <c r="B28" s="1" t="str">
        <f ca="1">IF(Información1[[#This Row],[Fecha]]='Ajuste de fechas'!$A$2,"Día actual","Día anterior")</f>
        <v>Día anterior</v>
      </c>
      <c r="C28" s="3" t="s">
        <v>8</v>
      </c>
      <c r="D28" t="s">
        <v>10</v>
      </c>
      <c r="E28" s="3" t="s">
        <v>105</v>
      </c>
      <c r="F28" s="3" t="s">
        <v>19</v>
      </c>
      <c r="G28" s="3" t="s">
        <v>106</v>
      </c>
      <c r="H28" s="3" t="s">
        <v>11</v>
      </c>
      <c r="I28" s="3" t="s">
        <v>25</v>
      </c>
      <c r="J28" s="3" t="s">
        <v>52</v>
      </c>
      <c r="K28" s="3" t="s">
        <v>9</v>
      </c>
      <c r="L28" s="3" t="s">
        <v>50</v>
      </c>
      <c r="M28">
        <v>1</v>
      </c>
    </row>
    <row r="29" spans="1:13" x14ac:dyDescent="0.25">
      <c r="A29" s="2">
        <v>46163</v>
      </c>
      <c r="B29" s="1" t="str">
        <f ca="1">IF(Información1[[#This Row],[Fecha]]='Ajuste de fechas'!$A$2,"Día actual","Día anterior")</f>
        <v>Día anterior</v>
      </c>
      <c r="C29" s="3" t="s">
        <v>8</v>
      </c>
      <c r="D29" t="s">
        <v>10</v>
      </c>
      <c r="E29" s="3" t="s">
        <v>149</v>
      </c>
      <c r="F29" s="3" t="s">
        <v>17</v>
      </c>
      <c r="G29" s="3" t="s">
        <v>128</v>
      </c>
      <c r="H29" s="3" t="s">
        <v>11</v>
      </c>
      <c r="I29" s="3" t="s">
        <v>25</v>
      </c>
      <c r="J29" s="3" t="s">
        <v>48</v>
      </c>
      <c r="K29" s="3" t="s">
        <v>9</v>
      </c>
      <c r="L29" s="3" t="s">
        <v>50</v>
      </c>
      <c r="M29">
        <v>1</v>
      </c>
    </row>
    <row r="30" spans="1:13" x14ac:dyDescent="0.25">
      <c r="A30" s="2">
        <v>46163</v>
      </c>
      <c r="B30" s="1" t="str">
        <f ca="1">IF(Información1[[#This Row],[Fecha]]='Ajuste de fechas'!$A$2,"Día actual","Día anterior")</f>
        <v>Día anterior</v>
      </c>
      <c r="C30" s="3" t="s">
        <v>8</v>
      </c>
      <c r="D30" t="s">
        <v>10</v>
      </c>
      <c r="E30" s="3" t="s">
        <v>150</v>
      </c>
      <c r="F30" s="3" t="s">
        <v>17</v>
      </c>
      <c r="G30" s="3" t="s">
        <v>128</v>
      </c>
      <c r="H30" s="3" t="s">
        <v>11</v>
      </c>
      <c r="I30" s="3" t="s">
        <v>25</v>
      </c>
      <c r="J30" s="3" t="s">
        <v>48</v>
      </c>
      <c r="K30" s="3" t="s">
        <v>9</v>
      </c>
      <c r="L30" s="3" t="s">
        <v>50</v>
      </c>
      <c r="M30">
        <v>1</v>
      </c>
    </row>
    <row r="31" spans="1:13" x14ac:dyDescent="0.25">
      <c r="A31" s="2">
        <v>46163</v>
      </c>
      <c r="B31" s="1" t="str">
        <f ca="1">IF(Información1[[#This Row],[Fecha]]='Ajuste de fechas'!$A$2,"Día actual","Día anterior")</f>
        <v>Día anterior</v>
      </c>
      <c r="C31" s="3" t="s">
        <v>8</v>
      </c>
      <c r="D31" t="s">
        <v>10</v>
      </c>
      <c r="E31" s="3" t="s">
        <v>151</v>
      </c>
      <c r="F31" s="3" t="s">
        <v>17</v>
      </c>
      <c r="G31" s="3" t="s">
        <v>83</v>
      </c>
      <c r="H31" s="3" t="s">
        <v>11</v>
      </c>
      <c r="I31" s="3" t="s">
        <v>25</v>
      </c>
      <c r="J31" s="3" t="s">
        <v>48</v>
      </c>
      <c r="K31" s="3" t="s">
        <v>9</v>
      </c>
      <c r="L31" s="3" t="s">
        <v>50</v>
      </c>
      <c r="M31">
        <v>1</v>
      </c>
    </row>
    <row r="32" spans="1:13" x14ac:dyDescent="0.25">
      <c r="A32" s="2">
        <v>46163</v>
      </c>
      <c r="B32" s="1" t="str">
        <f ca="1">IF(Información1[[#This Row],[Fecha]]='Ajuste de fechas'!$A$2,"Día actual","Día anterior")</f>
        <v>Día anterior</v>
      </c>
      <c r="C32" s="3" t="s">
        <v>8</v>
      </c>
      <c r="D32" t="s">
        <v>10</v>
      </c>
      <c r="E32" s="3" t="s">
        <v>152</v>
      </c>
      <c r="F32" s="3" t="s">
        <v>17</v>
      </c>
      <c r="G32" s="3" t="s">
        <v>83</v>
      </c>
      <c r="H32" s="3" t="s">
        <v>11</v>
      </c>
      <c r="I32" s="3" t="s">
        <v>25</v>
      </c>
      <c r="J32" s="3" t="s">
        <v>48</v>
      </c>
      <c r="K32" s="3" t="s">
        <v>9</v>
      </c>
      <c r="L32" s="3" t="s">
        <v>50</v>
      </c>
      <c r="M32">
        <v>1</v>
      </c>
    </row>
    <row r="33" spans="1:13" x14ac:dyDescent="0.25">
      <c r="A33" s="2">
        <v>46163</v>
      </c>
      <c r="B33" s="1" t="str">
        <f ca="1">IF(Información1[[#This Row],[Fecha]]='Ajuste de fechas'!$A$2,"Día actual","Día anterior")</f>
        <v>Día anterior</v>
      </c>
      <c r="C33" s="3" t="s">
        <v>8</v>
      </c>
      <c r="D33" t="s">
        <v>10</v>
      </c>
      <c r="E33" s="3" t="s">
        <v>153</v>
      </c>
      <c r="F33" s="3" t="s">
        <v>17</v>
      </c>
      <c r="G33" s="3" t="s">
        <v>122</v>
      </c>
      <c r="H33" s="3" t="s">
        <v>11</v>
      </c>
      <c r="I33" s="3" t="s">
        <v>25</v>
      </c>
      <c r="J33" s="3" t="s">
        <v>48</v>
      </c>
      <c r="K33" s="3" t="s">
        <v>9</v>
      </c>
      <c r="L33" s="3" t="s">
        <v>50</v>
      </c>
      <c r="M33">
        <v>1</v>
      </c>
    </row>
    <row r="34" spans="1:13" x14ac:dyDescent="0.25">
      <c r="A34" s="2">
        <v>46163</v>
      </c>
      <c r="B34" s="1" t="str">
        <f ca="1">IF(Información1[[#This Row],[Fecha]]='Ajuste de fechas'!$A$2,"Día actual","Día anterior")</f>
        <v>Día anterior</v>
      </c>
      <c r="C34" s="3" t="s">
        <v>8</v>
      </c>
      <c r="D34" t="s">
        <v>10</v>
      </c>
      <c r="E34" s="3" t="s">
        <v>154</v>
      </c>
      <c r="F34" s="3" t="s">
        <v>17</v>
      </c>
      <c r="G34" s="3" t="s">
        <v>155</v>
      </c>
      <c r="H34" s="3" t="s">
        <v>11</v>
      </c>
      <c r="I34" s="3" t="s">
        <v>25</v>
      </c>
      <c r="J34" s="3" t="s">
        <v>48</v>
      </c>
      <c r="K34" s="3" t="s">
        <v>9</v>
      </c>
      <c r="L34" s="3" t="s">
        <v>50</v>
      </c>
      <c r="M34">
        <v>1</v>
      </c>
    </row>
    <row r="35" spans="1:13" x14ac:dyDescent="0.25">
      <c r="A35" s="2">
        <v>46163</v>
      </c>
      <c r="B35" s="1" t="str">
        <f ca="1">IF(Información1[[#This Row],[Fecha]]='Ajuste de fechas'!$A$2,"Día actual","Día anterior")</f>
        <v>Día anterior</v>
      </c>
      <c r="C35" s="3" t="s">
        <v>8</v>
      </c>
      <c r="D35" t="s">
        <v>10</v>
      </c>
      <c r="E35" s="3" t="s">
        <v>156</v>
      </c>
      <c r="F35" s="3" t="s">
        <v>17</v>
      </c>
      <c r="G35" s="3" t="s">
        <v>76</v>
      </c>
      <c r="H35" s="3" t="s">
        <v>11</v>
      </c>
      <c r="I35" s="3" t="s">
        <v>25</v>
      </c>
      <c r="J35" s="3" t="s">
        <v>48</v>
      </c>
      <c r="K35" s="3" t="s">
        <v>9</v>
      </c>
      <c r="L35" s="3" t="s">
        <v>50</v>
      </c>
      <c r="M35">
        <v>1</v>
      </c>
    </row>
    <row r="36" spans="1:13" x14ac:dyDescent="0.25">
      <c r="A36" s="2">
        <v>46163</v>
      </c>
      <c r="B36" s="1" t="str">
        <f ca="1">IF(Información1[[#This Row],[Fecha]]='Ajuste de fechas'!$A$2,"Día actual","Día anterior")</f>
        <v>Día anterior</v>
      </c>
      <c r="C36" s="3" t="s">
        <v>8</v>
      </c>
      <c r="D36" t="s">
        <v>10</v>
      </c>
      <c r="E36" s="3" t="s">
        <v>157</v>
      </c>
      <c r="F36" s="3" t="s">
        <v>17</v>
      </c>
      <c r="G36" s="3" t="s">
        <v>83</v>
      </c>
      <c r="H36" s="3" t="s">
        <v>11</v>
      </c>
      <c r="I36" s="3" t="s">
        <v>25</v>
      </c>
      <c r="J36" s="3" t="s">
        <v>48</v>
      </c>
      <c r="K36" s="3" t="s">
        <v>9</v>
      </c>
      <c r="L36" s="3" t="s">
        <v>50</v>
      </c>
      <c r="M36">
        <v>1</v>
      </c>
    </row>
    <row r="37" spans="1:13" x14ac:dyDescent="0.25">
      <c r="A37" s="2">
        <v>46163</v>
      </c>
      <c r="B37" s="1" t="str">
        <f ca="1">IF(Información1[[#This Row],[Fecha]]='Ajuste de fechas'!$A$2,"Día actual","Día anterior")</f>
        <v>Día anterior</v>
      </c>
      <c r="C37" s="3" t="s">
        <v>8</v>
      </c>
      <c r="D37" t="s">
        <v>10</v>
      </c>
      <c r="E37" s="3" t="s">
        <v>158</v>
      </c>
      <c r="F37" s="3" t="s">
        <v>17</v>
      </c>
      <c r="G37" s="3" t="s">
        <v>122</v>
      </c>
      <c r="H37" s="3" t="s">
        <v>11</v>
      </c>
      <c r="I37" s="3" t="s">
        <v>25</v>
      </c>
      <c r="J37" s="3" t="s">
        <v>48</v>
      </c>
      <c r="K37" s="3" t="s">
        <v>9</v>
      </c>
      <c r="L37" s="3" t="s">
        <v>50</v>
      </c>
      <c r="M37">
        <v>1</v>
      </c>
    </row>
    <row r="38" spans="1:13" x14ac:dyDescent="0.25">
      <c r="A38" s="2">
        <v>46163</v>
      </c>
      <c r="B38" s="1" t="str">
        <f ca="1">IF(Información1[[#This Row],[Fecha]]='Ajuste de fechas'!$A$2,"Día actual","Día anterior")</f>
        <v>Día anterior</v>
      </c>
      <c r="C38" s="3" t="s">
        <v>8</v>
      </c>
      <c r="D38" t="s">
        <v>10</v>
      </c>
      <c r="E38" s="3" t="s">
        <v>159</v>
      </c>
      <c r="F38" s="3" t="s">
        <v>21</v>
      </c>
      <c r="G38" s="3" t="s">
        <v>160</v>
      </c>
      <c r="H38" s="3" t="s">
        <v>11</v>
      </c>
      <c r="I38" s="3" t="s">
        <v>25</v>
      </c>
      <c r="J38" s="3" t="s">
        <v>48</v>
      </c>
      <c r="K38" s="3" t="s">
        <v>9</v>
      </c>
      <c r="L38" s="3" t="s">
        <v>50</v>
      </c>
      <c r="M38">
        <v>1</v>
      </c>
    </row>
    <row r="39" spans="1:13" x14ac:dyDescent="0.25">
      <c r="A39" s="2">
        <v>46163</v>
      </c>
      <c r="B39" s="1" t="str">
        <f ca="1">IF(Información1[[#This Row],[Fecha]]='Ajuste de fechas'!$A$2,"Día actual","Día anterior")</f>
        <v>Día anterior</v>
      </c>
      <c r="C39" s="3" t="s">
        <v>8</v>
      </c>
      <c r="D39" t="s">
        <v>10</v>
      </c>
      <c r="E39" s="3" t="s">
        <v>161</v>
      </c>
      <c r="F39" s="3" t="s">
        <v>6</v>
      </c>
      <c r="G39" s="3" t="s">
        <v>60</v>
      </c>
      <c r="H39" s="3" t="s">
        <v>11</v>
      </c>
      <c r="I39" s="3" t="s">
        <v>25</v>
      </c>
      <c r="J39" s="3" t="s">
        <v>48</v>
      </c>
      <c r="K39" s="3" t="s">
        <v>9</v>
      </c>
      <c r="L39" s="3" t="s">
        <v>50</v>
      </c>
      <c r="M39">
        <v>1</v>
      </c>
    </row>
    <row r="40" spans="1:13" x14ac:dyDescent="0.25">
      <c r="A40" s="2">
        <v>46163</v>
      </c>
      <c r="B40" s="1" t="str">
        <f ca="1">IF(Información1[[#This Row],[Fecha]]='Ajuste de fechas'!$A$2,"Día actual","Día anterior")</f>
        <v>Día anterior</v>
      </c>
      <c r="C40" s="3" t="s">
        <v>8</v>
      </c>
      <c r="D40" t="s">
        <v>10</v>
      </c>
      <c r="E40" s="3" t="s">
        <v>162</v>
      </c>
      <c r="F40" s="3" t="s">
        <v>6</v>
      </c>
      <c r="G40" s="3" t="s">
        <v>60</v>
      </c>
      <c r="H40" s="3" t="s">
        <v>11</v>
      </c>
      <c r="I40" s="3" t="s">
        <v>25</v>
      </c>
      <c r="J40" s="3" t="s">
        <v>48</v>
      </c>
      <c r="K40" s="3" t="s">
        <v>9</v>
      </c>
      <c r="L40" s="3" t="s">
        <v>50</v>
      </c>
      <c r="M40">
        <v>1</v>
      </c>
    </row>
    <row r="41" spans="1:13" x14ac:dyDescent="0.25">
      <c r="A41" s="2">
        <v>46163</v>
      </c>
      <c r="B41" s="1" t="str">
        <f ca="1">IF(Información1[[#This Row],[Fecha]]='Ajuste de fechas'!$A$2,"Día actual","Día anterior")</f>
        <v>Día anterior</v>
      </c>
      <c r="C41" s="3" t="s">
        <v>8</v>
      </c>
      <c r="D41" t="s">
        <v>10</v>
      </c>
      <c r="E41" s="3" t="s">
        <v>163</v>
      </c>
      <c r="F41" s="3" t="s">
        <v>6</v>
      </c>
      <c r="G41" s="3" t="s">
        <v>164</v>
      </c>
      <c r="H41" s="3" t="s">
        <v>11</v>
      </c>
      <c r="I41" s="3" t="s">
        <v>7</v>
      </c>
      <c r="J41" s="3" t="s">
        <v>48</v>
      </c>
      <c r="K41" s="3" t="s">
        <v>14</v>
      </c>
      <c r="L41" s="3" t="s">
        <v>49</v>
      </c>
      <c r="M41">
        <v>1</v>
      </c>
    </row>
    <row r="42" spans="1:13" x14ac:dyDescent="0.25">
      <c r="A42" s="2">
        <v>46163</v>
      </c>
      <c r="B42" s="1" t="str">
        <f ca="1">IF(Información1[[#This Row],[Fecha]]='Ajuste de fechas'!$A$2,"Día actual","Día anterior")</f>
        <v>Día anterior</v>
      </c>
      <c r="C42" s="3" t="s">
        <v>8</v>
      </c>
      <c r="D42" t="s">
        <v>10</v>
      </c>
      <c r="E42" s="3" t="s">
        <v>165</v>
      </c>
      <c r="F42" s="3" t="s">
        <v>19</v>
      </c>
      <c r="G42" s="3" t="s">
        <v>33</v>
      </c>
      <c r="H42" s="3" t="s">
        <v>11</v>
      </c>
      <c r="I42" s="3" t="s">
        <v>12</v>
      </c>
      <c r="J42" s="3" t="s">
        <v>52</v>
      </c>
      <c r="K42" s="3" t="s">
        <v>9</v>
      </c>
      <c r="L42" s="3" t="s">
        <v>50</v>
      </c>
      <c r="M42">
        <v>1</v>
      </c>
    </row>
    <row r="43" spans="1:13" x14ac:dyDescent="0.25">
      <c r="A43" s="2">
        <v>46163</v>
      </c>
      <c r="B43" s="1" t="str">
        <f ca="1">IF(Información1[[#This Row],[Fecha]]='Ajuste de fechas'!$A$2,"Día actual","Día anterior")</f>
        <v>Día anterior</v>
      </c>
      <c r="C43" s="3" t="s">
        <v>8</v>
      </c>
      <c r="D43" t="s">
        <v>10</v>
      </c>
      <c r="E43" s="3" t="s">
        <v>166</v>
      </c>
      <c r="F43" s="3" t="s">
        <v>19</v>
      </c>
      <c r="G43" s="3" t="s">
        <v>167</v>
      </c>
      <c r="H43" s="3" t="s">
        <v>11</v>
      </c>
      <c r="I43" s="3" t="s">
        <v>7</v>
      </c>
      <c r="J43" s="3" t="s">
        <v>52</v>
      </c>
      <c r="K43" s="3" t="s">
        <v>14</v>
      </c>
      <c r="L43" s="3" t="s">
        <v>49</v>
      </c>
      <c r="M43">
        <v>1</v>
      </c>
    </row>
    <row r="44" spans="1:13" x14ac:dyDescent="0.25">
      <c r="A44" s="2">
        <v>46163</v>
      </c>
      <c r="B44" s="1" t="str">
        <f ca="1">IF(Información1[[#This Row],[Fecha]]='Ajuste de fechas'!$A$2,"Día actual","Día anterior")</f>
        <v>Día anterior</v>
      </c>
      <c r="C44" s="3" t="s">
        <v>8</v>
      </c>
      <c r="D44" t="s">
        <v>10</v>
      </c>
      <c r="E44" s="3" t="s">
        <v>168</v>
      </c>
      <c r="F44" s="3" t="s">
        <v>19</v>
      </c>
      <c r="G44" s="3" t="s">
        <v>169</v>
      </c>
      <c r="H44" s="3" t="s">
        <v>11</v>
      </c>
      <c r="I44" s="3" t="s">
        <v>7</v>
      </c>
      <c r="J44" s="3" t="s">
        <v>52</v>
      </c>
      <c r="K44" s="3" t="s">
        <v>14</v>
      </c>
      <c r="L44" s="3" t="s">
        <v>49</v>
      </c>
      <c r="M44">
        <v>1</v>
      </c>
    </row>
    <row r="45" spans="1:13" x14ac:dyDescent="0.25">
      <c r="A45" s="2">
        <v>46163</v>
      </c>
      <c r="B45" s="1" t="str">
        <f ca="1">IF(Información1[[#This Row],[Fecha]]='Ajuste de fechas'!$A$2,"Día actual","Día anterior")</f>
        <v>Día anterior</v>
      </c>
      <c r="C45" s="3" t="s">
        <v>8</v>
      </c>
      <c r="D45" t="s">
        <v>10</v>
      </c>
      <c r="E45" s="3" t="s">
        <v>170</v>
      </c>
      <c r="F45" s="3" t="s">
        <v>74</v>
      </c>
      <c r="G45" s="3" t="s">
        <v>171</v>
      </c>
      <c r="H45" s="3" t="s">
        <v>11</v>
      </c>
      <c r="I45" s="3" t="s">
        <v>7</v>
      </c>
      <c r="J45" s="3" t="s">
        <v>48</v>
      </c>
      <c r="K45" s="3" t="s">
        <v>14</v>
      </c>
      <c r="L45" s="3" t="s">
        <v>51</v>
      </c>
      <c r="M45">
        <v>1</v>
      </c>
    </row>
    <row r="46" spans="1:13" x14ac:dyDescent="0.25">
      <c r="A46" s="2">
        <v>46163</v>
      </c>
      <c r="B46" s="1" t="str">
        <f ca="1">IF(Información1[[#This Row],[Fecha]]='Ajuste de fechas'!$A$2,"Día actual","Día anterior")</f>
        <v>Día anterior</v>
      </c>
      <c r="C46" s="3" t="s">
        <v>8</v>
      </c>
      <c r="D46" t="s">
        <v>10</v>
      </c>
      <c r="E46" s="3" t="s">
        <v>172</v>
      </c>
      <c r="F46" s="3" t="s">
        <v>23</v>
      </c>
      <c r="G46" s="3" t="s">
        <v>173</v>
      </c>
      <c r="H46" s="3" t="s">
        <v>11</v>
      </c>
      <c r="I46" s="3" t="s">
        <v>7</v>
      </c>
      <c r="J46" s="3" t="s">
        <v>48</v>
      </c>
      <c r="K46" s="3" t="s">
        <v>14</v>
      </c>
      <c r="L46" s="3" t="s">
        <v>49</v>
      </c>
      <c r="M46">
        <v>1</v>
      </c>
    </row>
    <row r="47" spans="1:13" x14ac:dyDescent="0.25">
      <c r="A47" s="2">
        <v>46163</v>
      </c>
      <c r="B47" s="1" t="str">
        <f ca="1">IF(Información1[[#This Row],[Fecha]]='Ajuste de fechas'!$A$2,"Día actual","Día anterior")</f>
        <v>Día anterior</v>
      </c>
      <c r="C47" s="3" t="s">
        <v>8</v>
      </c>
      <c r="D47" t="s">
        <v>10</v>
      </c>
      <c r="E47" s="3" t="s">
        <v>174</v>
      </c>
      <c r="F47" s="3" t="s">
        <v>23</v>
      </c>
      <c r="G47" s="3" t="s">
        <v>122</v>
      </c>
      <c r="H47" s="3" t="s">
        <v>11</v>
      </c>
      <c r="I47" s="3" t="s">
        <v>7</v>
      </c>
      <c r="J47" s="3" t="s">
        <v>48</v>
      </c>
      <c r="K47" s="3" t="s">
        <v>14</v>
      </c>
      <c r="L47" s="3" t="s">
        <v>51</v>
      </c>
      <c r="M47">
        <v>1</v>
      </c>
    </row>
    <row r="48" spans="1:13" x14ac:dyDescent="0.25">
      <c r="A48" s="2">
        <v>46163</v>
      </c>
      <c r="B48" s="1" t="str">
        <f ca="1">IF(Información1[[#This Row],[Fecha]]='Ajuste de fechas'!$A$2,"Día actual","Día anterior")</f>
        <v>Día anterior</v>
      </c>
      <c r="C48" s="3" t="s">
        <v>8</v>
      </c>
      <c r="D48" t="s">
        <v>10</v>
      </c>
      <c r="E48" s="3" t="s">
        <v>130</v>
      </c>
      <c r="F48" s="3" t="s">
        <v>23</v>
      </c>
      <c r="G48" s="3" t="s">
        <v>78</v>
      </c>
      <c r="H48" s="3" t="s">
        <v>11</v>
      </c>
      <c r="I48" s="3" t="s">
        <v>7</v>
      </c>
      <c r="J48" s="3" t="s">
        <v>48</v>
      </c>
      <c r="K48" s="3" t="s">
        <v>14</v>
      </c>
      <c r="L48" s="3" t="s">
        <v>51</v>
      </c>
      <c r="M48">
        <v>1</v>
      </c>
    </row>
    <row r="49" spans="1:13" x14ac:dyDescent="0.25">
      <c r="A49" s="2">
        <v>46163</v>
      </c>
      <c r="B49" s="1" t="str">
        <f ca="1">IF(Información1[[#This Row],[Fecha]]='Ajuste de fechas'!$A$2,"Día actual","Día anterior")</f>
        <v>Día anterior</v>
      </c>
      <c r="C49" s="3" t="s">
        <v>8</v>
      </c>
      <c r="D49" t="s">
        <v>10</v>
      </c>
      <c r="E49" s="3" t="s">
        <v>89</v>
      </c>
      <c r="F49" s="3" t="s">
        <v>74</v>
      </c>
      <c r="G49" s="3" t="s">
        <v>90</v>
      </c>
      <c r="H49" s="3" t="s">
        <v>11</v>
      </c>
      <c r="I49" s="3" t="s">
        <v>7</v>
      </c>
      <c r="J49" s="3" t="s">
        <v>48</v>
      </c>
      <c r="K49" s="3" t="s">
        <v>14</v>
      </c>
      <c r="L49" s="3" t="s">
        <v>51</v>
      </c>
      <c r="M49">
        <v>1</v>
      </c>
    </row>
    <row r="50" spans="1:13" x14ac:dyDescent="0.25">
      <c r="A50" s="2">
        <v>46163</v>
      </c>
      <c r="B50" s="1" t="str">
        <f ca="1">IF(Información1[[#This Row],[Fecha]]='Ajuste de fechas'!$A$2,"Día actual","Día anterior")</f>
        <v>Día anterior</v>
      </c>
      <c r="C50" s="3" t="s">
        <v>8</v>
      </c>
      <c r="D50" t="s">
        <v>10</v>
      </c>
      <c r="E50" s="3" t="s">
        <v>20</v>
      </c>
      <c r="F50" s="3" t="s">
        <v>19</v>
      </c>
      <c r="G50" s="3" t="s">
        <v>40</v>
      </c>
      <c r="H50" s="3" t="s">
        <v>11</v>
      </c>
      <c r="I50" s="3" t="s">
        <v>12</v>
      </c>
      <c r="J50" s="3" t="s">
        <v>52</v>
      </c>
      <c r="K50" s="3" t="s">
        <v>14</v>
      </c>
      <c r="L50" s="3" t="s">
        <v>50</v>
      </c>
      <c r="M50">
        <v>1</v>
      </c>
    </row>
    <row r="51" spans="1:13" x14ac:dyDescent="0.25">
      <c r="A51" s="2">
        <v>46163</v>
      </c>
      <c r="B51" s="1" t="str">
        <f ca="1">IF(Información1[[#This Row],[Fecha]]='Ajuste de fechas'!$A$2,"Día actual","Día anterior")</f>
        <v>Día anterior</v>
      </c>
      <c r="C51" s="3" t="s">
        <v>8</v>
      </c>
      <c r="D51" t="s">
        <v>10</v>
      </c>
      <c r="E51" s="3" t="s">
        <v>18</v>
      </c>
      <c r="F51" s="3" t="s">
        <v>19</v>
      </c>
      <c r="G51" s="3" t="s">
        <v>40</v>
      </c>
      <c r="H51" s="3" t="s">
        <v>11</v>
      </c>
      <c r="I51" s="3" t="s">
        <v>12</v>
      </c>
      <c r="J51" s="3" t="s">
        <v>52</v>
      </c>
      <c r="K51" s="3" t="s">
        <v>14</v>
      </c>
      <c r="L51" s="3" t="s">
        <v>50</v>
      </c>
      <c r="M51">
        <v>1</v>
      </c>
    </row>
    <row r="52" spans="1:13" x14ac:dyDescent="0.25">
      <c r="A52" s="2">
        <v>46163</v>
      </c>
      <c r="B52" s="1" t="str">
        <f ca="1">IF(Información1[[#This Row],[Fecha]]='Ajuste de fechas'!$A$2,"Día actual","Día anterior")</f>
        <v>Día anterior</v>
      </c>
      <c r="C52" s="3" t="s">
        <v>8</v>
      </c>
      <c r="D52" t="s">
        <v>10</v>
      </c>
      <c r="E52" s="3" t="s">
        <v>84</v>
      </c>
      <c r="F52" s="3" t="s">
        <v>21</v>
      </c>
      <c r="G52" s="3" t="s">
        <v>40</v>
      </c>
      <c r="H52" s="3" t="s">
        <v>11</v>
      </c>
      <c r="I52" s="3" t="s">
        <v>12</v>
      </c>
      <c r="J52" s="3" t="s">
        <v>48</v>
      </c>
      <c r="K52" s="3" t="s">
        <v>14</v>
      </c>
      <c r="L52" s="3" t="s">
        <v>50</v>
      </c>
      <c r="M52">
        <v>1</v>
      </c>
    </row>
    <row r="53" spans="1:13" x14ac:dyDescent="0.25">
      <c r="A53" s="2">
        <v>46163</v>
      </c>
      <c r="B53" s="1" t="str">
        <f ca="1">IF(Información1[[#This Row],[Fecha]]='Ajuste de fechas'!$A$2,"Día actual","Día anterior")</f>
        <v>Día anterior</v>
      </c>
      <c r="C53" s="3" t="s">
        <v>8</v>
      </c>
      <c r="D53" t="s">
        <v>10</v>
      </c>
      <c r="E53" s="3" t="s">
        <v>102</v>
      </c>
      <c r="F53" s="3" t="s">
        <v>96</v>
      </c>
      <c r="G53" s="3" t="s">
        <v>40</v>
      </c>
      <c r="H53" s="3" t="s">
        <v>11</v>
      </c>
      <c r="I53" s="3" t="s">
        <v>12</v>
      </c>
      <c r="J53" s="3" t="s">
        <v>24</v>
      </c>
      <c r="K53" s="3" t="s">
        <v>14</v>
      </c>
      <c r="L53" s="3" t="s">
        <v>50</v>
      </c>
      <c r="M53">
        <v>1</v>
      </c>
    </row>
    <row r="54" spans="1:13" x14ac:dyDescent="0.25">
      <c r="A54" s="2">
        <v>46163</v>
      </c>
      <c r="B54" s="1" t="str">
        <f ca="1">IF(Información1[[#This Row],[Fecha]]='Ajuste de fechas'!$A$2,"Día actual","Día anterior")</f>
        <v>Día anterior</v>
      </c>
      <c r="C54" s="3" t="s">
        <v>8</v>
      </c>
      <c r="D54" t="s">
        <v>10</v>
      </c>
      <c r="E54" s="3" t="s">
        <v>16</v>
      </c>
      <c r="F54" s="3" t="s">
        <v>17</v>
      </c>
      <c r="G54" s="3" t="s">
        <v>40</v>
      </c>
      <c r="H54" s="3" t="s">
        <v>11</v>
      </c>
      <c r="I54" s="3" t="s">
        <v>12</v>
      </c>
      <c r="J54" s="3" t="s">
        <v>48</v>
      </c>
      <c r="K54" s="3" t="s">
        <v>14</v>
      </c>
      <c r="L54" s="3" t="s">
        <v>50</v>
      </c>
      <c r="M54">
        <v>1</v>
      </c>
    </row>
    <row r="55" spans="1:13" x14ac:dyDescent="0.25">
      <c r="A55" s="2">
        <v>46163</v>
      </c>
      <c r="B55" s="1" t="str">
        <f ca="1">IF(Información1[[#This Row],[Fecha]]='Ajuste de fechas'!$A$2,"Día actual","Día anterior")</f>
        <v>Día anterior</v>
      </c>
      <c r="C55" s="3" t="s">
        <v>8</v>
      </c>
      <c r="D55" t="s">
        <v>10</v>
      </c>
      <c r="E55" s="3" t="s">
        <v>85</v>
      </c>
      <c r="F55" s="3" t="s">
        <v>6</v>
      </c>
      <c r="G55" s="3" t="s">
        <v>40</v>
      </c>
      <c r="H55" s="3" t="s">
        <v>11</v>
      </c>
      <c r="I55" s="3" t="s">
        <v>12</v>
      </c>
      <c r="J55" s="3" t="s">
        <v>48</v>
      </c>
      <c r="K55" s="3" t="s">
        <v>14</v>
      </c>
      <c r="L55" s="3" t="s">
        <v>50</v>
      </c>
      <c r="M55">
        <v>1</v>
      </c>
    </row>
    <row r="56" spans="1:13" x14ac:dyDescent="0.25">
      <c r="A56" s="2">
        <v>46164</v>
      </c>
      <c r="B56" s="1" t="str">
        <f ca="1">IF(Información1[[#This Row],[Fecha]]='Ajuste de fechas'!$A$2,"Día actual","Día anterior")</f>
        <v>Día actual</v>
      </c>
      <c r="C56" s="3" t="s">
        <v>34</v>
      </c>
      <c r="D56" t="s">
        <v>35</v>
      </c>
      <c r="E56" s="3" t="s">
        <v>175</v>
      </c>
      <c r="F56" s="3" t="s">
        <v>36</v>
      </c>
      <c r="G56" s="3" t="s">
        <v>136</v>
      </c>
      <c r="H56" s="3" t="s">
        <v>32</v>
      </c>
      <c r="I56" s="3" t="s">
        <v>7</v>
      </c>
      <c r="J56" s="3" t="s">
        <v>48</v>
      </c>
      <c r="K56" s="3" t="s">
        <v>27</v>
      </c>
      <c r="L56" s="3" t="s">
        <v>51</v>
      </c>
      <c r="M56">
        <v>1</v>
      </c>
    </row>
    <row r="57" spans="1:13" x14ac:dyDescent="0.25">
      <c r="A57" s="2">
        <v>46164</v>
      </c>
      <c r="B57" s="1" t="str">
        <f ca="1">IF(Información1[[#This Row],[Fecha]]='Ajuste de fechas'!$A$2,"Día actual","Día anterior")</f>
        <v>Día actual</v>
      </c>
      <c r="C57" s="3" t="s">
        <v>34</v>
      </c>
      <c r="D57" t="s">
        <v>35</v>
      </c>
      <c r="E57" s="3" t="s">
        <v>176</v>
      </c>
      <c r="F57" s="3" t="s">
        <v>19</v>
      </c>
      <c r="G57" s="3" t="s">
        <v>33</v>
      </c>
      <c r="H57" s="3" t="s">
        <v>32</v>
      </c>
      <c r="I57" s="3" t="s">
        <v>7</v>
      </c>
      <c r="J57" s="3" t="s">
        <v>52</v>
      </c>
      <c r="K57" s="3" t="s">
        <v>27</v>
      </c>
      <c r="L57" s="3" t="s">
        <v>49</v>
      </c>
      <c r="M57">
        <v>1</v>
      </c>
    </row>
    <row r="58" spans="1:13" x14ac:dyDescent="0.25">
      <c r="A58" s="2">
        <v>46164</v>
      </c>
      <c r="B58" s="1" t="str">
        <f ca="1">IF(Información1[[#This Row],[Fecha]]='Ajuste de fechas'!$A$2,"Día actual","Día anterior")</f>
        <v>Día actual</v>
      </c>
      <c r="C58" s="3" t="s">
        <v>34</v>
      </c>
      <c r="D58" t="s">
        <v>35</v>
      </c>
      <c r="E58" s="3" t="s">
        <v>177</v>
      </c>
      <c r="F58" s="3" t="s">
        <v>17</v>
      </c>
      <c r="G58" s="3" t="s">
        <v>122</v>
      </c>
      <c r="H58" s="3" t="s">
        <v>32</v>
      </c>
      <c r="I58" s="3" t="s">
        <v>7</v>
      </c>
      <c r="J58" s="3" t="s">
        <v>48</v>
      </c>
      <c r="K58" s="3" t="s">
        <v>27</v>
      </c>
      <c r="L58" s="3" t="s">
        <v>49</v>
      </c>
      <c r="M58">
        <v>1</v>
      </c>
    </row>
    <row r="59" spans="1:13" x14ac:dyDescent="0.25">
      <c r="A59" s="2">
        <v>46164</v>
      </c>
      <c r="B59" s="1" t="str">
        <f ca="1">IF(Información1[[#This Row],[Fecha]]='Ajuste de fechas'!$A$2,"Día actual","Día anterior")</f>
        <v>Día actual</v>
      </c>
      <c r="C59" s="3" t="s">
        <v>34</v>
      </c>
      <c r="D59" t="s">
        <v>35</v>
      </c>
      <c r="E59" s="3" t="s">
        <v>178</v>
      </c>
      <c r="F59" s="3" t="s">
        <v>17</v>
      </c>
      <c r="G59" s="3" t="s">
        <v>179</v>
      </c>
      <c r="H59" s="3" t="s">
        <v>32</v>
      </c>
      <c r="I59" s="3" t="s">
        <v>25</v>
      </c>
      <c r="J59" s="3" t="s">
        <v>48</v>
      </c>
      <c r="K59" s="3" t="s">
        <v>27</v>
      </c>
      <c r="L59" s="3" t="s">
        <v>49</v>
      </c>
      <c r="M59">
        <v>1</v>
      </c>
    </row>
    <row r="60" spans="1:13" x14ac:dyDescent="0.25">
      <c r="A60" s="2">
        <v>46164</v>
      </c>
      <c r="B60" s="1" t="str">
        <f ca="1">IF(Información1[[#This Row],[Fecha]]='Ajuste de fechas'!$A$2,"Día actual","Día anterior")</f>
        <v>Día actual</v>
      </c>
      <c r="C60" s="3" t="s">
        <v>34</v>
      </c>
      <c r="D60" t="s">
        <v>35</v>
      </c>
      <c r="E60" s="3" t="s">
        <v>180</v>
      </c>
      <c r="F60" s="3" t="s">
        <v>17</v>
      </c>
      <c r="G60" s="3" t="s">
        <v>179</v>
      </c>
      <c r="H60" s="3" t="s">
        <v>32</v>
      </c>
      <c r="I60" s="3" t="s">
        <v>25</v>
      </c>
      <c r="J60" s="3" t="s">
        <v>48</v>
      </c>
      <c r="K60" s="3" t="s">
        <v>27</v>
      </c>
      <c r="L60" s="3" t="s">
        <v>49</v>
      </c>
      <c r="M60">
        <v>1</v>
      </c>
    </row>
    <row r="61" spans="1:13" x14ac:dyDescent="0.25">
      <c r="A61" s="2">
        <v>46164</v>
      </c>
      <c r="B61" s="1" t="str">
        <f ca="1">IF(Información1[[#This Row],[Fecha]]='Ajuste de fechas'!$A$2,"Día actual","Día anterior")</f>
        <v>Día actual</v>
      </c>
      <c r="C61" s="3" t="s">
        <v>34</v>
      </c>
      <c r="D61" t="s">
        <v>35</v>
      </c>
      <c r="E61" s="3" t="s">
        <v>181</v>
      </c>
      <c r="F61" s="3" t="s">
        <v>19</v>
      </c>
      <c r="G61" s="3" t="s">
        <v>182</v>
      </c>
      <c r="H61" s="3" t="s">
        <v>32</v>
      </c>
      <c r="I61" s="3" t="s">
        <v>25</v>
      </c>
      <c r="J61" s="3" t="s">
        <v>52</v>
      </c>
      <c r="K61" s="3" t="s">
        <v>27</v>
      </c>
      <c r="L61" s="3" t="s">
        <v>50</v>
      </c>
      <c r="M61">
        <v>1</v>
      </c>
    </row>
    <row r="62" spans="1:13" x14ac:dyDescent="0.25">
      <c r="A62" s="2">
        <v>46164</v>
      </c>
      <c r="B62" s="1" t="str">
        <f ca="1">IF(Información1[[#This Row],[Fecha]]='Ajuste de fechas'!$A$2,"Día actual","Día anterior")</f>
        <v>Día actual</v>
      </c>
      <c r="C62" s="3" t="s">
        <v>34</v>
      </c>
      <c r="D62" t="s">
        <v>35</v>
      </c>
      <c r="E62" s="3" t="s">
        <v>183</v>
      </c>
      <c r="F62" s="3" t="s">
        <v>15</v>
      </c>
      <c r="G62" s="3" t="s">
        <v>94</v>
      </c>
      <c r="H62" s="3" t="s">
        <v>32</v>
      </c>
      <c r="I62" s="3" t="s">
        <v>25</v>
      </c>
      <c r="J62" s="3" t="s">
        <v>48</v>
      </c>
      <c r="K62" s="3" t="s">
        <v>27</v>
      </c>
      <c r="L62" s="3" t="s">
        <v>50</v>
      </c>
      <c r="M62">
        <v>1</v>
      </c>
    </row>
    <row r="63" spans="1:13" x14ac:dyDescent="0.25">
      <c r="A63" s="2">
        <v>46164</v>
      </c>
      <c r="B63" s="1" t="str">
        <f ca="1">IF(Información1[[#This Row],[Fecha]]='Ajuste de fechas'!$A$2,"Día actual","Día anterior")</f>
        <v>Día actual</v>
      </c>
      <c r="C63" s="3" t="s">
        <v>34</v>
      </c>
      <c r="D63" t="s">
        <v>35</v>
      </c>
      <c r="E63" s="3" t="s">
        <v>184</v>
      </c>
      <c r="F63" s="3" t="s">
        <v>23</v>
      </c>
      <c r="G63" s="3" t="s">
        <v>95</v>
      </c>
      <c r="H63" s="3" t="s">
        <v>32</v>
      </c>
      <c r="I63" s="3" t="s">
        <v>7</v>
      </c>
      <c r="J63" s="3" t="s">
        <v>48</v>
      </c>
      <c r="K63" s="3" t="s">
        <v>27</v>
      </c>
      <c r="L63" s="3" t="s">
        <v>49</v>
      </c>
      <c r="M63">
        <v>1</v>
      </c>
    </row>
    <row r="64" spans="1:13" x14ac:dyDescent="0.25">
      <c r="A64" s="2">
        <v>46164</v>
      </c>
      <c r="B64" s="1" t="str">
        <f ca="1">IF(Información1[[#This Row],[Fecha]]='Ajuste de fechas'!$A$2,"Día actual","Día anterior")</f>
        <v>Día actual</v>
      </c>
      <c r="C64" s="3" t="s">
        <v>34</v>
      </c>
      <c r="D64" t="s">
        <v>35</v>
      </c>
      <c r="E64" s="3" t="s">
        <v>185</v>
      </c>
      <c r="F64" s="3" t="s">
        <v>17</v>
      </c>
      <c r="G64" s="3" t="s">
        <v>186</v>
      </c>
      <c r="H64" s="3" t="s">
        <v>32</v>
      </c>
      <c r="I64" s="3" t="s">
        <v>7</v>
      </c>
      <c r="J64" s="3" t="s">
        <v>48</v>
      </c>
      <c r="K64" s="3" t="s">
        <v>27</v>
      </c>
      <c r="L64" s="3" t="s">
        <v>49</v>
      </c>
      <c r="M64">
        <v>1</v>
      </c>
    </row>
    <row r="65" spans="1:13" x14ac:dyDescent="0.25">
      <c r="A65" s="2">
        <v>46164</v>
      </c>
      <c r="B65" s="1" t="str">
        <f ca="1">IF(Información1[[#This Row],[Fecha]]='Ajuste de fechas'!$A$2,"Día actual","Día anterior")</f>
        <v>Día actual</v>
      </c>
      <c r="C65" s="3" t="s">
        <v>34</v>
      </c>
      <c r="D65" t="s">
        <v>35</v>
      </c>
      <c r="E65" s="3" t="s">
        <v>187</v>
      </c>
      <c r="F65" s="3" t="s">
        <v>26</v>
      </c>
      <c r="G65" s="3" t="s">
        <v>77</v>
      </c>
      <c r="H65" s="3" t="s">
        <v>32</v>
      </c>
      <c r="I65" s="3" t="s">
        <v>12</v>
      </c>
      <c r="J65" s="3" t="s">
        <v>48</v>
      </c>
      <c r="K65" s="3" t="s">
        <v>27</v>
      </c>
      <c r="L65" s="3" t="s">
        <v>50</v>
      </c>
      <c r="M65">
        <v>1</v>
      </c>
    </row>
    <row r="66" spans="1:13" x14ac:dyDescent="0.25">
      <c r="A66" s="2">
        <v>46164</v>
      </c>
      <c r="B66" s="1" t="str">
        <f ca="1">IF(Información1[[#This Row],[Fecha]]='Ajuste de fechas'!$A$2,"Día actual","Día anterior")</f>
        <v>Día actual</v>
      </c>
      <c r="C66" s="3" t="s">
        <v>34</v>
      </c>
      <c r="D66" t="s">
        <v>35</v>
      </c>
      <c r="E66" s="3" t="s">
        <v>188</v>
      </c>
      <c r="F66" s="3" t="s">
        <v>26</v>
      </c>
      <c r="G66" s="3" t="s">
        <v>77</v>
      </c>
      <c r="H66" s="3" t="s">
        <v>32</v>
      </c>
      <c r="I66" s="3" t="s">
        <v>7</v>
      </c>
      <c r="J66" s="3" t="s">
        <v>48</v>
      </c>
      <c r="K66" s="3" t="s">
        <v>27</v>
      </c>
      <c r="L66" s="3" t="s">
        <v>51</v>
      </c>
      <c r="M66">
        <v>1</v>
      </c>
    </row>
    <row r="67" spans="1:13" x14ac:dyDescent="0.25">
      <c r="A67" s="2">
        <v>46164</v>
      </c>
      <c r="B67" s="1" t="str">
        <f ca="1">IF(Información1[[#This Row],[Fecha]]='Ajuste de fechas'!$A$2,"Día actual","Día anterior")</f>
        <v>Día actual</v>
      </c>
      <c r="C67" s="3" t="s">
        <v>34</v>
      </c>
      <c r="D67" t="s">
        <v>35</v>
      </c>
      <c r="E67" s="3" t="s">
        <v>117</v>
      </c>
      <c r="F67" s="3" t="s">
        <v>26</v>
      </c>
      <c r="G67" s="3" t="s">
        <v>118</v>
      </c>
      <c r="H67" s="3" t="s">
        <v>32</v>
      </c>
      <c r="I67" s="3" t="s">
        <v>7</v>
      </c>
      <c r="J67" s="3" t="s">
        <v>48</v>
      </c>
      <c r="K67" s="3" t="s">
        <v>27</v>
      </c>
      <c r="L67" s="3" t="s">
        <v>51</v>
      </c>
      <c r="M67">
        <v>1</v>
      </c>
    </row>
    <row r="68" spans="1:13" x14ac:dyDescent="0.25">
      <c r="A68" s="2">
        <v>46164</v>
      </c>
      <c r="B68" s="1" t="str">
        <f ca="1">IF(Información1[[#This Row],[Fecha]]='Ajuste de fechas'!$A$2,"Día actual","Día anterior")</f>
        <v>Día actual</v>
      </c>
      <c r="C68" s="3" t="s">
        <v>34</v>
      </c>
      <c r="D68" t="s">
        <v>35</v>
      </c>
      <c r="E68" s="3" t="s">
        <v>189</v>
      </c>
      <c r="F68" s="3" t="s">
        <v>24</v>
      </c>
      <c r="G68" s="3" t="s">
        <v>190</v>
      </c>
      <c r="H68" s="3" t="s">
        <v>32</v>
      </c>
      <c r="I68" s="3" t="s">
        <v>7</v>
      </c>
      <c r="J68" s="3" t="s">
        <v>24</v>
      </c>
      <c r="K68" s="3" t="s">
        <v>27</v>
      </c>
      <c r="L68" s="3" t="s">
        <v>49</v>
      </c>
      <c r="M68">
        <v>1</v>
      </c>
    </row>
    <row r="69" spans="1:13" x14ac:dyDescent="0.25">
      <c r="A69" s="2">
        <v>46164</v>
      </c>
      <c r="B69" s="1" t="str">
        <f ca="1">IF(Información1[[#This Row],[Fecha]]='Ajuste de fechas'!$A$2,"Día actual","Día anterior")</f>
        <v>Día actual</v>
      </c>
      <c r="C69" s="3" t="s">
        <v>34</v>
      </c>
      <c r="D69" t="s">
        <v>35</v>
      </c>
      <c r="E69" s="3" t="s">
        <v>191</v>
      </c>
      <c r="F69" s="3" t="s">
        <v>26</v>
      </c>
      <c r="G69" s="3" t="s">
        <v>192</v>
      </c>
      <c r="H69" s="3" t="s">
        <v>32</v>
      </c>
      <c r="I69" s="3" t="s">
        <v>7</v>
      </c>
      <c r="J69" s="3" t="s">
        <v>48</v>
      </c>
      <c r="K69" s="3" t="s">
        <v>27</v>
      </c>
      <c r="L69" s="3" t="s">
        <v>49</v>
      </c>
      <c r="M69">
        <v>1</v>
      </c>
    </row>
    <row r="70" spans="1:13" x14ac:dyDescent="0.25">
      <c r="A70" s="2">
        <v>46164</v>
      </c>
      <c r="B70" s="1" t="str">
        <f ca="1">IF(Información1[[#This Row],[Fecha]]='Ajuste de fechas'!$A$2,"Día actual","Día anterior")</f>
        <v>Día actual</v>
      </c>
      <c r="C70" s="3" t="s">
        <v>34</v>
      </c>
      <c r="D70" t="s">
        <v>35</v>
      </c>
      <c r="E70" s="3" t="s">
        <v>193</v>
      </c>
      <c r="F70" s="3" t="s">
        <v>15</v>
      </c>
      <c r="G70" s="3"/>
      <c r="H70" s="3" t="s">
        <v>32</v>
      </c>
      <c r="I70" s="3" t="s">
        <v>7</v>
      </c>
      <c r="J70" s="3" t="s">
        <v>48</v>
      </c>
      <c r="K70" s="3" t="s">
        <v>27</v>
      </c>
      <c r="L70" s="3" t="s">
        <v>51</v>
      </c>
      <c r="M70">
        <v>1</v>
      </c>
    </row>
    <row r="71" spans="1:13" x14ac:dyDescent="0.25">
      <c r="A71" s="2">
        <v>46164</v>
      </c>
      <c r="B71" s="1" t="str">
        <f ca="1">IF(Información1[[#This Row],[Fecha]]='Ajuste de fechas'!$A$2,"Día actual","Día anterior")</f>
        <v>Día actual</v>
      </c>
      <c r="C71" s="3" t="s">
        <v>34</v>
      </c>
      <c r="D71" t="s">
        <v>35</v>
      </c>
      <c r="E71" s="3" t="s">
        <v>194</v>
      </c>
      <c r="F71" s="3" t="s">
        <v>15</v>
      </c>
      <c r="G71" s="3" t="s">
        <v>195</v>
      </c>
      <c r="H71" s="3" t="s">
        <v>32</v>
      </c>
      <c r="I71" s="3" t="s">
        <v>25</v>
      </c>
      <c r="J71" s="3" t="s">
        <v>48</v>
      </c>
      <c r="K71" s="3" t="s">
        <v>27</v>
      </c>
      <c r="L71" s="3" t="s">
        <v>50</v>
      </c>
      <c r="M71">
        <v>1</v>
      </c>
    </row>
    <row r="72" spans="1:13" x14ac:dyDescent="0.25">
      <c r="A72" s="2">
        <v>46164</v>
      </c>
      <c r="B72" s="1" t="str">
        <f ca="1">IF(Información1[[#This Row],[Fecha]]='Ajuste de fechas'!$A$2,"Día actual","Día anterior")</f>
        <v>Día actual</v>
      </c>
      <c r="C72" s="3" t="s">
        <v>34</v>
      </c>
      <c r="D72" t="s">
        <v>35</v>
      </c>
      <c r="E72" s="3" t="s">
        <v>196</v>
      </c>
      <c r="F72" s="3" t="s">
        <v>21</v>
      </c>
      <c r="G72" s="3" t="s">
        <v>197</v>
      </c>
      <c r="H72" s="3" t="s">
        <v>32</v>
      </c>
      <c r="I72" s="3" t="s">
        <v>7</v>
      </c>
      <c r="J72" s="3" t="s">
        <v>48</v>
      </c>
      <c r="K72" s="3" t="s">
        <v>27</v>
      </c>
      <c r="L72" s="3" t="s">
        <v>51</v>
      </c>
      <c r="M72">
        <v>1</v>
      </c>
    </row>
    <row r="73" spans="1:13" x14ac:dyDescent="0.25">
      <c r="A73" s="2">
        <v>46164</v>
      </c>
      <c r="B73" s="1" t="str">
        <f ca="1">IF(Información1[[#This Row],[Fecha]]='Ajuste de fechas'!$A$2,"Día actual","Día anterior")</f>
        <v>Día actual</v>
      </c>
      <c r="C73" s="3" t="s">
        <v>37</v>
      </c>
      <c r="D73" t="s">
        <v>38</v>
      </c>
      <c r="E73" s="3" t="s">
        <v>198</v>
      </c>
      <c r="F73" s="3" t="s">
        <v>19</v>
      </c>
      <c r="G73" s="3" t="s">
        <v>33</v>
      </c>
      <c r="H73" s="3" t="s">
        <v>11</v>
      </c>
      <c r="I73" s="3" t="s">
        <v>7</v>
      </c>
      <c r="J73" s="3" t="s">
        <v>52</v>
      </c>
      <c r="K73" s="3" t="s">
        <v>39</v>
      </c>
      <c r="L73" s="3" t="s">
        <v>49</v>
      </c>
      <c r="M73">
        <v>1</v>
      </c>
    </row>
    <row r="74" spans="1:13" x14ac:dyDescent="0.25">
      <c r="A74" s="2">
        <v>46164</v>
      </c>
      <c r="B74" s="1" t="str">
        <f ca="1">IF(Información1[[#This Row],[Fecha]]='Ajuste de fechas'!$A$2,"Día actual","Día anterior")</f>
        <v>Día actual</v>
      </c>
      <c r="C74" s="3" t="s">
        <v>37</v>
      </c>
      <c r="D74" t="s">
        <v>38</v>
      </c>
      <c r="E74" s="3" t="s">
        <v>199</v>
      </c>
      <c r="F74" s="3" t="s">
        <v>19</v>
      </c>
      <c r="G74" s="3" t="s">
        <v>33</v>
      </c>
      <c r="H74" s="3" t="s">
        <v>11</v>
      </c>
      <c r="I74" s="3" t="s">
        <v>25</v>
      </c>
      <c r="J74" s="3" t="s">
        <v>52</v>
      </c>
      <c r="K74" s="3" t="s">
        <v>39</v>
      </c>
      <c r="L74" s="3" t="s">
        <v>49</v>
      </c>
      <c r="M74">
        <v>1</v>
      </c>
    </row>
    <row r="75" spans="1:13" x14ac:dyDescent="0.25">
      <c r="A75" s="2">
        <v>46164</v>
      </c>
      <c r="B75" s="1" t="str">
        <f ca="1">IF(Información1[[#This Row],[Fecha]]='Ajuste de fechas'!$A$2,"Día actual","Día anterior")</f>
        <v>Día actual</v>
      </c>
      <c r="C75" s="3" t="s">
        <v>37</v>
      </c>
      <c r="D75" t="s">
        <v>38</v>
      </c>
      <c r="E75" s="3" t="s">
        <v>200</v>
      </c>
      <c r="F75" s="3" t="s">
        <v>23</v>
      </c>
      <c r="G75" s="3" t="s">
        <v>95</v>
      </c>
      <c r="H75" s="3" t="s">
        <v>11</v>
      </c>
      <c r="I75" s="3" t="s">
        <v>25</v>
      </c>
      <c r="J75" s="3" t="s">
        <v>48</v>
      </c>
      <c r="K75" s="3" t="s">
        <v>39</v>
      </c>
      <c r="L75" s="3" t="s">
        <v>49</v>
      </c>
      <c r="M75">
        <v>1</v>
      </c>
    </row>
    <row r="76" spans="1:13" x14ac:dyDescent="0.25">
      <c r="A76" s="2">
        <v>46164</v>
      </c>
      <c r="B76" s="1" t="str">
        <f ca="1">IF(Información1[[#This Row],[Fecha]]='Ajuste de fechas'!$A$2,"Día actual","Día anterior")</f>
        <v>Día actual</v>
      </c>
      <c r="C76" s="3" t="s">
        <v>37</v>
      </c>
      <c r="D76" t="s">
        <v>38</v>
      </c>
      <c r="E76" s="3" t="s">
        <v>201</v>
      </c>
      <c r="F76" s="3" t="s">
        <v>21</v>
      </c>
      <c r="G76" s="3" t="s">
        <v>197</v>
      </c>
      <c r="H76" s="3" t="s">
        <v>11</v>
      </c>
      <c r="I76" s="3" t="s">
        <v>25</v>
      </c>
      <c r="J76" s="3" t="s">
        <v>48</v>
      </c>
      <c r="K76" s="3" t="s">
        <v>39</v>
      </c>
      <c r="L76" s="3" t="s">
        <v>51</v>
      </c>
      <c r="M76">
        <v>1</v>
      </c>
    </row>
    <row r="77" spans="1:13" x14ac:dyDescent="0.25">
      <c r="A77" s="2">
        <v>46164</v>
      </c>
      <c r="B77" s="1" t="str">
        <f ca="1">IF(Información1[[#This Row],[Fecha]]='Ajuste de fechas'!$A$2,"Día actual","Día anterior")</f>
        <v>Día actual</v>
      </c>
      <c r="C77" s="3" t="s">
        <v>37</v>
      </c>
      <c r="D77" t="s">
        <v>38</v>
      </c>
      <c r="E77" s="3" t="s">
        <v>202</v>
      </c>
      <c r="F77" s="3" t="s">
        <v>203</v>
      </c>
      <c r="G77" s="3" t="s">
        <v>204</v>
      </c>
      <c r="H77" s="3" t="s">
        <v>11</v>
      </c>
      <c r="I77" s="3" t="s">
        <v>25</v>
      </c>
      <c r="J77" s="3" t="s">
        <v>205</v>
      </c>
      <c r="K77" s="3" t="s">
        <v>39</v>
      </c>
      <c r="L77" s="3" t="s">
        <v>49</v>
      </c>
      <c r="M77">
        <v>1</v>
      </c>
    </row>
    <row r="78" spans="1:13" x14ac:dyDescent="0.25">
      <c r="A78" s="2">
        <v>46164</v>
      </c>
      <c r="B78" s="1" t="str">
        <f ca="1">IF(Información1[[#This Row],[Fecha]]='Ajuste de fechas'!$A$2,"Día actual","Día anterior")</f>
        <v>Día actual</v>
      </c>
      <c r="C78" s="3" t="s">
        <v>37</v>
      </c>
      <c r="D78" t="s">
        <v>38</v>
      </c>
      <c r="E78" s="3" t="s">
        <v>206</v>
      </c>
      <c r="F78" s="3" t="s">
        <v>96</v>
      </c>
      <c r="G78" s="3" t="s">
        <v>97</v>
      </c>
      <c r="H78" s="3" t="s">
        <v>11</v>
      </c>
      <c r="I78" s="3" t="s">
        <v>7</v>
      </c>
      <c r="J78" s="3" t="s">
        <v>24</v>
      </c>
      <c r="K78" s="3" t="s">
        <v>39</v>
      </c>
      <c r="L78" s="3" t="s">
        <v>49</v>
      </c>
      <c r="M78">
        <v>1</v>
      </c>
    </row>
    <row r="79" spans="1:13" x14ac:dyDescent="0.25">
      <c r="A79" s="2">
        <v>46164</v>
      </c>
      <c r="B79" s="1" t="str">
        <f ca="1">IF(Información1[[#This Row],[Fecha]]='Ajuste de fechas'!$A$2,"Día actual","Día anterior")</f>
        <v>Día actual</v>
      </c>
      <c r="C79" s="3" t="s">
        <v>37</v>
      </c>
      <c r="D79" t="s">
        <v>38</v>
      </c>
      <c r="E79" s="3" t="s">
        <v>207</v>
      </c>
      <c r="F79" s="3" t="s">
        <v>17</v>
      </c>
      <c r="G79" s="3" t="s">
        <v>186</v>
      </c>
      <c r="H79" s="3" t="s">
        <v>11</v>
      </c>
      <c r="I79" s="3" t="s">
        <v>7</v>
      </c>
      <c r="J79" s="3" t="s">
        <v>48</v>
      </c>
      <c r="K79" s="3" t="s">
        <v>39</v>
      </c>
      <c r="L79" s="3" t="s">
        <v>49</v>
      </c>
      <c r="M79">
        <v>1</v>
      </c>
    </row>
    <row r="80" spans="1:13" x14ac:dyDescent="0.25">
      <c r="A80" s="2">
        <v>46164</v>
      </c>
      <c r="B80" s="1" t="str">
        <f ca="1">IF(Información1[[#This Row],[Fecha]]='Ajuste de fechas'!$A$2,"Día actual","Día anterior")</f>
        <v>Día actual</v>
      </c>
      <c r="C80" s="3" t="s">
        <v>37</v>
      </c>
      <c r="D80" t="s">
        <v>38</v>
      </c>
      <c r="E80" s="3" t="s">
        <v>208</v>
      </c>
      <c r="F80" s="3" t="s">
        <v>17</v>
      </c>
      <c r="G80" s="3" t="s">
        <v>122</v>
      </c>
      <c r="H80" s="3" t="s">
        <v>11</v>
      </c>
      <c r="I80" s="3" t="s">
        <v>7</v>
      </c>
      <c r="J80" s="3" t="s">
        <v>48</v>
      </c>
      <c r="K80" s="3" t="s">
        <v>39</v>
      </c>
      <c r="L80" s="3" t="s">
        <v>49</v>
      </c>
      <c r="M80">
        <v>1</v>
      </c>
    </row>
    <row r="81" spans="1:13" x14ac:dyDescent="0.25">
      <c r="A81" s="2">
        <v>46164</v>
      </c>
      <c r="B81" s="1" t="str">
        <f ca="1">IF(Información1[[#This Row],[Fecha]]='Ajuste de fechas'!$A$2,"Día actual","Día anterior")</f>
        <v>Día actual</v>
      </c>
      <c r="C81" s="3" t="s">
        <v>37</v>
      </c>
      <c r="D81" t="s">
        <v>38</v>
      </c>
      <c r="E81" s="3" t="s">
        <v>188</v>
      </c>
      <c r="F81" s="3" t="s">
        <v>26</v>
      </c>
      <c r="G81" s="3" t="s">
        <v>77</v>
      </c>
      <c r="H81" s="3" t="s">
        <v>11</v>
      </c>
      <c r="I81" s="3" t="s">
        <v>7</v>
      </c>
      <c r="J81" s="3" t="s">
        <v>48</v>
      </c>
      <c r="K81" s="3" t="s">
        <v>39</v>
      </c>
      <c r="L81" s="3" t="s">
        <v>51</v>
      </c>
      <c r="M81">
        <v>1</v>
      </c>
    </row>
    <row r="82" spans="1:13" x14ac:dyDescent="0.25">
      <c r="A82" s="2">
        <v>46164</v>
      </c>
      <c r="B82" s="1" t="str">
        <f ca="1">IF(Información1[[#This Row],[Fecha]]='Ajuste de fechas'!$A$2,"Día actual","Día anterior")</f>
        <v>Día actual</v>
      </c>
      <c r="C82" s="3" t="s">
        <v>37</v>
      </c>
      <c r="D82" t="s">
        <v>38</v>
      </c>
      <c r="E82" s="3" t="s">
        <v>209</v>
      </c>
      <c r="F82" s="3" t="s">
        <v>36</v>
      </c>
      <c r="G82" s="3" t="s">
        <v>73</v>
      </c>
      <c r="H82" s="3" t="s">
        <v>11</v>
      </c>
      <c r="I82" s="3" t="s">
        <v>7</v>
      </c>
      <c r="J82" s="3" t="s">
        <v>48</v>
      </c>
      <c r="K82" s="3" t="s">
        <v>39</v>
      </c>
      <c r="L82" s="3" t="s">
        <v>81</v>
      </c>
      <c r="M82">
        <v>1</v>
      </c>
    </row>
    <row r="83" spans="1:13" x14ac:dyDescent="0.25">
      <c r="A83" s="2">
        <v>46164</v>
      </c>
      <c r="B83" s="1" t="str">
        <f ca="1">IF(Información1[[#This Row],[Fecha]]='Ajuste de fechas'!$A$2,"Día actual","Día anterior")</f>
        <v>Día actual</v>
      </c>
      <c r="C83" s="3" t="s">
        <v>37</v>
      </c>
      <c r="D83" t="s">
        <v>38</v>
      </c>
      <c r="E83" s="3" t="s">
        <v>210</v>
      </c>
      <c r="F83" s="3" t="s">
        <v>19</v>
      </c>
      <c r="G83" s="3" t="s">
        <v>211</v>
      </c>
      <c r="H83" s="3" t="s">
        <v>11</v>
      </c>
      <c r="I83" s="3" t="s">
        <v>7</v>
      </c>
      <c r="J83" s="3" t="s">
        <v>52</v>
      </c>
      <c r="K83" s="3" t="s">
        <v>39</v>
      </c>
      <c r="L83" s="3" t="s">
        <v>49</v>
      </c>
      <c r="M83">
        <v>1</v>
      </c>
    </row>
    <row r="84" spans="1:13" x14ac:dyDescent="0.25">
      <c r="A84" s="2">
        <v>46164</v>
      </c>
      <c r="B84" s="1" t="str">
        <f ca="1">IF(Información1[[#This Row],[Fecha]]='Ajuste de fechas'!$A$2,"Día actual","Día anterior")</f>
        <v>Día actual</v>
      </c>
      <c r="C84" s="3" t="s">
        <v>37</v>
      </c>
      <c r="D84" t="s">
        <v>38</v>
      </c>
      <c r="E84" s="3" t="s">
        <v>212</v>
      </c>
      <c r="F84" s="3" t="s">
        <v>19</v>
      </c>
      <c r="G84" s="3" t="s">
        <v>213</v>
      </c>
      <c r="H84" s="3" t="s">
        <v>11</v>
      </c>
      <c r="I84" s="3" t="s">
        <v>7</v>
      </c>
      <c r="J84" s="3" t="s">
        <v>52</v>
      </c>
      <c r="K84" s="3" t="s">
        <v>39</v>
      </c>
      <c r="L84" s="3" t="s">
        <v>49</v>
      </c>
      <c r="M84">
        <v>1</v>
      </c>
    </row>
    <row r="85" spans="1:13" x14ac:dyDescent="0.25">
      <c r="A85" s="2">
        <v>46164</v>
      </c>
      <c r="B85" s="1" t="str">
        <f ca="1">IF(Información1[[#This Row],[Fecha]]='Ajuste de fechas'!$A$2,"Día actual","Día anterior")</f>
        <v>Día actual</v>
      </c>
      <c r="C85" s="3" t="s">
        <v>37</v>
      </c>
      <c r="D85" t="s">
        <v>38</v>
      </c>
      <c r="E85" s="3" t="s">
        <v>214</v>
      </c>
      <c r="F85" s="3" t="s">
        <v>19</v>
      </c>
      <c r="G85" s="3"/>
      <c r="H85" s="3" t="s">
        <v>11</v>
      </c>
      <c r="I85" s="3" t="s">
        <v>7</v>
      </c>
      <c r="J85" s="3" t="s">
        <v>52</v>
      </c>
      <c r="K85" s="3" t="s">
        <v>39</v>
      </c>
      <c r="L85" s="3" t="s">
        <v>49</v>
      </c>
      <c r="M85">
        <v>1</v>
      </c>
    </row>
    <row r="86" spans="1:13" x14ac:dyDescent="0.25">
      <c r="A86" s="2">
        <v>46164</v>
      </c>
      <c r="B86" s="1" t="str">
        <f ca="1">IF(Información1[[#This Row],[Fecha]]='Ajuste de fechas'!$A$2,"Día actual","Día anterior")</f>
        <v>Día actual</v>
      </c>
      <c r="C86" s="3" t="s">
        <v>37</v>
      </c>
      <c r="D86" t="s">
        <v>38</v>
      </c>
      <c r="E86" s="3" t="s">
        <v>63</v>
      </c>
      <c r="F86" s="3" t="s">
        <v>19</v>
      </c>
      <c r="G86" s="3" t="s">
        <v>33</v>
      </c>
      <c r="H86" s="3" t="s">
        <v>11</v>
      </c>
      <c r="I86" s="3" t="s">
        <v>7</v>
      </c>
      <c r="J86" s="3" t="s">
        <v>52</v>
      </c>
      <c r="K86" s="3" t="s">
        <v>39</v>
      </c>
      <c r="L86" s="3" t="s">
        <v>49</v>
      </c>
      <c r="M86">
        <v>1</v>
      </c>
    </row>
    <row r="87" spans="1:13" x14ac:dyDescent="0.25">
      <c r="A87" s="2">
        <v>46164</v>
      </c>
      <c r="B87" s="1" t="str">
        <f ca="1">IF(Información1[[#This Row],[Fecha]]='Ajuste de fechas'!$A$2,"Día actual","Día anterior")</f>
        <v>Día actual</v>
      </c>
      <c r="C87" s="3" t="s">
        <v>37</v>
      </c>
      <c r="D87" t="s">
        <v>38</v>
      </c>
      <c r="E87" s="3" t="s">
        <v>215</v>
      </c>
      <c r="F87" s="3" t="s">
        <v>6</v>
      </c>
      <c r="G87" s="3" t="s">
        <v>104</v>
      </c>
      <c r="H87" s="3" t="s">
        <v>11</v>
      </c>
      <c r="I87" s="3" t="s">
        <v>25</v>
      </c>
      <c r="J87" s="3" t="s">
        <v>48</v>
      </c>
      <c r="K87" s="3" t="s">
        <v>39</v>
      </c>
      <c r="L87" s="3" t="s">
        <v>50</v>
      </c>
      <c r="M87">
        <v>1</v>
      </c>
    </row>
    <row r="88" spans="1:13" x14ac:dyDescent="0.25">
      <c r="A88" s="2">
        <v>46164</v>
      </c>
      <c r="B88" s="1" t="str">
        <f ca="1">IF(Información1[[#This Row],[Fecha]]='Ajuste de fechas'!$A$2,"Día actual","Día anterior")</f>
        <v>Día actual</v>
      </c>
      <c r="C88" s="3" t="s">
        <v>37</v>
      </c>
      <c r="D88" t="s">
        <v>38</v>
      </c>
      <c r="E88" s="3" t="s">
        <v>216</v>
      </c>
      <c r="F88" s="3" t="s">
        <v>26</v>
      </c>
      <c r="G88" s="3" t="s">
        <v>118</v>
      </c>
      <c r="H88" s="3" t="s">
        <v>11</v>
      </c>
      <c r="I88" s="3" t="s">
        <v>7</v>
      </c>
      <c r="J88" s="3" t="s">
        <v>48</v>
      </c>
      <c r="K88" s="3" t="s">
        <v>39</v>
      </c>
      <c r="L88" s="3" t="s">
        <v>49</v>
      </c>
      <c r="M88">
        <v>1</v>
      </c>
    </row>
    <row r="89" spans="1:13" x14ac:dyDescent="0.25">
      <c r="A89" s="2">
        <v>46164</v>
      </c>
      <c r="B89" s="1" t="str">
        <f ca="1">IF(Información1[[#This Row],[Fecha]]='Ajuste de fechas'!$A$2,"Día actual","Día anterior")</f>
        <v>Día actual</v>
      </c>
      <c r="C89" s="3" t="s">
        <v>37</v>
      </c>
      <c r="D89" t="s">
        <v>38</v>
      </c>
      <c r="E89" s="3" t="s">
        <v>217</v>
      </c>
      <c r="F89" s="3" t="s">
        <v>61</v>
      </c>
      <c r="G89" s="3" t="s">
        <v>218</v>
      </c>
      <c r="H89" s="3" t="s">
        <v>11</v>
      </c>
      <c r="I89" s="3" t="s">
        <v>25</v>
      </c>
      <c r="J89" s="3" t="s">
        <v>48</v>
      </c>
      <c r="K89" s="3" t="s">
        <v>39</v>
      </c>
      <c r="L89" s="3" t="s">
        <v>49</v>
      </c>
      <c r="M89">
        <v>1</v>
      </c>
    </row>
    <row r="90" spans="1:13" x14ac:dyDescent="0.25">
      <c r="A90" s="2">
        <v>46164</v>
      </c>
      <c r="B90" s="1" t="str">
        <f ca="1">IF(Información1[[#This Row],[Fecha]]='Ajuste de fechas'!$A$2,"Día actual","Día anterior")</f>
        <v>Día actual</v>
      </c>
      <c r="C90" s="3" t="s">
        <v>34</v>
      </c>
      <c r="D90" t="s">
        <v>35</v>
      </c>
      <c r="E90" s="3" t="s">
        <v>219</v>
      </c>
      <c r="F90" s="3" t="s">
        <v>19</v>
      </c>
      <c r="G90" s="3" t="s">
        <v>182</v>
      </c>
      <c r="H90" s="3" t="s">
        <v>32</v>
      </c>
      <c r="I90" s="3" t="s">
        <v>25</v>
      </c>
      <c r="J90" s="3" t="s">
        <v>52</v>
      </c>
      <c r="K90" s="3" t="s">
        <v>27</v>
      </c>
      <c r="L90" s="3" t="s">
        <v>50</v>
      </c>
      <c r="M90">
        <v>1</v>
      </c>
    </row>
    <row r="91" spans="1:13" x14ac:dyDescent="0.25">
      <c r="A91" s="2">
        <v>46163</v>
      </c>
      <c r="B91" s="1" t="str">
        <f ca="1">IF(Información1[[#This Row],[Fecha]]='Ajuste de fechas'!$A$2,"Día actual","Día anterior")</f>
        <v>Día anterior</v>
      </c>
      <c r="C91" s="3" t="s">
        <v>220</v>
      </c>
      <c r="D91" t="s">
        <v>221</v>
      </c>
      <c r="E91" s="3" t="s">
        <v>222</v>
      </c>
      <c r="F91" s="3" t="s">
        <v>21</v>
      </c>
      <c r="G91" s="3" t="s">
        <v>223</v>
      </c>
      <c r="H91" s="3" t="s">
        <v>32</v>
      </c>
      <c r="I91" s="3" t="s">
        <v>7</v>
      </c>
      <c r="J91" s="3" t="s">
        <v>48</v>
      </c>
      <c r="K91" s="3" t="s">
        <v>65</v>
      </c>
      <c r="L91" s="3" t="s">
        <v>49</v>
      </c>
      <c r="M91">
        <v>1</v>
      </c>
    </row>
    <row r="92" spans="1:13" x14ac:dyDescent="0.25">
      <c r="A92" s="2">
        <v>46163</v>
      </c>
      <c r="B92" s="1" t="str">
        <f ca="1">IF(Información1[[#This Row],[Fecha]]='Ajuste de fechas'!$A$2,"Día actual","Día anterior")</f>
        <v>Día anterior</v>
      </c>
      <c r="C92" s="3" t="s">
        <v>220</v>
      </c>
      <c r="D92" t="s">
        <v>221</v>
      </c>
      <c r="E92" s="3" t="s">
        <v>130</v>
      </c>
      <c r="F92" s="3" t="s">
        <v>23</v>
      </c>
      <c r="G92" s="3" t="s">
        <v>78</v>
      </c>
      <c r="H92" s="3" t="s">
        <v>32</v>
      </c>
      <c r="I92" s="3" t="s">
        <v>7</v>
      </c>
      <c r="J92" s="3" t="s">
        <v>48</v>
      </c>
      <c r="K92" s="3" t="s">
        <v>65</v>
      </c>
      <c r="L92" s="3" t="s">
        <v>51</v>
      </c>
      <c r="M92">
        <v>1</v>
      </c>
    </row>
    <row r="93" spans="1:13" x14ac:dyDescent="0.25">
      <c r="A93" s="2">
        <v>46163</v>
      </c>
      <c r="B93" s="1" t="str">
        <f ca="1">IF(Información1[[#This Row],[Fecha]]='Ajuste de fechas'!$A$2,"Día actual","Día anterior")</f>
        <v>Día anterior</v>
      </c>
      <c r="C93" s="3" t="s">
        <v>220</v>
      </c>
      <c r="D93" t="s">
        <v>221</v>
      </c>
      <c r="E93" s="3" t="s">
        <v>224</v>
      </c>
      <c r="F93" s="3" t="s">
        <v>23</v>
      </c>
      <c r="G93" s="3" t="s">
        <v>91</v>
      </c>
      <c r="H93" s="3" t="s">
        <v>32</v>
      </c>
      <c r="I93" s="3" t="s">
        <v>7</v>
      </c>
      <c r="J93" s="3" t="s">
        <v>48</v>
      </c>
      <c r="K93" s="3" t="s">
        <v>65</v>
      </c>
      <c r="L93" s="3" t="s">
        <v>51</v>
      </c>
      <c r="M93">
        <v>1</v>
      </c>
    </row>
    <row r="94" spans="1:13" x14ac:dyDescent="0.25">
      <c r="A94" s="2">
        <v>46163</v>
      </c>
      <c r="B94" s="1" t="str">
        <f ca="1">IF(Información1[[#This Row],[Fecha]]='Ajuste de fechas'!$A$2,"Día actual","Día anterior")</f>
        <v>Día anterior</v>
      </c>
      <c r="C94" s="3" t="s">
        <v>220</v>
      </c>
      <c r="D94" t="s">
        <v>221</v>
      </c>
      <c r="E94" s="3" t="s">
        <v>225</v>
      </c>
      <c r="F94" s="3" t="s">
        <v>36</v>
      </c>
      <c r="G94" s="3" t="s">
        <v>91</v>
      </c>
      <c r="H94" s="3" t="s">
        <v>32</v>
      </c>
      <c r="I94" s="3" t="s">
        <v>7</v>
      </c>
      <c r="J94" s="3" t="s">
        <v>48</v>
      </c>
      <c r="K94" s="3" t="s">
        <v>65</v>
      </c>
      <c r="L94" s="3" t="s">
        <v>51</v>
      </c>
      <c r="M94">
        <v>1</v>
      </c>
    </row>
    <row r="95" spans="1:13" x14ac:dyDescent="0.25">
      <c r="A95" s="2">
        <v>46163</v>
      </c>
      <c r="B95" s="1" t="str">
        <f ca="1">IF(Información1[[#This Row],[Fecha]]='Ajuste de fechas'!$A$2,"Día actual","Día anterior")</f>
        <v>Día anterior</v>
      </c>
      <c r="C95" s="3" t="s">
        <v>220</v>
      </c>
      <c r="D95" t="s">
        <v>221</v>
      </c>
      <c r="E95" s="3" t="s">
        <v>226</v>
      </c>
      <c r="F95" s="3" t="s">
        <v>227</v>
      </c>
      <c r="G95" s="3" t="s">
        <v>228</v>
      </c>
      <c r="H95" s="3" t="s">
        <v>32</v>
      </c>
      <c r="I95" s="3" t="s">
        <v>7</v>
      </c>
      <c r="J95" s="3" t="s">
        <v>48</v>
      </c>
      <c r="K95" s="3" t="s">
        <v>65</v>
      </c>
      <c r="L95" s="3" t="s">
        <v>51</v>
      </c>
      <c r="M95">
        <v>1</v>
      </c>
    </row>
    <row r="96" spans="1:13" x14ac:dyDescent="0.25">
      <c r="A96" s="2">
        <v>46163</v>
      </c>
      <c r="B96" s="1" t="str">
        <f ca="1">IF(Información1[[#This Row],[Fecha]]='Ajuste de fechas'!$A$2,"Día actual","Día anterior")</f>
        <v>Día anterior</v>
      </c>
      <c r="C96" s="3" t="s">
        <v>220</v>
      </c>
      <c r="D96" t="s">
        <v>221</v>
      </c>
      <c r="E96" s="3" t="s">
        <v>229</v>
      </c>
      <c r="F96" s="3" t="s">
        <v>98</v>
      </c>
      <c r="G96" s="3" t="s">
        <v>91</v>
      </c>
      <c r="H96" s="3" t="s">
        <v>32</v>
      </c>
      <c r="I96" s="3" t="s">
        <v>7</v>
      </c>
      <c r="J96" s="3" t="s">
        <v>48</v>
      </c>
      <c r="K96" s="3" t="s">
        <v>65</v>
      </c>
      <c r="L96" s="3" t="s">
        <v>51</v>
      </c>
      <c r="M96">
        <v>1</v>
      </c>
    </row>
    <row r="97" spans="1:13" x14ac:dyDescent="0.25">
      <c r="A97" s="2">
        <v>46163</v>
      </c>
      <c r="B97" s="1" t="str">
        <f ca="1">IF(Información1[[#This Row],[Fecha]]='Ajuste de fechas'!$A$2,"Día actual","Día anterior")</f>
        <v>Día anterior</v>
      </c>
      <c r="C97" s="3" t="s">
        <v>220</v>
      </c>
      <c r="D97" t="s">
        <v>221</v>
      </c>
      <c r="E97" s="3" t="s">
        <v>230</v>
      </c>
      <c r="F97" s="3" t="s">
        <v>74</v>
      </c>
      <c r="G97" s="3" t="s">
        <v>231</v>
      </c>
      <c r="H97" s="3" t="s">
        <v>32</v>
      </c>
      <c r="I97" s="3" t="s">
        <v>7</v>
      </c>
      <c r="J97" s="3" t="s">
        <v>48</v>
      </c>
      <c r="K97" s="3" t="s">
        <v>65</v>
      </c>
      <c r="L97" s="3" t="s">
        <v>51</v>
      </c>
      <c r="M97">
        <v>1</v>
      </c>
    </row>
    <row r="98" spans="1:13" x14ac:dyDescent="0.25">
      <c r="A98" s="2">
        <v>46163</v>
      </c>
      <c r="B98" s="1" t="str">
        <f ca="1">IF(Información1[[#This Row],[Fecha]]='Ajuste de fechas'!$A$2,"Día actual","Día anterior")</f>
        <v>Día anterior</v>
      </c>
      <c r="C98" s="3" t="s">
        <v>220</v>
      </c>
      <c r="D98" t="s">
        <v>221</v>
      </c>
      <c r="E98" s="3" t="s">
        <v>232</v>
      </c>
      <c r="F98" s="3" t="s">
        <v>19</v>
      </c>
      <c r="G98" s="3" t="s">
        <v>108</v>
      </c>
      <c r="H98" s="3" t="s">
        <v>32</v>
      </c>
      <c r="I98" s="3" t="s">
        <v>7</v>
      </c>
      <c r="J98" s="3" t="s">
        <v>52</v>
      </c>
      <c r="K98" s="3" t="s">
        <v>233</v>
      </c>
      <c r="L98" s="3" t="s">
        <v>49</v>
      </c>
      <c r="M98">
        <v>1</v>
      </c>
    </row>
    <row r="99" spans="1:13" x14ac:dyDescent="0.25">
      <c r="A99" s="2">
        <v>46163</v>
      </c>
      <c r="B99" s="1" t="str">
        <f ca="1">IF(Información1[[#This Row],[Fecha]]='Ajuste de fechas'!$A$2,"Día actual","Día anterior")</f>
        <v>Día anterior</v>
      </c>
      <c r="C99" s="3" t="s">
        <v>220</v>
      </c>
      <c r="D99" t="s">
        <v>221</v>
      </c>
      <c r="E99" s="3" t="s">
        <v>170</v>
      </c>
      <c r="F99" s="3" t="s">
        <v>74</v>
      </c>
      <c r="G99" s="3" t="s">
        <v>171</v>
      </c>
      <c r="H99" s="3" t="s">
        <v>32</v>
      </c>
      <c r="I99" s="3" t="s">
        <v>7</v>
      </c>
      <c r="J99" s="3" t="s">
        <v>48</v>
      </c>
      <c r="K99" s="3" t="s">
        <v>65</v>
      </c>
      <c r="L99" s="3" t="s">
        <v>51</v>
      </c>
      <c r="M99">
        <v>1</v>
      </c>
    </row>
    <row r="100" spans="1:13" x14ac:dyDescent="0.25">
      <c r="A100" s="2">
        <v>46163</v>
      </c>
      <c r="B100" s="1" t="str">
        <f ca="1">IF(Información1[[#This Row],[Fecha]]='Ajuste de fechas'!$A$2,"Día actual","Día anterior")</f>
        <v>Día anterior</v>
      </c>
      <c r="C100" s="3" t="s">
        <v>220</v>
      </c>
      <c r="D100" t="s">
        <v>221</v>
      </c>
      <c r="E100" s="3" t="s">
        <v>234</v>
      </c>
      <c r="F100" s="3" t="s">
        <v>235</v>
      </c>
      <c r="G100" s="3" t="s">
        <v>236</v>
      </c>
      <c r="H100" s="3" t="s">
        <v>32</v>
      </c>
      <c r="I100" s="3" t="s">
        <v>7</v>
      </c>
      <c r="J100" s="3" t="s">
        <v>48</v>
      </c>
      <c r="K100" s="3" t="s">
        <v>65</v>
      </c>
      <c r="L100" s="3" t="s">
        <v>51</v>
      </c>
      <c r="M100">
        <v>1</v>
      </c>
    </row>
    <row r="101" spans="1:13" x14ac:dyDescent="0.25">
      <c r="A101" s="2">
        <v>46163</v>
      </c>
      <c r="B101" s="1" t="str">
        <f ca="1">IF(Información1[[#This Row],[Fecha]]='Ajuste de fechas'!$A$2,"Día actual","Día anterior")</f>
        <v>Día anterior</v>
      </c>
      <c r="C101" s="3" t="s">
        <v>220</v>
      </c>
      <c r="D101" t="s">
        <v>221</v>
      </c>
      <c r="E101" s="3" t="s">
        <v>237</v>
      </c>
      <c r="F101" s="3" t="s">
        <v>235</v>
      </c>
      <c r="G101" s="3" t="s">
        <v>238</v>
      </c>
      <c r="H101" s="3" t="s">
        <v>32</v>
      </c>
      <c r="I101" s="3" t="s">
        <v>7</v>
      </c>
      <c r="J101" s="3" t="s">
        <v>48</v>
      </c>
      <c r="K101" s="3" t="s">
        <v>65</v>
      </c>
      <c r="L101" s="3" t="s">
        <v>51</v>
      </c>
      <c r="M101">
        <v>1</v>
      </c>
    </row>
    <row r="102" spans="1:13" x14ac:dyDescent="0.25">
      <c r="A102" s="2">
        <v>46164</v>
      </c>
      <c r="B102" s="1" t="str">
        <f ca="1">IF(Información1[[#This Row],[Fecha]]='Ajuste de fechas'!$A$2,"Día actual","Día anterior")</f>
        <v>Día actual</v>
      </c>
      <c r="C102" s="3" t="s">
        <v>37</v>
      </c>
      <c r="D102" t="s">
        <v>38</v>
      </c>
      <c r="E102" s="3" t="s">
        <v>239</v>
      </c>
      <c r="F102" s="3" t="s">
        <v>240</v>
      </c>
      <c r="G102" s="3" t="s">
        <v>241</v>
      </c>
      <c r="H102" s="3" t="s">
        <v>11</v>
      </c>
      <c r="I102" s="3" t="s">
        <v>7</v>
      </c>
      <c r="J102" s="3" t="s">
        <v>48</v>
      </c>
      <c r="K102" s="3" t="s">
        <v>39</v>
      </c>
      <c r="L102" s="3" t="s">
        <v>51</v>
      </c>
      <c r="M102">
        <v>1</v>
      </c>
    </row>
    <row r="103" spans="1:13" x14ac:dyDescent="0.25">
      <c r="A103" s="2">
        <v>46163</v>
      </c>
      <c r="B103" s="1" t="str">
        <f ca="1">IF(Información1[[#This Row],[Fecha]]='Ajuste de fechas'!$A$2,"Día actual","Día anterior")</f>
        <v>Día anterior</v>
      </c>
      <c r="C103" s="3" t="s">
        <v>220</v>
      </c>
      <c r="D103" t="s">
        <v>221</v>
      </c>
      <c r="E103" s="3" t="s">
        <v>89</v>
      </c>
      <c r="F103" s="3" t="s">
        <v>74</v>
      </c>
      <c r="G103" s="3" t="s">
        <v>90</v>
      </c>
      <c r="H103" s="3" t="s">
        <v>32</v>
      </c>
      <c r="I103" s="3" t="s">
        <v>7</v>
      </c>
      <c r="J103" s="3" t="s">
        <v>48</v>
      </c>
      <c r="K103" s="3" t="s">
        <v>65</v>
      </c>
      <c r="L103" s="3" t="s">
        <v>51</v>
      </c>
      <c r="M103">
        <v>1</v>
      </c>
    </row>
    <row r="104" spans="1:13" x14ac:dyDescent="0.25">
      <c r="A104" s="2">
        <v>46163</v>
      </c>
      <c r="B104" s="1" t="str">
        <f ca="1">IF(Información1[[#This Row],[Fecha]]='Ajuste de fechas'!$A$2,"Día actual","Día anterior")</f>
        <v>Día anterior</v>
      </c>
      <c r="C104" s="3" t="s">
        <v>220</v>
      </c>
      <c r="D104" t="s">
        <v>221</v>
      </c>
      <c r="E104" s="3" t="s">
        <v>117</v>
      </c>
      <c r="F104" s="3" t="s">
        <v>26</v>
      </c>
      <c r="G104" s="3" t="s">
        <v>118</v>
      </c>
      <c r="H104" s="3" t="s">
        <v>32</v>
      </c>
      <c r="I104" s="3" t="s">
        <v>7</v>
      </c>
      <c r="J104" s="3" t="s">
        <v>48</v>
      </c>
      <c r="K104" s="3" t="s">
        <v>65</v>
      </c>
      <c r="L104" s="3" t="s">
        <v>51</v>
      </c>
      <c r="M104">
        <v>1</v>
      </c>
    </row>
    <row r="105" spans="1:13" x14ac:dyDescent="0.25">
      <c r="A105" s="2">
        <v>46164</v>
      </c>
      <c r="B105" s="1" t="str">
        <f ca="1">IF(Información1[[#This Row],[Fecha]]='Ajuste de fechas'!$A$2,"Día actual","Día anterior")</f>
        <v>Día actual</v>
      </c>
      <c r="C105" s="3" t="s">
        <v>66</v>
      </c>
      <c r="D105" t="s">
        <v>67</v>
      </c>
      <c r="E105" s="3" t="s">
        <v>242</v>
      </c>
      <c r="F105" s="3" t="s">
        <v>243</v>
      </c>
      <c r="G105" s="3" t="s">
        <v>97</v>
      </c>
      <c r="H105" s="3" t="s">
        <v>11</v>
      </c>
      <c r="I105" s="3" t="s">
        <v>7</v>
      </c>
      <c r="J105" s="3" t="s">
        <v>24</v>
      </c>
      <c r="K105" s="3" t="s">
        <v>68</v>
      </c>
      <c r="L105" s="3" t="s">
        <v>49</v>
      </c>
      <c r="M105">
        <v>1</v>
      </c>
    </row>
    <row r="106" spans="1:13" x14ac:dyDescent="0.25">
      <c r="A106" s="2">
        <v>46164</v>
      </c>
      <c r="B106" s="1" t="str">
        <f ca="1">IF(Información1[[#This Row],[Fecha]]='Ajuste de fechas'!$A$2,"Día actual","Día anterior")</f>
        <v>Día actual</v>
      </c>
      <c r="C106" s="3" t="s">
        <v>66</v>
      </c>
      <c r="D106" t="s">
        <v>67</v>
      </c>
      <c r="E106" s="3" t="s">
        <v>244</v>
      </c>
      <c r="F106" s="3" t="s">
        <v>245</v>
      </c>
      <c r="G106" s="3" t="s">
        <v>190</v>
      </c>
      <c r="H106" s="3" t="s">
        <v>11</v>
      </c>
      <c r="I106" s="3" t="s">
        <v>7</v>
      </c>
      <c r="J106" s="3" t="s">
        <v>48</v>
      </c>
      <c r="K106" s="3" t="s">
        <v>246</v>
      </c>
      <c r="L106" s="3" t="s">
        <v>49</v>
      </c>
      <c r="M106">
        <v>1</v>
      </c>
    </row>
    <row r="107" spans="1:13" x14ac:dyDescent="0.25">
      <c r="A107" s="2">
        <v>46164</v>
      </c>
      <c r="B107" s="1" t="str">
        <f ca="1">IF(Información1[[#This Row],[Fecha]]='Ajuste de fechas'!$A$2,"Día actual","Día anterior")</f>
        <v>Día actual</v>
      </c>
      <c r="C107" s="3" t="s">
        <v>69</v>
      </c>
      <c r="D107" t="s">
        <v>70</v>
      </c>
      <c r="E107" s="3" t="s">
        <v>247</v>
      </c>
      <c r="F107" s="3" t="s">
        <v>19</v>
      </c>
      <c r="G107" s="3" t="s">
        <v>75</v>
      </c>
      <c r="H107" s="3" t="s">
        <v>11</v>
      </c>
      <c r="I107" s="3" t="s">
        <v>7</v>
      </c>
      <c r="J107" s="3" t="s">
        <v>52</v>
      </c>
      <c r="K107" s="3" t="s">
        <v>71</v>
      </c>
      <c r="L107" s="3" t="s">
        <v>49</v>
      </c>
      <c r="M107">
        <v>1</v>
      </c>
    </row>
    <row r="108" spans="1:13" x14ac:dyDescent="0.25">
      <c r="A108" s="2">
        <v>46164</v>
      </c>
      <c r="B108" s="1" t="str">
        <f ca="1">IF(Información1[[#This Row],[Fecha]]='Ajuste de fechas'!$A$2,"Día actual","Día anterior")</f>
        <v>Día actual</v>
      </c>
      <c r="C108" s="3" t="s">
        <v>69</v>
      </c>
      <c r="D108" t="s">
        <v>70</v>
      </c>
      <c r="E108" s="3" t="s">
        <v>248</v>
      </c>
      <c r="F108" s="3" t="s">
        <v>96</v>
      </c>
      <c r="G108" s="3" t="s">
        <v>97</v>
      </c>
      <c r="H108" s="3" t="s">
        <v>11</v>
      </c>
      <c r="I108" s="3" t="s">
        <v>7</v>
      </c>
      <c r="J108" s="3" t="s">
        <v>24</v>
      </c>
      <c r="K108" s="3" t="s">
        <v>71</v>
      </c>
      <c r="L108" s="3" t="s">
        <v>49</v>
      </c>
      <c r="M108">
        <v>1</v>
      </c>
    </row>
    <row r="109" spans="1:13" x14ac:dyDescent="0.25">
      <c r="A109" s="2">
        <v>46164</v>
      </c>
      <c r="B109" s="1" t="str">
        <f ca="1">IF(Información1[[#This Row],[Fecha]]='Ajuste de fechas'!$A$2,"Día actual","Día anterior")</f>
        <v>Día actual</v>
      </c>
      <c r="C109" s="3" t="s">
        <v>69</v>
      </c>
      <c r="D109" t="s">
        <v>70</v>
      </c>
      <c r="E109" s="3" t="s">
        <v>226</v>
      </c>
      <c r="F109" s="3" t="s">
        <v>227</v>
      </c>
      <c r="G109" s="3" t="s">
        <v>228</v>
      </c>
      <c r="H109" s="3" t="s">
        <v>11</v>
      </c>
      <c r="I109" s="3" t="s">
        <v>7</v>
      </c>
      <c r="J109" s="3" t="s">
        <v>48</v>
      </c>
      <c r="K109" s="3" t="s">
        <v>71</v>
      </c>
      <c r="L109" s="3" t="s">
        <v>51</v>
      </c>
      <c r="M109">
        <v>1</v>
      </c>
    </row>
    <row r="110" spans="1:13" x14ac:dyDescent="0.25">
      <c r="A110" s="2">
        <v>46164</v>
      </c>
      <c r="B110" s="1" t="str">
        <f ca="1">IF(Información1[[#This Row],[Fecha]]='Ajuste de fechas'!$A$2,"Día actual","Día anterior")</f>
        <v>Día actual</v>
      </c>
      <c r="C110" s="3" t="s">
        <v>69</v>
      </c>
      <c r="D110" t="s">
        <v>70</v>
      </c>
      <c r="E110" s="3" t="s">
        <v>249</v>
      </c>
      <c r="F110" s="3" t="s">
        <v>36</v>
      </c>
      <c r="G110" s="3" t="s">
        <v>73</v>
      </c>
      <c r="H110" s="3" t="s">
        <v>11</v>
      </c>
      <c r="I110" s="3" t="s">
        <v>12</v>
      </c>
      <c r="J110" s="3" t="s">
        <v>48</v>
      </c>
      <c r="K110" s="3" t="s">
        <v>71</v>
      </c>
      <c r="L110" s="3" t="s">
        <v>81</v>
      </c>
      <c r="M110">
        <v>1</v>
      </c>
    </row>
    <row r="111" spans="1:13" x14ac:dyDescent="0.25">
      <c r="A111" s="2">
        <v>46164</v>
      </c>
      <c r="B111" s="1" t="str">
        <f ca="1">IF(Información1[[#This Row],[Fecha]]='Ajuste de fechas'!$A$2,"Día actual","Día anterior")</f>
        <v>Día actual</v>
      </c>
      <c r="C111" s="3" t="s">
        <v>69</v>
      </c>
      <c r="D111" t="s">
        <v>70</v>
      </c>
      <c r="E111" s="3" t="s">
        <v>196</v>
      </c>
      <c r="F111" s="3" t="s">
        <v>21</v>
      </c>
      <c r="G111" s="3" t="s">
        <v>197</v>
      </c>
      <c r="H111" s="3" t="s">
        <v>11</v>
      </c>
      <c r="I111" s="3" t="s">
        <v>7</v>
      </c>
      <c r="J111" s="3" t="s">
        <v>48</v>
      </c>
      <c r="K111" s="3" t="s">
        <v>71</v>
      </c>
      <c r="L111" s="3" t="s">
        <v>51</v>
      </c>
      <c r="M111">
        <v>1</v>
      </c>
    </row>
    <row r="112" spans="1:13" x14ac:dyDescent="0.25">
      <c r="A112" s="2">
        <v>46164</v>
      </c>
      <c r="B112" s="1" t="str">
        <f ca="1">IF(Información1[[#This Row],[Fecha]]='Ajuste de fechas'!$A$2,"Día actual","Día anterior")</f>
        <v>Día actual</v>
      </c>
      <c r="C112" s="3" t="s">
        <v>69</v>
      </c>
      <c r="D112" t="s">
        <v>70</v>
      </c>
      <c r="E112" s="3" t="s">
        <v>250</v>
      </c>
      <c r="F112" s="3" t="s">
        <v>21</v>
      </c>
      <c r="G112" s="3" t="s">
        <v>87</v>
      </c>
      <c r="H112" s="3" t="s">
        <v>11</v>
      </c>
      <c r="I112" s="3" t="s">
        <v>7</v>
      </c>
      <c r="J112" s="3" t="s">
        <v>48</v>
      </c>
      <c r="K112" s="3" t="s">
        <v>71</v>
      </c>
      <c r="L112" s="3" t="s">
        <v>51</v>
      </c>
      <c r="M112">
        <v>1</v>
      </c>
    </row>
    <row r="113" spans="1:13" x14ac:dyDescent="0.25">
      <c r="A113" s="2">
        <v>46164</v>
      </c>
      <c r="B113" s="1" t="str">
        <f ca="1">IF(Información1[[#This Row],[Fecha]]='Ajuste de fechas'!$A$2,"Día actual","Día anterior")</f>
        <v>Día actual</v>
      </c>
      <c r="C113" s="3" t="s">
        <v>69</v>
      </c>
      <c r="D113" t="s">
        <v>70</v>
      </c>
      <c r="E113" s="3" t="s">
        <v>234</v>
      </c>
      <c r="F113" s="3" t="s">
        <v>235</v>
      </c>
      <c r="G113" s="3" t="s">
        <v>236</v>
      </c>
      <c r="H113" s="3" t="s">
        <v>11</v>
      </c>
      <c r="I113" s="3" t="s">
        <v>7</v>
      </c>
      <c r="J113" s="3" t="s">
        <v>48</v>
      </c>
      <c r="K113" s="3" t="s">
        <v>71</v>
      </c>
      <c r="L113" s="3" t="s">
        <v>51</v>
      </c>
      <c r="M113">
        <v>1</v>
      </c>
    </row>
    <row r="114" spans="1:13" x14ac:dyDescent="0.25">
      <c r="A114" s="2">
        <v>46164</v>
      </c>
      <c r="B114" s="1" t="str">
        <f ca="1">IF(Información1[[#This Row],[Fecha]]='Ajuste de fechas'!$A$2,"Día actual","Día anterior")</f>
        <v>Día actual</v>
      </c>
      <c r="C114" s="3" t="s">
        <v>69</v>
      </c>
      <c r="D114" t="s">
        <v>70</v>
      </c>
      <c r="E114" s="3" t="s">
        <v>251</v>
      </c>
      <c r="F114" s="3" t="s">
        <v>252</v>
      </c>
      <c r="G114" s="3" t="s">
        <v>253</v>
      </c>
      <c r="H114" s="3" t="s">
        <v>11</v>
      </c>
      <c r="I114" s="3" t="s">
        <v>7</v>
      </c>
      <c r="J114" s="3" t="s">
        <v>48</v>
      </c>
      <c r="K114" s="3" t="s">
        <v>71</v>
      </c>
      <c r="L114" s="3" t="s">
        <v>51</v>
      </c>
      <c r="M114">
        <v>1</v>
      </c>
    </row>
    <row r="115" spans="1:13" x14ac:dyDescent="0.25">
      <c r="A115" s="2">
        <v>46164</v>
      </c>
      <c r="B115" s="1" t="str">
        <f ca="1">IF(Información1[[#This Row],[Fecha]]='Ajuste de fechas'!$A$2,"Día actual","Día anterior")</f>
        <v>Día actual</v>
      </c>
      <c r="C115" s="3" t="s">
        <v>69</v>
      </c>
      <c r="D115" t="s">
        <v>70</v>
      </c>
      <c r="E115" s="3" t="s">
        <v>254</v>
      </c>
      <c r="F115" s="3" t="s">
        <v>15</v>
      </c>
      <c r="G115" s="3" t="s">
        <v>255</v>
      </c>
      <c r="H115" s="3" t="s">
        <v>11</v>
      </c>
      <c r="I115" s="3" t="s">
        <v>7</v>
      </c>
      <c r="J115" s="3" t="s">
        <v>48</v>
      </c>
      <c r="K115" s="3" t="s">
        <v>71</v>
      </c>
      <c r="L115" s="3" t="s">
        <v>51</v>
      </c>
      <c r="M115">
        <v>1</v>
      </c>
    </row>
    <row r="116" spans="1:13" x14ac:dyDescent="0.25">
      <c r="A116" s="2">
        <v>46164</v>
      </c>
      <c r="B116" s="1" t="str">
        <f ca="1">IF(Información1[[#This Row],[Fecha]]='Ajuste de fechas'!$A$2,"Día actual","Día anterior")</f>
        <v>Día actual</v>
      </c>
      <c r="C116" s="3" t="s">
        <v>69</v>
      </c>
      <c r="D116" t="s">
        <v>70</v>
      </c>
      <c r="E116" s="3" t="s">
        <v>256</v>
      </c>
      <c r="F116" s="3" t="s">
        <v>26</v>
      </c>
      <c r="G116" s="3" t="s">
        <v>77</v>
      </c>
      <c r="H116" s="3" t="s">
        <v>11</v>
      </c>
      <c r="I116" s="3" t="s">
        <v>7</v>
      </c>
      <c r="J116" s="3" t="s">
        <v>48</v>
      </c>
      <c r="K116" s="3" t="s">
        <v>71</v>
      </c>
      <c r="L116" s="3" t="s">
        <v>51</v>
      </c>
      <c r="M116">
        <v>1</v>
      </c>
    </row>
    <row r="117" spans="1:13" x14ac:dyDescent="0.25">
      <c r="A117" s="2">
        <v>46164</v>
      </c>
      <c r="B117" s="1" t="str">
        <f ca="1">IF(Información1[[#This Row],[Fecha]]='Ajuste de fechas'!$A$2,"Día actual","Día anterior")</f>
        <v>Día actual</v>
      </c>
      <c r="C117" s="3" t="s">
        <v>66</v>
      </c>
      <c r="D117" t="s">
        <v>72</v>
      </c>
      <c r="E117" s="3" t="s">
        <v>257</v>
      </c>
      <c r="F117" s="3" t="s">
        <v>21</v>
      </c>
      <c r="G117" s="3" t="s">
        <v>223</v>
      </c>
      <c r="H117" s="3" t="s">
        <v>11</v>
      </c>
      <c r="I117" s="3" t="s">
        <v>12</v>
      </c>
      <c r="J117" s="3" t="s">
        <v>48</v>
      </c>
      <c r="K117" s="3" t="s">
        <v>65</v>
      </c>
      <c r="L117" s="3" t="s">
        <v>50</v>
      </c>
      <c r="M117">
        <v>1</v>
      </c>
    </row>
    <row r="118" spans="1:13" x14ac:dyDescent="0.25">
      <c r="A118" s="2">
        <v>46164</v>
      </c>
      <c r="B118" s="1" t="str">
        <f ca="1">IF(Información1[[#This Row],[Fecha]]='Ajuste de fechas'!$A$2,"Día actual","Día anterior")</f>
        <v>Día actual</v>
      </c>
      <c r="C118" s="3" t="s">
        <v>66</v>
      </c>
      <c r="D118" t="s">
        <v>72</v>
      </c>
      <c r="E118" s="3" t="s">
        <v>258</v>
      </c>
      <c r="F118" s="3" t="s">
        <v>36</v>
      </c>
      <c r="G118" s="3" t="s">
        <v>73</v>
      </c>
      <c r="H118" s="3" t="s">
        <v>11</v>
      </c>
      <c r="I118" s="3" t="s">
        <v>12</v>
      </c>
      <c r="J118" s="3" t="s">
        <v>48</v>
      </c>
      <c r="K118" s="3" t="s">
        <v>65</v>
      </c>
      <c r="L118" s="3" t="s">
        <v>81</v>
      </c>
      <c r="M118">
        <v>1</v>
      </c>
    </row>
    <row r="119" spans="1:13" x14ac:dyDescent="0.25">
      <c r="A119" s="2">
        <v>46164</v>
      </c>
      <c r="B119" s="1" t="str">
        <f ca="1">IF(Información1[[#This Row],[Fecha]]='Ajuste de fechas'!$A$2,"Día actual","Día anterior")</f>
        <v>Día actual</v>
      </c>
      <c r="C119" s="3" t="s">
        <v>66</v>
      </c>
      <c r="D119" t="s">
        <v>72</v>
      </c>
      <c r="E119" s="3" t="s">
        <v>259</v>
      </c>
      <c r="F119" s="3" t="s">
        <v>252</v>
      </c>
      <c r="G119" s="3" t="s">
        <v>118</v>
      </c>
      <c r="H119" s="3" t="s">
        <v>11</v>
      </c>
      <c r="I119" s="3" t="s">
        <v>7</v>
      </c>
      <c r="J119" s="3" t="s">
        <v>48</v>
      </c>
      <c r="K119" s="3" t="s">
        <v>68</v>
      </c>
      <c r="L119" s="3" t="s">
        <v>51</v>
      </c>
      <c r="M119">
        <v>1</v>
      </c>
    </row>
    <row r="120" spans="1:13" x14ac:dyDescent="0.25">
      <c r="A120" s="2">
        <v>46164</v>
      </c>
      <c r="B120" s="1" t="str">
        <f ca="1">IF(Información1[[#This Row],[Fecha]]='Ajuste de fechas'!$A$2,"Día actual","Día anterior")</f>
        <v>Día actual</v>
      </c>
      <c r="C120" s="3" t="s">
        <v>66</v>
      </c>
      <c r="D120" t="s">
        <v>72</v>
      </c>
      <c r="E120" s="3" t="s">
        <v>260</v>
      </c>
      <c r="F120" s="3" t="s">
        <v>26</v>
      </c>
      <c r="G120" s="3" t="s">
        <v>77</v>
      </c>
      <c r="H120" s="3" t="s">
        <v>11</v>
      </c>
      <c r="I120" s="3" t="s">
        <v>7</v>
      </c>
      <c r="J120" s="3" t="s">
        <v>48</v>
      </c>
      <c r="K120" s="3" t="s">
        <v>65</v>
      </c>
      <c r="L120" s="3" t="s">
        <v>51</v>
      </c>
      <c r="M120">
        <v>1</v>
      </c>
    </row>
    <row r="121" spans="1:13" x14ac:dyDescent="0.25">
      <c r="A121" s="2">
        <v>46164</v>
      </c>
      <c r="B121" s="1" t="str">
        <f ca="1">IF(Información1[[#This Row],[Fecha]]='Ajuste de fechas'!$A$2,"Día actual","Día anterior")</f>
        <v>Día actual</v>
      </c>
      <c r="C121" s="3" t="s">
        <v>66</v>
      </c>
      <c r="D121" t="s">
        <v>72</v>
      </c>
      <c r="E121" s="3" t="s">
        <v>261</v>
      </c>
      <c r="F121" s="3" t="s">
        <v>23</v>
      </c>
      <c r="G121" s="3" t="s">
        <v>262</v>
      </c>
      <c r="H121" s="3" t="s">
        <v>11</v>
      </c>
      <c r="I121" s="3" t="s">
        <v>7</v>
      </c>
      <c r="J121" s="3" t="s">
        <v>48</v>
      </c>
      <c r="K121" s="3" t="s">
        <v>65</v>
      </c>
      <c r="L121" s="3" t="s">
        <v>51</v>
      </c>
      <c r="M121">
        <v>1</v>
      </c>
    </row>
    <row r="122" spans="1:13" x14ac:dyDescent="0.25">
      <c r="A122" s="2">
        <v>46164</v>
      </c>
      <c r="B122" s="1" t="str">
        <f ca="1">IF(Información1[[#This Row],[Fecha]]='Ajuste de fechas'!$A$2,"Día actual","Día anterior")</f>
        <v>Día actual</v>
      </c>
      <c r="C122" s="3" t="s">
        <v>66</v>
      </c>
      <c r="D122" t="s">
        <v>72</v>
      </c>
      <c r="E122" s="3" t="s">
        <v>248</v>
      </c>
      <c r="F122" s="3" t="s">
        <v>96</v>
      </c>
      <c r="G122" s="3" t="s">
        <v>97</v>
      </c>
      <c r="H122" s="3" t="s">
        <v>11</v>
      </c>
      <c r="I122" s="3" t="s">
        <v>7</v>
      </c>
      <c r="J122" s="3" t="s">
        <v>24</v>
      </c>
      <c r="K122" s="3" t="s">
        <v>68</v>
      </c>
      <c r="L122" s="3" t="s">
        <v>49</v>
      </c>
      <c r="M122">
        <v>1</v>
      </c>
    </row>
    <row r="123" spans="1:13" x14ac:dyDescent="0.25">
      <c r="A123" s="2">
        <v>46164</v>
      </c>
      <c r="B123" s="1" t="str">
        <f ca="1">IF(Información1[[#This Row],[Fecha]]='Ajuste de fechas'!$A$2,"Día actual","Día anterior")</f>
        <v>Día actual</v>
      </c>
      <c r="C123" s="3" t="s">
        <v>66</v>
      </c>
      <c r="D123" t="s">
        <v>72</v>
      </c>
      <c r="E123" s="3" t="s">
        <v>263</v>
      </c>
      <c r="F123" s="3" t="s">
        <v>15</v>
      </c>
      <c r="G123" s="3" t="s">
        <v>255</v>
      </c>
      <c r="H123" s="3" t="s">
        <v>11</v>
      </c>
      <c r="I123" s="3" t="s">
        <v>7</v>
      </c>
      <c r="J123" s="3" t="s">
        <v>48</v>
      </c>
      <c r="K123" s="3" t="s">
        <v>65</v>
      </c>
      <c r="L123" s="3" t="s">
        <v>51</v>
      </c>
      <c r="M123">
        <v>1</v>
      </c>
    </row>
    <row r="124" spans="1:13" x14ac:dyDescent="0.25">
      <c r="A124" s="2">
        <v>46164</v>
      </c>
      <c r="B124" s="1" t="str">
        <f ca="1">IF(Información1[[#This Row],[Fecha]]='Ajuste de fechas'!$A$2,"Día actual","Día anterior")</f>
        <v>Día actual</v>
      </c>
      <c r="C124" s="3" t="s">
        <v>8</v>
      </c>
      <c r="D124" t="s">
        <v>10</v>
      </c>
      <c r="E124" s="3" t="s">
        <v>264</v>
      </c>
      <c r="F124" s="3" t="s">
        <v>6</v>
      </c>
      <c r="G124" s="3" t="s">
        <v>60</v>
      </c>
      <c r="H124" s="3" t="s">
        <v>11</v>
      </c>
      <c r="I124" s="3" t="s">
        <v>25</v>
      </c>
      <c r="J124" s="3" t="s">
        <v>48</v>
      </c>
      <c r="K124" s="3" t="s">
        <v>9</v>
      </c>
      <c r="L124" s="3" t="s">
        <v>50</v>
      </c>
      <c r="M124">
        <v>1</v>
      </c>
    </row>
    <row r="125" spans="1:13" x14ac:dyDescent="0.25">
      <c r="A125" s="2">
        <v>46164</v>
      </c>
      <c r="B125" s="1" t="str">
        <f ca="1">IF(Información1[[#This Row],[Fecha]]='Ajuste de fechas'!$A$2,"Día actual","Día anterior")</f>
        <v>Día actual</v>
      </c>
      <c r="C125" s="3" t="s">
        <v>28</v>
      </c>
      <c r="D125" t="s">
        <v>30</v>
      </c>
      <c r="E125" s="3" t="s">
        <v>265</v>
      </c>
      <c r="F125" s="3" t="s">
        <v>19</v>
      </c>
      <c r="G125" s="3" t="s">
        <v>266</v>
      </c>
      <c r="H125" s="3" t="s">
        <v>11</v>
      </c>
      <c r="I125" s="3" t="s">
        <v>25</v>
      </c>
      <c r="J125" s="3" t="s">
        <v>52</v>
      </c>
      <c r="K125" s="3" t="s">
        <v>41</v>
      </c>
      <c r="L125" s="3" t="s">
        <v>49</v>
      </c>
      <c r="M125">
        <v>1</v>
      </c>
    </row>
    <row r="126" spans="1:13" x14ac:dyDescent="0.25">
      <c r="A126" s="2">
        <v>46164</v>
      </c>
      <c r="B126" s="1" t="str">
        <f ca="1">IF(Información1[[#This Row],[Fecha]]='Ajuste de fechas'!$A$2,"Día actual","Día anterior")</f>
        <v>Día actual</v>
      </c>
      <c r="C126" s="3" t="s">
        <v>28</v>
      </c>
      <c r="D126" t="s">
        <v>31</v>
      </c>
      <c r="E126" s="3" t="s">
        <v>267</v>
      </c>
      <c r="F126" s="3" t="s">
        <v>17</v>
      </c>
      <c r="G126" s="3" t="s">
        <v>122</v>
      </c>
      <c r="H126" s="3" t="s">
        <v>11</v>
      </c>
      <c r="I126" s="3" t="s">
        <v>7</v>
      </c>
      <c r="J126" s="3" t="s">
        <v>48</v>
      </c>
      <c r="K126" s="3" t="s">
        <v>29</v>
      </c>
      <c r="L126" s="3" t="s">
        <v>49</v>
      </c>
      <c r="M126">
        <v>1</v>
      </c>
    </row>
    <row r="127" spans="1:13" x14ac:dyDescent="0.25">
      <c r="A127" s="2">
        <v>46164</v>
      </c>
      <c r="B127" s="1" t="str">
        <f ca="1">IF(Información1[[#This Row],[Fecha]]='Ajuste de fechas'!$A$2,"Día actual","Día anterior")</f>
        <v>Día actual</v>
      </c>
      <c r="C127" s="3" t="s">
        <v>28</v>
      </c>
      <c r="D127" t="s">
        <v>31</v>
      </c>
      <c r="E127" s="3" t="s">
        <v>268</v>
      </c>
      <c r="F127" s="3" t="s">
        <v>17</v>
      </c>
      <c r="G127" s="3" t="s">
        <v>122</v>
      </c>
      <c r="H127" s="3" t="s">
        <v>11</v>
      </c>
      <c r="I127" s="3" t="s">
        <v>7</v>
      </c>
      <c r="J127" s="3" t="s">
        <v>48</v>
      </c>
      <c r="K127" s="3" t="s">
        <v>29</v>
      </c>
      <c r="L127" s="3" t="s">
        <v>49</v>
      </c>
      <c r="M127">
        <v>1</v>
      </c>
    </row>
    <row r="128" spans="1:13" x14ac:dyDescent="0.25">
      <c r="A128" s="2">
        <v>46164</v>
      </c>
      <c r="B128" s="1" t="str">
        <f ca="1">IF(Información1[[#This Row],[Fecha]]='Ajuste de fechas'!$A$2,"Día actual","Día anterior")</f>
        <v>Día actual</v>
      </c>
      <c r="C128" s="3" t="s">
        <v>8</v>
      </c>
      <c r="D128" t="s">
        <v>10</v>
      </c>
      <c r="E128" s="3" t="s">
        <v>269</v>
      </c>
      <c r="F128" s="3" t="s">
        <v>17</v>
      </c>
      <c r="G128" s="3" t="s">
        <v>122</v>
      </c>
      <c r="H128" s="3" t="s">
        <v>11</v>
      </c>
      <c r="I128" s="3" t="s">
        <v>25</v>
      </c>
      <c r="J128" s="3" t="s">
        <v>48</v>
      </c>
      <c r="K128" s="3" t="s">
        <v>9</v>
      </c>
      <c r="L128" s="3" t="s">
        <v>50</v>
      </c>
      <c r="M128">
        <v>1</v>
      </c>
    </row>
    <row r="129" spans="1:13" x14ac:dyDescent="0.25">
      <c r="A129" s="2">
        <v>46164</v>
      </c>
      <c r="B129" s="1" t="str">
        <f ca="1">IF(Información1[[#This Row],[Fecha]]='Ajuste de fechas'!$A$2,"Día actual","Día anterior")</f>
        <v>Día actual</v>
      </c>
      <c r="C129" s="3" t="s">
        <v>28</v>
      </c>
      <c r="D129" t="s">
        <v>31</v>
      </c>
      <c r="E129" s="3" t="s">
        <v>270</v>
      </c>
      <c r="F129" s="3" t="s">
        <v>19</v>
      </c>
      <c r="G129" s="3" t="s">
        <v>190</v>
      </c>
      <c r="H129" s="3" t="s">
        <v>11</v>
      </c>
      <c r="I129" s="3" t="s">
        <v>7</v>
      </c>
      <c r="J129" s="3" t="s">
        <v>52</v>
      </c>
      <c r="K129" s="3" t="s">
        <v>29</v>
      </c>
      <c r="L129" s="3" t="s">
        <v>49</v>
      </c>
      <c r="M129">
        <v>1</v>
      </c>
    </row>
    <row r="130" spans="1:13" x14ac:dyDescent="0.25">
      <c r="A130" s="2">
        <v>46164</v>
      </c>
      <c r="B130" s="1" t="str">
        <f ca="1">IF(Información1[[#This Row],[Fecha]]='Ajuste de fechas'!$A$2,"Día actual","Día anterior")</f>
        <v>Día actual</v>
      </c>
      <c r="C130" s="3" t="s">
        <v>28</v>
      </c>
      <c r="D130" t="s">
        <v>31</v>
      </c>
      <c r="E130" s="3" t="s">
        <v>271</v>
      </c>
      <c r="F130" s="3" t="s">
        <v>15</v>
      </c>
      <c r="G130" s="3" t="s">
        <v>190</v>
      </c>
      <c r="H130" s="3" t="s">
        <v>11</v>
      </c>
      <c r="I130" s="3" t="s">
        <v>7</v>
      </c>
      <c r="J130" s="3" t="s">
        <v>48</v>
      </c>
      <c r="K130" s="3" t="s">
        <v>29</v>
      </c>
      <c r="L130" s="3" t="s">
        <v>49</v>
      </c>
      <c r="M130">
        <v>1</v>
      </c>
    </row>
    <row r="131" spans="1:13" x14ac:dyDescent="0.25">
      <c r="A131" s="2">
        <v>46164</v>
      </c>
      <c r="B131" s="1" t="str">
        <f ca="1">IF(Información1[[#This Row],[Fecha]]='Ajuste de fechas'!$A$2,"Día actual","Día anterior")</f>
        <v>Día actual</v>
      </c>
      <c r="C131" s="3" t="s">
        <v>8</v>
      </c>
      <c r="D131" t="s">
        <v>10</v>
      </c>
      <c r="E131" s="3" t="s">
        <v>272</v>
      </c>
      <c r="F131" s="3" t="s">
        <v>19</v>
      </c>
      <c r="G131" s="3" t="s">
        <v>190</v>
      </c>
      <c r="H131" s="3" t="s">
        <v>11</v>
      </c>
      <c r="I131" s="3" t="s">
        <v>7</v>
      </c>
      <c r="J131" s="3" t="s">
        <v>52</v>
      </c>
      <c r="K131" s="3" t="s">
        <v>9</v>
      </c>
      <c r="L131" s="3" t="s">
        <v>50</v>
      </c>
      <c r="M131">
        <v>1</v>
      </c>
    </row>
    <row r="132" spans="1:13" x14ac:dyDescent="0.25">
      <c r="A132" s="2">
        <v>46164</v>
      </c>
      <c r="B132" s="1" t="str">
        <f ca="1">IF(Información1[[#This Row],[Fecha]]='Ajuste de fechas'!$A$2,"Día actual","Día anterior")</f>
        <v>Día actual</v>
      </c>
      <c r="C132" s="3" t="s">
        <v>28</v>
      </c>
      <c r="D132" t="s">
        <v>30</v>
      </c>
      <c r="E132" s="3" t="s">
        <v>273</v>
      </c>
      <c r="F132" s="3" t="s">
        <v>15</v>
      </c>
      <c r="G132" s="3" t="s">
        <v>274</v>
      </c>
      <c r="H132" s="3" t="s">
        <v>11</v>
      </c>
      <c r="I132" s="3" t="s">
        <v>7</v>
      </c>
      <c r="J132" s="3" t="s">
        <v>48</v>
      </c>
      <c r="K132" s="3" t="s">
        <v>41</v>
      </c>
      <c r="L132" s="3" t="s">
        <v>51</v>
      </c>
      <c r="M132">
        <v>1</v>
      </c>
    </row>
    <row r="133" spans="1:13" x14ac:dyDescent="0.25">
      <c r="A133" s="2">
        <v>46164</v>
      </c>
      <c r="B133" s="1" t="str">
        <f ca="1">IF(Información1[[#This Row],[Fecha]]='Ajuste de fechas'!$A$2,"Día actual","Día anterior")</f>
        <v>Día actual</v>
      </c>
      <c r="C133" s="3" t="s">
        <v>28</v>
      </c>
      <c r="D133" t="s">
        <v>30</v>
      </c>
      <c r="E133" s="3" t="s">
        <v>275</v>
      </c>
      <c r="F133" s="3" t="s">
        <v>19</v>
      </c>
      <c r="G133" s="3" t="s">
        <v>192</v>
      </c>
      <c r="H133" s="3" t="s">
        <v>11</v>
      </c>
      <c r="I133" s="3" t="s">
        <v>7</v>
      </c>
      <c r="J133" s="3" t="s">
        <v>52</v>
      </c>
      <c r="K133" s="3" t="s">
        <v>41</v>
      </c>
      <c r="L133" s="3" t="s">
        <v>49</v>
      </c>
      <c r="M133">
        <v>1</v>
      </c>
    </row>
    <row r="134" spans="1:13" x14ac:dyDescent="0.25">
      <c r="A134" s="2">
        <v>46164</v>
      </c>
      <c r="B134" s="1" t="str">
        <f ca="1">IF(Información1[[#This Row],[Fecha]]='Ajuste de fechas'!$A$2,"Día actual","Día anterior")</f>
        <v>Día actual</v>
      </c>
      <c r="C134" s="3" t="s">
        <v>8</v>
      </c>
      <c r="D134" t="s">
        <v>10</v>
      </c>
      <c r="E134" s="3" t="s">
        <v>20</v>
      </c>
      <c r="F134" s="3" t="s">
        <v>19</v>
      </c>
      <c r="G134" s="3" t="s">
        <v>40</v>
      </c>
      <c r="H134" s="3" t="s">
        <v>11</v>
      </c>
      <c r="I134" s="3" t="s">
        <v>12</v>
      </c>
      <c r="J134" s="3" t="s">
        <v>52</v>
      </c>
      <c r="K134" s="3" t="s">
        <v>14</v>
      </c>
      <c r="L134" s="3" t="s">
        <v>50</v>
      </c>
      <c r="M134">
        <v>1</v>
      </c>
    </row>
    <row r="135" spans="1:13" x14ac:dyDescent="0.25">
      <c r="A135" s="2">
        <v>46164</v>
      </c>
      <c r="B135" s="1" t="str">
        <f ca="1">IF(Información1[[#This Row],[Fecha]]='Ajuste de fechas'!$A$2,"Día actual","Día anterior")</f>
        <v>Día actual</v>
      </c>
      <c r="C135" s="3" t="s">
        <v>8</v>
      </c>
      <c r="D135" t="s">
        <v>10</v>
      </c>
      <c r="E135" s="3" t="s">
        <v>18</v>
      </c>
      <c r="F135" s="3" t="s">
        <v>19</v>
      </c>
      <c r="G135" s="3" t="s">
        <v>40</v>
      </c>
      <c r="H135" s="3" t="s">
        <v>11</v>
      </c>
      <c r="I135" s="3" t="s">
        <v>12</v>
      </c>
      <c r="J135" s="3" t="s">
        <v>52</v>
      </c>
      <c r="K135" s="3" t="s">
        <v>14</v>
      </c>
      <c r="L135" s="3" t="s">
        <v>50</v>
      </c>
      <c r="M135">
        <v>1</v>
      </c>
    </row>
    <row r="136" spans="1:13" x14ac:dyDescent="0.25">
      <c r="A136" s="2">
        <v>46164</v>
      </c>
      <c r="B136" s="1" t="str">
        <f ca="1">IF(Información1[[#This Row],[Fecha]]='Ajuste de fechas'!$A$2,"Día actual","Día anterior")</f>
        <v>Día actual</v>
      </c>
      <c r="C136" s="3" t="s">
        <v>8</v>
      </c>
      <c r="D136" t="s">
        <v>10</v>
      </c>
      <c r="E136" s="3" t="s">
        <v>84</v>
      </c>
      <c r="F136" s="3" t="s">
        <v>21</v>
      </c>
      <c r="G136" s="3" t="s">
        <v>40</v>
      </c>
      <c r="H136" s="3" t="s">
        <v>11</v>
      </c>
      <c r="I136" s="3" t="s">
        <v>12</v>
      </c>
      <c r="J136" s="3" t="s">
        <v>48</v>
      </c>
      <c r="K136" s="3" t="s">
        <v>14</v>
      </c>
      <c r="L136" s="3" t="s">
        <v>50</v>
      </c>
      <c r="M136">
        <v>1</v>
      </c>
    </row>
    <row r="137" spans="1:13" x14ac:dyDescent="0.25">
      <c r="A137" s="2">
        <v>46164</v>
      </c>
      <c r="B137" s="1" t="str">
        <f ca="1">IF(Información1[[#This Row],[Fecha]]='Ajuste de fechas'!$A$2,"Día actual","Día anterior")</f>
        <v>Día actual</v>
      </c>
      <c r="C137" s="3" t="s">
        <v>8</v>
      </c>
      <c r="D137" t="s">
        <v>10</v>
      </c>
      <c r="E137" s="3" t="s">
        <v>13</v>
      </c>
      <c r="F137" s="3" t="s">
        <v>15</v>
      </c>
      <c r="G137" s="3" t="s">
        <v>40</v>
      </c>
      <c r="H137" s="3" t="s">
        <v>11</v>
      </c>
      <c r="I137" s="3" t="s">
        <v>12</v>
      </c>
      <c r="J137" s="3" t="s">
        <v>48</v>
      </c>
      <c r="K137" s="3" t="s">
        <v>14</v>
      </c>
      <c r="L137" s="3" t="s">
        <v>50</v>
      </c>
      <c r="M137">
        <v>1</v>
      </c>
    </row>
    <row r="138" spans="1:13" x14ac:dyDescent="0.25">
      <c r="A138" s="2">
        <v>46164</v>
      </c>
      <c r="B138" s="1" t="str">
        <f ca="1">IF(Información1[[#This Row],[Fecha]]='Ajuste de fechas'!$A$2,"Día actual","Día anterior")</f>
        <v>Día actual</v>
      </c>
      <c r="C138" s="3" t="s">
        <v>8</v>
      </c>
      <c r="D138" t="s">
        <v>10</v>
      </c>
      <c r="E138" s="3" t="s">
        <v>16</v>
      </c>
      <c r="F138" s="3" t="s">
        <v>17</v>
      </c>
      <c r="G138" s="3" t="s">
        <v>40</v>
      </c>
      <c r="H138" s="3" t="s">
        <v>11</v>
      </c>
      <c r="I138" s="3" t="s">
        <v>12</v>
      </c>
      <c r="J138" s="3" t="s">
        <v>48</v>
      </c>
      <c r="K138" s="3" t="s">
        <v>14</v>
      </c>
      <c r="L138" s="3" t="s">
        <v>50</v>
      </c>
      <c r="M138">
        <v>1</v>
      </c>
    </row>
    <row r="139" spans="1:13" x14ac:dyDescent="0.25">
      <c r="A139" s="2">
        <v>46164</v>
      </c>
      <c r="B139" s="1" t="str">
        <f ca="1">IF(Información1[[#This Row],[Fecha]]='Ajuste de fechas'!$A$2,"Día actual","Día anterior")</f>
        <v>Día actual</v>
      </c>
      <c r="C139" s="3" t="s">
        <v>8</v>
      </c>
      <c r="D139" t="s">
        <v>10</v>
      </c>
      <c r="E139" s="3" t="s">
        <v>85</v>
      </c>
      <c r="F139" s="3" t="s">
        <v>6</v>
      </c>
      <c r="G139" s="3" t="s">
        <v>40</v>
      </c>
      <c r="H139" s="3" t="s">
        <v>11</v>
      </c>
      <c r="I139" s="3" t="s">
        <v>12</v>
      </c>
      <c r="J139" s="3" t="s">
        <v>48</v>
      </c>
      <c r="K139" s="3" t="s">
        <v>14</v>
      </c>
      <c r="L139" s="3" t="s">
        <v>50</v>
      </c>
      <c r="M139">
        <v>1</v>
      </c>
    </row>
    <row r="140" spans="1:13" x14ac:dyDescent="0.25">
      <c r="A140" s="2">
        <v>46164</v>
      </c>
      <c r="B140" s="1" t="str">
        <f ca="1">IF(Información1[[#This Row],[Fecha]]='Ajuste de fechas'!$A$2,"Día actual","Día anterior")</f>
        <v>Día actual</v>
      </c>
      <c r="C140" s="3" t="s">
        <v>8</v>
      </c>
      <c r="D140" t="s">
        <v>10</v>
      </c>
      <c r="E140" s="3" t="s">
        <v>276</v>
      </c>
      <c r="F140" s="3" t="s">
        <v>19</v>
      </c>
      <c r="G140" s="3" t="s">
        <v>95</v>
      </c>
      <c r="H140" s="3" t="s">
        <v>11</v>
      </c>
      <c r="I140" s="3" t="s">
        <v>7</v>
      </c>
      <c r="J140" s="3" t="s">
        <v>52</v>
      </c>
      <c r="K140" s="3" t="s">
        <v>14</v>
      </c>
      <c r="L140" s="3" t="s">
        <v>49</v>
      </c>
      <c r="M140">
        <v>1</v>
      </c>
    </row>
    <row r="141" spans="1:13" x14ac:dyDescent="0.25">
      <c r="A141" s="2">
        <v>46164</v>
      </c>
      <c r="B141" s="1" t="str">
        <f ca="1">IF(Información1[[#This Row],[Fecha]]='Ajuste de fechas'!$A$2,"Día actual","Día anterior")</f>
        <v>Día actual</v>
      </c>
      <c r="C141" s="3" t="s">
        <v>28</v>
      </c>
      <c r="D141" t="s">
        <v>31</v>
      </c>
      <c r="E141" s="3" t="s">
        <v>277</v>
      </c>
      <c r="F141" s="3" t="s">
        <v>245</v>
      </c>
      <c r="G141" s="3" t="s">
        <v>278</v>
      </c>
      <c r="H141" s="3" t="s">
        <v>11</v>
      </c>
      <c r="I141" s="3" t="s">
        <v>25</v>
      </c>
      <c r="J141" s="3" t="s">
        <v>48</v>
      </c>
      <c r="K141" s="3" t="s">
        <v>29</v>
      </c>
      <c r="L141" s="3" t="s">
        <v>49</v>
      </c>
      <c r="M141">
        <v>1</v>
      </c>
    </row>
    <row r="142" spans="1:13" x14ac:dyDescent="0.25">
      <c r="A142" s="2">
        <v>46164</v>
      </c>
      <c r="B142" s="1" t="str">
        <f ca="1">IF(Información1[[#This Row],[Fecha]]='Ajuste de fechas'!$A$2,"Día actual","Día anterior")</f>
        <v>Día actual</v>
      </c>
      <c r="C142" s="3" t="s">
        <v>8</v>
      </c>
      <c r="D142" t="s">
        <v>10</v>
      </c>
      <c r="E142" s="3" t="s">
        <v>279</v>
      </c>
      <c r="F142" s="3" t="s">
        <v>23</v>
      </c>
      <c r="G142" s="3" t="s">
        <v>262</v>
      </c>
      <c r="H142" s="3" t="s">
        <v>11</v>
      </c>
      <c r="I142" s="3" t="s">
        <v>7</v>
      </c>
      <c r="J142" s="3" t="s">
        <v>48</v>
      </c>
      <c r="K142" s="3" t="s">
        <v>14</v>
      </c>
      <c r="L142" s="3" t="s">
        <v>49</v>
      </c>
      <c r="M142">
        <v>1</v>
      </c>
    </row>
    <row r="143" spans="1:13" x14ac:dyDescent="0.25">
      <c r="A143" s="2">
        <v>46164</v>
      </c>
      <c r="B143" s="1" t="str">
        <f ca="1">IF(Información1[[#This Row],[Fecha]]='Ajuste de fechas'!$A$2,"Día actual","Día anterior")</f>
        <v>Día actual</v>
      </c>
      <c r="C143" s="3" t="s">
        <v>8</v>
      </c>
      <c r="D143" t="s">
        <v>10</v>
      </c>
      <c r="E143" s="3" t="s">
        <v>280</v>
      </c>
      <c r="F143" s="3" t="s">
        <v>15</v>
      </c>
      <c r="G143" s="3" t="s">
        <v>255</v>
      </c>
      <c r="H143" s="3" t="s">
        <v>11</v>
      </c>
      <c r="I143" s="3" t="s">
        <v>7</v>
      </c>
      <c r="J143" s="3" t="s">
        <v>48</v>
      </c>
      <c r="K143" s="3" t="s">
        <v>14</v>
      </c>
      <c r="L143" s="3" t="s">
        <v>51</v>
      </c>
      <c r="M143">
        <v>1</v>
      </c>
    </row>
    <row r="144" spans="1:13" x14ac:dyDescent="0.25">
      <c r="A144" s="2">
        <v>46163</v>
      </c>
      <c r="B144" s="1" t="str">
        <f ca="1">IF(Información1[[#This Row],[Fecha]]='Ajuste de fechas'!$A$2,"Día actual","Día anterior")</f>
        <v>Día anterior</v>
      </c>
      <c r="C144" s="3" t="s">
        <v>57</v>
      </c>
      <c r="D144" t="s">
        <v>281</v>
      </c>
      <c r="E144" s="3" t="s">
        <v>282</v>
      </c>
      <c r="F144" s="3" t="s">
        <v>26</v>
      </c>
      <c r="G144" s="3" t="s">
        <v>64</v>
      </c>
      <c r="H144" s="3" t="s">
        <v>11</v>
      </c>
      <c r="I144" s="3" t="s">
        <v>7</v>
      </c>
      <c r="J144" s="3" t="s">
        <v>48</v>
      </c>
      <c r="K144" s="3" t="s">
        <v>283</v>
      </c>
      <c r="L144" s="3" t="s">
        <v>51</v>
      </c>
      <c r="M144">
        <v>1</v>
      </c>
    </row>
    <row r="145" spans="1:13" x14ac:dyDescent="0.25">
      <c r="A145" s="2">
        <v>46163</v>
      </c>
      <c r="B145" s="1" t="str">
        <f ca="1">IF(Información1[[#This Row],[Fecha]]='Ajuste de fechas'!$A$2,"Día actual","Día anterior")</f>
        <v>Día anterior</v>
      </c>
      <c r="C145" s="3" t="s">
        <v>57</v>
      </c>
      <c r="D145" t="s">
        <v>58</v>
      </c>
      <c r="E145" s="3" t="s">
        <v>119</v>
      </c>
      <c r="F145" s="3" t="s">
        <v>26</v>
      </c>
      <c r="G145" s="3" t="s">
        <v>64</v>
      </c>
      <c r="H145" s="3" t="s">
        <v>11</v>
      </c>
      <c r="I145" s="3" t="s">
        <v>7</v>
      </c>
      <c r="J145" s="3" t="s">
        <v>48</v>
      </c>
      <c r="K145" s="3" t="s">
        <v>59</v>
      </c>
      <c r="L145" s="3" t="s">
        <v>51</v>
      </c>
      <c r="M145">
        <v>1</v>
      </c>
    </row>
    <row r="146" spans="1:13" x14ac:dyDescent="0.25">
      <c r="A146" s="2">
        <v>46163</v>
      </c>
      <c r="B146" s="1" t="str">
        <f ca="1">IF(Información1[[#This Row],[Fecha]]='Ajuste de fechas'!$A$2,"Día actual","Día anterior")</f>
        <v>Día anterior</v>
      </c>
      <c r="C146" s="3" t="s">
        <v>57</v>
      </c>
      <c r="D146" t="s">
        <v>281</v>
      </c>
      <c r="E146" s="3" t="s">
        <v>230</v>
      </c>
      <c r="F146" s="3" t="s">
        <v>74</v>
      </c>
      <c r="G146" s="3" t="s">
        <v>231</v>
      </c>
      <c r="H146" s="3" t="s">
        <v>11</v>
      </c>
      <c r="I146" s="3" t="s">
        <v>7</v>
      </c>
      <c r="J146" s="3" t="s">
        <v>48</v>
      </c>
      <c r="K146" s="3" t="s">
        <v>283</v>
      </c>
      <c r="L146" s="3" t="s">
        <v>51</v>
      </c>
      <c r="M146">
        <v>1</v>
      </c>
    </row>
    <row r="147" spans="1:13" x14ac:dyDescent="0.25">
      <c r="A147" s="2">
        <v>46164</v>
      </c>
      <c r="B147" s="1" t="str">
        <f ca="1">IF(Información1[[#This Row],[Fecha]]='Ajuste de fechas'!$A$2,"Día actual","Día anterior")</f>
        <v>Día actual</v>
      </c>
      <c r="C147" s="3" t="s">
        <v>28</v>
      </c>
      <c r="D147" t="s">
        <v>30</v>
      </c>
      <c r="E147" s="3" t="s">
        <v>284</v>
      </c>
      <c r="F147" s="3" t="s">
        <v>252</v>
      </c>
      <c r="G147" s="3" t="s">
        <v>253</v>
      </c>
      <c r="H147" s="3" t="s">
        <v>11</v>
      </c>
      <c r="I147" s="3" t="s">
        <v>7</v>
      </c>
      <c r="J147" s="3" t="s">
        <v>48</v>
      </c>
      <c r="K147" s="3" t="s">
        <v>41</v>
      </c>
      <c r="L147" s="3" t="s">
        <v>51</v>
      </c>
      <c r="M147">
        <v>1</v>
      </c>
    </row>
    <row r="148" spans="1:13" x14ac:dyDescent="0.25">
      <c r="A148" s="2">
        <v>46163</v>
      </c>
      <c r="B148" s="1" t="str">
        <f ca="1">IF(Información1[[#This Row],[Fecha]]='Ajuste de fechas'!$A$2,"Día actual","Día anterior")</f>
        <v>Día anterior</v>
      </c>
      <c r="C148" s="3" t="s">
        <v>57</v>
      </c>
      <c r="D148" t="s">
        <v>281</v>
      </c>
      <c r="E148" s="3" t="s">
        <v>239</v>
      </c>
      <c r="F148" s="3" t="s">
        <v>240</v>
      </c>
      <c r="G148" s="3" t="s">
        <v>241</v>
      </c>
      <c r="H148" s="3" t="s">
        <v>11</v>
      </c>
      <c r="I148" s="3" t="s">
        <v>7</v>
      </c>
      <c r="J148" s="3" t="s">
        <v>48</v>
      </c>
      <c r="K148" s="3" t="s">
        <v>283</v>
      </c>
      <c r="L148" s="3" t="s">
        <v>51</v>
      </c>
      <c r="M148">
        <v>1</v>
      </c>
    </row>
    <row r="149" spans="1:13" x14ac:dyDescent="0.25">
      <c r="A149" s="2">
        <v>46164</v>
      </c>
      <c r="B149" s="1" t="str">
        <f ca="1">IF(Información1[[#This Row],[Fecha]]='Ajuste de fechas'!$A$2,"Día actual","Día anterior")</f>
        <v>Día actual</v>
      </c>
      <c r="C149" s="3" t="s">
        <v>28</v>
      </c>
      <c r="D149" t="s">
        <v>30</v>
      </c>
      <c r="E149" s="3" t="s">
        <v>285</v>
      </c>
      <c r="F149" s="3" t="s">
        <v>61</v>
      </c>
      <c r="G149" s="3" t="s">
        <v>103</v>
      </c>
      <c r="H149" s="3" t="s">
        <v>11</v>
      </c>
      <c r="I149" s="3" t="s">
        <v>7</v>
      </c>
      <c r="J149" s="3" t="s">
        <v>48</v>
      </c>
      <c r="K149" s="3" t="s">
        <v>41</v>
      </c>
      <c r="L149" s="3" t="s">
        <v>49</v>
      </c>
      <c r="M149">
        <v>1</v>
      </c>
    </row>
    <row r="150" spans="1:13" x14ac:dyDescent="0.25">
      <c r="A150" s="2">
        <v>46164</v>
      </c>
      <c r="B150" s="1" t="str">
        <f ca="1">IF(Información1[[#This Row],[Fecha]]='Ajuste de fechas'!$A$2,"Día actual","Día anterior")</f>
        <v>Día actual</v>
      </c>
      <c r="C150" s="3" t="s">
        <v>28</v>
      </c>
      <c r="D150" t="s">
        <v>30</v>
      </c>
      <c r="E150" s="3" t="s">
        <v>286</v>
      </c>
      <c r="F150" s="3" t="s">
        <v>26</v>
      </c>
      <c r="G150" s="3" t="s">
        <v>82</v>
      </c>
      <c r="H150" s="3" t="s">
        <v>11</v>
      </c>
      <c r="I150" s="3" t="s">
        <v>7</v>
      </c>
      <c r="J150" s="3" t="s">
        <v>48</v>
      </c>
      <c r="K150" s="3" t="s">
        <v>41</v>
      </c>
      <c r="L150" s="3" t="s">
        <v>49</v>
      </c>
      <c r="M150">
        <v>1</v>
      </c>
    </row>
    <row r="151" spans="1:13" x14ac:dyDescent="0.25">
      <c r="A151" s="2">
        <v>46164</v>
      </c>
      <c r="B151" s="1" t="str">
        <f ca="1">IF(Información1[[#This Row],[Fecha]]='Ajuste de fechas'!$A$2,"Día actual","Día anterior")</f>
        <v>Día actual</v>
      </c>
      <c r="C151" s="3" t="s">
        <v>28</v>
      </c>
      <c r="D151" t="s">
        <v>30</v>
      </c>
      <c r="E151" s="3" t="s">
        <v>287</v>
      </c>
      <c r="F151" s="3" t="s">
        <v>36</v>
      </c>
      <c r="G151" s="3" t="s">
        <v>288</v>
      </c>
      <c r="H151" s="3" t="s">
        <v>11</v>
      </c>
      <c r="I151" s="3" t="s">
        <v>12</v>
      </c>
      <c r="J151" s="3" t="s">
        <v>48</v>
      </c>
      <c r="K151" s="3" t="s">
        <v>41</v>
      </c>
      <c r="L151" s="3" t="s">
        <v>81</v>
      </c>
      <c r="M151">
        <v>1</v>
      </c>
    </row>
    <row r="152" spans="1:13" x14ac:dyDescent="0.25">
      <c r="A152" s="2">
        <v>46164</v>
      </c>
      <c r="B152" s="1" t="str">
        <f ca="1">IF(Información1[[#This Row],[Fecha]]='Ajuste de fechas'!$A$2,"Día actual","Día anterior")</f>
        <v>Día actual</v>
      </c>
      <c r="C152" s="3" t="s">
        <v>289</v>
      </c>
      <c r="D152" t="s">
        <v>290</v>
      </c>
      <c r="E152" s="3" t="s">
        <v>291</v>
      </c>
      <c r="F152" s="3" t="s">
        <v>36</v>
      </c>
      <c r="G152" s="3" t="s">
        <v>288</v>
      </c>
      <c r="H152" s="3" t="s">
        <v>11</v>
      </c>
      <c r="I152" s="3" t="s">
        <v>12</v>
      </c>
      <c r="J152" s="3" t="s">
        <v>48</v>
      </c>
      <c r="K152" s="3" t="s">
        <v>292</v>
      </c>
      <c r="L152" s="3" t="s">
        <v>81</v>
      </c>
      <c r="M152">
        <v>1</v>
      </c>
    </row>
    <row r="153" spans="1:13" x14ac:dyDescent="0.25">
      <c r="A153" s="2">
        <v>46163</v>
      </c>
      <c r="B153" s="1" t="str">
        <f ca="1">IF(Información1[[#This Row],[Fecha]]='Ajuste de fechas'!$A$2,"Día actual","Día anterior")</f>
        <v>Día anterior</v>
      </c>
      <c r="C153" s="3" t="s">
        <v>293</v>
      </c>
      <c r="D153" t="s">
        <v>290</v>
      </c>
      <c r="E153" s="3" t="s">
        <v>291</v>
      </c>
      <c r="F153" s="3" t="s">
        <v>36</v>
      </c>
      <c r="G153" s="3" t="s">
        <v>288</v>
      </c>
      <c r="H153" s="3" t="s">
        <v>11</v>
      </c>
      <c r="I153" s="3" t="s">
        <v>12</v>
      </c>
      <c r="J153" s="3" t="s">
        <v>48</v>
      </c>
      <c r="K153" s="3" t="s">
        <v>294</v>
      </c>
      <c r="L153" s="3" t="s">
        <v>81</v>
      </c>
      <c r="M153">
        <v>1</v>
      </c>
    </row>
    <row r="154" spans="1:13" x14ac:dyDescent="0.25">
      <c r="A154" s="2">
        <v>46164</v>
      </c>
      <c r="B154" s="1" t="str">
        <f ca="1">IF(Información1[[#This Row],[Fecha]]='Ajuste de fechas'!$A$2,"Día actual","Día anterior")</f>
        <v>Día actual</v>
      </c>
      <c r="C154" s="3" t="s">
        <v>109</v>
      </c>
      <c r="D154" t="s">
        <v>110</v>
      </c>
      <c r="E154" s="3" t="s">
        <v>291</v>
      </c>
      <c r="F154" s="3" t="s">
        <v>36</v>
      </c>
      <c r="G154" s="3" t="s">
        <v>288</v>
      </c>
      <c r="H154" s="3" t="s">
        <v>11</v>
      </c>
      <c r="I154" s="3" t="s">
        <v>12</v>
      </c>
      <c r="J154" s="3" t="s">
        <v>48</v>
      </c>
      <c r="K154" s="3" t="s">
        <v>111</v>
      </c>
      <c r="L154" s="3" t="s">
        <v>81</v>
      </c>
      <c r="M154">
        <v>1</v>
      </c>
    </row>
    <row r="155" spans="1:13" x14ac:dyDescent="0.25">
      <c r="A155" s="2">
        <v>46164</v>
      </c>
      <c r="B155" s="1" t="str">
        <f ca="1">IF(Información1[[#This Row],[Fecha]]='Ajuste de fechas'!$A$2,"Día actual","Día anterior")</f>
        <v>Día actual</v>
      </c>
      <c r="C155" s="3" t="s">
        <v>8</v>
      </c>
      <c r="D155" t="s">
        <v>10</v>
      </c>
      <c r="E155" s="3" t="s">
        <v>105</v>
      </c>
      <c r="F155" s="3" t="s">
        <v>19</v>
      </c>
      <c r="G155" s="3" t="s">
        <v>106</v>
      </c>
      <c r="H155" s="3" t="s">
        <v>11</v>
      </c>
      <c r="I155" s="3" t="s">
        <v>25</v>
      </c>
      <c r="J155" s="3" t="s">
        <v>52</v>
      </c>
      <c r="K155" s="3" t="s">
        <v>9</v>
      </c>
      <c r="L155" s="3" t="s">
        <v>50</v>
      </c>
      <c r="M155">
        <v>1</v>
      </c>
    </row>
    <row r="156" spans="1:13" x14ac:dyDescent="0.25">
      <c r="A156" s="2">
        <v>46164</v>
      </c>
      <c r="B156" s="1" t="str">
        <f ca="1">IF(Información1[[#This Row],[Fecha]]='Ajuste de fechas'!$A$2,"Día actual","Día anterior")</f>
        <v>Día actual</v>
      </c>
      <c r="C156" s="3" t="s">
        <v>28</v>
      </c>
      <c r="D156" t="s">
        <v>30</v>
      </c>
      <c r="E156" s="3" t="s">
        <v>295</v>
      </c>
      <c r="F156" s="3" t="s">
        <v>26</v>
      </c>
      <c r="G156" s="3" t="s">
        <v>73</v>
      </c>
      <c r="H156" s="3" t="s">
        <v>11</v>
      </c>
      <c r="I156" s="3" t="s">
        <v>7</v>
      </c>
      <c r="J156" s="3" t="s">
        <v>48</v>
      </c>
      <c r="K156" s="3" t="s">
        <v>41</v>
      </c>
      <c r="L156" s="3" t="s">
        <v>49</v>
      </c>
      <c r="M156">
        <v>1</v>
      </c>
    </row>
    <row r="157" spans="1:13" x14ac:dyDescent="0.25">
      <c r="A157" s="2">
        <v>46164</v>
      </c>
      <c r="B157" s="1" t="str">
        <f ca="1">IF(Información1[[#This Row],[Fecha]]='Ajuste de fechas'!$A$2,"Día actual","Día anterior")</f>
        <v>Día actual</v>
      </c>
      <c r="C157" s="3" t="s">
        <v>28</v>
      </c>
      <c r="D157" t="s">
        <v>31</v>
      </c>
      <c r="E157" s="3" t="s">
        <v>296</v>
      </c>
      <c r="F157" s="3" t="s">
        <v>19</v>
      </c>
      <c r="G157" s="3" t="s">
        <v>297</v>
      </c>
      <c r="H157" s="3" t="s">
        <v>11</v>
      </c>
      <c r="I157" s="3" t="s">
        <v>7</v>
      </c>
      <c r="J157" s="3" t="s">
        <v>52</v>
      </c>
      <c r="K157" s="3" t="s">
        <v>29</v>
      </c>
      <c r="L157" s="3" t="s">
        <v>49</v>
      </c>
      <c r="M157">
        <v>1</v>
      </c>
    </row>
    <row r="158" spans="1:13" x14ac:dyDescent="0.25">
      <c r="A158" s="2">
        <v>46164</v>
      </c>
      <c r="B158" s="1" t="str">
        <f ca="1">IF(Información1[[#This Row],[Fecha]]='Ajuste de fechas'!$A$2,"Día actual","Día anterior")</f>
        <v>Día actual</v>
      </c>
      <c r="C158" s="3" t="s">
        <v>28</v>
      </c>
      <c r="D158" t="s">
        <v>31</v>
      </c>
      <c r="E158" s="3" t="s">
        <v>298</v>
      </c>
      <c r="F158" s="3" t="s">
        <v>26</v>
      </c>
      <c r="G158" s="3" t="s">
        <v>118</v>
      </c>
      <c r="H158" s="3" t="s">
        <v>11</v>
      </c>
      <c r="I158" s="3" t="s">
        <v>7</v>
      </c>
      <c r="J158" s="3" t="s">
        <v>48</v>
      </c>
      <c r="K158" s="3" t="s">
        <v>29</v>
      </c>
      <c r="L158" s="3" t="s">
        <v>49</v>
      </c>
      <c r="M158">
        <v>1</v>
      </c>
    </row>
    <row r="159" spans="1:13" x14ac:dyDescent="0.25">
      <c r="A159" s="2">
        <v>46164</v>
      </c>
      <c r="B159" s="1" t="str">
        <f ca="1">IF(Información1[[#This Row],[Fecha]]='Ajuste de fechas'!$A$2,"Día actual","Día anterior")</f>
        <v>Día actual</v>
      </c>
      <c r="C159" s="3" t="s">
        <v>8</v>
      </c>
      <c r="D159" t="s">
        <v>10</v>
      </c>
      <c r="E159" s="3" t="s">
        <v>299</v>
      </c>
      <c r="F159" s="3" t="s">
        <v>17</v>
      </c>
      <c r="G159" s="3" t="s">
        <v>300</v>
      </c>
      <c r="H159" s="3" t="s">
        <v>11</v>
      </c>
      <c r="I159" s="3" t="s">
        <v>25</v>
      </c>
      <c r="J159" s="3" t="s">
        <v>48</v>
      </c>
      <c r="K159" s="3" t="s">
        <v>9</v>
      </c>
      <c r="L159" s="3" t="s">
        <v>50</v>
      </c>
      <c r="M159">
        <v>1</v>
      </c>
    </row>
    <row r="160" spans="1:13" x14ac:dyDescent="0.25">
      <c r="A160" s="2">
        <v>46164</v>
      </c>
      <c r="B160" s="1" t="str">
        <f ca="1">IF(Información1[[#This Row],[Fecha]]='Ajuste de fechas'!$A$2,"Día actual","Día anterior")</f>
        <v>Día actual</v>
      </c>
      <c r="C160" s="3" t="s">
        <v>8</v>
      </c>
      <c r="D160" t="s">
        <v>10</v>
      </c>
      <c r="E160" s="3" t="s">
        <v>301</v>
      </c>
      <c r="F160" s="3" t="s">
        <v>17</v>
      </c>
      <c r="G160" s="3" t="s">
        <v>300</v>
      </c>
      <c r="H160" s="3" t="s">
        <v>11</v>
      </c>
      <c r="I160" s="3" t="s">
        <v>25</v>
      </c>
      <c r="J160" s="3" t="s">
        <v>48</v>
      </c>
      <c r="K160" s="3" t="s">
        <v>9</v>
      </c>
      <c r="L160" s="3" t="s">
        <v>50</v>
      </c>
      <c r="M160">
        <v>1</v>
      </c>
    </row>
    <row r="161" spans="1:13" x14ac:dyDescent="0.25">
      <c r="A161" s="2">
        <v>46164</v>
      </c>
      <c r="B161" s="1" t="str">
        <f ca="1">IF(Información1[[#This Row],[Fecha]]='Ajuste de fechas'!$A$2,"Día actual","Día anterior")</f>
        <v>Día actual</v>
      </c>
      <c r="C161" s="3" t="s">
        <v>28</v>
      </c>
      <c r="D161" t="s">
        <v>31</v>
      </c>
      <c r="E161" s="3" t="s">
        <v>124</v>
      </c>
      <c r="F161" s="3" t="s">
        <v>19</v>
      </c>
      <c r="G161" s="3" t="s">
        <v>108</v>
      </c>
      <c r="H161" s="3" t="s">
        <v>11</v>
      </c>
      <c r="I161" s="3" t="s">
        <v>7</v>
      </c>
      <c r="J161" s="3" t="s">
        <v>52</v>
      </c>
      <c r="K161" s="3" t="s">
        <v>29</v>
      </c>
      <c r="L161" s="3" t="s">
        <v>49</v>
      </c>
      <c r="M161">
        <v>1</v>
      </c>
    </row>
    <row r="162" spans="1:13" x14ac:dyDescent="0.25">
      <c r="A162" s="2">
        <v>46164</v>
      </c>
      <c r="B162" s="1" t="str">
        <f ca="1">IF(Información1[[#This Row],[Fecha]]='Ajuste de fechas'!$A$2,"Día actual","Día anterior")</f>
        <v>Día actual</v>
      </c>
      <c r="C162" s="3" t="s">
        <v>28</v>
      </c>
      <c r="D162" t="s">
        <v>30</v>
      </c>
      <c r="E162" s="3" t="s">
        <v>302</v>
      </c>
      <c r="F162" s="3" t="s">
        <v>26</v>
      </c>
      <c r="G162" s="3" t="s">
        <v>77</v>
      </c>
      <c r="H162" s="3" t="s">
        <v>11</v>
      </c>
      <c r="I162" s="3" t="s">
        <v>7</v>
      </c>
      <c r="J162" s="3" t="s">
        <v>48</v>
      </c>
      <c r="K162" s="3" t="s">
        <v>41</v>
      </c>
      <c r="L162" s="3" t="s">
        <v>49</v>
      </c>
      <c r="M162">
        <v>1</v>
      </c>
    </row>
    <row r="163" spans="1:13" x14ac:dyDescent="0.25">
      <c r="A163" s="2">
        <v>46164</v>
      </c>
      <c r="B163" s="1" t="str">
        <f ca="1">IF(Información1[[#This Row],[Fecha]]='Ajuste de fechas'!$A$2,"Día actual","Día anterior")</f>
        <v>Día actual</v>
      </c>
      <c r="C163" s="3" t="s">
        <v>28</v>
      </c>
      <c r="D163" t="s">
        <v>31</v>
      </c>
      <c r="E163" s="3" t="s">
        <v>303</v>
      </c>
      <c r="F163" s="3" t="s">
        <v>26</v>
      </c>
      <c r="G163" s="3" t="s">
        <v>77</v>
      </c>
      <c r="H163" s="3" t="s">
        <v>11</v>
      </c>
      <c r="I163" s="3" t="s">
        <v>7</v>
      </c>
      <c r="J163" s="3" t="s">
        <v>48</v>
      </c>
      <c r="K163" s="3" t="s">
        <v>29</v>
      </c>
      <c r="L163" s="3" t="s">
        <v>49</v>
      </c>
      <c r="M163">
        <v>1</v>
      </c>
    </row>
    <row r="164" spans="1:13" x14ac:dyDescent="0.25">
      <c r="A164" s="2">
        <v>46164</v>
      </c>
      <c r="B164" s="1" t="str">
        <f ca="1">IF(Información1[[#This Row],[Fecha]]='Ajuste de fechas'!$A$2,"Día actual","Día anterior")</f>
        <v>Día actual</v>
      </c>
      <c r="C164" s="3" t="s">
        <v>28</v>
      </c>
      <c r="D164" t="s">
        <v>31</v>
      </c>
      <c r="E164" s="3" t="s">
        <v>304</v>
      </c>
      <c r="F164" s="3" t="s">
        <v>245</v>
      </c>
      <c r="G164" s="3" t="s">
        <v>77</v>
      </c>
      <c r="H164" s="3" t="s">
        <v>11</v>
      </c>
      <c r="I164" s="3" t="s">
        <v>7</v>
      </c>
      <c r="J164" s="3" t="s">
        <v>48</v>
      </c>
      <c r="K164" s="3" t="s">
        <v>29</v>
      </c>
      <c r="L164" s="3" t="s">
        <v>50</v>
      </c>
      <c r="M164">
        <v>1</v>
      </c>
    </row>
    <row r="165" spans="1:13" x14ac:dyDescent="0.25">
      <c r="A165" s="2">
        <v>46163</v>
      </c>
      <c r="B165" s="1" t="str">
        <f ca="1">IF(Información1[[#This Row],[Fecha]]='Ajuste de fechas'!$A$2,"Día actual","Día anterior")</f>
        <v>Día anterior</v>
      </c>
      <c r="C165" s="3" t="s">
        <v>57</v>
      </c>
      <c r="D165" t="s">
        <v>58</v>
      </c>
      <c r="E165" s="3" t="s">
        <v>93</v>
      </c>
      <c r="F165" s="3" t="s">
        <v>26</v>
      </c>
      <c r="G165" s="3" t="s">
        <v>77</v>
      </c>
      <c r="H165" s="3" t="s">
        <v>11</v>
      </c>
      <c r="I165" s="3" t="s">
        <v>7</v>
      </c>
      <c r="J165" s="3" t="s">
        <v>48</v>
      </c>
      <c r="K165" s="3" t="s">
        <v>59</v>
      </c>
      <c r="L165" s="3" t="s">
        <v>51</v>
      </c>
      <c r="M165">
        <v>1</v>
      </c>
    </row>
    <row r="166" spans="1:13" x14ac:dyDescent="0.25">
      <c r="A166" s="2">
        <v>46163</v>
      </c>
      <c r="B166" s="1" t="str">
        <f ca="1">IF(Información1[[#This Row],[Fecha]]='Ajuste de fechas'!$A$2,"Día actual","Día anterior")</f>
        <v>Día anterior</v>
      </c>
      <c r="C166" s="3" t="s">
        <v>57</v>
      </c>
      <c r="D166" t="s">
        <v>58</v>
      </c>
      <c r="E166" s="3" t="s">
        <v>92</v>
      </c>
      <c r="F166" s="3" t="s">
        <v>26</v>
      </c>
      <c r="G166" s="3" t="s">
        <v>77</v>
      </c>
      <c r="H166" s="3" t="s">
        <v>11</v>
      </c>
      <c r="I166" s="3" t="s">
        <v>7</v>
      </c>
      <c r="J166" s="3" t="s">
        <v>48</v>
      </c>
      <c r="K166" s="3" t="s">
        <v>59</v>
      </c>
      <c r="L166" s="3" t="s">
        <v>51</v>
      </c>
      <c r="M166">
        <v>1</v>
      </c>
    </row>
    <row r="167" spans="1:13" x14ac:dyDescent="0.25">
      <c r="A167" s="2">
        <v>46163</v>
      </c>
      <c r="B167" s="1" t="str">
        <f ca="1">IF(Información1[[#This Row],[Fecha]]='Ajuste de fechas'!$A$2,"Día actual","Día anterior")</f>
        <v>Día anterior</v>
      </c>
      <c r="C167" s="3" t="s">
        <v>57</v>
      </c>
      <c r="D167" t="s">
        <v>281</v>
      </c>
      <c r="E167" s="3" t="s">
        <v>170</v>
      </c>
      <c r="F167" s="3" t="s">
        <v>74</v>
      </c>
      <c r="G167" s="3" t="s">
        <v>171</v>
      </c>
      <c r="H167" s="3" t="s">
        <v>11</v>
      </c>
      <c r="I167" s="3" t="s">
        <v>7</v>
      </c>
      <c r="J167" s="3" t="s">
        <v>48</v>
      </c>
      <c r="K167" s="3" t="s">
        <v>283</v>
      </c>
      <c r="L167" s="3" t="s">
        <v>51</v>
      </c>
      <c r="M167">
        <v>1</v>
      </c>
    </row>
    <row r="168" spans="1:13" x14ac:dyDescent="0.25">
      <c r="A168" s="2">
        <v>46164</v>
      </c>
      <c r="B168" s="1" t="str">
        <f ca="1">IF(Información1[[#This Row],[Fecha]]='Ajuste de fechas'!$A$2,"Día actual","Día anterior")</f>
        <v>Día actual</v>
      </c>
      <c r="C168" s="3" t="s">
        <v>8</v>
      </c>
      <c r="D168" t="s">
        <v>10</v>
      </c>
      <c r="E168" s="3" t="s">
        <v>305</v>
      </c>
      <c r="F168" s="3" t="s">
        <v>22</v>
      </c>
      <c r="G168" s="3" t="s">
        <v>306</v>
      </c>
      <c r="H168" s="3" t="s">
        <v>11</v>
      </c>
      <c r="I168" s="3" t="s">
        <v>7</v>
      </c>
      <c r="J168" s="3" t="s">
        <v>53</v>
      </c>
      <c r="K168" s="3" t="s">
        <v>14</v>
      </c>
      <c r="L168" s="3" t="s">
        <v>49</v>
      </c>
      <c r="M168">
        <v>1</v>
      </c>
    </row>
    <row r="169" spans="1:13" x14ac:dyDescent="0.25">
      <c r="A169" s="2">
        <v>46164</v>
      </c>
      <c r="B169" s="1" t="str">
        <f ca="1">IF(Información1[[#This Row],[Fecha]]='Ajuste de fechas'!$A$2,"Día actual","Día anterior")</f>
        <v>Día actual</v>
      </c>
      <c r="C169" s="3" t="s">
        <v>28</v>
      </c>
      <c r="D169" t="s">
        <v>30</v>
      </c>
      <c r="E169" s="3" t="s">
        <v>307</v>
      </c>
      <c r="F169" s="3" t="s">
        <v>96</v>
      </c>
      <c r="G169" s="3" t="s">
        <v>97</v>
      </c>
      <c r="H169" s="3" t="s">
        <v>11</v>
      </c>
      <c r="I169" s="3" t="s">
        <v>7</v>
      </c>
      <c r="J169" s="3" t="s">
        <v>24</v>
      </c>
      <c r="K169" s="3" t="s">
        <v>41</v>
      </c>
      <c r="L169" s="3" t="s">
        <v>49</v>
      </c>
      <c r="M169">
        <v>1</v>
      </c>
    </row>
    <row r="170" spans="1:13" x14ac:dyDescent="0.25">
      <c r="A170" s="2">
        <v>46164</v>
      </c>
      <c r="B170" s="1" t="str">
        <f ca="1">IF(Información1[[#This Row],[Fecha]]='Ajuste de fechas'!$A$2,"Día actual","Día anterior")</f>
        <v>Día actual</v>
      </c>
      <c r="C170" s="3" t="s">
        <v>8</v>
      </c>
      <c r="D170" t="s">
        <v>10</v>
      </c>
      <c r="E170" s="3" t="s">
        <v>308</v>
      </c>
      <c r="F170" s="3" t="s">
        <v>96</v>
      </c>
      <c r="G170" s="3" t="s">
        <v>97</v>
      </c>
      <c r="H170" s="3" t="s">
        <v>11</v>
      </c>
      <c r="I170" s="3" t="s">
        <v>25</v>
      </c>
      <c r="J170" s="3" t="s">
        <v>24</v>
      </c>
      <c r="K170" s="3" t="s">
        <v>14</v>
      </c>
      <c r="L170" s="3" t="s">
        <v>49</v>
      </c>
      <c r="M170">
        <v>1</v>
      </c>
    </row>
    <row r="171" spans="1:13" x14ac:dyDescent="0.25">
      <c r="A171" s="2">
        <v>46164</v>
      </c>
      <c r="B171" s="1" t="str">
        <f ca="1">IF(Información1[[#This Row],[Fecha]]='Ajuste de fechas'!$A$2,"Día actual","Día anterior")</f>
        <v>Día actual</v>
      </c>
      <c r="C171" s="3" t="s">
        <v>8</v>
      </c>
      <c r="D171" t="s">
        <v>10</v>
      </c>
      <c r="E171" s="3" t="s">
        <v>309</v>
      </c>
      <c r="F171" s="3" t="s">
        <v>19</v>
      </c>
      <c r="G171" s="3" t="s">
        <v>310</v>
      </c>
      <c r="H171" s="3" t="s">
        <v>11</v>
      </c>
      <c r="I171" s="3" t="s">
        <v>7</v>
      </c>
      <c r="J171" s="3" t="s">
        <v>52</v>
      </c>
      <c r="K171" s="3" t="s">
        <v>9</v>
      </c>
      <c r="L171" s="3" t="s">
        <v>50</v>
      </c>
      <c r="M171">
        <v>1</v>
      </c>
    </row>
    <row r="172" spans="1:13" x14ac:dyDescent="0.25">
      <c r="A172" s="2">
        <v>46164</v>
      </c>
      <c r="B172" s="1" t="str">
        <f ca="1">IF(Información1[[#This Row],[Fecha]]='Ajuste de fechas'!$A$2,"Día actual","Día anterior")</f>
        <v>Día actual</v>
      </c>
      <c r="C172" s="3" t="s">
        <v>8</v>
      </c>
      <c r="D172" t="s">
        <v>10</v>
      </c>
      <c r="E172" s="3" t="s">
        <v>311</v>
      </c>
      <c r="F172" s="3" t="s">
        <v>22</v>
      </c>
      <c r="G172" s="3" t="s">
        <v>312</v>
      </c>
      <c r="H172" s="3" t="s">
        <v>11</v>
      </c>
      <c r="I172" s="3" t="s">
        <v>7</v>
      </c>
      <c r="J172" s="3" t="s">
        <v>53</v>
      </c>
      <c r="K172" s="3" t="s">
        <v>14</v>
      </c>
      <c r="L172" s="3" t="s">
        <v>49</v>
      </c>
      <c r="M17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55</v>
      </c>
      <c r="B1" t="s">
        <v>56</v>
      </c>
    </row>
    <row r="2" spans="1:2" x14ac:dyDescent="0.25">
      <c r="A2" s="2">
        <f ca="1">TODAY()</f>
        <v>46164</v>
      </c>
      <c r="B2" s="2">
        <f ca="1">A2-1</f>
        <v>46163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2026-05-23T00:57:55Z</dcterms:modified>
</cp:coreProperties>
</file>