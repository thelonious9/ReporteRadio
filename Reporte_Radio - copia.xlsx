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3591B6DE-FCBB-48A0-A3BD-1BFD0FCAC3E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83" i="2"/>
  <c r="B85" i="2"/>
  <c r="B87" i="2"/>
  <c r="B89" i="2"/>
  <c r="B91" i="2"/>
  <c r="B93" i="2"/>
  <c r="B94" i="2"/>
  <c r="B96" i="2"/>
  <c r="B98" i="2"/>
  <c r="B100" i="2"/>
  <c r="B102" i="2"/>
  <c r="B103" i="2"/>
  <c r="B105" i="2"/>
  <c r="B107" i="2"/>
  <c r="B109" i="2"/>
  <c r="B111" i="2"/>
  <c r="B113" i="2"/>
  <c r="B115" i="2"/>
  <c r="B117" i="2"/>
  <c r="B118" i="2"/>
  <c r="B121" i="2"/>
  <c r="B122" i="2"/>
  <c r="B124" i="2"/>
  <c r="B126" i="2"/>
  <c r="B128" i="2"/>
  <c r="B130" i="2"/>
  <c r="B132" i="2"/>
  <c r="B134" i="2"/>
  <c r="B135" i="2"/>
  <c r="B137" i="2"/>
  <c r="B139" i="2"/>
  <c r="B141" i="2"/>
  <c r="B143" i="2"/>
  <c r="B145" i="2"/>
  <c r="B147" i="2"/>
  <c r="B149" i="2"/>
  <c r="B151" i="2"/>
  <c r="B153" i="2"/>
  <c r="B155" i="2"/>
  <c r="B156" i="2"/>
  <c r="B158" i="2"/>
  <c r="B160" i="2"/>
  <c r="B162" i="2"/>
  <c r="B164"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4" i="2"/>
  <c r="B86" i="2"/>
  <c r="B88" i="2"/>
  <c r="B90" i="2"/>
  <c r="B92" i="2"/>
  <c r="B95" i="2"/>
  <c r="B97" i="2"/>
  <c r="B99" i="2"/>
  <c r="B101" i="2"/>
  <c r="B104" i="2"/>
  <c r="B106" i="2"/>
  <c r="B108" i="2"/>
  <c r="B110" i="2"/>
  <c r="B112" i="2"/>
  <c r="B114" i="2"/>
  <c r="B116" i="2"/>
  <c r="B119" i="2"/>
  <c r="B120" i="2"/>
  <c r="B123" i="2"/>
  <c r="B125" i="2"/>
  <c r="B127" i="2"/>
  <c r="B129" i="2"/>
  <c r="B131" i="2"/>
  <c r="B133" i="2"/>
  <c r="B136" i="2"/>
  <c r="B138" i="2"/>
  <c r="B140" i="2"/>
  <c r="B142" i="2"/>
  <c r="B144" i="2"/>
  <c r="B146" i="2"/>
  <c r="B148" i="2"/>
  <c r="B150" i="2"/>
  <c r="B152" i="2"/>
  <c r="B154" i="2"/>
  <c r="B157" i="2"/>
  <c r="B159" i="2"/>
  <c r="B161" i="2"/>
  <c r="B163" i="2"/>
  <c r="B165" i="2"/>
  <c r="B166" i="2"/>
  <c r="B167" i="2"/>
  <c r="B168" i="2"/>
  <c r="B169" i="2"/>
  <c r="B17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<sst xmlns="http://schemas.openxmlformats.org/spreadsheetml/2006/main" count="1703" uniqueCount="336">
  <si>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</si>
  <si>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</si>
  <si>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</si>
  <si>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</si>
  <si>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</si>
  <si>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</si>
  <si>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</si>
  <si>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</si>
  <si>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</si>
  <si>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</si>
  <si>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</si>
  <si>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</si>
  <si>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</si>
  <si>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</si>
  <si>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</si>
  <si>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</si>
  <si>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SSPH</t>
  </si>
  <si>
    <t>Otros</t>
  </si>
  <si>
    <t>Negativa</t>
  </si>
  <si>
    <t>Gobernador</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</si>
  <si>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</si>
  <si>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</si>
  <si>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</si>
  <si>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</si>
  <si>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</si>
  <si>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</si>
  <si>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</si>
  <si>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</si>
  <si>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</si>
  <si>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</si>
  <si>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</si>
  <si>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</si>
  <si>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</si>
  <si>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</si>
  <si>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</si>
  <si>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</si>
  <si>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</si>
  <si>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</si>
  <si>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</si>
  <si>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</si>
  <si>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</si>
  <si>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</si>
  <si>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</si>
  <si>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</si>
  <si>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</si>
  <si>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</si>
  <si>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</si>
  <si>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</si>
  <si>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</si>
  <si>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</si>
  <si>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Radioescucha</t>
  </si>
  <si>
    <t>Bienestar</t>
  </si>
  <si>
    <t>Conmemoración Aniversario</t>
  </si>
  <si>
    <t>Planeación</t>
  </si>
  <si>
    <t>Tarifario de taxis</t>
  </si>
  <si>
    <t>Feria Pachuca</t>
  </si>
  <si>
    <t>Comparecencias</t>
  </si>
  <si>
    <t>Ke Buena 106.7 FM</t>
  </si>
  <si>
    <t>Noticias 106.7</t>
  </si>
  <si>
    <t>Cultura</t>
  </si>
  <si>
    <t>David Cárdenas</t>
  </si>
  <si>
    <t>Detención</t>
  </si>
  <si>
    <t>Dinámica demográfica</t>
  </si>
  <si>
    <t>Ley De Ingresos</t>
  </si>
  <si>
    <t>Covid 19</t>
  </si>
  <si>
    <t>Canal del Pueblo</t>
  </si>
  <si>
    <t>Vocales Radio</t>
  </si>
  <si>
    <t>Morena</t>
  </si>
  <si>
    <t>TV LOCAL</t>
  </si>
  <si>
    <t>Partidos</t>
  </si>
  <si>
    <t>Aldo Falcón</t>
  </si>
  <si>
    <t>Andrés Torres</t>
  </si>
  <si>
    <t>Aumento Tarifa De Transporte</t>
  </si>
  <si>
    <t>Candidaturas</t>
  </si>
  <si>
    <t>Accidente de vehículo oficial</t>
  </si>
  <si>
    <t>Ultra 102.9 FM</t>
  </si>
  <si>
    <t>Ultra Noticias1</t>
  </si>
  <si>
    <t>Daniel Martínez</t>
  </si>
  <si>
    <t>Auxilio a la ciudadanía</t>
  </si>
  <si>
    <t>Izza Hernández</t>
  </si>
  <si>
    <t>Radio Lobo 96.7 FM</t>
  </si>
  <si>
    <t>Enlace Noticias</t>
  </si>
  <si>
    <t>Gina Lorenzo</t>
  </si>
  <si>
    <t>Abner Yáñez</t>
  </si>
  <si>
    <t>Participación</t>
  </si>
  <si>
    <t>UAEH</t>
  </si>
  <si>
    <t>Cuentas UAEH</t>
  </si>
  <si>
    <t>Coordinación interestatal</t>
  </si>
  <si>
    <t>Alumno Armado</t>
  </si>
  <si>
    <t>Hacienda</t>
  </si>
  <si>
    <t>Agenda gobernador</t>
  </si>
  <si>
    <t>Expropiación</t>
  </si>
  <si>
    <t>Respecto al ingreso masivo registrado en un evento de la Feria de San Francisco Pachuca 2026, el gobernador Julio Menchaca calificó el hecho como desafortunado y llamó a los asistentes a mantener la prudencia. Explicó que los artistas de alta convocatoria generan gran afluencia, especialmente cuando los boletos para el domo de las estrellas son gratuitos. Ante la llegada de próximos espectáculos con alta concentración de personas, solicitó reforzar las medidas de seguridad para prevenir riesgos, reportando saldo blanco sin personas lesionadas en el incidente. Asimismo, reiteró que la tarifa de los taxis previamente aprobada y publicada no sufrirá modificaciones.</t>
  </si>
  <si>
    <t>Palenque Feria Pachuca</t>
  </si>
  <si>
    <t>Durante una reunión interestatal de seguridad, el gobernador Julio Menchaca informó sobre la propuesta de crear una policía metropolitana con la participación de la Guardia Nacional y corporaciones estatales. El objetivo es fortalecer la coordinación entre entidades que comparten zonas metropolitanas y cuyas vialidades cruzan distintas jurisdicciones. Hidalgo participará en este esquema de seguridad junto con Puebla, Tlaxcala, Ciudad de México, Estado de México, Guerrero y Morelos. La propuesta será analizada en los próximos meses para evaluarse en la siguiente reunión interestatal programada para noviembre en el estado de Guerrero.</t>
  </si>
  <si>
    <t>Policía Metropolitana</t>
  </si>
  <si>
    <t>El gobernador de Hidalgo, Julio Menchaca, descartó modificar nuevamente la tarifa del transporte público individual tras las protestas de un grupo de taxistas que exigían un incremento mayor a los 50 pesos (anteriormente en 45 pesos). La nueva tarifa fue establecida en el Periódico Oficial del Estado el pasado 22 de septiembre como resultado de un análisis para equilibrar las necesidades económicas de los operadores y la capacidad de pago de los usuarios. El mandatario señaló que, aunque los concesionarios buscan mayores ingresos, la ciudadanía también enfrenta limitaciones económicas, por lo que no se dará marcha atrás al ajuste. Asimismo, indicó que el grupo de taxistas inconformes no representa a la totalidad de los operadores en el estado.</t>
  </si>
  <si>
    <t>Como resultado de las acciones implementadas en materia de seguridad durante la última quincena, elementos de la Policía Municipal de Tulancingo recuperaron tres motocicletas con reporte de robo vigente y un vehículo con orden de aseguramiento. Los hechos se registraron en cuatro acciones distintas, como parte de los recorridos y labores de prevención y vigilancia realizados por los agentes municipales. Tras verificar el estatus de las unidades en las plataformas correspondientes, se confirmó que las tres motocicletas contaban con reporte de robo vigente, por lo que fueron aseguradas y quedaron a disposición de la Procuraduría General de Justicia del Estado de Hidalgo (PGJEH), autoridad encargada de realizar las investigaciones y diligencias correspondientes. En tanto, el vehículo fue asegurado debido a que contaba con una orden ministerial de aseguramiento, por lo que también quedó a disposición de la autoridad competente para continuar con el procedimiento legal correspondiente. La Secretaría de Seguridad Ciudadana de Tulancingo reiteró que estas acciones forman parte de las labores permanentes para prevenir y combatir el robo de vehículos y motocicletas en el municipio. En caso de que alguna persona reconozca como de su propiedad alguna de las motocicletas recuperadas, deberá acudir ante la Procuraduría General de Justicia del Estado de Hidalgo (PGJEH) para acreditar la propiedad y realizar las diligencias necesarias para su posible recuperación. Las autoridades exhortaron a la ciudadanía a reportar cualquier situación relacionada con el robo de vehículos y motocicletas, así como a proporcionar información que pueda contribuir al desarrollo de las investigaciones correspondientes.</t>
  </si>
  <si>
    <t>Recuperación De Vehículos Robados</t>
  </si>
  <si>
    <t>Con el objetivo de fortalecer la profesionalización, innovación y competitividad del sector turístico, en Tulancingo inició la capacitación “Inteligencia Artificial aplicada a Restaurantes”, la número 16 promovida por el gobierno municipal para prestadores de servicios turísticos. El curso tendrá una duración de 15 horas, es gratuito y contempla la entrega de constancia. Durante las sesiones se abordarán herramientas de Inteligencia Artificial que pueden utilizarse en la promoción, difusión y posicionamiento de establecimientos gastronómicos. La capacitación forma parte del Programa de Excelencia Turística, iniciado en 2025, mediante el cual se han desarrollado cursos sobre primeros auxilios, atención al cliente, calidad en el servicio y marketing digital, entre otros temas. Para los últimos meses del año se prevén dos capacitaciones más, una de ellas enfocada en el desarrollo de productos turísticos accesibles.</t>
  </si>
  <si>
    <t>Capacitación</t>
  </si>
  <si>
    <t>Cuautepec de Hinojosa realizará este domingo 4 de octubre una jornada de senderismo hacia Los Ermitaños, con un recorrido de cinco kilómetros que partirá a las 8:00 de la mañana desde las letras de Cuautepec, ubicadas en el jardín Felipe Ángeles. La actividad es organizada por la Dirección General de Desarrollo Social y Humano y el Consejo Municipal del Deporte con el objetivo de fomentar la activación física y la convivencia, además de acercar a la población a los espacios naturales del municipio. Para participar se recomienda llevar ropa y calzado adecuados para la caminata, así como dos litros de agua, mochila, bastón de senderismo y snacks. Los organizadores también dispondrán de transporte gratuito para facilitar la participación de las familias. El recorrido contará con el acompañamiento de Protección Civil para brindar apoyo durante la jornada. El presidente municipal, Jorge Hernández Araus, señaló que este tipo de actividades buscan generar espacios para la convivencia y el bienestar de las familias, además de promover el conocimiento y disfrute de los paisajes naturales que forman parte de Cuautepec.</t>
  </si>
  <si>
    <t>SSPH mantiene firme combate contra el narcomenudeo</t>
  </si>
  <si>
    <t>Combate Al Narcomenudeo</t>
  </si>
  <si>
    <t>Durante la mañana de este miércoles, una adulta mayor resultó lesionada tras ser atropellada por una unidad de transporte público colectivo ("las amarillas") en el centro de Pachuca. El accidente ocurrió cerca de las 8:00 de la mañana en el cruce de Julián Villagrán y Vicente Guerrero, cuando el operador perdió el control de la unidad con placas A-58705K y subió a la banqueta. Elementos de seguridad pública, tránsito, vialidad, bomberos y la Cruz Roja acudieron al sitio para brindar los primeros auxilios y trasladar a la afectada a la clínica 1 del IMSS. El Sistema de Transporte Convencional de Hidalgo confirmó que tanto el vehículo como el conductor contaban con su documentación en regla, mientras las autoridades realizan las investigaciones para esclarecer los hechos.</t>
  </si>
  <si>
    <t>Atropellamiento</t>
  </si>
  <si>
    <t>«Donde también les llovió fuerte y también pegó una un fuerte viento ayer fue en Actopan, en Actopan, pero usted seguramente vio algunos videos que circularon en las redes sociales, donde incluso algunas láminas, algunos objetos salían volando, pero afortunadamente pues no pasó a mayores. Le comparto con información de El Universal, que pese a las afectaciones registradas en la central de abastos de Actopan, donde las rachas de viento y la lluvia ocasionaron el desprendimiento de láminas y diversos daños materiales, el tradicional tianguis se instaló con normalidad este miércoles. A través de un comunicado emitido ayer martes 29 de septiembre, la mesa directiva confirmó saldo blanco, sin personas lesionadas. Locatarios informaron que iniciaron labores de reparación y levantamiento de daños en la infraestructura afectada para garantizar la seguridad. Asimismo, solicitaron a clientes y visitantes transitar con precaución por las ocho secciones que conforman el recinto y reafirmaron el compromiso de los comerciantes de mantener el abasto el abasto local. Esto después de que, eh pues les digo, ayer pegaron fuerte, una fuerte lluvia acompañada de viento, incluso con algunas eh pues afectaciones sobre todo en esta zona del tianguis, donde eh se formó un pequeño remolino también y para no pasó a mayores, no pasó a mayores más que las láminas que se volaron, algunos objetos, cajas que también por ahí también se volaron, en fin, y pues no pasó a mayores este tema allá en Actopan».</t>
  </si>
  <si>
    <t>Afectaciones Por Lluvias</t>
  </si>
  <si>
    <t>Hidalgo supera los 3.2 millones de habitantes: Encuesta Intercensal 2025</t>
  </si>
  <si>
    <t>Hidalgo fortalece economía social con Encuentro Nacional de Nodess 2026</t>
  </si>
  <si>
    <t>Economía social</t>
  </si>
  <si>
    <t>Hidalgo se posiciona entre los tres primeros lugares a nivel nacional en calidad de la información financiera</t>
  </si>
  <si>
    <t>Transparencia</t>
  </si>
  <si>
    <t>Las obras de la autopista México-Tuxpan se encuentran detenidas desde principios de semana debido a una protesta por parte de los ejidatarios del ejido Mimila, quienes exigen una resolución definitiva al decreto de expropiación de sus predios afectados por la vialidad. Como parte de sus acciones, este miércoles una comitiva de ejidatarios se trasladará a la Secretaría de Gobernación Federal en la capital hidalguense para sostener una reunión con las autoridades correspondientes. Los manifestantes han advertido que, de no obtener una respuesta favorable a sus demandas, procederán a bloquear la circulación en dicha vía de comunicación.</t>
  </si>
  <si>
    <t>Promueve Sebiso Festival Internacional de la Barbacoa y el Ximbo en California</t>
  </si>
  <si>
    <t>Apoyo A Migrantes</t>
  </si>
  <si>
    <t>Segundo Festival de Piano María Teresa Rodríguez reunirá en Pachuca a tres concertistas nacionales</t>
  </si>
  <si>
    <t>Festival Cultural</t>
  </si>
  <si>
    <t>Y finalmente, Jesús, recibimos invitación para estar presentes el día de hoy en la presentación de este evento, que es uno de los más importantes a nivel nacional, en Xantolo, en Huautla de Reyes, la celebración de Día de Muertos más profunda de la Huasteca hidalguense. Sus rituales se inician a finales de septiembre y desde luego van marcando el camino simbólico de retorno para los fieles difuntos. Estaremos presentes y daremos continuidad también a esta y otras noticias, así lo informó David cárdenas durante su colaboración matutina.</t>
  </si>
  <si>
    <t>Xantolo</t>
  </si>
  <si>
    <t>Y bueno, aquí recalcar la disposición de las familias que ante una pérdida, una lamentable pérdida de un ser querido, bueno, pues tengan la precisión en el momento para entender la importancia que tiene la donación de órganos y y bueno, pues llevar a cabo este procedimiento que, de acuerdo a lo que nos han explicado las autoridades, por supuesto, trata de ser lo más amable y profesional para que las familias pues tengan las menores molestias posibles, entendiendo el momento difícil por el que atraviesan ante la pérdida de un ser querido, pero que se puedan aprovechar los órganos de la persona para dar nuevas posibilidades de vida y de bienestar a otras personas, comentó locutor Juan Carlos Santamaría.</t>
  </si>
  <si>
    <t>Trasplante de órganos</t>
  </si>
  <si>
    <t>Gobierno de Hidalgo logra nuevo operativo de procuración y traslado aéreo de un corazón</t>
  </si>
  <si>
    <t>La Comisión de Agua y Alcantarillado de Sistemas Intermunicipales (Caasim) informó que, debido a una afectación registrada en la mina San Juan y a los trabajos que realiza personal especializado de la compañía Real del Monte para restablecer su operación, las labores de mantenimiento emergente en la mina Paraíso se extenderán hasta el próximo viernes 2 de octubre, modificando el periodo anunciado previamente del 21 al 25 de septiembre.</t>
  </si>
  <si>
    <t>Infraestructura Hidráulica</t>
  </si>
  <si>
    <t>La Universidad Intercultural del Estado de Hidalgo (UICEH) celebra su décimo cuarto aniversario con un festival internacional que incluye muestras culturales, gastronómicas y deportivas. El rector de la institución, Lorenzo Arroyo Márquez, destacó en entrevista que la matrícula ha crecido notablemente, pasando de 400 a casi 1,000 alumnos en los últimos dos años, además de contar con una oferta educativa de nueve carreras, entre ellas medicina y enfermería. Las actividades conmemorativas, totalmente gratuitas y abiertas al público, se llevan a cabo en las instalaciones de la universidad en Tenango de Doria e incluyen la participación de países como China, Nepal, Alemania, Sudáfrica y España, así como la presentación de talentos locales y nacionales.</t>
  </si>
  <si>
    <t>Transmisión Especial</t>
  </si>
  <si>
    <t>Radioescucha dice: Buenas tardes, por medio de la presente solicitamos respetuosamente su apoyo para dar la difusión a una situación que está preocupando a numerosos padres y madres de familia de los alumnos de nuevo ingreso de la Preparatoria Número 1 de la Universidad Autónoma del Estado de Hidalgo en Avenida Juárez. Durante la semana pasada, varios alumnos de nuevo ingreso fueron dados de baja. De acuerdo con la información que hemos... que hemos recibido, aparentemente el motivo estaría relacionado con las fechas que aparecen los certificados de secundaria, los cuales no coincidirían... no coincidirían con las fechas solicitadas por la Preparatoria Número 1. Al parecer, esta situación podría estar relacionada con los certificados expedidos por la Secundaria General Número 1 y Número 2 de Pachuca, debido a que algunos documentos presentaban fechas correspondientes al mes de agosto..</t>
  </si>
  <si>
    <t>Como ya le comentaba al inicio de este espacio, una fuerte tormenta registrada ayer martes en Actopan causó daños en la Central de Abastos. Los intensos vientos vencieron las estructuras de varios techados y desprendieron algunas láminas. Este punto fue uno de los más afectados por las condiciones climáticas, pero aun así los comerciantes dijeron que hoy se trabaja, hoy miércoles. Recuerde, está la instalación del tianguis tradicional en la zona centro y también el tianguis de ganado y el tianguis de autos en la comunidad de La Estancia, que es donde se causó el mayor daño por las condiciones climáticas de ayer martes.</t>
  </si>
  <si>
    <t>Radioescucha dice: Licenciado Larrieta, que por favor vengan a arreglar esta coladera en la lateral saliendo de Pitahayas. Se la encargo, por favor</t>
  </si>
  <si>
    <t>Alcantarillado</t>
  </si>
  <si>
    <t>Vamos a la capital del estado, alrededor de 500 estudiantes fueron desalojados esta mañana del Centro de Estudios de Bachillerato en Juan C. Doria, Pachuca, tras una llamada de emergencia que alertó sobre un supuesto alumno armado. Policías estatales inspeccionaron el plantel, pero no encontraron armas ni localizaron al estudiante señalado."</t>
  </si>
  <si>
    <t>Hay un tema. Está lloviendo demasiado a nivel nacional y Ixmiquilpan no es la excepción. Ahorita tenemos reportes de casas que se están inundando por la gran cantidad de agua que está bajando de la zona del Nith, de Capula, de la zona de San Nicolás hacia el centro de Ixmiquilpan. El barrio de San Antonio y algunas calles del centro se han estado complicando. Entonces, el favor que les pido es que podamos apoyar, seguir las indicaciones de Protección Civil. La lluvia va a continuar estos días. Ha sido algo fuera de serie, fuera de lo normal, la gran cantidad de agua que está llegando. No tenemos las coladeras colapsadas de basura, sin embargo, como es tanta agua la que está bajando, pues obviamente está rebasando el drenaje y las calles. Sí es importante que mantengamos las coladeras limpias, que mañana o hoy en la tarde nos puedan ayudar a desazolvar un poquito con la basura que haya, el lodo que haya bajado, la tierra que haya bajado. Seguir las indicaciones de Protección Civil. Estamos ahorita trabajando con Seguridad Pública, con Protección Civil y también ser conscientes de la Comisión Federal de Electricidad que a marchas forzadas también está dándole atención a varias comunidades en que las cuchillas se han bajado, se han botado por el mismo tema de la gran cantidad de rayos que están cayendo. Agradecerles mucho y bueno, esperemos que puedan seguir este mensaje, por favor.”</t>
  </si>
  <si>
    <t>Atención Afectaciones Por Lluvias</t>
  </si>
  <si>
    <t>DIF Pachuca recibirá hasta este 30 de septiembre la documentación para participar en la Beca Municipal a la Excelencia Académica 2026</t>
  </si>
  <si>
    <t>Becas</t>
  </si>
  <si>
    <t>SSPH mantiene firme combate contra el narcomenudeo.</t>
  </si>
  <si>
    <t>El gobernador de Hidalgo, Julio Menchaca Salazar, informó que en la séptima reunión de coordinación interestatal de Paz y Seguridad se planteó crear una Policía Metropolitana con participación de la Guardia Nacional y corporaciones de los estados. ¿Qué busca esta propuesta? Intercambiar información, coordinar operativos en zonas limítrofes como la México-Pachuca, como la México-Querétaro, como también lo que es municipios como Huichapan, Tequisquiapan, San Juan del Río, donde los grupos delictivos pueden desplazarse entre entidades. Menchaca señaló que el planteamiento aún será analizado.</t>
  </si>
  <si>
    <t>Enfoque Regional Meridiano</t>
  </si>
  <si>
    <t>Con la convicción de fortalecer la economía social y solidaria en México, el gobernador Julio Menchaca Salazar encabezó el Encuentro Nacional de NODESS 2026, espacio en el que refrendó su compromiso de seguir impulsando la vinculación entre la academia, el sector social y el gobierno estatal para fomentar el desarrollo productivo en todas las regiones de Hidalgo.</t>
  </si>
  <si>
    <t>Jesús González</t>
  </si>
  <si>
    <t>"En otra información, Hidalgo fue sede del Encuentro Nacional de NODES 2026, donde se reunieron representantes de la academia, el sector social y el gobierno para impulsar proyectos productivos y fortalecer la economía social. El gobernador Julio Menchaca llamó a trabajar también en la comercialización de los productos para generar ingresos en las comunidades, conservar sus tradiciones y reducir la migración. "Es fundamental que, además de consolidar proyectos, estos tengan lo más complicado: la comercialización.</t>
  </si>
  <si>
    <t>Radioescucha dice: «Señor Larrieta, buen día. Le comento que el día de ayer acudí a la feria y se me hizo muy caro el estacionamiento, cobran 120 pesos, ojalá pudieran reconsiderar». ¡Cobraban 150! El fin de semana cobraban 150 y reconsideraron las autoridades para bajarlo a 120 pesos, pero cobraban 150. En verdad, ¿qué le digo?</t>
  </si>
  <si>
    <t>El gobernador del estado de Hidalgo está poniendo mucho hincapié en el tema del robo de hidrocarburo. Como usted sabe, esta semana ha sido una semana donde se ha hablado de seguridad; ha estado en reuniones a nivel regional con gobernadoras de otros estados del país, y el gobernador señala que el reto en materia de seguridad del gobierno del estado de Hidalgo es el robo de hidrocarburo, el huachicol. Así lo reconoció el gobernador Julio Menchaca Salazar, quien señaló que existe una lucha frontal contra este delito, lo que ha dado como resultado, entre otras acciones, la inhabilitación de 19 "huachitúneles".</t>
  </si>
  <si>
    <t>Huachitúnel</t>
  </si>
  <si>
    <t>Durante el segundo año de ejercicio constitucional, el Congreso del Estado de Hidalgo fortaleció sus procesos legislativos, administrativos, jurídicos y de fiscalización, además de ampliar sus mecanismos de transparencia, capacitación, vinculación municipal y participación ciudadana. Al presentar los principales resultados del periodo comprendido entre septiembre de 2025 y agosto de 2026, el presidente de la Junta de Gobierno, el diputado Andrés Velázquez Vázquez, destacó el trabajo realizado bajo los principios de diálogo, transparencia, pluralidad y cercanía con la ciudadanía, con énfasis en la construcción de consensos entre las distintas fuerzas políticas y la coordinación con los otros poderes y los 84 municipios del estado. Durante el periodo informado, la Junta de Gobierno celebró 28 sesiones y atendió cerca de 100 asuntos, además de expedir 26 instrumentos entre acuerdos, convocatorias, lineamientos, manuales, planes y convenios. La unidad de apoyo técnico respaldó 114 sesiones, de las cuales 102 fueron ordinarias, 10 de diputación permanente y 2 solemnes. Asimismo, la secretaría elaboró y tramitó 371 decretos e integró aproximadamente 500 expedientes. Durante el año, también fueron aprobadas 23 minutas federales y estatales con el seguimiento correspondiente para su adecuación al marco jurídico estatal y su posterior discusión en el pleno. Uno de los avances institucionales fue la formalización de un acuerdo entre el Congreso del Estado, la Auditoría Superior del Estado de Hidalgo y el Archivo General del Estado para fortalecer la organización, conservación, consulta y transferencia de la documentación institucional.</t>
  </si>
  <si>
    <t>Informe Legislativo</t>
  </si>
  <si>
    <t>El presidente municipal de Pachuca, Jorge Reyes, entregó al Congreso del Estado de Hidalgo la Iniciativa de Ley de Ingresos Municipal para el ejercicio fiscal 2027, que contempla recursos por mil 603 millones de pesos.La propuesta fue presentada ante el Poder Legislativo estatal como parte del procedimiento para su análisis y, en su caso, aprobación, conforme a la legislación vigente.Durante la entrega, Jorge Reyes señaló que desde el inicio de su administración se estableció como prioridad fortalecer el orden financiero, la transparencia y el manejo responsable de los recursos públicos.Destacó que la planeación de los ingresos permitirá al Ayuntamiento contar con mayor certeza para definir las acciones y servicios que se proyectan para el próximo ejercicio fiscal, con el propósito de atender las necesidades de la población.</t>
  </si>
  <si>
    <t>Durante esta entrevista con medios de comunicación, el gobernador Julio Menchaca dio a conocer que, derivado de la reunión que sostuvo en días recientes con sus homólogas de la Ciudad y el Estado de México, así como de Morelos y Guerrero, la jefa de Gobierno de la Ciudad de México, Clara Brugada, propuso la creación de una policía metropolitana que permita una mayor coordinación en materia de seguridad.</t>
  </si>
  <si>
    <t>Policia metropolitana</t>
  </si>
  <si>
    <t>La señora Edda Vite Ramos, presidenta del Sistema DIF Hidalgo, acudió a los municipios de Atotonilco de Tula y Tezontepec de Aldama a la instalación de la Procuraduría Municipal de Niñas, Niños y Adolescentes en cada localidad.</t>
  </si>
  <si>
    <t>DIFH</t>
  </si>
  <si>
    <t>Procuraduría municipal del menor</t>
  </si>
  <si>
    <t>Tenemos también noticias importantes que se han suscitado en Hidalgo. Inversión pública y conectividad ponen a Hidalgo. En el escenario nacional, la región de Tula concentra proyectos, infraestructura, sanamiento y movilidad. El titular de la Unidad de Planeación y Prospectiva de Hidalgo, Miguel Ángel Tello Vargas, desacoge las condiciones de inversión, conectividad y desarrollo que actualmente presenta la entidad. Han permitido que Hidalgo forme parte ya del escenario nacional durante el encuentro transversa unidos por el desarrollo empresarial celebrado este martes en Tula.</t>
  </si>
  <si>
    <t>Proyectos Federales</t>
  </si>
  <si>
    <t>Conductor Eulalio Larrieta comenta: : Hay un conductor que es muy agresivo, se pasa... se para a la mitad de la calle a levantar y a dejar pasaje. Y aparte se... se pone muy retador con los demás conductores cuando le tocan el claxon para que se orille</t>
  </si>
  <si>
    <t>Queja transporte público</t>
  </si>
  <si>
    <t>Conductor Eulalio Larrieta, hace un comentario sobre el mal manejo por parte de choferes de unidades del transporte publico : “ Señores del transporte público, de las colectivas, por favor, manejen con precaución, respeten. Cuando hagan sus paradas, háganlas orillándose correctamente, porque por eso se ocasionan accidentes también, ¿sí?</t>
  </si>
  <si>
    <t>Durante esta entrevista, se lo adelanté ayer, el gobernador Julio Menchaca habló sobre la petición de un grupo de taxistas de aumentar la tarifa a 50 pesos, a lo que el gobernador dijo lo siguiente: " Querían 55, estaba en 38, subió a 45. Es un tema muy complicado"</t>
  </si>
  <si>
    <t>Radioescucha Sr. Fidel diice : Licenciado, muy buenos días. Nosotros los taxistas andamos como los soldados que los mandan a la guerra sin armas, así andamos, sin tarifa».</t>
  </si>
  <si>
    <t>Descarta el gobernador Julio Menchaca que haya nuevos ajustes a la tarifa de taxis; se respetará el banderazo de 45 pesos</t>
  </si>
  <si>
    <t>Desde Hidalgo fue trasladado vía aérea un corazón donado por un joven de 16 años para ser trasplantado en Ciudad de México. Voy contigo, Jackie. El Gobierno de Hidalgo, a través de la Secretaría de Salud, participó en un nuevo operativo aéreo para la procuración y traslado de un corazón</t>
  </si>
  <si>
    <t>Vía telefónica Milton Cortés informa que los primeros días Feria Pachuca San Francisco, han estado bastantes movidos. Señaló que ha notado que el orden en las actividades por las tardes es bueno. En la mañana, los temas culturales y artísticos han satisfecho a los visitantes. También hay un gran interés en las artesanías este año, lo que ha atraído a más personas. Los primeros días de la Feria Pachuca San Francisco 2026 han transcurrido positivamente, y aún hay tiempo para que más gente asista. Además, se menciona que mañana inician las celebraciones de la Feria Patronal en el centro de Pachuca, manteniendo una dinámica similar a la feria. Estas celebraciones comienzan el día de mañana jueves a las 6 de la tarde en el exconvento de San Francisco y la plaza Aniceto Ortega.</t>
  </si>
  <si>
    <t>Milton Cortés</t>
  </si>
  <si>
    <t>Pedro Estrada dice: regresan las lluvias, nuestro libramiento de Tepatepec sigue destrozándose, un llamado a infraestructura estatal en el municipio de Francisco I. Madero. Muy buenos días.</t>
  </si>
  <si>
    <t>Vialidad En Mal Estado</t>
  </si>
  <si>
    <t>Polaris ha presentado nuevas encuestas sobre los posibles candidatos a la presidencia municipal de Pachuca. Se realizaron 400 encuestas directas y los resultados indican que Miguel Tello Vargas es el candidato más apoyado por Morena, con un 33%. Benjamín Rico Moreno, del Partido Verde, tiene un 27%, y Ricardo Crespo, como candidato independiente, cuenta con un 18.5%. En el PRI, Bernardo Arista tiene un 12%, y Guillermo Peredo Montes de Movimiento Ciudadano un 9.5%. Andrés Torres menciona que ha invitado a Peredo a dar una entrevista, pero aún no ha respondido. Además, se realizó una encuesta con nombres de mujeres. Liliana Mera Curiel de Morena lidera con un 31.5%. Lidia García Anaya, del Partido del Trabajo, tiene un 26.3%, mientras que Geraldina García Gordillo del PRI cuenta con un 18.3%. Fátima Michelle Melo Arteaga del Partido Verde tiene un 14.5%, y Carla Stefany Mota Olaje de Movimiento Ciudadano un 9.5%. Estos datos reflejan el interés por las candidaturas femeninas en Pachuca. También se presentaron encuestas para el municipio de Huejutla. En la categoría masculina, José Alfredo San Román Duval encabeza con un 39.5%, seguido de Jaime Redondo Salinas con un 25.8%. Raúl Badillo, independiente, tiene un 24.5% y Antonio Mandujano Cerrilla sigue con un puntaje cercano. En el apartado femenino, Briseyda Torres Martínez como candidata de Morena está en primer lugar, mientras que Mayra Orte Hernández del Partido Verde sigue de cerca. Mari Carmen Mandujano, que es hermana de Antonio Mandujano, ocupa el tercer lugar entre las mujeres con un 23.5%. Las encuestas en ambas ciudades se realizaron recientemente, reflejando las preferencias actuales de los votantes. Aldo Falcón critica otras encuestas que se han presentado, alegando que están basadas en datos antiguos y no reflejan la situación actual. Expresó que seguirá informando sobre los resultados y que, a medida que Morena clarifique sus liderazgos regionales y municipales, las encuestas seguirán siendo un tema importante.</t>
  </si>
  <si>
    <t>Sucesión alcaldía</t>
  </si>
  <si>
    <t>Andrés Torres: Bueno, yo también le diría agregaría a este informe que pues sí la Secretaría de Hacienda y Crédito Público a nivel federal nos está reconociendo como uno de los primeros tres estados en el país en calidad de información financiera, esto quiere decir que también nuestro sistema de recaudación es eficiente, es eficaz y pues lo que estamos reportando pues es cuánto dinero que estamos generando en cantidad de primero de recaudación y número dos, cómo nos gastamos y en qué nos gastamos los dineros que se nos dan por parte de la Federación, ¿no? Un reconocimiento al gobierno del estado de Hidalgo con 98.71% no, puntos pues, en el Índice de Calidad de Información, el ICI.</t>
  </si>
  <si>
    <t>Está fuera del a re la estación de Jacala, debido a problemas técnicos, en los que se trabaja ya.</t>
  </si>
  <si>
    <t>Radiodifusoras</t>
  </si>
  <si>
    <t>Daniel Martínez: No está nada padre esa medallita que tenemos en este momento, de ser el Estado de la República que más registros de fallecimientos está teniendo de este padecimiento (Covid 19) y los fallecimientos que está teniendo por complicaciones.</t>
  </si>
  <si>
    <t>Hidalgo registra un repunte en los casos de COVID-19 y en las notificaciones de enfermedades respiratorias, de acuerdo con datos de vigilancia epidemiológica correspondientes a septiembre del 2026. Durante la semana epidemiológica 37, del 13 al 19 de septiembre, se contabilizaron 183 casos de COVID-19 en la entidad, cuatro más que la semana anterior cuando se reportaron 179. De hecho, pues el acumulado directamente de defunciones asociadas al virus asciende a 16 en Hidalgo durante este año, y pues estos datos forman parte del sistema... o sistemas oficiales de vigilancia epidemiológica de la Secretaría de Salud Federal, que actualiza de manera semanal la información sobre COVID-19 y otros virus respiratorios. El comportamiento también se observa en las infecciones respiratorias agudas e... y agudas graves. De hecho, por ejemplo, en la semana 37 se registraron 4,065 notificaciones, frente a 4,001 que fue en la semana previa, y pues un incremento de 64 reportes, por cierto. Ante el aumento de estos casos, de estos padecimientos, las autoridades sanitarias recomiendan reforzar medidas básicas de prevención, como lavarse las manos con frecuencia, cubrirse la... ahora sí que al toser o estornudar, y mantener ventilados los espacios cerrados. También se recomienda que las personas que presenten síntomas respiratorios reduzcan el impacto con adultos mayores, por ejemplo... el contacto, perdón, con adultos mayores, menores de edad y personas con enfermedades crónicas. En caso de presentar algún signo... esta parte es muy importante, algún signo de alarma, se debe solicitar atención médica. Y pues sí, el incremento de los registros ocurre además también durante el cambio hacia la temporada de mayor presencia de padecimientos respiratorios, por lo que el seguimiento de los indicadores epidemiológicos pues estará permitiendo conocer su evolución en pues las próximas semanas. Hasta el momento, los datos disponibles muestran un aumento semanal tanto en los casos de COVID-19 como en las notificaciones de infecciones respiratorias.</t>
  </si>
  <si>
    <t>Daniel Martínez comenta que los concesionarios y operadores de transporte de pasajeros están pidiendo que se revise el costo del seguro, que ha aumentado más del 100% en dos años, y solicitan una mesa de trabajo para discutirlo. Sin embargo, Martínez considera que es poco probable que se realice esta mesa antes de que se publiquen las tarifas para otras regiones del Estado de Hidalgo. Además, señala que los taxistas de Pachuca y Mineral de la Reforma inicialmente pidieron un aumento de 55 pesos en la tarifa base, pero decidieron dejarlo en 50 pesos. Izza Hernández confirma que 55 pesos es correcto, y Martínez recalca que este aumento es significativo al multiplicarlo por el número de viajes diarios. Finalmente, menciona que el Gobernador ha dicho que ya se realizaron estudios y que la tarifa se mantendrá, lo que refuerza su visión de que no habrá discusiones sobre el ajuste de tarifas.</t>
  </si>
  <si>
    <t>Localizan 19 huachitúneles en Hidalgo, durante actual periodo de gobierno estatal. Durante el actual periodo del Gobierno del Estado de Hidalgo, corporaciones de seguridad pública han localizado e inhabilitado 19 túneles clandestinos, usados para el robo de hidrocarburo. Lo anterior fue informado por el Gobernador Julio Menchaca Salazar, durante Durante la séptima Reunión Interestatal de Coordinación por la Paz y Seguridad, en la que participaron autoridades de los estados de México, Tlaxcala, Querétaro, Hidalgo, Puebla, Guerrero y la Ciudad de México. El titular del Poder Ejecutivo del Estado de Hidalgo señaló que en su periodo de gobierno se han asegurado más de 7 millones de litros de hidrocarburo, los cuales fueron recuperados y entregados a la Federación. “Eso es histórico. En toda la historia del estado, en estos más de 900 kilómetros y en 22 municipios que atraviesan los ductos, no se había hecho una acción similar. Esto es una lucha frontal contra el robo de combustible”. Agregó que de las 65 personas detenidas en Hidalgo por este ilícito, al menos 40 serían generadores de violencia y objetivos prioritarios del gobierno federal, además de que pertenecerían a redes criminales dedicadas a la extorsión. Acusó de apatía e incluso de posibles actos de complicidad a autoridades de los distintos niveles de gobierno en relación con la vigilancia de los ductos, al señalar que se han localizado túneles clandestinos debajo de espacios públicos y privados. “Hemos descubierto túneles en donde sobre el ducto hay una bodega, entonces ha habido una apatía o una complicidad incluso de autoridades estatales, municipales y federales”. Respecto a las presidencias municipales, Menchaca Salazar señaló que una de las medidas para evitar posibles complicidades relacionadas con la autorización de construcciones es hacer efectivos los planes de desarrollo urbano. Así como identificar las zonas consideradas de riesgo ya que podrían contar con mayor control sobre las áreas donde atraviesan los ductos. Durante estas reuniones en materia de seguridad pública, se revisa el avance de los compromisos previamente establecidos y se plantean nuevos acuerdos.</t>
  </si>
  <si>
    <t>Entrega Natividad Castrejón equipamiento educativo por más de 2.4 mdp en Huejutla El secretario de Educación Pública de Hidalgo, Natividad Castrejón Valdez, realizó una gira de trabajo por la Huasteca hidalguense, donde entregó equipamiento educativo por más de 2.4 millones de pesos y encabezó un encuentro con madres y padres de familia para dialogar sobre su papel en la formación de niñas, niños y adolescentes. En el Colegio de Estudios Científicos y Tecnológicos del Estado de Hidalgo (CECyTEH), plantel Huejutla, el titular de la SEPH entregó equipamiento para la carrera de Gericultura, en beneficio de los planteles de Acaxochitlán, Atlapexco, Chapulhuacán, Huejutla y Poxindeje. Ante estudiantes y personal educativo, Natividad Castrejón destacó que las y los jóvenes cuentan con el respaldo de la administración encabezada por el gobernador Julio Menchaca Salazar, al tiempo que reconoció sus capacidades y aspiraciones. “No están solas ni solos; su educación importa. Esta administración cree en ustedes, en sus talentos, en su capacidad de soñar y en su tenacidad para cumplir sus sueños”, expresó. Señaló que Hidalgo avanza hacia un sistema de enseñanza que atiende las necesidades particulares de sus diferentes regiones, con la convicción de que la educación es una herramienta para abrir caminos, superar barreras y generar nuevas oportunidades. El secretario de Educación Pública estatal acudió a la escuela Secundaria General 2 de Huejutla, donde impartió la conferencia magistral “El papel de las madres y los padres en la formación de sus hijas e hijos”, ante madres y padres de familia, directivos y representantes de las figuras de participación escolar. Durante su intervención, destacó que la familia constituye el primer entorno de aprendizaje, convivencia y formación de hábitos, por lo que su participación es fundamental para el desarrollo integral de niñas, niños y adolescentes. Asimismo, reconoció a las familias como aliadas de la escuela, cuya participación contribuye a fortalecer los procesos formativos, en coordinación con docentes y autoridades educativas. En esta gira de trabajo estuvieron presentes el presidente municipal de Huejutla de Reyes, José Alfredo San Román Duval; la subsecretaria de Administración y Finanzas, Maricarmen Margarita Mandujano Cerrilla; el director general de Fortalecimiento Educativo, Martín Pérez Sierra; la directora general de Servicios Regionales, Josefina Serrano Bautista; y el director general del CECyTE Hidalgo, José Edmundo Ramírez Martínez, entre otras autoridades educativas y municipales.</t>
  </si>
  <si>
    <t>Entrega De Equipo Escolar</t>
  </si>
  <si>
    <t>Cierre del ciclo agrícola deja afectaciones en cultivos de temporal escrita por Daniel Martínez 29/09/2026 La falta de precipitaciones suficientes durante el presente ciclo agrícola generó afectaciones en los cultivos de temporal de Tulancingo, principalmente en el maíz, informó la Secretaría del Campo, tras los recorridos de supervisión realizados en diferentes núcleos agrarios del municipio. La valoración comprende zonas como La Lagunilla, Ejido Huapalcalco, Santa María Asunción y Ojo de Agua, donde se constató que, aunque se registraron lluvias de manera esporádica, el nivel de humedad no fue suficiente para alcanzar los rendimientos esperados. Al inicio del ciclo se estimaba un 80 por ciento de éxito en la superficie sembrada, que en Tulancingo supera las 7 mil hectáreas de temporal; sin embargo, las condiciones climáticas modificaron este escenario y redujeron las expectativas de cosecha. Ante esta situación, parte del maíz y otros cultivos afectados serán destinados a forraje para el ganado, como una alternativa para aprovechar la producción obtenida y reducir, en la medida de lo posible, las pérdidas para las familias productoras. En contraste, se observaron resultados favorables en cultivos de maíz híbrido de doble propósito, así como en diferentes variedades de forraje, entre ellas alfalfa y pradera mixta, que presentaron mejores condiciones para su aprovechamiento pecuario. En esta recta final del año, los productores comenzarán con el retiro del forraje obtenido, mientras mantienen la expectativa de que el próximo ciclo agrícola esté acompañado de mejores condiciones de lluvia. Como parte de la búsqueda de alternativas productivas, durante esta temporada la Secretaría del Campo también dio seguimiento a módulos demostrativos de cempasúchil, cultivo que representa una opción para generar ingresos adicionales en comunidades como Santa Ana Hueytlalpan, Santa María Asunción, Ojo de Agua y Laguna del Cerrito. Concluido el ciclo de temporal, Tulancingo mantendrá la producción mediante agricultura protegida, donde se cultivan diferentes variedades de hortalizas y destaca el jitomate como uno de los principales productos. La Secretaría del Campo, a cargo del ingeniero Hugo Flores Jiménez, permanecerá atenta a las disposiciones de la Secretaría de Agricultura y Desarrollo Rural del Gobierno de Hidalgo respecto al seguro catastrófico, con el propósito de coadyuvar con los productores en las acciones que permitan mitigar las afectaciones registradas en sus cultivos.</t>
  </si>
  <si>
    <t>Afectación de cultivo</t>
  </si>
  <si>
    <t>Trasladan de Pachuca a CDMX corazón donado por joven de 16 años para trasplante. Un operativo aéreo permitió trasladar de Pachuca a la Ciudad de México un corazón destinado a un paciente de 55 años, luego de que el órgano fuera procurado en el Hospital General de Zona No. 36 del IMSS. La intervención se realizó este martes en la capital hidalguense, donde también fueron obtenidos dos riñones que serán trasladados por carretera para continuar con los procesos de trasplante correspondientes. El corazón fue llevado desde el Aeropuerto Nacional Ingeniero Juan Guillermo Villasana hasta el Centro Médico Nacional La Raza, en la Ciudad de México, con el objetivo de reducir el tiempo entre la procuración y su llegada al hospital receptor. El órgano pertenecía a un joven de 16 años cuya familia decidió realizar la donación. El procedimiento fue coordinado por la Secretaría de Salud de Hidalgo, a través del Centro Estatal de Trasplantes de Hidalgo (Ceetra), junto con las instituciones médicas participantes. Carlos Ávila Zúñiga, titular del Ceetra, informó que en lo que va de 2026 se han concretado 29 donaciones en Hidalgo. De ellas, 10 fueron clasificadas como multiorgánicas. A partir de estas donaciones se han procurado 66 órganos y tejidos, mientras que cinco de los traslados realizados durante el año han requerido operaciones por vía aérea debido a las características de los órganos y los tiempos necesarios para su conservación.</t>
  </si>
  <si>
    <t>Inversión pública y conectividad ponen a Hidalgo en el escenario nacional</t>
  </si>
  <si>
    <t>Todavía, señala Bardales Ramírez, todavía hay cerca de 100 casos que están en estudio en este momento de los 1,000 que detectaron en diferentes gobiernos municipales de doble salario. El contralor estatal explicó que la mayoría de los expedientes involucra a personas que además de desempeñarse en algún Ayuntamiento laboraban en los sectores de educación o de salud. Como parte de la revisión, la dependencia cita a comparecer a las personas involucradas en la sala de audiencias públicas adscrita a la Contraloría donde se analiza cada expediente. Bardales Ramírez recordó que la investigación comenzó con 699 plazas correspondientes a las... a trabajadores de la Secretaría de Educación Pública del Estado de Hidalgo que, de manera simultánea, recibían pagos de algún Ayuntamiento. Conforme avanzaron las revisiones, el número de casos aumentó hasta acercarse a 1,000. De ese universo, más de 900 personas solicitaron licencia en alguno de sus dos empleos, principalmente en los Ayuntamientos. En el caso de quienes integraban alguna asamblea, las licencias se tramitaron sin goce de sueldo ante las secretarías en las que estaban adscritos. También alrededor de 50 personas tuvieron que reembolsar los recursos recibidos a la secretaría correspondiente, mientras que las demás cumplieron con solicitar sus respectivas licencias en tiempo y forma. Sin embargo, el cumplimiento de este trámite no significó el cierre de todos los expedientes; el contralor señaló que algunos casos continúan bajo investigación porque además de la situación relacionada con el doble pago de recursos públicos, la dependencia detectó otros hechos que requieren revisión, entre ellos posibles renuncias y por eso son este centenar de casos que todavía están bajo revisión en varios municipios del estado de Hidalgo.</t>
  </si>
  <si>
    <t>Contraloría</t>
  </si>
  <si>
    <t>Doble Plaza</t>
  </si>
  <si>
    <t>Concretan los 84 municipios de Hidalgo, la entrega de sus respectivos proyectos de Leyes de Ingresos 2027 Los 84 municipios del Estado de Hidalgo cumplieron con la entrega ante el Congreso del Estado de Hidalgo de sus respectivas propuestas de Ley de Ingresos locales para el próximo año 2027. Lo anterior durante un acto protocolario donde participaron autoridades municipales, y por supuesto, integrantes del Congreso local. El presidente de la Junta de Gobierno del Congreso de Hidalgo destacó la entrega de las propuestas para el cobro de cuotas, tarifas y servicios para las 84 demarcaciones de la entidad. De acuerdo con el plazo establecido, los 84 ayuntamientos tienen hasta el 1 de octubre de 2026 para presentar ante el Poder Legislativo estatal sus iniciativas de Ley de Ingresos correspondientes al próximo ejercicio fiscal. Previamente, el diputado Miguel Ángel Moreno Zamora confió en que los municipios no incurran en cobros excesivos para que no vuelvan a ser impugnadas. Recordó que hicieron una capacitación con todos los municipios, tanto los organismos operadores de agua, como los ayuntamientos para tratar los asuntos relacionados con cuotas y tarifas en el primer caso, y leyes de ingresos en el segundo. Lo anterior, luego que la Suprema Corte de Justicia de la Nación declaró la invalidez de diversos cobros y tarifas establecidos en las leyes de ingresos de 8 municipios de Hidalgo para el ejercicio fiscal 2026, tras resolver la acción de inconstitucionalidad promovida por la Comisión Nacional de los Derechos Humanos. Como parte de la ceremonia, los alcaldes realizaron una entrega simbólica de las propuestas correspondientes a los siete distritos electorales: Huejutla de Reyes, Ixmiquilpan, Actopan, Tulancingo de Bravo, Tula de Allende, Pachuca de Soto y Tepeapulco. Cabe recordar que el pasado 10 de septiembre concluyó el plazo para que los 35 organismos operadores de agua municipales entregaran sus cuotas y tarifas al Congreso de Hidalgo. En este caso, se informó que todos los organismos operadores cumplieron en tiempo con la entrega de las propuestas, por lo que la Comisión de Hacienda analizará los documentos.</t>
  </si>
  <si>
    <t>Legisladoras, legisladores del Congreso del Estado de Hidalgo, así como la Auditoría Superior del Estado de Hidalgo están haciendo un llamado a los actuales gobiernos municipales para que pues dejen la casa en orden. Al entrar entonces pues a la recta final de su gestión, el Congreso de Hidalgo y la Auditoría Superior del Estado llamaron a presidentes municipales que organicen las finanzas de sus administraciones, eviten contratar obra onerosa, no dejen pagos inconclusos y que garanticen una entrega-recepción pulcra. Lo que señala el presidente de la Junta de Gobierno del Congreso del Estado, Andrés Velázquez Vázquez, es que es necesario que en su último año se manejen con pulcritud en cuanto al manejo de los recursos, que dejen sus camionetas... sí, textual lo dicho por Velázquez Vázquez, "que dejen sus camionetas onerosas o sus guaruras por otro lado y se conduzcan como cualquier otro ciudadano". Y cito textual a Andrés Velázquez Vázquez: "Vamos a dejar de ser funcionarios, entonces por salud emocional, mental y hasta espiritual, dejemos las cosas claritas y se los digo para aquellos que tienen también proyectos políticos a futuro, no pueden traer arrastrando una auditoría pendiente o recursos pendientes si quieren ser candidatos". Jorge Valverde Islas, titular de la Auditoría Superior del Estado de Hidalgo, recordó que el organismo ya emitió los lineamientos para la entrega-recepción y mencionó que en enero inicia la cuenta regresiva de la entrega de sus administraciones. Al respecto el auditor superior del Estado dijo: "Ayúdenme elaborando una entrega-recepción pulcra, que no comprometan recursos, no comprometan obras que no pueden pagar, luego hay pagos inconclusos de obras, dejan pagos inconclusos de contratos y la verdad es que llega la nueva administración y ya no tienen para pagar". Detalló que de las leyes de ingresos 2027 los actuales presidentes municipales solo van a ejercer los recursos de los próximos ocho meses y a la nueva administración le tocará gastar, invertir, utilizar los cuatro meses restantes. Y al respecto Valverde Islas señaló: "Me gustaría que estas administraciones no sean como las pasadas que dejaron mucho que desear en muchos municipios, tienen la oportunidad en este momento de salir bien en sus cuentas públicas de sus administraciones".</t>
  </si>
  <si>
    <t>Fiscalización</t>
  </si>
  <si>
    <t>Ayer hubo un accidente que se registró sobre la carretera Pachuca-Tulancingo donde, pues bueno, con todo y la manera tan fuerte en que se ocurrió este accidente en una unidad adscrita a la Dirección de Obras Públicas del gobierno municipal de Acatlán, presentan lesiones que, afortunadamente pues salvan su vida con todo y las lesiones que tuvieron, Eduardo Hernández Vera, Lucía Torres Galloso, quienes son funcionarios precisamente de la administración municipal de Acatlán. Aquí lo que se conoce es de que el día de ayer por la tarde, en este accidente reiterativo en la Pachuca-Tulancingo y que deja estas dos personas lesionadas, lo que ocurrió es que habría chocado el vehículo contra un objeto fijo, y volcó precisamente en el tramo dentro del municipio de Singuilucan. De acuerdo con información de la Guardia Nacional, el accidente ocurrió a la altura precisamente de la localidad de Matías Rodríguez, donde el conductor de la unidad impactó contra un objeto fijo, lo que provocó esta volcadura. Gracias precisamente a la atención de los cuerpos de atención de emergencias es de que se logró atender de manera oportuna a las personas implicadas en el accidente y fueron canalizadas a instituciones médicas para la atención correspondiente.</t>
  </si>
  <si>
    <t>En cabina José de la Rosa y otros integrantes del comité vecinal de la Privada Plan de Ayala, en la región de Medias Tierras, Tulancingo, hablan de las problemáticas respecto a una obra pública recién concluida en su calle. Aseguran que la obra conectó el drenaje de su privada al drenaje principal en contraflujo (a contracorriente), lo que provoca que el agua y los desechos se regresen hacia la calle privada y el interior de las viviendas en lugar de desfogarse. lo anterior ha provocado que, tras las recientes lluvias intensas, el agua contaminada con residuos e heces ha brotado inundando patios y banquetas, obligando a los vecinos a cargar a sus hijos o dificultando el traslado de personas con enfermedades graves (como traslados en ambulancia). Aunque los vecinos y el comité de revisión hicieron observaciones durante la construcción para corregir la conexión, los ingenieros a cargo (mencionan a la arquitecta Jessica y al ingeniero Milton) no hicieron las correcciones y concluyeron la pavimentación. Asimismo, dijeron que Las autoridades les informaron que no se realizarán modificaciones porque el presupuesto asignado (mencionado en alrededor de 1 millón de pesos) ya se agotó, a pesar de que la obra no contempló a todas las viviendas de la calle ni se revisaron los registros de las casas del fondo. Además, indican que apenas terminados los trabajos y la pavimentación, se registran fugas de agua limpia en la vía pública. Finalmente los vecinos señalan que el comité vecinal no firmará la recepción formal de la obra y emprenderán una demanda legal en contra de las autoridades responsables.</t>
  </si>
  <si>
    <t>Deficiencias en obra</t>
  </si>
  <si>
    <t>Un hombre de 82 años de edad fue encontrado sobre bulevar Emiliano Zapata, dentro del municipio de Tulancingo; al ser revisado por paramédicos que acudieron a prestarle auxilio, confirmaron que estaba con lesiones dérmicas en gran parte de su cuerpo. Fue el pasado domingo 27 de septiembre cuando personas que circulaban por la zona, cerca del monumento conocido como “el caballito”, cuando se percataron que el hombre estaba tirado sobre la vía pública. Personal de Cruz Roja local acudió a atender el reporte, y al confirmar en la revisión que tenía llagas en gran parte de su abdomen, espalda y piernas, se determinó trasladarlo al Hospital General IMSS Bienestar de Tulancingo. El hombre fue identificado con el nombre de Cayetano Hernández González, y además, presenta problemas de audición. Refirió ser originario del Estado de Oaxaca, y tener hijos en la Ciudad de México; hasta el momento, no se conoce cómo llegó a la ciudad de Tulancingo, ni la situación por la que fue localizado sobre el bulevar Emiliano Zapata. Actualmente se encuentra bajo atención médica por parte de personal del nosocomio, a la vez que se está en la búsqueda de sus familiares. Por lo que en caso de que alguien tenga datos para localizar a dichos familiares, se puede poner en contacto con el área de Trabajo Social del Servicio de Urgencias del mismo Hospital General IMSS Bienestar de Tulancingo. En tanto, el personal de dicho nosocomio está al pendiente en la evolución en el estado de salud del hombre adulto mayor, así como en la atención para que pueda tener recuperación al respecto. Se reiteró la urgencia de ubicar a los familiares del hombre localizado el pasado fin de semana.</t>
  </si>
  <si>
    <t>Cuestiones salariales, principal situación para abandonar cuerpo de Protección Civil en Tulantepec Mientras que al inicio de la actual administración municipal de Santiago Tulantepec se contaba con 20 integrantes del cuerpo de Bomberos y Protección Civil local, actualmente están dados de alta 17. Al respecto, Edmundo Hernández Chimal, titular de la corporación, atribuyó la disminución de elementos en el cuerpo de atención y prevención a emergencias, a cuestiones salariales, pues a nivel regional es la corporación con sueldos más bajos. Sin embargo, señaló que para este año el gobierno municipal autorizó un aumento de 500 pesos quincenales, por lo que con este incremento un bombero gana cuatro mil 700 pesos a la quincena. Confió en que para el próximo año se otorgue otro incremento al salario de los bomberos de Santiago Tulantepec, por lo menos igual al del presente ejercicio fiscal. Ello podría ser un atractivo para que existan más personas interesadas en formar parte del cuerpo de Bomberos y Protección Civil, y con ello fortalecer las acciones de atención y prevención de emergencias y accidentes. Hernández Chimal consideró que les lleva un año aproximadamente preparar al personal de nuevo ingreso para que puedan subir a una ambulancia y prestar la atención hospitalaria; mientras que la capacitación para los bomberos dura no menos de seis meses. Puntualizó que la dirección a su cargo atiende tanto cuestiones prehospitalarias como incendios, rescates y el tema preventivo que deriva de la protección civil. La estadística señala que cada mes se atiende en promedio alrededor de 50 servicios distintos, de los cuales, alrededor del 80 por ciento corresponde a atención prehospitalaria. El resto de los servicios atendidos corresponden a anegamientos y otras cuestiones derivadas de fenómenos naturales, accidentes diversos, principalmente. El mando invitó a los interesados a formar parte de la corporación local de Bomberos y Protección Civil, a acercarse para conocer las labores que se realicen, y con ello eventualmente se convenzan en prestar sus servicios a la población.</t>
  </si>
  <si>
    <t>Bajos salarios</t>
  </si>
  <si>
    <t>Menchaca descarta nuevo aumento a la tarifa de taxis; banderazo seguirá en 45 pesos El gobernador de Hidalgo, Julio Menchaca Salazar, descartó que vaya a realizarse un nuevo ajuste a la tarifa de taxis en Pachuca y Mineral de la Reforma, por lo que el banderazo se mantendrá en 45 pesos. La declaración se dio luego de que taxistas independientes solicitaran elevar la tarifa mínima a 50 pesos, al argumentar que el monto actual no cubre los gastos de operación de las unidades. Durante una entrevista en Tolcayuca, Menchaca señaló que la tarifa vigente fue definida después de un proceso de análisis y diálogo con representantes del sector, en el que también se planteó establecer un cobro inicial de 55 pesos. El mandatario explicó que esa propuesta no fue considerada viable y finalmente se determinó incrementar el banderazo de 38 a 45 pesos, lo que representa un aumento cercano al 20 por ciento. Los operadores que pidieron una nueva modificación señalaron que enfrentan mayores gastos por combustible, mantenimiento y las cuentas diarias que deben cubrir, las cuales, según sus propios cálculos, oscilan entre 400 y 500 pesos. Ante estas peticiones, el gobernador sostuvo que la definición de las tarifas busca mantener un equilibrio entre los ingresos de los conductores y la capacidad de pago de los usuarios. Menchaca Salazar indicó que, por ahora, no está contemplado reabrir la discusión sobre el monto aprobado, al considerar que la actualización fue resultado de un proceso previo de negociación encabezado por la Secretaría de Movilidad y Transporte. La tarifa de 45 pesos continuará vigente como banderazo inicial para el servicio de taxi en Pachuca y Mineral de la Reforma.</t>
  </si>
  <si>
    <t>Incrementa cantidad de basura recolectada…y también pago por su tratamiento y disposición final Derivado en el incremento de toneladas de basura recolectadas en Tulancingo, se ha incrementado el monto económico destinado al pago de los servicios para su disposición y tratamiento final, en un relleno sanitario a cargo de la empresa particular Veolia, ubicado en el municipio de Santiago Tulantepec. Así lo refirió Alberto Santuario Elías, titular de la Secretaría de Servicios Municipales, señalando que el incremento económico en dicho servicio ha sido por casi 1.5 millones de pesos en el comparativo de los años 2024 y 2025. Durante todo el año 2024, en Tulancingo se recolectaron y dispusieron en tratamiento y depósito final en total 47 mil 96.73 toneladas de basura. Mientras que el año pasado la cantidad fue 50 mil 466.35 toneladas de residuos sólidos, lo que significa un incremento entre ambas anualidades referidas fue de ocho por ciento. Ello significó un pago para su tratamiento y disposición final en el relleno sanitario a cargo de Veolia 13 millones 597 mil 567 pesos con 56 centavos en el año 2024. El año pasado, el pago fue de 15 millones 50 mil 111.53 pesos, lo que representa un incremento por un millón 452 mil 544 pesos entre el 2024 y 2025. Entre enero y septiembre de este año, el gobierno municipal de Tulancingo ha cubierto 12 millones 574 mil 808 pesos con 88 centavos por el servicio de tratamiento y disposición final de 37 mil 962.60 toneladas de residuos sólidos. Los residuos inorgánicos no reciclables, entre ellos papel higiénico, pañales, fibras sintéticas, así como residuos finos, como arena para gatos, son los principales recolectados, siendo un 36.82 por ciento del total. Le siguen los residuos orgánicos, como alimentos y fracciones orgánicas, siendo el 31.18 por ciento de la basura recolectada. Mientras que los residuos inorgánicos reciclables, como plásticos, cartón, vidrio transparente, plástico rígido, PET y papel, representan el 22.98 por ciento de la basura recolectada. En diversos momentos se ha intentado implementar acciones como la recolección de basura separada, programas de reciclaje, creación de composta con residuos orgánicos, entre otros. Ninguna de dichas estrategias ha tenido seguimiento, ni por la población del municipio, ni por las autoridades en el momento de su aplicación.</t>
  </si>
  <si>
    <t>Recolección De Basura</t>
  </si>
  <si>
    <t>Andrés Torres en respuesta a un radioescucha y sobre sobre la detención de una de las hijas de Gerardo Sosa, afirma que no es un ataque a la familia Sosa, sino un tema periodístico. Esta detención estuvo respaldada por una orden de aprehensión emitida por la Fiscalía General de la República y una ficha roja de Interpol, y ha sido reportada en medios de comunicación locales y nacionales. Torres menciona que hacen periodismo al informar sobre estos hechos. Además, Andrés señala que el comisionado político nacional del Partido del Trabajo en Hidalgo, Javier Vázquez Calixto, hizo acusaciones sobre corrupción y “moches” en contratos de obra pública, afirmando que se pide hasta un 20% a las constructoras. Torres se cuestiona la relación entre la detención de la hija de Sosa y las declaraciones de Vázquez, sugiriendo que hay una conexión política entre ambas situaciones. Andrés destaca que el Partido del Trabajo es dominado por la familia Sosa en Hidalgo, y sugiere que las acusaciones de corrupción pueden ser una respuesta política a lo que ellos consideran un ataque. Menciona que son un medio muy escuchado y que dieron a conocer esta información en exclusiva, por lo que sienten que están recibiendo mensajes dirigidos a ellos. Expresa que esto puede convertirse en una guerra de declaraciones, donde ahora se considera malo informar sobre hechos de corrupción, en vez de que lo malo sea el acto de corrupción en sí. Por último, sostiene que no está mal que alguien sea requerido por las autoridades, sino que lo que resulta problemático es informar sobre estas situaciones. Además, asevera que en ningún momento ha hablado mal de la UAEH, sin embargo esta detención, está ligada a temas de la universidad, misma que cuenta con una gran calidad y prestigio y es el alma mater del gobernador Julio Menchca.</t>
  </si>
  <si>
    <t>Vía telefónica Milton Cortés Milton Cortés informa que el presidente municipal de Pachuca, Jorge Alberto Reyes, ha presentado ante el Congreso del Estado de Hidalgo la iniciativa de Ley de Ingresos para el ejercicio fiscal 2027. Aunque parece un acto anticipado, el edil destaca la importancia de mantener un orden y la transparencia financiera en la ciudad. Según el documento entregado a los diputados locales, Pachuca espera un ingreso cercano a los 1,300 millones de pesos. Esta cifra será analizada en las comisiones del Congreso antes de ser sometida a la aprobación del pleno. El presidente municipal señala que estas cifras reflejan el compromiso del municipio por ofrecer una gestión clara, especialmente en temas financieros, lo que contribuirá a una mayor transparencia en el ejercicio municipal. También menciona que al mantener un orden fiscal, serán posibles los recursos necesarios para atender las prioridades y necesidades de la ciudad durante 2027. Reyes enfatiza que este ejercicio transparente ante el Congreso busca asegurar finanzas sanas y un uso responsable de los recursos públicos. Andrés Torres comenta sobre la significativa presencia de Jorge Reyes en el evento del Congreso y menciona que su administración se ha caracterizado por una atención especial a la transparencia y la rendición de cuentas. A pesar de que presentar la Ley de Ingresos tan temprano puede parecer prematuro, considera que es un deber de los 84 municipios cumplir con este proceso a tiempo. Además, resalta el esfuerzo de Reyes en clarificar los presupuestos y el uso de los recursos. Cortés está de acuerdo con la observación de Torres y añade que, aunque este proceso generalmente ocurre en los últimos meses del año, es necesario que se estudien adecuadamente todos los detalles del ejercicio fiscal del 2027. Menciona que el alcalde de Pachuca ha puesto un fuerte énfasis en garantizar la transparencia de las acciones dentro del Ayuntamiento, prestando especial atención a la vigilancia en las operaciones administrativas y financieras. Este acto refleja el compromiso del presidente municipal de mantener claridad en las acciones de su gestión y asegurarse de que las finanzas estén completamente sanas al cierre del año y al comenzar el año fiscal 2027. La transparencia y la correcta rendición de cuentas son pilares fundamentales en la administración de Jorge Alberto Reyes, lo cual se evidencia en la presentación anticipada de la Ley de Ingresos y su deseo de fomentar la confianza en la gestión pública.</t>
  </si>
  <si>
    <t>Hidalgo destaca en información financiera</t>
  </si>
  <si>
    <t>Hidalgo impulsa la economía social con NODESS 2026</t>
  </si>
  <si>
    <t>Cerca de 500 alumnos y personal docente del Centro de Estudios de Bachillerato (CEB) "Prof. Rafael Ramírez", ubicado en la colonia Juan C. Doria, fueron desalojados por la supuesta presencia de un estudiante armado al interior del plantel. De acuerdo con informes de la policía estatal, el reporte se recibió a través de una llamada de auxilio que alertaba sobre un posible riesgo para la comunidad escolar. Al arribar al sitio, los elementos de seguridad se entrevistaron con la directora de la institución, Alba Monroy, quien explicó que la alerta se originó luego de que un estudiante escuchara a un compañero comentar que llevaba un arma, motivo por el cual dio aviso inmediato a las autoridades educativas. Como medida preventiva para salvaguardar la integridad de la comunidad estudiantil, se ordenó el desalojo de las 18 aulas del plantel, evacuando a la totalidad de los alumnos de manera ordenada. Los policías ingresaron e inspeccionaron exhaustivamente las instalaciones y las inmediaciones del centro educativo y tras las labores de revisión, no se localizó ningún arma ni al estudiante señalado, por lo que las autoridades descartaron el riesgo y la situación quedó bajo control.</t>
  </si>
  <si>
    <t>Morena anunciará pronto sus coordinadores para los distritos de Hidalgo. La dirigente estatal, Marisol Ortega, informó que a finales de septiembre se revelarán los nombres de las y los coordinadores electorales para los siete distritos del estado. Se presentó un listado de parejas de coordinadores para cada distrito, resaltando que en el distrito 5 de Tula, los candidatos son Miguel Tello y Tania Porras Vega. Se recibió un mensaje aclarando que Tania Porras es originaria de El Huitel, no de Mangas, y es ex-candidata a la presidencia municipal de Tezontepec. Además, se mencionó que es hija de Pedro Porras, quien está vinculado al Instituto Hidalguense de Educación para Adultos. Tania Porras figura entre los activos de Morena como posible coordinadora electoral para el distrito federal 5 en Tula.</t>
  </si>
  <si>
    <t>Liderazgo político</t>
  </si>
  <si>
    <t>La Conagua lanza una alerta meteorológica para los próximo 5 días, donde se esperan lluvias torrenciales en varios estados; entre ellos Hidalgo.</t>
  </si>
  <si>
    <t>Alerta Meteorológica</t>
  </si>
  <si>
    <t>El presidente municipal de Tasquillo mandó limpiar un terreno en la zona de El Vivero, donde iba a realizar el evento por el Dís del Campesino que se celebra hoy. Sin embargo, a las personas que realizaban estos trabajos prendieron fuego a la hierba y se les salió de control, provocando un incendio forestal que por mucho rato estuvo fuera de control. La lluvia que cayó fue la que ayudó a sofocar el incendio.</t>
  </si>
  <si>
    <t>Incendios forestales</t>
  </si>
  <si>
    <t>Una intensa tormenta registrada en las últimas horas en el municipio de Actopan dejó un saldo preliminar de daños estructurales, caída de árboles y afectaciones en comercios. De acuerdo con las autoridades locales, la emergencia se concentró principalmente en la central de abastos, donde las fuertes rachas de viento y la acumulación de agua provocaron el colapso de las columnas de dos naves comerciales. Asimismo, varios locatarios reportaron desprendimiento de láminas y lonas en diferentes puntos de sus establecimientos, lo que generó momentos de tensión entre los comerciantes de la zona. Durante el paso del fenómeno meteorológico también se registró la caída de un árbol de aproximadamente 4 metros de altura, el cual bloqueó de manera parcial el tránsito en el área afectada. A pesar de la magnitud de los daños materiales en la infraestructura comercial, no se reportan personas lesionadas ni víctimas que lamentar.</t>
  </si>
  <si>
    <t>Lamentablemente ayer se presentó un incidente vial sobre la carretera Pachuca-Actopan a la altura de Las Torres de Rectoría, donde un vehículo particular volcaba dejando dos personas lesionadas. Esto fue con dirección hacia el bulevar Colosio. Elementos de seguridad pública atendieron a estas dos personas, afortunadamente no requirieron traslado médico.</t>
  </si>
  <si>
    <t>Conductor Jesús Gonzalez realiza opinión sobre el tema de medio ambiente federal y los trabajos de saneamiento de la Presa Endho. Y hace unos minutos yo le decía que la secretaria del Medio Ambiente, Alicia Bárcena, habló de los trabajos de la Presa Endhó. Escuche usted y haga usted su mejor juicio.ha dotado a los mexicanos y a las mexicanas del derecho humano al agua. Esa es la base de la política y se están haciendo estas acciones. Simply el saneamiento de los tres grandes ríos: el Lerma, el Atoyac y el Tula —ya y que que contiene a la Presa Endhó, por cierto, que tenemos que restaurarla—, estamos hablando de 20,000 millones de pesos que se están invirtiendo ahora y que está beneficiando a 25 millones de personas. Es un gran trabajo que hemos hecho todo el sector junto. Y la Presa Endhó, que es otro gran tema de justicia ambiental, ahí eh la inversión es de 75 millones de pesos. Se han retirado 140,000 metros cúbicos de lirio acuático, que era un tema, y se ha reducido al 47% el mosquito Culex, que era una molestia enorme para más de 27,000 personas que rodean la Presa Endhó.Alguien le está diciendo mentiras...</t>
  </si>
  <si>
    <t>Restauración Ecológica</t>
  </si>
  <si>
    <t>Y otra información que ha llamado mucho la atención y que ha sido agenda durante mucho tiempo es la Presa Endhó. Ayer, durante la conferencia matutina de la presidenta Claudia Sheinbaum, autoridades federales informaron avances del programa de restauración ambiental del río Tula, considerado uno de los tres cuerpos de agua más contaminados del país, con acciones que incluyen saneamiento, retiro de lirio acuático, construcción de infraestructura hidráulica y monitoreo permanente de la calidad del agua. La secretaria del Medio Ambiente y Recursos Naturales, Alicia Bárcena, destacó que en la Presa Endhó se realiza una intervención como parte de las acciones de justicia ambiental con una inversión de 75 millones de pesos. Vamos a retomar el audio de la secretaria del medio ambiente, vamos a checar el audio. Lo que sí tenemos es lo que dice la ciudadanía, lo que dice la población sobre este tema, que es importante que usted conozca, que vale la pena que usted escuche. Vamos a escuchar si podemos el audio 12, por favor, para que usted tome en cuenta lo que está diciendo la población sobre el tema de la Presa Endhó, para que escuche a la ciudadanía, por favor. Muy lamentable, la verdad ayer cuando las escuchábamos, la verdad hasta el estómago se revuelve, porque pues aquí justamente lo que está sucediendo es que hay una desatención a estos problemas. Quiero poner en antecedente algo: el decreto de zona de restauración que sacó el presidente López Obrador, justamente lo que hace previo a su emisión es un estudio técnico justificativo que reconoce los problemas de aquí. Entonces, justo cuando sale el decreto, lo que se reconoce es que hay una devastación ambiental, porque hay una batalla permanente siempre por la verdad. Por eso es trascendental el que se reconozca que hay una zona devastada ecológicamente, que es una zona de sacrificio. Y pues bueno, ¿qué ha pasado a partir de la emisión? Pues primera, que las personas que han estado a cargo, tanto que incluso nosotros para que este decreto saliera platicamos con el presidente López Obrador y lo que López Obrador nos dijo: «va a haber justicia». A partir de ahí es que se han estado dando la lucha de que nosotros lo que pedimos es que haya justicia. ¿Qué es lo que ha pasado desde aquel momento, desde que ya no está López Obrador y qué es lo que tendría que estar haciéndose? Pues el acto de justicia, eso implica un programa de restauración, una atención integral de los problemas con un enfoque de salud ambiental, un enfoque de justicia. ¿Y qué es lo que pasa ahorita en este momento justamente con las cifras que veíamos ayer? Pues que son falsas y es entonces pues está mal informada la presidenta.</t>
  </si>
  <si>
    <t>Hay buenas noticias para la cooperativa La Cruz Azul, ya que tras años de litigio y defensa jurídica, la cooperativa La Cruz Azul S.C.L. cerró definitivamente el proceso legal que amenazaba una parte substancial de su patrimonio, luego de que la Suprema Corte de Justicia de la Nación fallara de manera inapelable a su favor. La disputa legal surgió a raíz de un reclamo millonario derivado de una antigua relación contractual para la prestación de servicios jurídicos. La contraparte llevó el asunto hasta la última instancia procesal con la pretensión de obtener beneficios económicos a costa de la organización de la cooperativa. Sin embargo, en el desahogo del amparo directo, la Suprema Corte de Justicia de la Nación resolvió negar el amparo solicitado por la contraparte.</t>
  </si>
  <si>
    <t>Cruz Azul</t>
  </si>
  <si>
    <t>Y otra información que ha llamado mucho la atención y que ha sido agenda durante mucho tiempo es la Presa Endhó. Ayer, durante la conferencia matutina de la presidenta Claudia Sheinbaum, autoridades federales informaron avances del programa de restauración ambiental del río Tula, considerado uno de los tres cuerpos de agua más contaminados del país, con acciones que incluyen saneamiento, retiro de lirio acuático, construcción de infraestructura hidráulica y monitoreo permanente de la calidad del agua. La secretaria del Medio Ambiente y Recursos Naturales, Alicia Bárcena, destacó que en la Presa Endhó se realiza una intervención como parte de las acciones de justicia ambiental con una inversión de 75 millones de pesos. Vamos a retomar el audio de la secretaria del medio ambiente, vamos a checar el audio. Lo que sí tenemos es lo que dice la ciudadanía, lo que dice la población sobre este tema, que es importante que usted conozca, que vale la pena que usted escuche. Vamos a escuchar si podemos el audio 12, por favor, para que usted tome en cuenta lo que está diciendo la población sobre el tema de la Presa Endhó, para que escuche a la ciudadanía, por favor. Muy lamentable, la verdad ayer cuando las escuchábamos, la verdad hasta el estómago se revuelve, porque pues aquí justamente lo que está sucediendo es que hay una desatención a estos problemas. Quiero poner en antecedente algo: el decreto de zona de restauración que sacó el presidente López Obrador, justamente lo que hace previo a su emisión es un estudio técnico justificativo que reconoce los problemas de aquí. Entonces, justo cuando sale el decreto, lo que se reconoce es que hay una devastación ambiental, porque hay una batalla permanente siempre por la verdad.</t>
  </si>
  <si>
    <t>Huejutla prepara cuatro días de fiesta para Xantolo 2026</t>
  </si>
  <si>
    <t>El Instituto para la Atención de las y los Adultos Mayores del Estado de Hidalgo (IAAMEH) mantiene abiertas las inscripciones para el curso gratuito «Formación integral para las personas cuidadoras», dirigido a quienes atienden a personas mayores.</t>
  </si>
  <si>
    <t>Cuidadores De Adultos Mayores</t>
  </si>
  <si>
    <t>Y en el Centro Libre de Mineral de la Reforma, vecinas participaron en una clase de dulces mexicanos como parte de las actividades para promover la convivencia y el desarrollo de las mujeres. La directora del Instituto Hidalguense de las Mujeres, Katia Hernández Pérez, explicó que los 41 Centros Libres de Hidalgo ofrecen, además de atención a mujeres víctimas de violencia, talleres, orientación sobre derechos y herramientas para fortalecer habilidades productivas y de emprendimiento.</t>
  </si>
  <si>
    <t>Centros LIBRE</t>
  </si>
  <si>
    <t>La Secretaría de Cultura de Hidalgo anunció a las 22 obras ganadoras del programa «Capturando Hidalgo 2026», que distribuirá 132 mil pesos en incentivos. El primer lugar, con 30 mil pesos, fue para La danza del espíritu y la resistencia de Tlanalapa. El segundo, que se lleva 25 mil pesos, fue para El viejo del golpe en Pie del Cerro en Tenango de Doria. Y el tercero, con 20 mil, para Entre hilos y milpa de Tulancingo. También se otorgaron 19 menciones honoríficas. Las imágenes retratan tradiciones y culturas vivas de Hidalgo, principalmente carnavales, danzas, oficios y labores agrícolas. La convocatoria recibió 153 fotografías de participantes de 25 municipios.</t>
  </si>
  <si>
    <t>Concurso de fotografía</t>
  </si>
  <si>
    <t>El DIF Hidalgo entregó equipamiento a comedores escolares y comunitarios de 26 municipios con una inversión de más de 2 millones 293 mil pesos. La acción beneficiará a 28 mil 90 personas en situación de vulnerabilidad. Cada kit incluye refrigerador, ollas, licuadora, tanque estacionario y una despensa para fortalecer la preparación de raciones calientes y nutritivas a bajo costo. El estado cuenta con 492 Espacios de Alimentación, Encuentro y Desarrollo (EAED) activo en 77 municipios.</t>
  </si>
  <si>
    <t>Comedores escolares</t>
  </si>
  <si>
    <t>Dos hombres fueron detenidos en el fraccionamiento Los Atlantes, en Atitalaquia, por agentes de la Procuraduría de Justicia de Hidalgo. Según la dependencia, estaban en posesión de hierba verde y una sustancia cristalina con características de droga.</t>
  </si>
  <si>
    <t>El secretario de Educación Pública de Hidalgo, Natividad Castrejón, entregó apoyos escolares para más de 25 mil estudiantes de educación básica durante una gira por San Felipe Orizatlán. Además, puso en marcha obras en planteles del municipio, entre ellas techados para canchas de usos múltiples, un andador y un muro de contención en el COBAEH de Aguatitla.</t>
  </si>
  <si>
    <t>Entrega de infraestructura escolar</t>
  </si>
  <si>
    <t>Vámonos a la región del Valle de Tulancingo, y es que la falta de lluvias suficientes afectó los cultivos de temporal en Tulancingo, principalmente el maíz, informó la Secretaría del Campo Municipal tras recorrer varios núcleos agrarios en zonas como La Lagunilla, Huapalcalco, Santa María Asunción y Ojo de Agua. La humedad no alcanzó para lograr los rendimientos esperados; aunque se estimaba éxito en el 80 por ciento de las más de 7 mil hectáreas sembradas, las condiciones redujeron las expectativas de cosecha. Parte del maíz se aprovechará como forraje para el ganado; sin embargo, no son muy buenas noticias para esta región. En cambio, reportaron mejores resultados en maíz híbrido de doble propósito, alfalfa y pradera mixta. Los productores comenzarán a retirar el forraje y esperan más lluvias para el próximo ciclo agrícola.</t>
  </si>
  <si>
    <t>En otros temas, el Senado aprobó casi por unanimidad la nueva Ley General de Bienestar, Cuidado y Protección de los Animales que prohíbe el maltrato y abandono, y establece obligaciones para garantizar condiciones adecuadas de vida. La norma contempla crear un registro nacional de animales de compañía y un padrón de personas infractoras; también regula su trato en espectáculos, zoológicos, actividades deportivas, comercio e investigación. Durante la discusión se incorporaron las cabalgatas entre las actividades que deberán regular las entidades. La senadora priista Carolina Viggiano advirtió que la aplicación podría enfrentar falta de recursos, incluida la esterilización gratuita. La minuta fue turnada a la Cámara de Diputados para su análisis.</t>
  </si>
  <si>
    <t>Protección Animal</t>
  </si>
  <si>
    <t>Nosotros... el sabor de Hidalgo llegará a California este 11 de octubre: se va a realizar en Santa Rosa la quinta edición del Festival Internacional de la Barbacoa y el Chimbó con concurso gastronómico, artesanías, danza y música tradicional. La Secretaría de Bienestar e Inclusión Social aportó 100 mil pesos para el encuentro que espera reunir a unas 11 mil personas y contará con nueve expositores de barbacoa. Organiza a través de esta organización que encabeza Nelly Damián, y es importante la participación porque parte de los datos que me da la misma dirección es que California es uno de los estados donde más hidalguenses radican al nivel exterior. «</t>
  </si>
  <si>
    <t>Y hablando de otra fiesta muy importante, o al menos en otra región del estado donde pues hay una expresión cultural de tradiciones, de costumbres en torno al Día de Muertos, pues es en la Huasteca. El Xantolo es una manifestación sin duda viva de nuestras raíces en los colores, en la música, en los sabores, en olores que se expresa una herencia cultural que sigue fortaleciéndose gracias al compromiso de cada una de las comunidades que la preservan, pero sobre todo que la transmiten de generación en generación. El Xantolo en la Huasteca hidalguense se llevará a cabo del 30 de octubre al 2 de noviembre.</t>
  </si>
  <si>
    <t>El Congreso del Estado de Hidalgo fijó del 12 al 22 de octubre las comparecencias del gabinete estatal, pero Orlando Ángeles Pérez, oficial mayor, no asistirá pese a que se había planteado que acudiera a explicar compras y licitaciones.</t>
  </si>
  <si>
    <t>En otra información, trabajadores del IMSS se manifestaron afuera de la Clínica 1 en Pachuca para denunciar presuntas violaciones a sus derechos laborales y falta de insumos. Personal médico, de enfermería, administrativo, jubilados y pensionados exigieron respeto al contrato colectivo y atención a sus demandas. «Como es bien sabido, desde la pandemia pues fuimos héroes, ¿no?, y ahorita ya nos hemos convertido... o sea, se ha normalizado el trabajo dentro de la precariedad que estamos viviendo en el sistema del Seguro Social. Nosotros lo que exigimos es un aumento salarial real y acorde a nuestras necesidades como trabajadores. Nuestro secretario... el aumento ponderado nos deja por debajo de la inflación, nuestro poder adquisitivo está perdiendo aproximadamente, o en mi categoría está perdiendo un punto porcentual aproximadamente de poder adquisitivo, y pues para nosotros es importante que tengamos esos aumentos reales porque muchas veces de nuestra bolsa sale algo de material, no siempre hay los materiales suficientes. Entonces sí es real que lo hemos llegado a solventar.»</t>
  </si>
  <si>
    <t>Protesta sindical</t>
  </si>
  <si>
    <t>Oiga usted, ¿ya se dio una vuelta por la comunidad de Doxey en estos días? Es hermoso cómo a la entrada de esta comunidad pues se ven los terrenos de cultivo con las flores tradicionales de Día de Muertos y que sin duda pues es un deleite, sobre todo también si usted quiere sacar una fotografía, no sé, conocer a los productores, a los campesinos que se dedican en esta temporada a la venta de flores, conocer sus historias y pues ya empaparse de toda esta fiesta, de esta tradición de nuestro país en honor a los fieles difuntos. Hay un tema allá en Doxey y es que, pues mire, lamentablemente continúa la controversia por la organización del Festival de las Flores de Doxey y Enaxhuapan, un festival que nació hace algunos años y que sin duda ha ido creciendo, ha tenido buena participación de la gente de la región de Tula y también de otros municipios, de otras regiones del estado de Hidalgo. Ahora, pobladores y ejidatarios señalan una presunta falta de transparencia y aseguran que la actividad no deja beneficio para el ejido ni para la comunidad, aunque se realiza cada año en tierras ejidales. Durante una reunión con la directora de Gobernación en la región de Tula, Lazuri Mota Licona, los integrantes del ejido reclamaron que desde hace cuatro años el comité organizador, ajeno al núcleo agrario, no ha presentado cuentas claras sobre los ingresos del festival; por ello solicitaron que la organización quede a cargo del ejido y no de particulares. «Como dijo el señor que comentó, estoy de acuerdo. La situación en la cual se están enfrascando los mismos ejidatarios, los mismos ciudadanos, y eso no debe ocurrir. Yo creo que lo más prudente es... yo quiero que se haga el festival, pero que no lo manejen ellos. Yo creo que la comisaría... y hay muchos ejidatarios de los cuales se han ofrecido para apoyar a la comisaría, y yo fui uno de ellos. Los señores a mí me fueron a ver que yo le... siempre y cuando los beneficios se queden...» A pesar de eso, seguramente usted va a poder ir a comprar sus flores ahí justamente a pie de terreno, con los productores directamente, sin ningún intermediario, y va a tener muy buenos precios, eso es seguro.</t>
  </si>
  <si>
    <t>Conflicto agrario</t>
  </si>
  <si>
    <t>En mi llamado de todo corazón que volteen a ver a todas estas personas que estamos olvidados, la palabra es la palabra correcta: olvidados.» Olvidados son las palabras, el sentir de miles de habitantes que se ubican sobre la Presa Endó, que tienen sus casas en inmediaciones de la Presa Endó, no necesariamente al ladito, hay comunidades que están un tanto retiradas a varios kilómetros de la presa y que viven afectaciones importantes. Mira, desde el olor, desde la afectación del lirio, la presencia del mosco que tienen que encerrarse en su casa desde las cuatro de la tarde para pues evitar ser molestados o picados por el mosco Culex, pero que sus animales, los que tienen animales, pues ellos no pueden hacer nada, y hay imágenes impactantes. Porque se lo digo, a dos años del decreto de restauración ecológica para la Presa Endó, delegados de comunidades ribereñas aseguran que continúan los problemas por la proliferación del mosco Culex y el lirio acuático; de hecho, los pobladores afirman que las acciones realizadas no han resuelto nada, no han resuelto la situación.</t>
  </si>
  <si>
    <t>Y hablando de este tema del Tren AIFA-Pachuca, Zapotlán vive una etapa clave de desarrollo con la llegada del Polo de Desarrollo Económico para el Bienestar, señaló el titular de la Unidad de Planeación y Prospectiva de Hidalgo, Miguel Ángel Tello Vargas, que tiene que ver mucho con este proyecto del Tren México-Pachuca / AIFA-Pachuca. El funcionario estatal destacó que la conectividad será fundamental: este Tren México-Pachuca tendrá una parada en PLATAH y se prevé ampliar la carretera México-Pachuca para conectarla con el Arco Norte.</t>
  </si>
  <si>
    <t>Polos del Bienestar</t>
  </si>
  <si>
    <t>7 de la mañana con cuatro minutos. Vamos a otro tema y es que el Gobierno Federal decretó la expropiación de 98 inmuebles privados en Hidalgo y el Estado de México para construir el Tren Interurbano AIFA-Pachuca y ordenó su ocupación inmediata.</t>
  </si>
  <si>
    <t>Tren AIFA</t>
  </si>
  <si>
    <t>Vaya declaraciones contundentes las que hizo el gobernador de Hidalgo, Julio Menchaca Salazar, quien señaló que la expansión del robo de hidrocarburos en la entidad, el huachicol, pudo avanzar durante años ante la apatía e incluso la posible complicidad de autoridades municipales, estatales y federales. Al referirse a las construcciones levantadas sobre ductos de Petróleos Mexicanos, el mandatario dijo que éstas se hicieron con el paso del tiempo sin que fueran impedidas.</t>
  </si>
  <si>
    <t>Robo de hidrocarburo</t>
  </si>
  <si>
    <t>Radioescucha reporta semáforo no funciona en CEUNI UAEH y Av. Universidad.</t>
  </si>
  <si>
    <t>Semaforización</t>
  </si>
  <si>
    <t>Radioescucha 4259, dice «Muy buenos días. Saludos. Con mi comentario sobre las colectiva la colectiva que atropelló a la señora en el centro: ¿cómo es posible que tan temprano ya anden causando afectaciones a las familias? Que ya los pongan en cintura, cómo manejan es el colmo. Por su atención, gracias. Bendiciones</t>
  </si>
  <si>
    <t>Radioescucha dice: Buen día, licenciado Larrieta, nuevamente para compartir la situación de la colonia Villa Aquiles Serdán, seguimos sin agua, ya son 5 semanas sin el servicio. Con mucho gusto lo pasamos de una vez. Atentamente, José Meneses.</t>
  </si>
  <si>
    <t>Abasto de agua</t>
  </si>
  <si>
    <t>Radioescucha 8253, Superman. ¿Qué pasó, Superman? ¿Cómo estás? Dice «Buenos días, licenciado. Solo para comentar y pedir al gobernador que apoye al chofer de taxi. No tenemos prestaciones de nada, ni seguro médico, ni finiquito si nos quitan el carro. El seguro de vida es de $100,000 pesos, es muy poco. Ojalá se pueda apoyar con un programa para el chofer de taxi. Saludos». Saludos</t>
  </si>
  <si>
    <t>Petición gobernador</t>
  </si>
  <si>
    <t>Radioescucha comenta : Licenciado, te mando una imagen para que sea como lo... la que tendría que poner el transporte en cada base de taxis, un letrero grandote donde se vean las tarifas.</t>
  </si>
  <si>
    <t>Vía telefónica diputada Orquídea Larragoiti Osorio: La legisladora destaca el compromiso de mantenerse cercana a la población de la Sierra y la Huasteca para llevar sus necesidades reales al Congreso del Estado y transformarlas en iniciativas tangibles. Asimismo, señala que al corte de su segundo informe ya sumaba 100 iniciativas presentadas y que inicia su tercer año de gestión reforzando su labor legislativa en beneficio de las y los hidalguenses.</t>
  </si>
  <si>
    <t>Con el propósito de acercar servicios veterinarios gratuitos a familias de Pachuca, el gobierno municipal que encabeza el presidente Jorge Reyes mantiene jornadas de esterilización y vacunación antirrábica, que llegaron a la comunidad de Santa Gertrudis.</t>
  </si>
  <si>
    <t>Campaña de esterilización</t>
  </si>
  <si>
    <t>Bajo la consigna «No te vayas a enfermar, no tenemos material», trabajadores y personal jubilado del Instituto Mexicano del Seguro Social en Hidalgo se manifestaron en calles del centro de Pachuca en demanda de mejores condiciones de trabajo, aumento salarial y un retiro justo. Además, denunciaron la falta de medicamentos e insumos en los hospitales y la escasez de personal, lo que ha generado repercusión en la atención a los derechohabientes, pues incluso el personal médico ha tenido que comprar material de su propio dinero. Así lo señaló Lucila, una de las trabajadoras afectadas, quien detalló que aunque hubo incremento salarial del 2.8%, no es suficiente.</t>
  </si>
  <si>
    <t>La Dirección Canina K9 de Mineral de la Reforma avanza en la preparación de una segunda camada de ejemplares que se integrarán a esta agrupación, bajo un modelo que combina formación especializada, servicio a la comunidad y protocolos enfocados en el bienestar animal.Con el respaldo del presidente municipal, Eduardo Medécigo Rubio, la corporación trabaja bajo el principio de respeto a la vida y trato digno de los animales. Los procesos de crianza, evaluación y entrenamiento se desarrollan conforme a protocolos de bienestar animal y a la legislación vigente en materia de protección.</t>
  </si>
  <si>
    <t>Unidad canina</t>
  </si>
  <si>
    <t>Entregaron los municipios las iniciativas de Leyes de Ingresos 2027 en el Congreso del Estado de Hidalgo.El Poder Legislativo albergó la entrega de iniciativas de leyes e ingresos municipales 2027, encuentro que tuvo como propósito visibilizar el trabajo coordinado e interinstitucional entre el Congreso del Estado de Hidalgo y los municipios. En este acto, los municipios realizaron de manera simbólica la entrega de sus iniciativas de Leyes de Ingresos para el Ejercicio Fiscal 2027, lo cual fortalece la colaboración institucional para el análisis, la discusión y, en su caso, la aprobación de las propuestas correspondientes. El diputado Andrés Velázquez Vázquez, presidente de la Junta de Gobierno del Congreso de Hidalgo, reconoció el esfuerzo de las y los ediles para presentar sus iniciativas presupuestales y reiteró el respaldo del Congreso y de la Auditoría Superior, aunque enfatizó que este acompañamiento debe ir acompañado de responsabilidad y transparencia. El legislador exhortó a las autoridades municipales a ejercer los recursos con austeridad, responsabilidad y apego a la normatividad, evitando gastos excesivos y procurando mantener sus cuentas en orden, especialmente quienes tengan aspiraciones politicas futuras.</t>
  </si>
  <si>
    <t>Presupuesto De Egresos</t>
  </si>
  <si>
    <t>El próximo 12 de octubre iniciarán las comparecencias en el Congreso del Estado de Hidalgo. Iniciará el Secretario de Gobierno, Guillermo Olivares Reyna. La Junta de Gobierno del Congreso del Estado de Hidalgo, encabezada por el diputado Andrés Velázquez Vázquez, aprobó el acuerdo que establece el calendario y procedimiento para las comparecencias relativas al Cuarto Informe sobre el estado que guardan los diversos ramos de la administración pública estatal. De acuerdo con el resolutivo, las comparecencias se desarrollarán en sesiones ordinarias ante el pleno del Congreso, en las que se abordará exclusivamente la participación de la persona servidora pública correspondiente, conforme a la normatividad aplicable y a las disposiciones establecidas en el acuerdo. Iniciarán el lunes 12 de octubre a las 10 horas con Guillermo Olivares Reyna, Secretario de Gobierno, y concluirán el jueves 22 de octubre con Miguel Ángel Tello Vargas, titular de la Unidad de Planeación y Prospectiva.</t>
  </si>
  <si>
    <t>Les comento que en Atitalaquia dos hombres fueron detenidos en posesión de drogas y un arma de fuego. Elementos de la Agencia de Investigación Criminal de la Procuraduría General de Justicia del Estado de Hidalgo, adscritos a la División de Investigación, detuvieron en Atitalaquia a dos hombres en posesión de hierba verde con características de marihuana y sustancia cristalina con apariencia de estupefaciente conocido como cristal. Los hechos ocurrieron en el fraccionamiento Los Atlantes, donde los agentes investigadores realizaban indagatorias derivadas de denuncias recibidas ante la Procuraduría.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</si>
  <si>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</si>
  <si>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</si>
  <si>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</si>
  <si>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</si>
  <si>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</si>
  <si>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</si>
  <si>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</si>
  <si>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La Dirección de Sanidad Municipal de Tulancingo mantiene activa su Campaña de Bienestar Animal durante octubre de 2026, ofreciendo jornadas móviles itinerantes orientadas al cuidado de perros y gatos.</t>
  </si>
  <si>
    <t>Bienestar Animal</t>
  </si>
  <si>
    <t>El DIF Municipal de Cuautepec de Hinojosa, a través del Centro PILARES, abrió la convocatoria para los Talleres Psicoeducativos y de Apoyo Académico, dirigidos a niñas, niños y adolescentes de 6 a 17 años. El programa contempla actividades sobre inteligencia emocional, cuidado en el entorno tecnológico, educación en sexualidad, medio ambiente, prevención de adicciones y acoso escolar, además de apoyo en tareas y talleres de lectoescritura. Las actividades se realizarán de lunes a viernes, de 14:00 a 16:00 horas: lunes, martes y miércoles para apoyo académico, y jueves y viernes para talleres psicoeducativos. Para inscribirse se requiere CURP actualizada del menor y copia de la identificación oficial vigente del padre, madre o tutor.</t>
  </si>
  <si>
    <t>Pilares</t>
  </si>
  <si>
    <t>Activación física</t>
  </si>
  <si>
    <t>El expresidente municipal de Omitlán, Jorge Martín B.C., fue vinculado a proceso por su presunta participación en la venta irregular de un terreno que formaba parte del patrimonio municipal y que, de acuerdo con la investigación del Ministerio Público, había sido donado al Ayuntamiento bajo condiciones que impedían su enajenación. La determinación fue emitida este miércoles por la jueza de Control Karina Vértiz Marín, durante la continuación de la audiencia inicial correspondiente a la causa penal 1179/2026, en los juzgados de oralidad de Pachuca. De acuerdo con lo expuesto durante la audiencia, el Ministerio Público presentó datos de prueba con los que busca acreditar la probable participación del exalcalde en hechos que podrían constituir el delito de peculado, relacionados con la operación mediante la cual el predio fue vendido durante la administración anterior por 21 millones de pesos. El inmueble, sin embargo, contaba con avalúos que establecían un valor superior. Según la información presentada por el actual Ayuntamiento, uno de los dictámenes lo valuó en aproximadamente 49 millones de pesos, mientras que otro estableció un valor de 64 millones de pesos. A este elemento se suma que el terreno había sido entregado al municipio mediante una donación realizada por el Gobierno del Estado de Hidalgo, con la condición de que conservara un destino recreativo para beneficio de la población. Por ello, uno de los puntos centrales de la investigación es determinar si el Ayuntamiento tenía facultades legales para venderlo. La actual presidenta municipal, Marta Belén Oliver González, ha sostenido que la operación no sólo representa una posible afectación económica por la diferencia entre el precio de venta y el valor del inmueble, sino también una posible transgresión a las condiciones bajo las cuales el terreno fue incorporado al patrimonio municipal.</t>
  </si>
  <si>
    <t>Vinculación exalcalde</t>
  </si>
  <si>
    <t>Inicia curso “Formación integral para las personas cuidadoras”</t>
  </si>
  <si>
    <t>Beneficia SEPH con apoyos e infraestructura a estudiantes de San Felipe Orizatlán</t>
  </si>
  <si>
    <t>El legado de Morelos vive en los ideales de libertad, justicia y soberanía</t>
  </si>
  <si>
    <t>Aniversario natalicio</t>
  </si>
  <si>
    <t>El gobernador del estado, Julio Menchaca Salazar, encabezó la ceremonia de entrega del Premio Estatal de la Juventud, destacando la importancia de reconocer, estimular y visibilizar el talento y la participación de las y los jóvenes hidalguenses. Durante su mensaje, el mandatario resaltó que el presupuesto público se destina de forma transparente a más de 100 programas sociales —los cuales se han incrementado en un 360% en su administración— para generar mejores condiciones de vida y bienestar en la entidad. Asimismo, subrayó la relevancia de la sinergia entre los poderes del estado y los municipios para apoyar el desarrollo de la juventud.</t>
  </si>
  <si>
    <t>Premio Estatal De La Juventud</t>
  </si>
  <si>
    <t>Podecobi Reserva Zapotlán representa inversión, empleo y nuevas oportunidades para Hidalgo</t>
  </si>
  <si>
    <t>El gobernador del estado, Julio Menchaca Salazar, encabezará la ceremonia de entrega del Premio Estatal de la Juventud 2026. El evento está programado para llevarse a cabo a las 10:45 de la mañana en la Sala del Pueblo, ubicada en la sede del gobierno estatal. Durante este acto se otorgarán los galardones y los incentivos económicos correspondientes a las y los jóvenes ganadores de esta convocatoria.</t>
  </si>
  <si>
    <t>Capturando Hidalgo 2026 premia, con 132 mil pesos, trabajo fotográfico de culturas vivas</t>
  </si>
  <si>
    <t>Centros LIBRE son un puente de acceso a programas públicos.</t>
  </si>
  <si>
    <t>El Congreso del Estado de Hidalgo aprobó el calendario y el procedimiento para las comparecencias correspondientes al cuarto informe de gobierno de la administración estatal. Estas sesiones se llevarán a cabo del 12 al 22 de octubre, divididas en horarios matutinos (10:00 horas) y vespertinos (16:00 horas), con la participación de las distintas secretarías y dependencias. Las comparecencias serán transmitidas en tiempo real por los medios digitales del Congreso y seguirán un formato estructurado que incluye una exposición inicial de hasta 30 minutos por parte de las personas servidoras públicas, rondas de preguntas por parte de las diputadas y los diputados con tiempos definidos para réplicas y respuestas, y un mensaje final de cierre.</t>
  </si>
  <si>
    <t>Un camión de pasajeros que transportaba trabajadores del Frente 4 de la obra del tren México-Querétaro cayó a un canal de aguas negras en la comunidad de San José Acoculco, a la altura de la escuela primaria de la localidad perteneciente al municipio de Atotonilco de Tula. El accidente se registró alrededor de las 7:00 horas de este jueves, cuando la unidad trasladaba a personal que labora en el tramo comprendido entre el ejido de Melchor Ocampo, en Tepeji del Río, y Tula de Allende. De acuerdo con los primeros reportes, no se registraron trabajadores lesionados; sin embargo, algunos de los pasajeros presentaron crisis nerviosa a consecuencia del percance. Testigos de la zona señalaron que, tras el accidente, se esperaba el arribo de elementos de Bomberos para iniciar las labores de rescate y atención de los ocupantes; no obstante, según las propias versiones, los rescatistas aún no llegan.</t>
  </si>
  <si>
    <t>Accidente en obra</t>
  </si>
  <si>
    <t>El Gobierno Municipal de Tulancingo de Bravo informó que recibió el escrito mediante el cual Miguel Ángel Romero Mejía presentó su renuncia voluntaria al cargo de titular del Órgano Interno de Control. De acuerdo con el comunicado, la renuncia obedece a motivos personales y tendrá efectos a partir del 6 de octubre de 2026. El documento será turnado a las instancias competentes para realizar el procedimiento correspondiente, conforme a las atribuciones del Ayuntamiento y del propio Órgano Interno de Control.</t>
  </si>
  <si>
    <t>Renuncia</t>
  </si>
  <si>
    <t>Gustavo Rosales detalló la celebración de la edición número 39 de la Carrera Panamericana 2026, considerada la competencia de automovilismo deportivo más importante de México. El recorrido nacional pasará por múltiples entidades como Chiapas, Veracruz, Ciudad de México, Puebla, Querétaro, Guanajuato, San Luis Potosí y Zacatecas. En el estado de Hidalgo, la ruta contemplará el paso de los vehículos de competencia por municipios como Huichapan, Alfajayucan, Ixmiquilpan, Tasquillo, Zimapán, Nopala, Tula, Tepeji del Río, Tolcayuca y Tepeapulco, durante la etapa programada para el 19 de octubre dentro del periodo del 16 al 22 de octubre de este año. En total, el evento visitará más de 170 municipios a lo largo de su ruta.</t>
  </si>
  <si>
    <t>Justa Deportiva</t>
  </si>
  <si>
    <t>En el reporte deportivo por parte de Gustavo Rosales, se dio a conocer el avance del medallero de los Juegos Paranacionales Conade 2025 con corte al 28 de septiembre. El estado de Hidalgo se encuentra ubicado en la posición número 22 de 30 participantes, acumulando un total de 12 preseas: 3 de oro, 5 de plata y 4 de bronce. Los primeros puestos de la competencia los ocupan Jalisco en el primer lugar (261 metales), Nuevo León en el segundo (180 metales) y Querétaro en el tercero (138 preseas). Se espera que la delegación hidalguense logre subir posiciones en los días restantes antes de que concluyan las hostilidades del evento. Negativas:</t>
  </si>
  <si>
    <t>Paranacionales Conade</t>
  </si>
  <si>
    <t>Andrés Torres y Aldo Falcón discuten sobre los registros de Morena y la posibilidad de confirmar detalles entre hoy y mañana, o el lunes a más tardar. Se mencionan ajustes que podrían hacerse si algún miembro del gabinete del gobernador Julio Menchaca se postula como aspirante a coordinador electoral distrital federal. Andrés señala que, aunque no se espera que estos ajustes sean inmediatos, es probable que ocurran en respuesta a los movimientos dentro del gabinete. Se mencionan nombres de secretarios que podrían estar involucrados, como Napoleón González, el secretario de Agricultura, y Miguel Tello, el titular de Planeación y Prospectiva.</t>
  </si>
  <si>
    <t>Un hombre de aproximadamente 30 años resultó lesionado por impacto de arma de fuego, luego de que presuntamente fuera sorprendido mientras intentaba cometer un robo en un domicilio. La situación se registró en el barrio Guadalupe, en la comunidad de San Pedro Tlachichilco, municipio de Acaxochitlán. Vecinos señalaron que el lesionado podría relacionado con otros hechos delictivos registrados en la región, lo cual quedó bajo investigación por parte de las autoridades. Por lo que el sujeto habría quedado en calidad de detenido mientras se realizan las investigaciones correspondientes. De acuerdo con testimonios y reportes preliminares, vecinos escucharon varias detonaciones y posteriormente se percataron de que el hombre se encontraba herido. Elementos de seguridad y servicios de emergencia acudieron al lugar para brindarle atención y posteriormente trasladarlo a una clínica para recibir atención médica.</t>
  </si>
  <si>
    <t>Personal y directivos de la Junta Federal 4 del Instituto Nacional Electoral (INE) con cabecera en Tulancingo, buscan reforzar la difusión del actual proceso electoral concurrente 2026-2027 entre la población, que inició durante el presente mes de septiembre. Blanca Estela Tolentino Soto, vocal del Distrito 4 federal del INE, señaló que se busca que sobre todo en las comunidades más alejadas dentro del Distrito Electoral Federal se ofrezca información sobre el proceso electoral, así como los trámites y servicios que ofrece el organismo electoral. Para ello, se cuenta con un módulo fijo ubicado en Avenida del Maestro número 202, en la colonia Los Pinos, además de módulos itinerantes que recorren distintos municipios y comunidades. Los módulos itinerantes atienden a municipios como Acatlán, Acaxochitlán, Santiago Tulantepec, Cuautepec y Tulancingo, mientras que otro cubre municipios de la Sierra, entre ellos Agua Blanca, Metepec, Tenango de Doria, Huehuetla y San Bartolo Tutotepec. Respecto a la seguridad durante la jornada electoral, la funcionaria explicó que el INE mantiene identificados algunos puntos que podrían representar riesgos, aunque aclaró que las condiciones pueden cambiar de un proceso a otro. “Recordemos que venimos de una elección extraordinaria de Cuautepec de Hinojosa, entonces este es el punto donde más tenemos especial atención, pero eso no significa que en la próxima elección vaya a ser lo mismo”. Hasta el momento, se tiene considerada la instalación de 571 casillas electorales en los diez municipios que conforman el Distrito Electoral Federal 4, con cabecera en Tulancingo. La funcionaria electoral aclaró que la cantidad final de casillas dependerá de los cortes del padrón electoral y la lista nominal, actualmente en actualización. Tolentino Soto señaló que a nivel estatal se contempla la instalación de aproximadamente 4 mil 410 casillas, pero del mismo modo, dicha cantidad dependerá de los cortes señalados tanto al padrón electoral y la lista nominal.</t>
  </si>
  <si>
    <t>Proceso electoral</t>
  </si>
  <si>
    <t>Con el objetivo de fortalecer la profesionalización, innovación y competitividad del sector turístico, se inició la capacitación “Inteligencia Artificial aplicada a Restaurantes”, la número 16 impulsada por el Gobierno de Tulancingo como parte de las acciones de formación dirigidas a prestadores de servicios turísticos. La capacitación tendrá una duración de 15 horas. La capacitación fue promovida por la Secretaría de Fomento Económico, ante la Secretaría de Turismo del Gobierno del Estado de Hidalgo, por lo que se ofrece de manera gratuita y contempla la entrega de constancia. Durante las sesiones se abordan herramientas y alternativas para incorporar la Inteligencia Artificial en la promoción, difusión y posicionamiento de los establecimientos, con el propósito de ampliar su alcance y generar nuevas oportunidades para el sector gastronómico. Esta actividad forma parte del Programa de Excelencia Turística, iniciado en 2025, mediante el cual se ha dado continuidad a la capacitación y profesionalización de quienes participan en esta actividad económica. Durante la actual administración también se han impartido cursos relacionados con primeros auxilios, atención al cliente, calidad en el servicio y marketing digital, entre otros temas orientados a mejorar la preparación de los prestadores de servicios turísticos y la experiencia de los visitantes. Para la recta final del año se contemplan dos capacitaciones adicionales. Una de ellas, programada para noviembre, estará relacionada con el desarrollo de productos turísticos accesibles, mientras que la segunda se encuentra en proceso de definición. El Gobierno de Tulancingo se acerca a los 100 establecimientos dedicados a la prestación de servicios gastronómicos, entre cocinas económicas, restaurantes, taquerías, pizzerías, cafeterías y otros negocios.</t>
  </si>
  <si>
    <t>Capacitación turística</t>
  </si>
  <si>
    <t>Proponen funcionamiento de Policía Metropolitana: operaría en entidades del centro del país La jefa de Gobierno de la Ciudad de México, Clara Brugada Molina, propuso la creación y operación de una Policía Metropolitana, que opere en la capital del país, así como en los estados de México, Tlaxcala, Querétaro, Puebla, Guerrero e Hidalgo. Julio Menchaca Salazar, Gobernador de la última entidad federal nombrada, dio a conocer la propuesta, presentada en el marco de la séptima Reunión Interestatal de Coordinación por la Paz y Seguridad, en la que participó junto con sus homólogos de las demarcaciones citadas. El mandatario estatal explicó que la propuesta busca fortalecer la coordinación en las zonas limítrofes, particularmente entre el Estado de México y la Ciudad de México, donde la división territorial en ocasiones dificulta la actuación. “Muchas veces, particularmente entre el Estado de México y la Ciudad de México, atraviesan una calle, una avenida y ya es otra jurisdicción”, señaló. La conformación de esta corporación incluiría a elementos de la Guardia Nacional y de las policías estatales. Menchaca Salazar aclaró que por el momento, se trata únicamente de una propuesta, por lo que será analizada durante la próxima reunión interestatal, programada para noviembre en el estado de Guerrero. Por lo que en este momento no hay fecha para el inicio de operaciones, debido a que primero deberán definirse las características del modelo de la eventual corporación de seguridad pública. En esa misma reunión, la jefa de Gobierno de la Ciudad de México, Clara Brugada Molina, respaldó la coordinación entre entidades para atender delitos que no se limitan a una frontera estatal. Por su parte, el gobernador Menchaca Salazar señaló que durante el actual periodo del Gobierno del Estado de Hidalgo, corporaciones de seguridad pública han localizado e inhabilitado 19 túneles clandestinos, usados para el robo de hidrocarburo. Agregó que en su periodo de gobierno se han asegurado más de 7 millones de litros de hidrocarburo, los cuales fueron recuperados y entregados a la Federación. “Eso es histórico. En toda la historia del estado, en estos más de 900 kilómetros y en 22 municipios que atraviesan los ductos, no se había hecho una acción similar. Esto es una lucha frontal contra el robo de combustible”. Agregó que de las 65 personas detenidas en Hidalgo por este ilícito, al menos 40 serían generadores de violencia y objetivos prioritarios del gobierno federal, además de que pertenecerían a redes criminales dedicadas a la extorsión. Acusó de apatía e incluso de posibles actos de complicidad a autoridades de los distintos niveles de gobierno en relación con la vigilancia de los ductos, al señalar que se han localizado túneles clandestinos debajo de espacios públicos y privados.</t>
  </si>
  <si>
    <t>La semana pasada, se divulgó en redes sociales un caso relacionado con Horacio Islas Díaz, un regidor del municipio de Santiago Tulantepec, quien defendió al director de Obras Públicas. Este funcionario está acusado de presunto abuso hacia un joven que prestaba servicio social en el municipio. Aunque no se menciona el nombre del funcionario, el tema ha ganado atención y ha sido reportado por medios nacionales como Azteca Noticias y es leonardo Herrera quien hace la narrativa de este hecho. Daniel MArtínes señala que el texto que comparte es de Azteca Noticias y redactado por Daniel Rivera Guzmán, quien informa que la situación ha sido investigada, y se alega que un regidor intentó persuadir a la madre del joven para que no presentara la denuncia. De acuerdo con el texto, los supuestos abusos ocurrieron en las oficinas de la Presidencia Municipal durante una reunión en la que también participó la alcaldesa morenista Yanet Fernández. La madre del joven sostiene que el caso necesita ser investigado y expresó su preocupación de que su hijo quedara vulnerable si no se toman las acciones necesarias. En reuniones posteriores, se mencionó que Islas Díaz intentó convencer a la madre de no llevar el caso a las autoridades, planteando que sus comentarios minimizaban la gravedad de la situación. En un audio del encuentro entre la madre y el regidor, Islas Díaz admitió que los hechos sobrepasaron límites, pero la madre mantuvo su solicitud de sanción para el funcionario. Ella expresó que no se puede permitir que alguien señalado por un caso grave permanezca en su puesto sin consecuencias. La alcaldesa Fernández, según el testimonio, argumentó que retirar al funcionario podría afectar trabajos y contratos del Ayuntamiento. Esto sugiere que para ella es más importante mantener a su colaborador que investigar el presunto abuso. Hasta ahora, tanto la alcaldesa como el regidor no han dado una respuesta pública sobre las acusaciones o el contenido del audio de la reunión. Mientras tanto, la Procuraduría General de Justicia del Estado de Hidalgo está llevando a cabo una investigación para aclarar los hechos y determinar responsabilidades. La situación ha sido considerada muy grave, no solo por las implicaciones legales, sino también por el impacto en la dignidad de la persona afectada. Desde que se conoció el caso, han pasado aproximadamente una semana y aún no ha habido ninguna reacción por parte del Gobierno Municipal de Santiago Tulantepec, lo que destaca la seriedad de la situación y la necesidad de abordar el asunto con urgencia.</t>
  </si>
  <si>
    <t>Abuso Sexual</t>
  </si>
  <si>
    <t>Como resultado de las acciones implementadas en materia de seguridad durante la última quincena, elementos de la Policía Municipal de Tulancingo recuperaron tres motocicletas con reporte de robo vigente y un vehículo con orden de aseguramiento. Los hechos se registraron en cuatro acciones distintas, como parte de los recorridos y labores de prevención y vigilancia realizados por los agentes municipales. Tras verificar el estatus de las unidades en las plataformas correspondientes, se confirmó que las tres motocicletas contaban con reporte de robo vigente, por lo que fueron aseguradas y quedaron a disposición de la Procuraduría General de Justicia del Estado de Hidalgo (PGJEH), autoridad encargada de realizar las investigaciones y diligencias correspondientes. En tanto, el vehículo fue asegurado debido a que contaba con una orden ministerial de aseguramiento, por lo que también quedó a disposición de la autoridad competente para continuar con el procedimiento legal correspondiente. La Secretaría de Seguridad Ciudadana de Tulancingo reiteró que estas acciones forman parte de las labores permanentes para prevenir y combatir el robo de vehículos y motocicletas en el municipio. En caso de que alguna persona reconozca como de su propiedad alguna de las motocicletas recuperadas, deberá acudir ante la Procuraduría General de Justicia del Estado de Hidalgo para acreditar la propiedad y realizar las diligencias necesarias para su posible recuperación. Las autoridades exhortaron a la ciudadanía a reportar cualquier situación relacionada con el robo de vehículos y motocicletas, así como a proporcionar información que pueda contribuir al desarrollo de las investigaciones correspondientes.</t>
  </si>
  <si>
    <t>Congreso de Hidalgo fija calendario para comparecencias del gabinete estatal escrita por Izza Hernández El Congreso de Hidalgo definió el calendario para la comparecencia de integrantes del gabinete estatal y titulares de organismos públicos, como parte del análisis del Cuarto Informe de Gobierno. Las sesiones se desarrollarán del 12 al 22 de octubre y permitirán a las diputadas y diputados cuestionar a los funcionarios sobre los resultados y situación de las áreas que encabezan. El acuerdo fue presentado ante el Pleno durante la sesión ordinaria de este miércoles, donde también se estableció la dinámica que deberán seguir las comparecencias. Cada funcionario tendrá hasta 30 minutos para exponer los principales resultados de su dependencia y posteriormente responderá a una ronda de preguntas de las y los legisladores. La primera jornada será el lunes 12 de octubre, con Guillermo Olivares Reyna, secretario de Gobierno, a las 10:00 horas, seguido por Neyda Naranjo Baltazar, secretaria de Cultura, a las 16:00 horas. El martes 13 corresponderá a María Esther Ramírez Vargas, titular de Hacienda, y Elizabeth Quintanar Gómez, secretaria de Turismo. Un día después acudirán Carlos Henkel Escorza, de Desarrollo Económico, y Álvaro Bardales Ramírez, de Contraloría. El jueves 15 será el turno de Salvador Cruz Neri, secretario de Seguridad Pública, y Napoleón González Pérez, de Agricultura y Desarrollo Rural. Para el viernes 16 están programadas las comparecencias de Vanesa Escalante Arroyo, de Salud, y Óscar Javier González Hernández, de Trabajo y Previsión Social. La segunda etapa comenzará el lunes 19 con Alejandro Sánchez García, de Infraestructura y Desarrollo Urbano Sostenible, y Mónica Patricia Mixtega Trejo, de Medio Ambiente y Recursos Naturales. El martes 20 comparecerá Natividad Castrejón Valdez, titular del Instituto Hidalguense de Educación. El miércoles 21 participarán Lyzbeth Robles Gutiérrez, de Movilidad y Transporte, y Ricardo Gómez Moreno, de Bienestar e Inclusión Social. El proceso concluirá el jueves 22 de octubre con Francisco Ángel Fernández Hasbun, encargado de la Procuraduría General de Justicia, a las 10:00 horas, y Miguel Ángel Tello Vargas, titular de la Unidad de Planeación y Prospectiva, a las 16:00 horas. De acuerdo con el formato aprobado, después de la exposición inicial habrá una ronda de preguntas de las diputadas y diputados, quienes dispondrán de hasta tres minutos para intervenir. Los funcionarios tendrán el mismo tiempo para responder, además de una réplica y una segunda respuesta con límites de tres minutos. Finalmente, cada compareciente contará con cinco minutos para un mensaje de cierre. Las sesiones serán transmitidas en tiempo real mediante las plataformas digitales del Congreso de Hidalgo. El calendario podrá ajustarse en caso de cambios de agenda, situaciones de fuerza mayor o circunstancias extraordinarias.</t>
  </si>
  <si>
    <t>Daniel Martínez: acerca del lanzamiento que ya hizo Morena de su... eh... de su este... convocatoria, le dicen para los... A ver, ahí le voy para que... para que sea el nombre casi exacto. Coordinadores distritales federales de Defensa de la Transformación y la Soberanía Nacional. Ya no más les faltó poner anexas y conexas, que no es otra cosa que el asunto de la convocatoria para quienes buscan ser candidatas y/o candidatos a diputaciones federales. Recordamos que son 300 en todo el país, siete específicamente en el estado de Hidalgo. Y se abrió la convocatoria justamente el día de hoy, entiendo que a la medianoche se abre un portal eh que se llama registro.morena.app, en donde hasta el próximo domingo, 4 de octubre, las interesadas e interesados, los que se sientan los chicos más populares de la colonia, podrán presentar su documentación, requisitos varios que está pidiendo Morena a nivel nacional para que sean considerados. Yo no sé si van a hacer una evaluación, si van a echar un volado, si van a aventar los papelitos a este al cielo y el que caiga en la mesa va a ser la coordinadora o coordinador distrital, este... porque, déjame ver... No, ya estoy viendo que en la convocatoria de que no están estableciendo cómo van a designar quiénes sean los... ¿Para qué le hacemos? Pues es que están buscando que sean candidatos a a diputados federales, ¿no? Ahí hay un asunto bien interesante, ¿eh? ¿Quiénes son los que van a registrarse buscando la reelección directa en el proceso electoral que que llevará a la elección del primer domingo de junio del próximo año? ¿Quiénes son? Ahora sí que, ¡por el morbo, ¿no?! ¿Quiénes...? Ahora sí, ya son etapas de... éticamente hablando, a lo mejor no no legalmente, ¿no?, todavía no son los tiempos legales, pero éticamente hablando, ahora sí son los tiempos de definición de quién va a renunciar a sus cargos o a pedir licencia, éticamente hablando, para buscar ser candidata o candidato a diputado o diputada federal. No me inventen, o sea... Le ponen un nombresote que es kilométrico: "Coordinadores distritales federales de Defensa de la Transformación y la Soberanía Nacional" para decir "Pues es que son... Vamos a determinar quiénes son los candidatos a diputados federales", en fin. Ahora sí que por acá le digo, no no están diciendo si van a echar un volado, si van a hacer guerras en el lodo, que va a haber muchísimas más adelantito y desde ya, si van a aventar papelitos y el que caiga o tómbola, porque la vida es una tómbola para Morena a veces, o cómo carambas le van a hacer para determinar quiénes van a ser sus... ¿Para qué le hacemos?, sus candidatos a este... a diputados federales. Le digo: 300 en todo el país, siete en el estado de Hidalgo, y habrá que ver quiénes de esos chicos que se sienten más populares en la en la cuadra este estarán buscando la la reelección y quiénes se van a hacer a un ladito, porque ahora sí que a sus órdenes lo que diga el partido y a sus órdenes lo que diga el sistema...</t>
  </si>
  <si>
    <t>Candidatas y candidatos a puestos de elección popular en el proceso electoral local 2026-2027 en el Estado de Hidalgo, así como partidos políticos, tendrán la obligación de presentar datos que permitan conocer sus perfiles profesionales. Lo anterior a partir de la aprobación por parte del Consejo General del Instituto Estatal Electoral de Hidalgo (IEEH) del sistema digital “Candidatas y Candidatos, Conóceles”. En el portal digital que será de carácter público, la ciudadanía podrá consultar directamente el historial académico, trayectoria profesional e identidad de cada persona que busque un cargo de elección popular en Hidalgo. Se reiteró que la presentación de los datos será obligatoria para todos los partidos políticos, coaliciones y candidaturas independientes; quienes omitan la información enfrentarán sanciones oficiales. En anteriores procesos electorales, el organismo autónomo estatal ha presentado plataformas semejantes, pero sin la participación del total de candidatas y candidatos. Se confía que a partir de las normativas que le hacen obligatoria la presentación de datos, se tenga respuesta por parte de los eventuales equipos de campaña para presentar la información. Además, para blindar el proceso democrático, el IEEH firmará un convenio con la Procuraduría General de Justicia del Estado y la Fiscalía Especializada en Delitos Electorales con tres objetivos centrales. Estos son la estrategia Cero coacción, para combatir la compra de votos y el uso indebido de programas sociales y Cultura de la denuncia, para capacitar a la ciudadanía para detectar e informar sobre conductas ilícitas. Así como los topes de gasto, para lo cual se integró la Comisión Temporal de Precampañas, presidida por el consejero Alfredo Alcalá Montaño, encargada de vigilar los recursos que utilicen los partidos en sus procesos internos. También se aprobó el plan de trabajo para el Programa de Resultados Electorales Preliminares, buscando que la difusión de los primeros conteos en la jornada electoral sea ágil, transparente y auditable. Podría interesarte...</t>
  </si>
  <si>
    <t>IEEH</t>
  </si>
  <si>
    <t>Plataforma candidatos</t>
  </si>
  <si>
    <t>El Consejo local en el Estado de Hidalgo del Instituto Nacional Electoral (INE), prevé la instalación de aproximadamente 4 mil 400 casillas para votar en la jornada electoral federal a realizarse el primer domingo del mes de junio del 2027. Lo anterior fue informado por la titular del INE en Hidalgo, Ma. del Refugio García López, durante la instalación formal del Consejo Local del Proceso Electoral Federal 2026-2027. En el total de casillas proyectadas, podrán ejercer su derecho y obligación al voto más de dos millones y medio de ciudadanos en Hidalgo, quienes podrán elegir a siete diputadas o diputados federales correspondientes a los distritos federales del estado. El corte para determinar el número definitivo de casillas para votar se realizará en abril de 2027, a partir de conocerse el total de electores en la lista nominal estatal. Durante la sesión, García López tomó protesta a las y los integrantes del Consejo Local, conformado por consejeros y representantes de los partidos políticos, con lo que el órgano electoral inició formalmente los trabajos para la próxima jornada. Ante el inicio de los trabajos electorales, la presidenta del organismo autónomo llamó a los integrantes del Consejo Local y a quienes participen en la contienda a contribuir a garantizar un sufragio universal, libre, secreto, directo, personal e intransferible. Exhortó a quienes aspiren a ocupar un cargo público a respetar las leyes y las reglas electorales para contribuir al desarrollo de la jornada y a la convivencia democrática. García López destacó que Hidalgo registró niveles de participación electoral por encima de la media nacional en las últimas jornadas, por lo que expresó su expectativa de que esa tendencia se mantenga o incluso aumente durante los comicios de 2027. Por otra parte, el INE Hidalgo continúa con el análisis de las condiciones para implementar la votación anticipada en los 13 Centros de Reinserción Social ubicados dentro del Estado de Hidalgo. La autoridad electoral todavía evalúa si las personas participantes emitirán su voto mediante boleta, urna electrónica o, incluso, a través de internet; la modalidad dependerá de las condiciones de cada espacio de este tipo. De acuerdo con García López, alrededor de 6 mil personas podrían participar mediante este esquema de votación anticipada.</t>
  </si>
  <si>
    <t>Elecciones</t>
  </si>
  <si>
    <t>Retiro de lirio en la Presa Endhó reduce 47% la proliferación de mosquitos Las acciones de saneamiento en la Presa Endhó, en la región de Tula, Hidalgo, han permitido retirar hasta ahora 140 mil metros cúbicos de lirio acuático, intervención que, de acuerdo con la Secretaría de Medio Ambiente y Recursos Naturales (Semarnat), contribuyó a disminuir en 47 por ciento la proliferación del mosquito Culex. Durante la conferencia matutina de la presidenta Claudia Sheinbaum, la titular de Semarnat, Alicia Bárcena, informó que para estas labores se han destinado 75 millones de pesos. La reducción en la presencia del mosquito representa un beneficio para más de 27 mil habitantes de las comunidades ubicadas en los alrededores de la presa. Además del impacto en materia de salud pública, el retiro de la planta acuática busca recuperar las condiciones ambientales del cuerpo de agua, ya que la presencia excesiva de lirio puede cubrir la superficie, afectar los ecosistemas y alterar las condiciones de la presa. Estas acciones forman parte del programa federal de saneamiento y restauración de la cuenca del río Tula, considerada una de las zonas prioritarias para la recuperación ambiental. El proyecto contempla también trabajos de limpieza del río, rehabilitación y construcción de plantas de tratamiento de aguas residuales, recuperación de márgenes y reforestación. La estrategia incluye un paquete de 93 proyectos en la cuenca, entre los que se encuentran la instalación de colectores marginales, obras de tratamiento de aguas residuales y la inspección de descargas contaminantes provenientes de actividades domésticas e industriales. Bárcena señaló que el saneamiento del río Tula es uno de los tres grandes proyectos ambientales que actualmente impulsa el Gobierno federal, junto con los correspondientes a los ríos Lerma y Atoyac, con el objetivo de mejorar las condiciones ambientales y del agua en las regiones donde se ubican.</t>
  </si>
  <si>
    <t>Control lirio acuático</t>
  </si>
  <si>
    <t>Nota hospital de ISSSTE Ixmiquilpan</t>
  </si>
  <si>
    <t>Vía telefónica el reporte de Bombero y Protección Civil con Abner Yáñez informa de las diversas emergencias reportadas por la ciudadanía y que fueron atendidas. Asimismo, señala que las fiestas patrias dejaron saldo blanco en el municipio.</t>
  </si>
  <si>
    <t>Trabajadores activos y jubilados del Instituto Mexicano del Seguro Social (IMSS) realizaron este miércoles una movilización por calles de Pachuca para exigir mejores condiciones laborales, un salario que consideren justo y mayores garantías para su retiro, además de denunciar carencias de insumos y personal en las unidades médicas. El contingente se concentró alrededor del mediodía en Plaza Juárez y poco antes de las 13:00 horas inició su recorrido hacia avenida Madero. Más de un centenar de empleados de distintas unidades del IMSS en Hidalgo participaron en la protesta, que posteriormente avanzó hacia instalaciones de la institución y concluyó en la sede de la Sección XXII del Sindicato Nacional de Trabajadores del Seguro Social (SNTSS). Entre las principales exigencias se encuentra el rechazo al incremento salarial de 2.9 por ciento acordado a nivel nacional, porcentaje que los trabajadores consideran insuficiente. También solicitaron mayor contratación de personal, abasto de medicamentos y materiales, así como condiciones que permitan garantizar una jubilación digna. Durante la marcha, los manifestantes señalaron que las deficiencias en insumos y recursos repercuten directamente en las labores del personal y en la atención que reciben los derechohabientes. También expresaron inconformidad con decisiones de la representación sindical y con modificaciones a los estatutos que, según los participantes, afectan sus derechos laborales y libertad de expresión. La protesta en Pachuca forma parte de una serie de movilizaciones que trabajadores activos y jubilados del IMSS han realizado en distintos puntos del país durante los últimos días, con demandas relacionadas con salarios, abasto de insumos, condiciones laborales y jubilaciones.</t>
  </si>
  <si>
    <t>Señalando motivos personales, Miguel Ángel Romero Mejía presentó su renuncia al cargo de titular del Órgano Interno de Control del Gobierno Municipal de Tulancingo. En un documento fechado el 30 de septiembre dirigido a la alcaldesa Lorena García Cázares, y con atención a Catalina Lemus Salinas en su calidad de Regidora Secretaria del Ayuntamiento, Romero Mejía da a conocer su decisión. A su vez, señala que la renuncia presentada tendrá efectos a partir del próximo 6 de octubre de este año. Miguel Ángel Romero Mejía rindió protesta al cargo ante la Asamblea Municipal en sesión del 17 de octubre del 2024, luego de participar en un proceso de selección, donde compitió por el cargo junto con otros seis aspirantes. La Ley Orgánica Municipal establece en el artículo 105 Quinquies que “El Ayuntamiento […] nombrará a la persona titular de Órgano Interno de Control por mayoría de votos…” “La persona designada solo podrá ser removida por mayoría de votos y por causas graves determinadas en la ley, debidamente justificadas.” Al ser dirigida la renuncia con atención a Catalina Lemus Salinas en su calidad de Regidora Secretaria del Ayuntamiento, se da por enterado al cuerpo edilicio del municipio de Tulancingo. Por lo que de acuerdo a las normativas legales vigentes, los integrantes de la Asamblea Municipal deberán analizar el documento de renuncia y las causas que se ofrecen para ello. Posteriormente, se establecerá una nueva elección de titular del Órgano Interno de Control de una terna que deberá presentarse para su respectivo análisis. De dicha terna se determinará a la persona que sustituya a Romero Mejía en el cargo, lo que deberá ocurrir por mayoría de votos del cuerpo edilicio del municipio de Tulancingo.</t>
  </si>
  <si>
    <t>Saderh</t>
  </si>
  <si>
    <t>En Pachuca se reporta un accidente entre un vehículo particular contra un taxi, esto en la calle de Ramírez Ulloa. No se reportan personas lesionadas. En Mineral de la Reforma, dentro del fraccionamiento Chavarría, un carro quedó dentro del canal. Se cayó prácticamente. Tampoco se reportan personas lesionadas,</t>
  </si>
  <si>
    <t>Accidente Vial</t>
  </si>
  <si>
    <t>El gobernador Julio Menchaca Salazar encabezará la entrega del Premio Estatal de la Juventud 2026. Esto se realizará en la Sala del Pueblo allá en el edificio de Gobierno a las 11:00 de la mañana.</t>
  </si>
  <si>
    <t>Hoy se cumple una semana desde que comenzaron los festejos de la Feria San Francisco Pachuca 2026, un evento que ha tenido buena aceptación entre la gente, tanto de la ciudad como de visitantes de otras partes. Aunque ha habido un festejo relacionado con la tauromaquia, la respuesta del público no ha sido tan favorable como se esperaba. Esto ha generado polémica, especialmente por el tema del maltrato animal. Inmediatamente, los taurinos de la región están organizándose para apoyar la continuidad de la tauromaquia. Hoy los defensores de la fiesta brava se presentarán en el Senado para esperar que se respete su derecho a realizar estas actividades. Por otro lado, los grupos que defienden a los animales continúan su lucha en contra de las corridas de toros, no solo en el contexto de la feria, sino de manera general en el estado de Hidalgo. No se han visto manifestaciones masivas como se esperaba, pero no se descartan que puedan ocurrir en las próximas semanas. La feria sigue adelante y hay eventos programados en la cartelera, lo que hace que todos estén atentos a cómo se desarrollan las actividades y a la situación en el Senado.</t>
  </si>
  <si>
    <t>Tauromaquia</t>
  </si>
  <si>
    <t>Vía telefónica Milton Cortés Milton Cortés informa sobre el inicio de la Feria Tradicional San Francisco de Pachuca, que comenzará esta tarde en el centro de la ciudad. La feria no tendrá cambios respecto a las ediciones anteriores y mantendrá su temática, centrada en el atrio del exconvento de San Francisco. La inauguración se llevará a cabo en la Plaza Aniceto Ortega. Las autoridades municipales han señalado que en esta feria se promoverá el talento local con presentaciones de artistas y grupos de música y danza folclórica, además de funciones de magia y conciertos en las noches. El presidente municipal, Jorge Alberto Reyes, menciona que la intención es mantener las tradiciones y el arraigo de la feria, a pesar de algunas quejas sobre la manera en que se organiza, como la eliminación de juegos mecánicos. Asegura que el objetivo sigue siendo el mismo y que la feria mantendrá su esencia en el centro de la ciudad. Milton destaca que el perímetro del Parque Hidalgo se mantendrá libre y que algunas avenidas, como la Avenida Hidalgo (sic) y Avenida Madero, tendrán circulación parcial. Asegura que se priorizará la movilidad en el primer cuadro de la ciudad durante la feria. Quienes deseen asistir desde esta tarde hasta el domingo podrán hacerlo con la seguridad de que la circulación será fluida. Habrá personal de la Secretaría de Seguridad Pública y Tránsito para supervisar el área. Andrés Torres resalta la necesidad de una buena planificación de la estrategia de tráfico para evitar contratiempos adicionales por el cierre de calles debido a la feria, especialmente con las lluvias.</t>
  </si>
  <si>
    <t>Feria Patronal</t>
  </si>
  <si>
    <t>El día de ayer en la zona centro, ahí en la calle de Julián Villagrán, muy cerca del mercado Benito Juárez, donde una combi brincó prácticamente la banqueta e impactó a una mujer dejándola lesionada. Esta Urvan de la ruta Amarrillas, su conductor fue puesto a disposición de las autoridades para los trámites correspondientes, pero sí llamó muchísimo la atención. Esta banqueta pues prácticamente es muy alta, venía distraído, no sabemos los factores: el exceso de velocidad, la distracción o venir completamente en el teléfono, e impactó a esta persona dejándola lesionada.</t>
  </si>
  <si>
    <t>Accidente transporte público</t>
  </si>
  <si>
    <t>A partir de hoy las calles aledañas a la iglesia de San Francisco de Pachua se encuentran cerradas, con motivo de la celebración de la Feria patronal de San Francisco.</t>
  </si>
  <si>
    <t>Andrés Torres da lectura a un mensaje que le envían desde San Agustín Tlaxiaca, donde denuncian el acoso y los cobros arbitrarios a arrendadores de vivienda estudiantil. Este problema surge poco antes de que termine la administración del alcalde Mario David Medina Hernández. Los vecinos y propietarios de estas viviendas señalan que están llevando a cabo operativos encubiertos para recaudar dinero y amenazan con multas a través de la Dirección de Reglamentos. Los afectados opinan que se está llevando a cabo una campaña actual de acoso administrativo por parte del gobierno municipal. Se menciona un documento firmado por Aldair Hinojosa Olvera, director de Reglamentos y Espectáculos, que se basa en artículos de la Constitución. Este documento informa sobre visitas a establecimientos y la necesidad de actualizar la normativa que regula la vida institucional del municipio. Se notifica a los arrendadores que deben presentarse en las oficinas del Ayuntamiento en un plazo de 24 horas desde la recepción de la notificación. Se menciona que su presencia es necesaria para tramitar la apertura y la obtención de la licencia de funcionamiento de su establecimiento, en este caso, el alquiler de habitaciones. En caso de no acudir, se les advierte que su establecimiento podría ser clausurado. Este mensaje implica que para aquellos que ofrecen servicios de alquiler de habitaciones a estudiantes, es necesario cumplir con las obligaciones fiscales correspondientes. Se reconoce que si están ofreciendo un servicio, deben pagar impuestos según la ley.</t>
  </si>
  <si>
    <t>Licencia de Funcionamiento</t>
  </si>
  <si>
    <t>Nos escribe la terminación 0903, dice: "Muy buenos días. Un reporte aquí en el puente que está en Portezuelo, está en muy malas condiciones y debajo del puente muchos baches, parece campo de golf. Saludos desde Tasquillo".</t>
  </si>
  <si>
    <t>Andrés Torres informa que Morena sacó ya la convocatoria para registrarse como coordinadores electorales federales de Morena. Este registro estará abierto del 1 al 4 de octubre. Las elecciones se llevarán a cabo en el 2027, donde se renovará el Congreso Federal compuesto por 500 diputados: 300 elegidos por mayoría y 200 por representación proporcional. El registro de los coordinadores, aunque se les llama así para cumplir con la ley electoral, de facto se considera que son candidatos. Resalta que la función de estos coordinadores es fortalecer la organización territorial del partido y ayudar a alcanzar los objetivos establecidos. Se ha especulado mucho sobre quiénes podrían ser estos coordinadores en los diferentes distritos. A lo largo de los días, diversos medios han publicado listas de posibles candidatos y se espera con interés quiénes se registrarán. En este sentido, señal a que hay el rumor de que Alfredo San Román Duval, actual presidente municipal de Huejutla, será coordinador en el distrito 1. En el distrito 7, se habla de que Susana Ángeles, expresidenta municipal de Tizayuca, también podría tener una posición asegurada. Adicionalmente, en el distrito 6 de Pachuca, se considera probable que Rebeca Aladro sea la coordinadora electoral. Después del 4 de octubre, se anticipa otra convocatoria para los coordinadores municipales. Se espera que tras esta convocatoria, algunos que no logren ser seleccionados como coordinadores distritales puedan cambiarse a otras fuerzas políticas, como por ejemplo al PT.</t>
  </si>
  <si>
    <t>El presidente municipal de Huejutla, Alfredo San Román Duval, viajó a Pachuca para presentar el programa de actividades del Xantolo en el Centro Cultural del Ferrocarril. La conferencia de prensa fue muy concurrida, pero no se vio ninguna nota sobre el evento. Sin embargo, se informó que todo estaba listo para los festejos del Xantolo que se celebrarán a fin de mes en Huejutla.</t>
  </si>
  <si>
    <t>El Sistema Estatal de Protección civil la Subsecretaria de Protección Civil del Gobierno del Estado y da lo dependiente de la Secretaría de Gobierno se mantiene en alerta ante esta situación climática ante el pronóstico de lluvias intensas para la mayor parte del estado.</t>
  </si>
  <si>
    <t>Prevención De Riesgos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</si>
</sst>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0" tableType="queryTable" totalsRowShown="0">
  <autoFilter ref="A1:M17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0"/>
  <sheetViews>
    <sheetView tabSelected="1" topLeftCell="A135" workbookViewId="0">
      <selection activeCell="A170" sqref="A170"/>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85546875" bestFit="1" customWidth="1"/>
    <col min="8" max="8" width="12.42578125"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20</v>
      </c>
      <c r="C1" t="s">
        <v>21</v>
      </c>
      <c r="D1" t="s">
        <v>22</v>
      </c>
      <c r="E1" t="s">
        <v>1</v>
      </c>
      <c r="F1" t="s">
        <v>2</v>
      </c>
      <c r="G1" t="s">
        <v>4</v>
      </c>
      <c r="H1" t="s">
        <v>3</v>
      </c>
      <c r="I1" t="s">
        <v>5</v>
      </c>
      <c r="J1" t="s">
        <v>23</v>
      </c>
      <c r="K1" t="s">
        <v>24</v>
      </c>
      <c r="L1" t="s">
        <v>25</v>
      </c>
      <c r="M1" t="s">
        <v>32</v>
      </c>
    </row>
    <row r="2" spans="1:13" x14ac:dyDescent="0.25">
      <c r="A2" s="2">
        <v>46295</v>
      </c>
      <c r="B2" s="1" t="str">
        <f ca="1">IF(Información1[[#This Row],[Fecha]]='Ajuste de fechas'!$A$2,"Día actual","Día anterior")</f>
        <v>Día anterior</v>
      </c>
      <c r="C2" s="3" t="s">
        <v>40</v>
      </c>
      <c r="D2" t="s">
        <v>48</v>
      </c>
      <c r="E2" s="3" t="s">
        <v>92</v>
      </c>
      <c r="F2" s="3" t="s">
        <v>19</v>
      </c>
      <c r="G2" s="3" t="s">
        <v>93</v>
      </c>
      <c r="H2" s="3" t="s">
        <v>39</v>
      </c>
      <c r="I2" s="3" t="s">
        <v>7</v>
      </c>
      <c r="J2" s="3" t="s">
        <v>26</v>
      </c>
      <c r="K2" s="3" t="s">
        <v>42</v>
      </c>
      <c r="L2" s="3" t="s">
        <v>27</v>
      </c>
      <c r="M2">
        <v>1</v>
      </c>
    </row>
    <row r="3" spans="1:13" x14ac:dyDescent="0.25">
      <c r="A3" s="2">
        <v>46295</v>
      </c>
      <c r="B3" s="1" t="str">
        <f ca="1">IF(Información1[[#This Row],[Fecha]]='Ajuste de fechas'!$A$2,"Día actual","Día anterior")</f>
        <v>Día anterior</v>
      </c>
      <c r="C3" s="3" t="s">
        <v>40</v>
      </c>
      <c r="D3" t="s">
        <v>48</v>
      </c>
      <c r="E3" s="3" t="s">
        <v>94</v>
      </c>
      <c r="F3" s="3" t="s">
        <v>19</v>
      </c>
      <c r="G3" s="3" t="s">
        <v>95</v>
      </c>
      <c r="H3" s="3" t="s">
        <v>39</v>
      </c>
      <c r="I3" s="3" t="s">
        <v>7</v>
      </c>
      <c r="J3" s="3" t="s">
        <v>26</v>
      </c>
      <c r="K3" s="3" t="s">
        <v>42</v>
      </c>
      <c r="L3" s="3" t="s">
        <v>27</v>
      </c>
      <c r="M3">
        <v>1</v>
      </c>
    </row>
    <row r="4" spans="1:13" x14ac:dyDescent="0.25">
      <c r="A4" s="2">
        <v>46295</v>
      </c>
      <c r="B4" s="1" t="str">
        <f ca="1">IF(Información1[[#This Row],[Fecha]]='Ajuste de fechas'!$A$2,"Día actual","Día anterior")</f>
        <v>Día anterior</v>
      </c>
      <c r="C4" s="3" t="s">
        <v>40</v>
      </c>
      <c r="D4" t="s">
        <v>48</v>
      </c>
      <c r="E4" s="3" t="s">
        <v>96</v>
      </c>
      <c r="F4" s="3" t="s">
        <v>19</v>
      </c>
      <c r="G4" s="3" t="s">
        <v>54</v>
      </c>
      <c r="H4" s="3" t="s">
        <v>39</v>
      </c>
      <c r="I4" s="3" t="s">
        <v>7</v>
      </c>
      <c r="J4" s="3" t="s">
        <v>26</v>
      </c>
      <c r="K4" s="3" t="s">
        <v>42</v>
      </c>
      <c r="L4" s="3" t="s">
        <v>27</v>
      </c>
      <c r="M4">
        <v>1</v>
      </c>
    </row>
    <row r="5" spans="1:13" x14ac:dyDescent="0.25">
      <c r="A5" s="2">
        <v>46295</v>
      </c>
      <c r="B5" s="1" t="str">
        <f ca="1">IF(Información1[[#This Row],[Fecha]]='Ajuste de fechas'!$A$2,"Día actual","Día anterior")</f>
        <v>Día anterior</v>
      </c>
      <c r="C5" s="3" t="s">
        <v>40</v>
      </c>
      <c r="D5" t="s">
        <v>48</v>
      </c>
      <c r="E5" s="3" t="s">
        <v>97</v>
      </c>
      <c r="F5" s="3" t="s">
        <v>13</v>
      </c>
      <c r="G5" s="3" t="s">
        <v>98</v>
      </c>
      <c r="H5" s="3" t="s">
        <v>39</v>
      </c>
      <c r="I5" s="3" t="s">
        <v>7</v>
      </c>
      <c r="J5" s="3" t="s">
        <v>30</v>
      </c>
      <c r="K5" s="3" t="s">
        <v>42</v>
      </c>
      <c r="L5" s="3" t="s">
        <v>27</v>
      </c>
      <c r="M5">
        <v>1</v>
      </c>
    </row>
    <row r="6" spans="1:13" x14ac:dyDescent="0.25">
      <c r="A6" s="2">
        <v>46295</v>
      </c>
      <c r="B6" s="1" t="str">
        <f ca="1">IF(Información1[[#This Row],[Fecha]]='Ajuste de fechas'!$A$2,"Día actual","Día anterior")</f>
        <v>Día anterior</v>
      </c>
      <c r="C6" s="3" t="s">
        <v>40</v>
      </c>
      <c r="D6" t="s">
        <v>48</v>
      </c>
      <c r="E6" s="3" t="s">
        <v>99</v>
      </c>
      <c r="F6" s="3" t="s">
        <v>13</v>
      </c>
      <c r="G6" s="3" t="s">
        <v>100</v>
      </c>
      <c r="H6" s="3" t="s">
        <v>39</v>
      </c>
      <c r="I6" s="3" t="s">
        <v>7</v>
      </c>
      <c r="J6" s="3" t="s">
        <v>30</v>
      </c>
      <c r="K6" s="3" t="s">
        <v>42</v>
      </c>
      <c r="L6" s="3" t="s">
        <v>27</v>
      </c>
      <c r="M6">
        <v>1</v>
      </c>
    </row>
    <row r="7" spans="1:13" x14ac:dyDescent="0.25">
      <c r="A7" s="2">
        <v>46295</v>
      </c>
      <c r="B7" s="1" t="str">
        <f ca="1">IF(Información1[[#This Row],[Fecha]]='Ajuste de fechas'!$A$2,"Día actual","Día anterior")</f>
        <v>Día anterior</v>
      </c>
      <c r="C7" s="3" t="s">
        <v>40</v>
      </c>
      <c r="D7" t="s">
        <v>48</v>
      </c>
      <c r="E7" s="3" t="s">
        <v>101</v>
      </c>
      <c r="F7" s="3" t="s">
        <v>13</v>
      </c>
      <c r="G7" s="3"/>
      <c r="H7" s="3" t="s">
        <v>39</v>
      </c>
      <c r="I7" s="3" t="s">
        <v>7</v>
      </c>
      <c r="J7" s="3" t="s">
        <v>30</v>
      </c>
      <c r="K7" s="3" t="s">
        <v>42</v>
      </c>
      <c r="L7" s="3" t="s">
        <v>27</v>
      </c>
      <c r="M7">
        <v>1</v>
      </c>
    </row>
    <row r="8" spans="1:13" x14ac:dyDescent="0.25">
      <c r="A8" s="2">
        <v>46295</v>
      </c>
      <c r="B8" s="1" t="str">
        <f ca="1">IF(Información1[[#This Row],[Fecha]]='Ajuste de fechas'!$A$2,"Día actual","Día anterior")</f>
        <v>Día anterior</v>
      </c>
      <c r="C8" s="3" t="s">
        <v>40</v>
      </c>
      <c r="D8" t="s">
        <v>48</v>
      </c>
      <c r="E8" s="3" t="s">
        <v>102</v>
      </c>
      <c r="F8" s="3" t="s">
        <v>16</v>
      </c>
      <c r="G8" s="3" t="s">
        <v>103</v>
      </c>
      <c r="H8" s="3" t="s">
        <v>39</v>
      </c>
      <c r="I8" s="3" t="s">
        <v>7</v>
      </c>
      <c r="J8" s="3" t="s">
        <v>26</v>
      </c>
      <c r="K8" s="3" t="s">
        <v>42</v>
      </c>
      <c r="L8" s="3" t="s">
        <v>29</v>
      </c>
      <c r="M8">
        <v>1</v>
      </c>
    </row>
    <row r="9" spans="1:13" x14ac:dyDescent="0.25">
      <c r="A9" s="2">
        <v>46295</v>
      </c>
      <c r="B9" s="1" t="str">
        <f ca="1">IF(Información1[[#This Row],[Fecha]]='Ajuste de fechas'!$A$2,"Día actual","Día anterior")</f>
        <v>Día anterior</v>
      </c>
      <c r="C9" s="3" t="s">
        <v>40</v>
      </c>
      <c r="D9" t="s">
        <v>48</v>
      </c>
      <c r="E9" s="3" t="s">
        <v>104</v>
      </c>
      <c r="F9" s="3" t="s">
        <v>12</v>
      </c>
      <c r="G9" s="3" t="s">
        <v>105</v>
      </c>
      <c r="H9" s="3" t="s">
        <v>39</v>
      </c>
      <c r="I9" s="3" t="s">
        <v>7</v>
      </c>
      <c r="J9" s="3" t="s">
        <v>26</v>
      </c>
      <c r="K9" s="3" t="s">
        <v>42</v>
      </c>
      <c r="L9" s="3" t="s">
        <v>27</v>
      </c>
      <c r="M9">
        <v>1</v>
      </c>
    </row>
    <row r="10" spans="1:13" x14ac:dyDescent="0.25">
      <c r="A10" s="2">
        <v>46295</v>
      </c>
      <c r="B10" s="1" t="str">
        <f ca="1">IF(Información1[[#This Row],[Fecha]]='Ajuste de fechas'!$A$2,"Día actual","Día anterior")</f>
        <v>Día anterior</v>
      </c>
      <c r="C10" s="3" t="s">
        <v>40</v>
      </c>
      <c r="D10" t="s">
        <v>48</v>
      </c>
      <c r="E10" s="3" t="s">
        <v>106</v>
      </c>
      <c r="F10" s="3" t="s">
        <v>13</v>
      </c>
      <c r="G10" s="3" t="s">
        <v>107</v>
      </c>
      <c r="H10" s="3" t="s">
        <v>39</v>
      </c>
      <c r="I10" s="3" t="s">
        <v>7</v>
      </c>
      <c r="J10" s="3" t="s">
        <v>30</v>
      </c>
      <c r="K10" s="3" t="s">
        <v>42</v>
      </c>
      <c r="L10" s="3" t="s">
        <v>27</v>
      </c>
      <c r="M10">
        <v>1</v>
      </c>
    </row>
    <row r="11" spans="1:13" x14ac:dyDescent="0.25">
      <c r="A11" s="2">
        <v>46295</v>
      </c>
      <c r="B11" s="1" t="str">
        <f ca="1">IF(Información1[[#This Row],[Fecha]]='Ajuste de fechas'!$A$2,"Día actual","Día anterior")</f>
        <v>Día anterior</v>
      </c>
      <c r="C11" s="3" t="s">
        <v>57</v>
      </c>
      <c r="D11" t="s">
        <v>58</v>
      </c>
      <c r="E11" s="3" t="s">
        <v>108</v>
      </c>
      <c r="F11" s="3" t="s">
        <v>37</v>
      </c>
      <c r="G11" s="3" t="s">
        <v>62</v>
      </c>
      <c r="H11" s="3" t="s">
        <v>39</v>
      </c>
      <c r="I11" s="3" t="s">
        <v>7</v>
      </c>
      <c r="J11" s="3" t="s">
        <v>26</v>
      </c>
      <c r="K11" s="3" t="s">
        <v>60</v>
      </c>
      <c r="L11" s="3" t="s">
        <v>29</v>
      </c>
      <c r="M11">
        <v>1</v>
      </c>
    </row>
    <row r="12" spans="1:13" x14ac:dyDescent="0.25">
      <c r="A12" s="2">
        <v>46295</v>
      </c>
      <c r="B12" s="1" t="str">
        <f ca="1">IF(Información1[[#This Row],[Fecha]]='Ajuste de fechas'!$A$2,"Día actual","Día anterior")</f>
        <v>Día anterior</v>
      </c>
      <c r="C12" s="3" t="s">
        <v>57</v>
      </c>
      <c r="D12" t="s">
        <v>58</v>
      </c>
      <c r="E12" s="3" t="s">
        <v>109</v>
      </c>
      <c r="F12" s="3" t="s">
        <v>19</v>
      </c>
      <c r="G12" s="3" t="s">
        <v>110</v>
      </c>
      <c r="H12" s="3" t="s">
        <v>39</v>
      </c>
      <c r="I12" s="3" t="s">
        <v>7</v>
      </c>
      <c r="J12" s="3" t="s">
        <v>26</v>
      </c>
      <c r="K12" s="3" t="s">
        <v>60</v>
      </c>
      <c r="L12" s="3" t="s">
        <v>29</v>
      </c>
      <c r="M12">
        <v>1</v>
      </c>
    </row>
    <row r="13" spans="1:13" x14ac:dyDescent="0.25">
      <c r="A13" s="2">
        <v>46295</v>
      </c>
      <c r="B13" s="1" t="str">
        <f ca="1">IF(Información1[[#This Row],[Fecha]]='Ajuste de fechas'!$A$2,"Día actual","Día anterior")</f>
        <v>Día anterior</v>
      </c>
      <c r="C13" s="3" t="s">
        <v>57</v>
      </c>
      <c r="D13" t="s">
        <v>58</v>
      </c>
      <c r="E13" s="3" t="s">
        <v>111</v>
      </c>
      <c r="F13" s="3" t="s">
        <v>89</v>
      </c>
      <c r="G13" s="3" t="s">
        <v>112</v>
      </c>
      <c r="H13" s="3" t="s">
        <v>39</v>
      </c>
      <c r="I13" s="3" t="s">
        <v>10</v>
      </c>
      <c r="J13" s="3" t="s">
        <v>26</v>
      </c>
      <c r="K13" s="3" t="s">
        <v>60</v>
      </c>
      <c r="L13" s="3" t="s">
        <v>29</v>
      </c>
      <c r="M13">
        <v>1</v>
      </c>
    </row>
    <row r="14" spans="1:13" x14ac:dyDescent="0.25">
      <c r="A14" s="2">
        <v>46295</v>
      </c>
      <c r="B14" s="1" t="str">
        <f ca="1">IF(Información1[[#This Row],[Fecha]]='Ajuste de fechas'!$A$2,"Día actual","Día anterior")</f>
        <v>Día anterior</v>
      </c>
      <c r="C14" s="3" t="s">
        <v>40</v>
      </c>
      <c r="D14" t="s">
        <v>41</v>
      </c>
      <c r="E14" s="3" t="s">
        <v>113</v>
      </c>
      <c r="F14" s="3" t="s">
        <v>15</v>
      </c>
      <c r="G14" s="3" t="s">
        <v>91</v>
      </c>
      <c r="H14" s="3" t="s">
        <v>39</v>
      </c>
      <c r="I14" s="3" t="s">
        <v>7</v>
      </c>
      <c r="J14" s="3" t="s">
        <v>31</v>
      </c>
      <c r="K14" s="3" t="s">
        <v>42</v>
      </c>
      <c r="L14" s="3" t="s">
        <v>27</v>
      </c>
      <c r="M14">
        <v>1</v>
      </c>
    </row>
    <row r="15" spans="1:13" x14ac:dyDescent="0.25">
      <c r="A15" s="2">
        <v>46295</v>
      </c>
      <c r="B15" s="1" t="str">
        <f ca="1">IF(Información1[[#This Row],[Fecha]]='Ajuste de fechas'!$A$2,"Día actual","Día anterior")</f>
        <v>Día anterior</v>
      </c>
      <c r="C15" s="3" t="s">
        <v>40</v>
      </c>
      <c r="D15" t="s">
        <v>41</v>
      </c>
      <c r="E15" s="3" t="s">
        <v>114</v>
      </c>
      <c r="F15" s="3" t="s">
        <v>51</v>
      </c>
      <c r="G15" s="3" t="s">
        <v>115</v>
      </c>
      <c r="H15" s="3" t="s">
        <v>39</v>
      </c>
      <c r="I15" s="3" t="s">
        <v>7</v>
      </c>
      <c r="J15" s="3" t="s">
        <v>26</v>
      </c>
      <c r="K15" s="3" t="s">
        <v>43</v>
      </c>
      <c r="L15" s="3" t="s">
        <v>29</v>
      </c>
      <c r="M15">
        <v>1</v>
      </c>
    </row>
    <row r="16" spans="1:13" x14ac:dyDescent="0.25">
      <c r="A16" s="2">
        <v>46295</v>
      </c>
      <c r="B16" s="1" t="str">
        <f ca="1">IF(Información1[[#This Row],[Fecha]]='Ajuste de fechas'!$A$2,"Día actual","Día anterior")</f>
        <v>Día anterior</v>
      </c>
      <c r="C16" s="3" t="s">
        <v>40</v>
      </c>
      <c r="D16" t="s">
        <v>41</v>
      </c>
      <c r="E16" s="3" t="s">
        <v>116</v>
      </c>
      <c r="F16" s="3" t="s">
        <v>59</v>
      </c>
      <c r="G16" s="3" t="s">
        <v>117</v>
      </c>
      <c r="H16" s="3" t="s">
        <v>39</v>
      </c>
      <c r="I16" s="3" t="s">
        <v>7</v>
      </c>
      <c r="J16" s="3" t="s">
        <v>26</v>
      </c>
      <c r="K16" s="3" t="s">
        <v>43</v>
      </c>
      <c r="L16" s="3" t="s">
        <v>29</v>
      </c>
      <c r="M16">
        <v>1</v>
      </c>
    </row>
    <row r="17" spans="1:13" x14ac:dyDescent="0.25">
      <c r="A17" s="2">
        <v>46295</v>
      </c>
      <c r="B17" s="1" t="str">
        <f ca="1">IF(Información1[[#This Row],[Fecha]]='Ajuste de fechas'!$A$2,"Día actual","Día anterior")</f>
        <v>Día anterior</v>
      </c>
      <c r="C17" s="3" t="s">
        <v>40</v>
      </c>
      <c r="D17" t="s">
        <v>41</v>
      </c>
      <c r="E17" s="3" t="s">
        <v>111</v>
      </c>
      <c r="F17" s="3" t="s">
        <v>89</v>
      </c>
      <c r="G17" s="3" t="s">
        <v>112</v>
      </c>
      <c r="H17" s="3" t="s">
        <v>39</v>
      </c>
      <c r="I17" s="3" t="s">
        <v>18</v>
      </c>
      <c r="J17" s="3" t="s">
        <v>26</v>
      </c>
      <c r="K17" s="3" t="s">
        <v>43</v>
      </c>
      <c r="L17" s="3" t="s">
        <v>29</v>
      </c>
      <c r="M17">
        <v>1</v>
      </c>
    </row>
    <row r="18" spans="1:13" x14ac:dyDescent="0.25">
      <c r="A18" s="2">
        <v>46295</v>
      </c>
      <c r="B18" s="1" t="str">
        <f ca="1">IF(Información1[[#This Row],[Fecha]]='Ajuste de fechas'!$A$2,"Día actual","Día anterior")</f>
        <v>Día anterior</v>
      </c>
      <c r="C18" s="3" t="s">
        <v>40</v>
      </c>
      <c r="D18" t="s">
        <v>41</v>
      </c>
      <c r="E18" s="3" t="s">
        <v>109</v>
      </c>
      <c r="F18" s="3" t="s">
        <v>19</v>
      </c>
      <c r="G18" s="3" t="s">
        <v>110</v>
      </c>
      <c r="H18" s="3" t="s">
        <v>39</v>
      </c>
      <c r="I18" s="3" t="s">
        <v>7</v>
      </c>
      <c r="J18" s="3" t="s">
        <v>26</v>
      </c>
      <c r="K18" s="3" t="s">
        <v>43</v>
      </c>
      <c r="L18" s="3" t="s">
        <v>29</v>
      </c>
      <c r="M18">
        <v>1</v>
      </c>
    </row>
    <row r="19" spans="1:13" x14ac:dyDescent="0.25">
      <c r="A19" s="2">
        <v>46295</v>
      </c>
      <c r="B19" s="1" t="str">
        <f ca="1">IF(Información1[[#This Row],[Fecha]]='Ajuste de fechas'!$A$2,"Día actual","Día anterior")</f>
        <v>Día anterior</v>
      </c>
      <c r="C19" s="3" t="s">
        <v>40</v>
      </c>
      <c r="D19" t="s">
        <v>41</v>
      </c>
      <c r="E19" s="3" t="s">
        <v>118</v>
      </c>
      <c r="F19" s="3" t="s">
        <v>59</v>
      </c>
      <c r="G19" s="3" t="s">
        <v>119</v>
      </c>
      <c r="H19" s="3" t="s">
        <v>39</v>
      </c>
      <c r="I19" s="3" t="s">
        <v>10</v>
      </c>
      <c r="J19" s="3" t="s">
        <v>26</v>
      </c>
      <c r="K19" s="3" t="s">
        <v>42</v>
      </c>
      <c r="L19" s="3" t="s">
        <v>27</v>
      </c>
      <c r="M19">
        <v>1</v>
      </c>
    </row>
    <row r="20" spans="1:13" x14ac:dyDescent="0.25">
      <c r="A20" s="2">
        <v>46295</v>
      </c>
      <c r="B20" s="1" t="str">
        <f ca="1">IF(Información1[[#This Row],[Fecha]]='Ajuste de fechas'!$A$2,"Día actual","Día anterior")</f>
        <v>Día anterior</v>
      </c>
      <c r="C20" s="3" t="s">
        <v>40</v>
      </c>
      <c r="D20" t="s">
        <v>41</v>
      </c>
      <c r="E20" s="3" t="s">
        <v>120</v>
      </c>
      <c r="F20" s="3" t="s">
        <v>38</v>
      </c>
      <c r="G20" s="3" t="s">
        <v>121</v>
      </c>
      <c r="H20" s="3" t="s">
        <v>39</v>
      </c>
      <c r="I20" s="3" t="s">
        <v>10</v>
      </c>
      <c r="J20" s="3" t="s">
        <v>26</v>
      </c>
      <c r="K20" s="3" t="s">
        <v>43</v>
      </c>
      <c r="L20" s="3" t="s">
        <v>28</v>
      </c>
      <c r="M20">
        <v>1</v>
      </c>
    </row>
    <row r="21" spans="1:13" x14ac:dyDescent="0.25">
      <c r="A21" s="2">
        <v>46295</v>
      </c>
      <c r="B21" s="1" t="str">
        <f ca="1">IF(Información1[[#This Row],[Fecha]]='Ajuste de fechas'!$A$2,"Día actual","Día anterior")</f>
        <v>Día anterior</v>
      </c>
      <c r="C21" s="3" t="s">
        <v>40</v>
      </c>
      <c r="D21" t="s">
        <v>41</v>
      </c>
      <c r="E21" s="3" t="s">
        <v>122</v>
      </c>
      <c r="F21" s="3" t="s">
        <v>38</v>
      </c>
      <c r="G21" s="3" t="s">
        <v>121</v>
      </c>
      <c r="H21" s="3" t="s">
        <v>39</v>
      </c>
      <c r="I21" s="3" t="s">
        <v>7</v>
      </c>
      <c r="J21" s="3" t="s">
        <v>26</v>
      </c>
      <c r="K21" s="3" t="s">
        <v>43</v>
      </c>
      <c r="L21" s="3" t="s">
        <v>29</v>
      </c>
      <c r="M21">
        <v>1</v>
      </c>
    </row>
    <row r="22" spans="1:13" x14ac:dyDescent="0.25">
      <c r="A22" s="2">
        <v>46295</v>
      </c>
      <c r="B22" s="1" t="str">
        <f ca="1">IF(Información1[[#This Row],[Fecha]]='Ajuste de fechas'!$A$2,"Día actual","Día anterior")</f>
        <v>Día anterior</v>
      </c>
      <c r="C22" s="3" t="s">
        <v>40</v>
      </c>
      <c r="D22" t="s">
        <v>41</v>
      </c>
      <c r="E22" s="3" t="s">
        <v>123</v>
      </c>
      <c r="F22" s="3" t="s">
        <v>6</v>
      </c>
      <c r="G22" s="3" t="s">
        <v>124</v>
      </c>
      <c r="H22" s="3" t="s">
        <v>39</v>
      </c>
      <c r="I22" s="3" t="s">
        <v>7</v>
      </c>
      <c r="J22" s="3" t="s">
        <v>26</v>
      </c>
      <c r="K22" s="3" t="s">
        <v>43</v>
      </c>
      <c r="L22" s="3" t="s">
        <v>27</v>
      </c>
      <c r="M22">
        <v>1</v>
      </c>
    </row>
    <row r="23" spans="1:13" x14ac:dyDescent="0.25">
      <c r="A23" s="2">
        <v>46295</v>
      </c>
      <c r="B23" s="1" t="str">
        <f ca="1">IF(Información1[[#This Row],[Fecha]]='Ajuste de fechas'!$A$2,"Día actual","Día anterior")</f>
        <v>Día anterior</v>
      </c>
      <c r="C23" s="3" t="s">
        <v>40</v>
      </c>
      <c r="D23" t="s">
        <v>41</v>
      </c>
      <c r="E23" s="3" t="s">
        <v>125</v>
      </c>
      <c r="F23" s="3" t="s">
        <v>14</v>
      </c>
      <c r="G23" s="3" t="s">
        <v>52</v>
      </c>
      <c r="H23" s="3" t="s">
        <v>39</v>
      </c>
      <c r="I23" s="3" t="s">
        <v>7</v>
      </c>
      <c r="J23" s="3" t="s">
        <v>26</v>
      </c>
      <c r="K23" s="3" t="s">
        <v>42</v>
      </c>
      <c r="L23" s="3" t="s">
        <v>36</v>
      </c>
      <c r="M23">
        <v>1</v>
      </c>
    </row>
    <row r="24" spans="1:13" x14ac:dyDescent="0.25">
      <c r="A24" s="2">
        <v>46295</v>
      </c>
      <c r="B24" s="1" t="str">
        <f ca="1">IF(Información1[[#This Row],[Fecha]]='Ajuste de fechas'!$A$2,"Día actual","Día anterior")</f>
        <v>Día anterior</v>
      </c>
      <c r="C24" s="3" t="s">
        <v>8</v>
      </c>
      <c r="D24" t="s">
        <v>126</v>
      </c>
      <c r="E24" s="3" t="s">
        <v>127</v>
      </c>
      <c r="F24" s="3" t="s">
        <v>85</v>
      </c>
      <c r="G24" s="3"/>
      <c r="H24" s="3" t="s">
        <v>39</v>
      </c>
      <c r="I24" s="3" t="s">
        <v>7</v>
      </c>
      <c r="J24" s="3" t="s">
        <v>17</v>
      </c>
      <c r="K24" s="3" t="s">
        <v>50</v>
      </c>
      <c r="L24" s="3" t="s">
        <v>28</v>
      </c>
      <c r="M24">
        <v>1</v>
      </c>
    </row>
    <row r="25" spans="1:13" x14ac:dyDescent="0.25">
      <c r="A25" s="2">
        <v>46295</v>
      </c>
      <c r="B25" s="1" t="str">
        <f ca="1">IF(Información1[[#This Row],[Fecha]]='Ajuste de fechas'!$A$2,"Día actual","Día anterior")</f>
        <v>Día anterior</v>
      </c>
      <c r="C25" s="3" t="s">
        <v>44</v>
      </c>
      <c r="D25" t="s">
        <v>45</v>
      </c>
      <c r="E25" s="3" t="s">
        <v>128</v>
      </c>
      <c r="F25" s="3" t="s">
        <v>13</v>
      </c>
      <c r="G25" s="3" t="s">
        <v>107</v>
      </c>
      <c r="H25" s="3" t="s">
        <v>39</v>
      </c>
      <c r="I25" s="3" t="s">
        <v>7</v>
      </c>
      <c r="J25" s="3" t="s">
        <v>30</v>
      </c>
      <c r="K25" s="3" t="s">
        <v>46</v>
      </c>
      <c r="L25" s="3" t="s">
        <v>27</v>
      </c>
      <c r="M25">
        <v>1</v>
      </c>
    </row>
    <row r="26" spans="1:13" x14ac:dyDescent="0.25">
      <c r="A26" s="2">
        <v>46295</v>
      </c>
      <c r="B26" s="1" t="str">
        <f ca="1">IF(Información1[[#This Row],[Fecha]]='Ajuste de fechas'!$A$2,"Día actual","Día anterior")</f>
        <v>Día anterior</v>
      </c>
      <c r="C26" s="3" t="s">
        <v>8</v>
      </c>
      <c r="D26" t="s">
        <v>9</v>
      </c>
      <c r="E26" s="3" t="s">
        <v>129</v>
      </c>
      <c r="F26" s="3" t="s">
        <v>6</v>
      </c>
      <c r="G26" s="3" t="s">
        <v>130</v>
      </c>
      <c r="H26" s="3" t="s">
        <v>39</v>
      </c>
      <c r="I26" s="3" t="s">
        <v>18</v>
      </c>
      <c r="J26" s="3" t="s">
        <v>26</v>
      </c>
      <c r="K26" s="3" t="s">
        <v>50</v>
      </c>
      <c r="L26" s="3" t="s">
        <v>28</v>
      </c>
      <c r="M26">
        <v>1</v>
      </c>
    </row>
    <row r="27" spans="1:13" x14ac:dyDescent="0.25">
      <c r="A27" s="2">
        <v>46295</v>
      </c>
      <c r="B27" s="1" t="str">
        <f ca="1">IF(Información1[[#This Row],[Fecha]]='Ajuste de fechas'!$A$2,"Día actual","Día anterior")</f>
        <v>Día anterior</v>
      </c>
      <c r="C27" s="3" t="s">
        <v>44</v>
      </c>
      <c r="D27" t="s">
        <v>45</v>
      </c>
      <c r="E27" s="3" t="s">
        <v>131</v>
      </c>
      <c r="F27" s="3" t="s">
        <v>16</v>
      </c>
      <c r="G27" s="3" t="s">
        <v>88</v>
      </c>
      <c r="H27" s="3" t="s">
        <v>39</v>
      </c>
      <c r="I27" s="3" t="s">
        <v>7</v>
      </c>
      <c r="J27" s="3" t="s">
        <v>26</v>
      </c>
      <c r="K27" s="3" t="s">
        <v>46</v>
      </c>
      <c r="L27" s="3" t="s">
        <v>27</v>
      </c>
      <c r="M27">
        <v>1</v>
      </c>
    </row>
    <row r="28" spans="1:13" x14ac:dyDescent="0.25">
      <c r="A28" s="2">
        <v>46295</v>
      </c>
      <c r="B28" s="1" t="str">
        <f ca="1">IF(Información1[[#This Row],[Fecha]]='Ajuste de fechas'!$A$2,"Día actual","Día anterior")</f>
        <v>Día anterior</v>
      </c>
      <c r="C28" s="3" t="s">
        <v>44</v>
      </c>
      <c r="D28" t="s">
        <v>45</v>
      </c>
      <c r="E28" s="3" t="s">
        <v>132</v>
      </c>
      <c r="F28" s="3" t="s">
        <v>13</v>
      </c>
      <c r="G28" s="3" t="s">
        <v>133</v>
      </c>
      <c r="H28" s="3" t="s">
        <v>39</v>
      </c>
      <c r="I28" s="3" t="s">
        <v>7</v>
      </c>
      <c r="J28" s="3" t="s">
        <v>30</v>
      </c>
      <c r="K28" s="3" t="s">
        <v>46</v>
      </c>
      <c r="L28" s="3" t="s">
        <v>27</v>
      </c>
      <c r="M28">
        <v>1</v>
      </c>
    </row>
    <row r="29" spans="1:13" x14ac:dyDescent="0.25">
      <c r="A29" s="2">
        <v>46295</v>
      </c>
      <c r="B29" s="1" t="str">
        <f ca="1">IF(Información1[[#This Row],[Fecha]]='Ajuste de fechas'!$A$2,"Día actual","Día anterior")</f>
        <v>Día anterior</v>
      </c>
      <c r="C29" s="3" t="s">
        <v>8</v>
      </c>
      <c r="D29" t="s">
        <v>126</v>
      </c>
      <c r="E29" s="3" t="s">
        <v>134</v>
      </c>
      <c r="F29" s="3" t="s">
        <v>13</v>
      </c>
      <c r="G29" s="3" t="s">
        <v>135</v>
      </c>
      <c r="H29" s="3" t="s">
        <v>39</v>
      </c>
      <c r="I29" s="3" t="s">
        <v>7</v>
      </c>
      <c r="J29" s="3" t="s">
        <v>30</v>
      </c>
      <c r="K29" s="3" t="s">
        <v>11</v>
      </c>
      <c r="L29" s="3" t="s">
        <v>27</v>
      </c>
      <c r="M29">
        <v>1</v>
      </c>
    </row>
    <row r="30" spans="1:13" x14ac:dyDescent="0.25">
      <c r="A30" s="2">
        <v>46295</v>
      </c>
      <c r="B30" s="1" t="str">
        <f ca="1">IF(Información1[[#This Row],[Fecha]]='Ajuste de fechas'!$A$2,"Día actual","Día anterior")</f>
        <v>Día anterior</v>
      </c>
      <c r="C30" s="3" t="s">
        <v>8</v>
      </c>
      <c r="D30" t="s">
        <v>9</v>
      </c>
      <c r="E30" s="3" t="s">
        <v>136</v>
      </c>
      <c r="F30" s="3" t="s">
        <v>16</v>
      </c>
      <c r="G30" s="3" t="s">
        <v>103</v>
      </c>
      <c r="H30" s="3" t="s">
        <v>39</v>
      </c>
      <c r="I30" s="3" t="s">
        <v>7</v>
      </c>
      <c r="J30" s="3" t="s">
        <v>26</v>
      </c>
      <c r="K30" s="3" t="s">
        <v>11</v>
      </c>
      <c r="L30" s="3" t="s">
        <v>27</v>
      </c>
      <c r="M30">
        <v>1</v>
      </c>
    </row>
    <row r="31" spans="1:13" x14ac:dyDescent="0.25">
      <c r="A31" s="2">
        <v>46295</v>
      </c>
      <c r="B31" s="1" t="str">
        <f ca="1">IF(Información1[[#This Row],[Fecha]]='Ajuste de fechas'!$A$2,"Día actual","Día anterior")</f>
        <v>Día anterior</v>
      </c>
      <c r="C31" s="3" t="s">
        <v>44</v>
      </c>
      <c r="D31" t="s">
        <v>45</v>
      </c>
      <c r="E31" s="3" t="s">
        <v>137</v>
      </c>
      <c r="F31" s="3" t="s">
        <v>19</v>
      </c>
      <c r="G31" s="3" t="s">
        <v>87</v>
      </c>
      <c r="H31" s="3" t="s">
        <v>39</v>
      </c>
      <c r="I31" s="3" t="s">
        <v>7</v>
      </c>
      <c r="J31" s="3" t="s">
        <v>26</v>
      </c>
      <c r="K31" s="3" t="s">
        <v>46</v>
      </c>
      <c r="L31" s="3" t="s">
        <v>27</v>
      </c>
      <c r="M31">
        <v>1</v>
      </c>
    </row>
    <row r="32" spans="1:13" x14ac:dyDescent="0.25">
      <c r="A32" s="2">
        <v>46295</v>
      </c>
      <c r="B32" s="1" t="str">
        <f ca="1">IF(Información1[[#This Row],[Fecha]]='Ajuste de fechas'!$A$2,"Día actual","Día anterior")</f>
        <v>Día anterior</v>
      </c>
      <c r="C32" s="3" t="s">
        <v>44</v>
      </c>
      <c r="D32" t="s">
        <v>138</v>
      </c>
      <c r="E32" s="3" t="s">
        <v>139</v>
      </c>
      <c r="F32" s="3" t="s">
        <v>19</v>
      </c>
      <c r="G32" s="3" t="s">
        <v>110</v>
      </c>
      <c r="H32" s="3" t="s">
        <v>39</v>
      </c>
      <c r="I32" s="3" t="s">
        <v>7</v>
      </c>
      <c r="J32" s="3" t="s">
        <v>26</v>
      </c>
      <c r="K32" s="3" t="s">
        <v>140</v>
      </c>
      <c r="L32" s="3" t="s">
        <v>27</v>
      </c>
      <c r="M32">
        <v>1</v>
      </c>
    </row>
    <row r="33" spans="1:13" x14ac:dyDescent="0.25">
      <c r="A33" s="2">
        <v>46295</v>
      </c>
      <c r="B33" s="1" t="str">
        <f ca="1">IF(Información1[[#This Row],[Fecha]]='Ajuste de fechas'!$A$2,"Día actual","Día anterior")</f>
        <v>Día anterior</v>
      </c>
      <c r="C33" s="3" t="s">
        <v>44</v>
      </c>
      <c r="D33" t="s">
        <v>45</v>
      </c>
      <c r="E33" s="3" t="s">
        <v>141</v>
      </c>
      <c r="F33" s="3" t="s">
        <v>19</v>
      </c>
      <c r="G33" s="3" t="s">
        <v>110</v>
      </c>
      <c r="H33" s="3" t="s">
        <v>39</v>
      </c>
      <c r="I33" s="3" t="s">
        <v>7</v>
      </c>
      <c r="J33" s="3" t="s">
        <v>26</v>
      </c>
      <c r="K33" s="3" t="s">
        <v>46</v>
      </c>
      <c r="L33" s="3" t="s">
        <v>27</v>
      </c>
      <c r="M33">
        <v>1</v>
      </c>
    </row>
    <row r="34" spans="1:13" x14ac:dyDescent="0.25">
      <c r="A34" s="2">
        <v>46295</v>
      </c>
      <c r="B34" s="1" t="str">
        <f ca="1">IF(Información1[[#This Row],[Fecha]]='Ajuste de fechas'!$A$2,"Día actual","Día anterior")</f>
        <v>Día anterior</v>
      </c>
      <c r="C34" s="3" t="s">
        <v>8</v>
      </c>
      <c r="D34" t="s">
        <v>9</v>
      </c>
      <c r="E34" s="3" t="s">
        <v>142</v>
      </c>
      <c r="F34" s="3" t="s">
        <v>49</v>
      </c>
      <c r="G34" s="3" t="s">
        <v>55</v>
      </c>
      <c r="H34" s="3" t="s">
        <v>39</v>
      </c>
      <c r="I34" s="3" t="s">
        <v>18</v>
      </c>
      <c r="J34" s="3" t="s">
        <v>26</v>
      </c>
      <c r="K34" s="3" t="s">
        <v>50</v>
      </c>
      <c r="L34" s="3" t="s">
        <v>28</v>
      </c>
      <c r="M34">
        <v>1</v>
      </c>
    </row>
    <row r="35" spans="1:13" x14ac:dyDescent="0.25">
      <c r="A35" s="2">
        <v>46295</v>
      </c>
      <c r="B35" s="1" t="str">
        <f ca="1">IF(Información1[[#This Row],[Fecha]]='Ajuste de fechas'!$A$2,"Día actual","Día anterior")</f>
        <v>Día anterior</v>
      </c>
      <c r="C35" s="3" t="s">
        <v>44</v>
      </c>
      <c r="D35" t="s">
        <v>138</v>
      </c>
      <c r="E35" s="3" t="s">
        <v>143</v>
      </c>
      <c r="F35" s="3" t="s">
        <v>19</v>
      </c>
      <c r="G35" s="3" t="s">
        <v>144</v>
      </c>
      <c r="H35" s="3" t="s">
        <v>39</v>
      </c>
      <c r="I35" s="3" t="s">
        <v>7</v>
      </c>
      <c r="J35" s="3" t="s">
        <v>26</v>
      </c>
      <c r="K35" s="3" t="s">
        <v>140</v>
      </c>
      <c r="L35" s="3" t="s">
        <v>27</v>
      </c>
      <c r="M35">
        <v>1</v>
      </c>
    </row>
    <row r="36" spans="1:13" x14ac:dyDescent="0.25">
      <c r="A36" s="2">
        <v>46295</v>
      </c>
      <c r="B36" s="1" t="str">
        <f ca="1">IF(Información1[[#This Row],[Fecha]]='Ajuste de fechas'!$A$2,"Día actual","Día anterior")</f>
        <v>Día anterior</v>
      </c>
      <c r="C36" s="3" t="s">
        <v>8</v>
      </c>
      <c r="D36" t="s">
        <v>126</v>
      </c>
      <c r="E36" s="3" t="s">
        <v>145</v>
      </c>
      <c r="F36" s="3" t="s">
        <v>35</v>
      </c>
      <c r="G36" s="3" t="s">
        <v>146</v>
      </c>
      <c r="H36" s="3" t="s">
        <v>39</v>
      </c>
      <c r="I36" s="3" t="s">
        <v>7</v>
      </c>
      <c r="J36" s="3" t="s">
        <v>17</v>
      </c>
      <c r="K36" s="3" t="s">
        <v>11</v>
      </c>
      <c r="L36" s="3" t="s">
        <v>27</v>
      </c>
      <c r="M36">
        <v>1</v>
      </c>
    </row>
    <row r="37" spans="1:13" x14ac:dyDescent="0.25">
      <c r="A37" s="2">
        <v>46295</v>
      </c>
      <c r="B37" s="1" t="str">
        <f ca="1">IF(Información1[[#This Row],[Fecha]]='Ajuste de fechas'!$A$2,"Día actual","Día anterior")</f>
        <v>Día anterior</v>
      </c>
      <c r="C37" s="3" t="s">
        <v>8</v>
      </c>
      <c r="D37" t="s">
        <v>126</v>
      </c>
      <c r="E37" s="3" t="s">
        <v>147</v>
      </c>
      <c r="F37" s="3" t="s">
        <v>13</v>
      </c>
      <c r="G37" s="3" t="s">
        <v>63</v>
      </c>
      <c r="H37" s="3" t="s">
        <v>39</v>
      </c>
      <c r="I37" s="3" t="s">
        <v>7</v>
      </c>
      <c r="J37" s="3" t="s">
        <v>30</v>
      </c>
      <c r="K37" s="3" t="s">
        <v>11</v>
      </c>
      <c r="L37" s="3" t="s">
        <v>27</v>
      </c>
      <c r="M37">
        <v>1</v>
      </c>
    </row>
    <row r="38" spans="1:13" x14ac:dyDescent="0.25">
      <c r="A38" s="2">
        <v>46295</v>
      </c>
      <c r="B38" s="1" t="str">
        <f ca="1">IF(Información1[[#This Row],[Fecha]]='Ajuste de fechas'!$A$2,"Día actual","Día anterior")</f>
        <v>Día anterior</v>
      </c>
      <c r="C38" s="3" t="s">
        <v>44</v>
      </c>
      <c r="D38" t="s">
        <v>138</v>
      </c>
      <c r="E38" s="3" t="s">
        <v>148</v>
      </c>
      <c r="F38" s="3" t="s">
        <v>19</v>
      </c>
      <c r="G38" s="3" t="s">
        <v>149</v>
      </c>
      <c r="H38" s="3" t="s">
        <v>39</v>
      </c>
      <c r="I38" s="3" t="s">
        <v>7</v>
      </c>
      <c r="J38" s="3" t="s">
        <v>26</v>
      </c>
      <c r="K38" s="3" t="s">
        <v>140</v>
      </c>
      <c r="L38" s="3" t="s">
        <v>27</v>
      </c>
      <c r="M38">
        <v>1</v>
      </c>
    </row>
    <row r="39" spans="1:13" x14ac:dyDescent="0.25">
      <c r="A39" s="2">
        <v>46295</v>
      </c>
      <c r="B39" s="1" t="str">
        <f ca="1">IF(Información1[[#This Row],[Fecha]]='Ajuste de fechas'!$A$2,"Día actual","Día anterior")</f>
        <v>Día anterior</v>
      </c>
      <c r="C39" s="3" t="s">
        <v>44</v>
      </c>
      <c r="D39" t="s">
        <v>138</v>
      </c>
      <c r="E39" s="3" t="s">
        <v>150</v>
      </c>
      <c r="F39" s="3" t="s">
        <v>151</v>
      </c>
      <c r="G39" s="3" t="s">
        <v>152</v>
      </c>
      <c r="H39" s="3" t="s">
        <v>39</v>
      </c>
      <c r="I39" s="3" t="s">
        <v>7</v>
      </c>
      <c r="J39" s="3" t="s">
        <v>26</v>
      </c>
      <c r="K39" s="3" t="s">
        <v>140</v>
      </c>
      <c r="L39" s="3" t="s">
        <v>27</v>
      </c>
      <c r="M39">
        <v>1</v>
      </c>
    </row>
    <row r="40" spans="1:13" x14ac:dyDescent="0.25">
      <c r="A40" s="2">
        <v>46295</v>
      </c>
      <c r="B40" s="1" t="str">
        <f ca="1">IF(Información1[[#This Row],[Fecha]]='Ajuste de fechas'!$A$2,"Día actual","Día anterior")</f>
        <v>Día anterior</v>
      </c>
      <c r="C40" s="3" t="s">
        <v>80</v>
      </c>
      <c r="D40" t="s">
        <v>81</v>
      </c>
      <c r="E40" s="3" t="s">
        <v>153</v>
      </c>
      <c r="F40" s="3" t="s">
        <v>53</v>
      </c>
      <c r="G40" s="3" t="s">
        <v>154</v>
      </c>
      <c r="H40" s="3" t="s">
        <v>39</v>
      </c>
      <c r="I40" s="3" t="s">
        <v>7</v>
      </c>
      <c r="J40" s="3" t="s">
        <v>26</v>
      </c>
      <c r="K40" s="3" t="s">
        <v>82</v>
      </c>
      <c r="L40" s="3" t="s">
        <v>27</v>
      </c>
      <c r="M40">
        <v>1</v>
      </c>
    </row>
    <row r="41" spans="1:13" x14ac:dyDescent="0.25">
      <c r="A41" s="2">
        <v>46295</v>
      </c>
      <c r="B41" s="1" t="str">
        <f ca="1">IF(Información1[[#This Row],[Fecha]]='Ajuste de fechas'!$A$2,"Día actual","Día anterior")</f>
        <v>Día anterior</v>
      </c>
      <c r="C41" s="3" t="s">
        <v>8</v>
      </c>
      <c r="D41" t="s">
        <v>9</v>
      </c>
      <c r="E41" s="3" t="s">
        <v>155</v>
      </c>
      <c r="F41" s="3" t="s">
        <v>12</v>
      </c>
      <c r="G41" s="3" t="s">
        <v>156</v>
      </c>
      <c r="H41" s="3" t="s">
        <v>39</v>
      </c>
      <c r="I41" s="3" t="s">
        <v>18</v>
      </c>
      <c r="J41" s="3" t="s">
        <v>26</v>
      </c>
      <c r="K41" s="3" t="s">
        <v>11</v>
      </c>
      <c r="L41" s="3" t="s">
        <v>28</v>
      </c>
      <c r="M41">
        <v>1</v>
      </c>
    </row>
    <row r="42" spans="1:13" x14ac:dyDescent="0.25">
      <c r="A42" s="2">
        <v>46295</v>
      </c>
      <c r="B42" s="1" t="str">
        <f ca="1">IF(Información1[[#This Row],[Fecha]]='Ajuste de fechas'!$A$2,"Día actual","Día anterior")</f>
        <v>Día anterior</v>
      </c>
      <c r="C42" s="3" t="s">
        <v>8</v>
      </c>
      <c r="D42" t="s">
        <v>9</v>
      </c>
      <c r="E42" s="3" t="s">
        <v>157</v>
      </c>
      <c r="F42" s="3" t="s">
        <v>12</v>
      </c>
      <c r="G42" s="3" t="s">
        <v>156</v>
      </c>
      <c r="H42" s="3" t="s">
        <v>39</v>
      </c>
      <c r="I42" s="3" t="s">
        <v>18</v>
      </c>
      <c r="J42" s="3" t="s">
        <v>26</v>
      </c>
      <c r="K42" s="3" t="s">
        <v>11</v>
      </c>
      <c r="L42" s="3" t="s">
        <v>28</v>
      </c>
      <c r="M42">
        <v>1</v>
      </c>
    </row>
    <row r="43" spans="1:13" x14ac:dyDescent="0.25">
      <c r="A43" s="2">
        <v>46295</v>
      </c>
      <c r="B43" s="1" t="str">
        <f ca="1">IF(Información1[[#This Row],[Fecha]]='Ajuste de fechas'!$A$2,"Día actual","Día anterior")</f>
        <v>Día anterior</v>
      </c>
      <c r="C43" s="3" t="s">
        <v>44</v>
      </c>
      <c r="D43" t="s">
        <v>138</v>
      </c>
      <c r="E43" s="3" t="s">
        <v>158</v>
      </c>
      <c r="F43" s="3" t="s">
        <v>19</v>
      </c>
      <c r="G43" s="3" t="s">
        <v>54</v>
      </c>
      <c r="H43" s="3" t="s">
        <v>39</v>
      </c>
      <c r="I43" s="3" t="s">
        <v>7</v>
      </c>
      <c r="J43" s="3" t="s">
        <v>26</v>
      </c>
      <c r="K43" s="3" t="s">
        <v>140</v>
      </c>
      <c r="L43" s="3" t="s">
        <v>27</v>
      </c>
      <c r="M43">
        <v>1</v>
      </c>
    </row>
    <row r="44" spans="1:13" x14ac:dyDescent="0.25">
      <c r="A44" s="2">
        <v>46295</v>
      </c>
      <c r="B44" s="1" t="str">
        <f ca="1">IF(Información1[[#This Row],[Fecha]]='Ajuste de fechas'!$A$2,"Día actual","Día anterior")</f>
        <v>Día anterior</v>
      </c>
      <c r="C44" s="3" t="s">
        <v>8</v>
      </c>
      <c r="D44" t="s">
        <v>9</v>
      </c>
      <c r="E44" s="3" t="s">
        <v>159</v>
      </c>
      <c r="F44" s="3" t="s">
        <v>12</v>
      </c>
      <c r="G44" s="3" t="s">
        <v>54</v>
      </c>
      <c r="H44" s="3" t="s">
        <v>39</v>
      </c>
      <c r="I44" s="3" t="s">
        <v>18</v>
      </c>
      <c r="J44" s="3" t="s">
        <v>26</v>
      </c>
      <c r="K44" s="3" t="s">
        <v>50</v>
      </c>
      <c r="L44" s="3" t="s">
        <v>28</v>
      </c>
      <c r="M44">
        <v>1</v>
      </c>
    </row>
    <row r="45" spans="1:13" x14ac:dyDescent="0.25">
      <c r="A45" s="2">
        <v>46295</v>
      </c>
      <c r="B45" s="1" t="str">
        <f ca="1">IF(Información1[[#This Row],[Fecha]]='Ajuste de fechas'!$A$2,"Día actual","Día anterior")</f>
        <v>Día anterior</v>
      </c>
      <c r="C45" s="3" t="s">
        <v>8</v>
      </c>
      <c r="D45" t="s">
        <v>9</v>
      </c>
      <c r="E45" s="3" t="s">
        <v>160</v>
      </c>
      <c r="F45" s="3" t="s">
        <v>19</v>
      </c>
      <c r="G45" s="3" t="s">
        <v>54</v>
      </c>
      <c r="H45" s="3" t="s">
        <v>39</v>
      </c>
      <c r="I45" s="3" t="s">
        <v>7</v>
      </c>
      <c r="J45" s="3" t="s">
        <v>26</v>
      </c>
      <c r="K45" s="3" t="s">
        <v>11</v>
      </c>
      <c r="L45" s="3" t="s">
        <v>27</v>
      </c>
      <c r="M45">
        <v>1</v>
      </c>
    </row>
    <row r="46" spans="1:13" x14ac:dyDescent="0.25">
      <c r="A46" s="2">
        <v>46295</v>
      </c>
      <c r="B46" s="1" t="str">
        <f ca="1">IF(Información1[[#This Row],[Fecha]]='Ajuste de fechas'!$A$2,"Día actual","Día anterior")</f>
        <v>Día anterior</v>
      </c>
      <c r="C46" s="3" t="s">
        <v>8</v>
      </c>
      <c r="D46" t="s">
        <v>126</v>
      </c>
      <c r="E46" s="3" t="s">
        <v>161</v>
      </c>
      <c r="F46" s="3" t="s">
        <v>38</v>
      </c>
      <c r="G46" s="3" t="s">
        <v>121</v>
      </c>
      <c r="H46" s="3" t="s">
        <v>39</v>
      </c>
      <c r="I46" s="3" t="s">
        <v>7</v>
      </c>
      <c r="J46" s="3" t="s">
        <v>26</v>
      </c>
      <c r="K46" s="3" t="s">
        <v>11</v>
      </c>
      <c r="L46" s="3" t="s">
        <v>27</v>
      </c>
      <c r="M46">
        <v>1</v>
      </c>
    </row>
    <row r="47" spans="1:13" x14ac:dyDescent="0.25">
      <c r="A47" s="2">
        <v>46295</v>
      </c>
      <c r="B47" s="1" t="str">
        <f ca="1">IF(Información1[[#This Row],[Fecha]]='Ajuste de fechas'!$A$2,"Día actual","Día anterior")</f>
        <v>Día anterior</v>
      </c>
      <c r="C47" s="3" t="s">
        <v>65</v>
      </c>
      <c r="D47" t="s">
        <v>66</v>
      </c>
      <c r="E47" s="3" t="s">
        <v>162</v>
      </c>
      <c r="F47" s="3" t="s">
        <v>49</v>
      </c>
      <c r="G47" s="3" t="s">
        <v>55</v>
      </c>
      <c r="H47" s="3" t="s">
        <v>68</v>
      </c>
      <c r="I47" s="3" t="s">
        <v>10</v>
      </c>
      <c r="J47" s="3" t="s">
        <v>26</v>
      </c>
      <c r="K47" s="3" t="s">
        <v>163</v>
      </c>
      <c r="L47" s="3" t="s">
        <v>28</v>
      </c>
      <c r="M47">
        <v>1</v>
      </c>
    </row>
    <row r="48" spans="1:13" x14ac:dyDescent="0.25">
      <c r="A48" s="2">
        <v>46295</v>
      </c>
      <c r="B48" s="1" t="str">
        <f ca="1">IF(Información1[[#This Row],[Fecha]]='Ajuste de fechas'!$A$2,"Día actual","Día anterior")</f>
        <v>Día anterior</v>
      </c>
      <c r="C48" s="3" t="s">
        <v>65</v>
      </c>
      <c r="D48" t="s">
        <v>66</v>
      </c>
      <c r="E48" s="3" t="s">
        <v>164</v>
      </c>
      <c r="F48" s="3" t="s">
        <v>6</v>
      </c>
      <c r="G48" s="3" t="s">
        <v>165</v>
      </c>
      <c r="H48" s="3" t="s">
        <v>68</v>
      </c>
      <c r="I48" s="3" t="s">
        <v>7</v>
      </c>
      <c r="J48" s="3" t="s">
        <v>26</v>
      </c>
      <c r="K48" s="3" t="s">
        <v>50</v>
      </c>
      <c r="L48" s="3" t="s">
        <v>28</v>
      </c>
      <c r="M48">
        <v>1</v>
      </c>
    </row>
    <row r="49" spans="1:13" x14ac:dyDescent="0.25">
      <c r="A49" s="2">
        <v>46295</v>
      </c>
      <c r="B49" s="1" t="str">
        <f ca="1">IF(Información1[[#This Row],[Fecha]]='Ajuste de fechas'!$A$2,"Día actual","Día anterior")</f>
        <v>Día anterior</v>
      </c>
      <c r="C49" s="3" t="s">
        <v>65</v>
      </c>
      <c r="D49" t="s">
        <v>66</v>
      </c>
      <c r="E49" s="3" t="s">
        <v>166</v>
      </c>
      <c r="F49" s="3" t="s">
        <v>53</v>
      </c>
      <c r="G49" s="3" t="s">
        <v>167</v>
      </c>
      <c r="H49" s="3" t="s">
        <v>68</v>
      </c>
      <c r="I49" s="3" t="s">
        <v>7</v>
      </c>
      <c r="J49" s="3" t="s">
        <v>26</v>
      </c>
      <c r="K49" s="3" t="s">
        <v>71</v>
      </c>
      <c r="L49" s="3" t="s">
        <v>27</v>
      </c>
      <c r="M49">
        <v>1</v>
      </c>
    </row>
    <row r="50" spans="1:13" x14ac:dyDescent="0.25">
      <c r="A50" s="2">
        <v>46295</v>
      </c>
      <c r="B50" s="1" t="str">
        <f ca="1">IF(Información1[[#This Row],[Fecha]]='Ajuste de fechas'!$A$2,"Día actual","Día anterior")</f>
        <v>Día anterior</v>
      </c>
      <c r="C50" s="3" t="s">
        <v>65</v>
      </c>
      <c r="D50" t="s">
        <v>66</v>
      </c>
      <c r="E50" s="3" t="s">
        <v>168</v>
      </c>
      <c r="F50" s="3" t="s">
        <v>89</v>
      </c>
      <c r="G50" s="3" t="s">
        <v>112</v>
      </c>
      <c r="H50" s="3" t="s">
        <v>68</v>
      </c>
      <c r="I50" s="3" t="s">
        <v>10</v>
      </c>
      <c r="J50" s="3" t="s">
        <v>26</v>
      </c>
      <c r="K50" s="3" t="s">
        <v>71</v>
      </c>
      <c r="L50" s="3" t="s">
        <v>28</v>
      </c>
      <c r="M50">
        <v>1</v>
      </c>
    </row>
    <row r="51" spans="1:13" x14ac:dyDescent="0.25">
      <c r="A51" s="2">
        <v>46295</v>
      </c>
      <c r="B51" s="1" t="str">
        <f ca="1">IF(Información1[[#This Row],[Fecha]]='Ajuste de fechas'!$A$2,"Día actual","Día anterior")</f>
        <v>Día anterior</v>
      </c>
      <c r="C51" s="3" t="s">
        <v>65</v>
      </c>
      <c r="D51" t="s">
        <v>66</v>
      </c>
      <c r="E51" s="3" t="s">
        <v>169</v>
      </c>
      <c r="F51" s="3" t="s">
        <v>37</v>
      </c>
      <c r="G51" s="3" t="s">
        <v>170</v>
      </c>
      <c r="H51" s="3" t="s">
        <v>68</v>
      </c>
      <c r="I51" s="3" t="s">
        <v>7</v>
      </c>
      <c r="J51" s="3" t="s">
        <v>26</v>
      </c>
      <c r="K51" s="3" t="s">
        <v>71</v>
      </c>
      <c r="L51" s="3" t="s">
        <v>27</v>
      </c>
      <c r="M51">
        <v>1</v>
      </c>
    </row>
    <row r="52" spans="1:13" x14ac:dyDescent="0.25">
      <c r="A52" s="2">
        <v>46295</v>
      </c>
      <c r="B52" s="1" t="str">
        <f ca="1">IF(Información1[[#This Row],[Fecha]]='Ajuste de fechas'!$A$2,"Día actual","Día anterior")</f>
        <v>Día anterior</v>
      </c>
      <c r="C52" s="3" t="s">
        <v>75</v>
      </c>
      <c r="D52" t="s">
        <v>76</v>
      </c>
      <c r="E52" s="3" t="s">
        <v>171</v>
      </c>
      <c r="F52" s="3" t="s">
        <v>38</v>
      </c>
      <c r="G52" s="3" t="s">
        <v>64</v>
      </c>
      <c r="H52" s="3" t="s">
        <v>39</v>
      </c>
      <c r="I52" s="3" t="s">
        <v>18</v>
      </c>
      <c r="J52" s="3" t="s">
        <v>26</v>
      </c>
      <c r="K52" s="3" t="s">
        <v>77</v>
      </c>
      <c r="L52" s="3" t="s">
        <v>28</v>
      </c>
      <c r="M52">
        <v>1</v>
      </c>
    </row>
    <row r="53" spans="1:13" x14ac:dyDescent="0.25">
      <c r="A53" s="2">
        <v>46295</v>
      </c>
      <c r="B53" s="1" t="str">
        <f ca="1">IF(Información1[[#This Row],[Fecha]]='Ajuste de fechas'!$A$2,"Día actual","Día anterior")</f>
        <v>Día anterior</v>
      </c>
      <c r="C53" s="3" t="s">
        <v>75</v>
      </c>
      <c r="D53" t="s">
        <v>76</v>
      </c>
      <c r="E53" s="3" t="s">
        <v>172</v>
      </c>
      <c r="F53" s="3" t="s">
        <v>38</v>
      </c>
      <c r="G53" s="3" t="s">
        <v>64</v>
      </c>
      <c r="H53" s="3" t="s">
        <v>39</v>
      </c>
      <c r="I53" s="3" t="s">
        <v>7</v>
      </c>
      <c r="J53" s="3" t="s">
        <v>26</v>
      </c>
      <c r="K53" s="3" t="s">
        <v>79</v>
      </c>
      <c r="L53" s="3" t="s">
        <v>27</v>
      </c>
      <c r="M53">
        <v>1</v>
      </c>
    </row>
    <row r="54" spans="1:13" x14ac:dyDescent="0.25">
      <c r="A54" s="2">
        <v>46295</v>
      </c>
      <c r="B54" s="1" t="str">
        <f ca="1">IF(Información1[[#This Row],[Fecha]]='Ajuste de fechas'!$A$2,"Día actual","Día anterior")</f>
        <v>Día anterior</v>
      </c>
      <c r="C54" s="3" t="s">
        <v>75</v>
      </c>
      <c r="D54" t="s">
        <v>76</v>
      </c>
      <c r="E54" s="3" t="s">
        <v>173</v>
      </c>
      <c r="F54" s="3" t="s">
        <v>19</v>
      </c>
      <c r="G54" s="3" t="s">
        <v>72</v>
      </c>
      <c r="H54" s="3" t="s">
        <v>39</v>
      </c>
      <c r="I54" s="3" t="s">
        <v>7</v>
      </c>
      <c r="J54" s="3" t="s">
        <v>26</v>
      </c>
      <c r="K54" s="3" t="s">
        <v>77</v>
      </c>
      <c r="L54" s="3" t="s">
        <v>28</v>
      </c>
      <c r="M54">
        <v>1</v>
      </c>
    </row>
    <row r="55" spans="1:13" x14ac:dyDescent="0.25">
      <c r="A55" s="2">
        <v>46295</v>
      </c>
      <c r="B55" s="1" t="str">
        <f ca="1">IF(Información1[[#This Row],[Fecha]]='Ajuste de fechas'!$A$2,"Día actual","Día anterior")</f>
        <v>Día anterior</v>
      </c>
      <c r="C55" s="3" t="s">
        <v>75</v>
      </c>
      <c r="D55" t="s">
        <v>76</v>
      </c>
      <c r="E55" s="3" t="s">
        <v>174</v>
      </c>
      <c r="F55" s="3" t="s">
        <v>19</v>
      </c>
      <c r="G55" s="3" t="s">
        <v>87</v>
      </c>
      <c r="H55" s="3" t="s">
        <v>39</v>
      </c>
      <c r="I55" s="3" t="s">
        <v>7</v>
      </c>
      <c r="J55" s="3" t="s">
        <v>26</v>
      </c>
      <c r="K55" s="3" t="s">
        <v>79</v>
      </c>
      <c r="L55" s="3" t="s">
        <v>27</v>
      </c>
      <c r="M55">
        <v>1</v>
      </c>
    </row>
    <row r="56" spans="1:13" x14ac:dyDescent="0.25">
      <c r="A56" s="2">
        <v>46295</v>
      </c>
      <c r="B56" s="1" t="str">
        <f ca="1">IF(Información1[[#This Row],[Fecha]]='Ajuste de fechas'!$A$2,"Día actual","Día anterior")</f>
        <v>Día anterior</v>
      </c>
      <c r="C56" s="3" t="s">
        <v>75</v>
      </c>
      <c r="D56" t="s">
        <v>76</v>
      </c>
      <c r="E56" s="3" t="s">
        <v>175</v>
      </c>
      <c r="F56" s="3" t="s">
        <v>14</v>
      </c>
      <c r="G56" s="3" t="s">
        <v>176</v>
      </c>
      <c r="H56" s="3" t="s">
        <v>39</v>
      </c>
      <c r="I56" s="3" t="s">
        <v>7</v>
      </c>
      <c r="J56" s="3" t="s">
        <v>26</v>
      </c>
      <c r="K56" s="3" t="s">
        <v>77</v>
      </c>
      <c r="L56" s="3" t="s">
        <v>29</v>
      </c>
      <c r="M56">
        <v>1</v>
      </c>
    </row>
    <row r="57" spans="1:13" x14ac:dyDescent="0.25">
      <c r="A57" s="2">
        <v>46295</v>
      </c>
      <c r="B57" s="1" t="str">
        <f ca="1">IF(Información1[[#This Row],[Fecha]]='Ajuste de fechas'!$A$2,"Día actual","Día anterior")</f>
        <v>Día anterior</v>
      </c>
      <c r="C57" s="3" t="s">
        <v>75</v>
      </c>
      <c r="D57" t="s">
        <v>76</v>
      </c>
      <c r="E57" s="3" t="s">
        <v>177</v>
      </c>
      <c r="F57" s="3" t="s">
        <v>13</v>
      </c>
      <c r="G57" s="3" t="s">
        <v>178</v>
      </c>
      <c r="H57" s="3" t="s">
        <v>39</v>
      </c>
      <c r="I57" s="3" t="s">
        <v>18</v>
      </c>
      <c r="J57" s="3" t="s">
        <v>30</v>
      </c>
      <c r="K57" s="3" t="s">
        <v>79</v>
      </c>
      <c r="L57" s="3" t="s">
        <v>27</v>
      </c>
      <c r="M57">
        <v>1</v>
      </c>
    </row>
    <row r="58" spans="1:13" x14ac:dyDescent="0.25">
      <c r="A58" s="2">
        <v>46295</v>
      </c>
      <c r="B58" s="1" t="str">
        <f ca="1">IF(Información1[[#This Row],[Fecha]]='Ajuste de fechas'!$A$2,"Día actual","Día anterior")</f>
        <v>Día anterior</v>
      </c>
      <c r="C58" s="3" t="s">
        <v>75</v>
      </c>
      <c r="D58" t="s">
        <v>76</v>
      </c>
      <c r="E58" s="3" t="s">
        <v>179</v>
      </c>
      <c r="F58" s="3" t="s">
        <v>38</v>
      </c>
      <c r="G58" s="3" t="s">
        <v>121</v>
      </c>
      <c r="H58" s="3" t="s">
        <v>39</v>
      </c>
      <c r="I58" s="3" t="s">
        <v>7</v>
      </c>
      <c r="J58" s="3" t="s">
        <v>26</v>
      </c>
      <c r="K58" s="3" t="s">
        <v>77</v>
      </c>
      <c r="L58" s="3" t="s">
        <v>27</v>
      </c>
      <c r="M58">
        <v>1</v>
      </c>
    </row>
    <row r="59" spans="1:13" x14ac:dyDescent="0.25">
      <c r="A59" s="2">
        <v>46295</v>
      </c>
      <c r="B59" s="1" t="str">
        <f ca="1">IF(Información1[[#This Row],[Fecha]]='Ajuste de fechas'!$A$2,"Día actual","Día anterior")</f>
        <v>Día anterior</v>
      </c>
      <c r="C59" s="3" t="s">
        <v>75</v>
      </c>
      <c r="D59" t="s">
        <v>76</v>
      </c>
      <c r="E59" s="3" t="s">
        <v>180</v>
      </c>
      <c r="F59" s="3" t="s">
        <v>53</v>
      </c>
      <c r="G59" s="3" t="s">
        <v>154</v>
      </c>
      <c r="H59" s="3" t="s">
        <v>39</v>
      </c>
      <c r="I59" s="3" t="s">
        <v>7</v>
      </c>
      <c r="J59" s="3" t="s">
        <v>26</v>
      </c>
      <c r="K59" s="3" t="s">
        <v>79</v>
      </c>
      <c r="L59" s="3" t="s">
        <v>29</v>
      </c>
      <c r="M59">
        <v>1</v>
      </c>
    </row>
    <row r="60" spans="1:13" x14ac:dyDescent="0.25">
      <c r="A60" s="2">
        <v>46295</v>
      </c>
      <c r="B60" s="1" t="str">
        <f ca="1">IF(Información1[[#This Row],[Fecha]]='Ajuste de fechas'!$A$2,"Día actual","Día anterior")</f>
        <v>Día anterior</v>
      </c>
      <c r="C60" s="3" t="s">
        <v>75</v>
      </c>
      <c r="D60" t="s">
        <v>76</v>
      </c>
      <c r="E60" s="3" t="s">
        <v>181</v>
      </c>
      <c r="F60" s="3" t="s">
        <v>182</v>
      </c>
      <c r="G60" s="3" t="s">
        <v>183</v>
      </c>
      <c r="H60" s="3" t="s">
        <v>39</v>
      </c>
      <c r="I60" s="3" t="s">
        <v>7</v>
      </c>
      <c r="J60" s="3" t="s">
        <v>26</v>
      </c>
      <c r="K60" s="3" t="s">
        <v>77</v>
      </c>
      <c r="L60" s="3" t="s">
        <v>27</v>
      </c>
      <c r="M60">
        <v>1</v>
      </c>
    </row>
    <row r="61" spans="1:13" x14ac:dyDescent="0.25">
      <c r="A61" s="2">
        <v>46295</v>
      </c>
      <c r="B61" s="1" t="str">
        <f ca="1">IF(Información1[[#This Row],[Fecha]]='Ajuste de fechas'!$A$2,"Día actual","Día anterior")</f>
        <v>Día anterior</v>
      </c>
      <c r="C61" s="3" t="s">
        <v>75</v>
      </c>
      <c r="D61" t="s">
        <v>76</v>
      </c>
      <c r="E61" s="3" t="s">
        <v>184</v>
      </c>
      <c r="F61" s="3" t="s">
        <v>35</v>
      </c>
      <c r="G61" s="3" t="s">
        <v>63</v>
      </c>
      <c r="H61" s="3" t="s">
        <v>39</v>
      </c>
      <c r="I61" s="3" t="s">
        <v>7</v>
      </c>
      <c r="J61" s="3" t="s">
        <v>17</v>
      </c>
      <c r="K61" s="3" t="s">
        <v>79</v>
      </c>
      <c r="L61" s="3" t="s">
        <v>27</v>
      </c>
      <c r="M61">
        <v>1</v>
      </c>
    </row>
    <row r="62" spans="1:13" x14ac:dyDescent="0.25">
      <c r="A62" s="2">
        <v>46295</v>
      </c>
      <c r="B62" s="1" t="str">
        <f ca="1">IF(Información1[[#This Row],[Fecha]]='Ajuste de fechas'!$A$2,"Día actual","Día anterior")</f>
        <v>Día anterior</v>
      </c>
      <c r="C62" s="3" t="s">
        <v>75</v>
      </c>
      <c r="D62" t="s">
        <v>76</v>
      </c>
      <c r="E62" s="3" t="s">
        <v>185</v>
      </c>
      <c r="F62" s="3" t="s">
        <v>35</v>
      </c>
      <c r="G62" s="3" t="s">
        <v>186</v>
      </c>
      <c r="H62" s="3" t="s">
        <v>39</v>
      </c>
      <c r="I62" s="3" t="s">
        <v>7</v>
      </c>
      <c r="J62" s="3" t="s">
        <v>17</v>
      </c>
      <c r="K62" s="3" t="s">
        <v>77</v>
      </c>
      <c r="L62" s="3" t="s">
        <v>27</v>
      </c>
      <c r="M62">
        <v>1</v>
      </c>
    </row>
    <row r="63" spans="1:13" x14ac:dyDescent="0.25">
      <c r="A63" s="2">
        <v>46295</v>
      </c>
      <c r="B63" s="1" t="str">
        <f ca="1">IF(Información1[[#This Row],[Fecha]]='Ajuste de fechas'!$A$2,"Día actual","Día anterior")</f>
        <v>Día anterior</v>
      </c>
      <c r="C63" s="3" t="s">
        <v>75</v>
      </c>
      <c r="D63" t="s">
        <v>76</v>
      </c>
      <c r="E63" s="3" t="s">
        <v>187</v>
      </c>
      <c r="F63" s="3" t="s">
        <v>13</v>
      </c>
      <c r="G63" s="3" t="s">
        <v>74</v>
      </c>
      <c r="H63" s="3" t="s">
        <v>39</v>
      </c>
      <c r="I63" s="3" t="s">
        <v>7</v>
      </c>
      <c r="J63" s="3" t="s">
        <v>30</v>
      </c>
      <c r="K63" s="3" t="s">
        <v>77</v>
      </c>
      <c r="L63" s="3" t="s">
        <v>27</v>
      </c>
      <c r="M63">
        <v>1</v>
      </c>
    </row>
    <row r="64" spans="1:13" x14ac:dyDescent="0.25">
      <c r="A64" s="2">
        <v>46295</v>
      </c>
      <c r="B64" s="1" t="str">
        <f ca="1">IF(Información1[[#This Row],[Fecha]]='Ajuste de fechas'!$A$2,"Día actual","Día anterior")</f>
        <v>Día anterior</v>
      </c>
      <c r="C64" s="3" t="s">
        <v>75</v>
      </c>
      <c r="D64" t="s">
        <v>76</v>
      </c>
      <c r="E64" s="3" t="s">
        <v>188</v>
      </c>
      <c r="F64" s="3" t="s">
        <v>13</v>
      </c>
      <c r="G64" s="3" t="s">
        <v>189</v>
      </c>
      <c r="H64" s="3" t="s">
        <v>39</v>
      </c>
      <c r="I64" s="3" t="s">
        <v>18</v>
      </c>
      <c r="J64" s="3" t="s">
        <v>30</v>
      </c>
      <c r="K64" s="3" t="s">
        <v>77</v>
      </c>
      <c r="L64" s="3" t="s">
        <v>36</v>
      </c>
      <c r="M64">
        <v>1</v>
      </c>
    </row>
    <row r="65" spans="1:13" x14ac:dyDescent="0.25">
      <c r="A65" s="2">
        <v>46295</v>
      </c>
      <c r="B65" s="1" t="str">
        <f ca="1">IF(Información1[[#This Row],[Fecha]]='Ajuste de fechas'!$A$2,"Día actual","Día anterior")</f>
        <v>Día anterior</v>
      </c>
      <c r="C65" s="3" t="s">
        <v>75</v>
      </c>
      <c r="D65" t="s">
        <v>76</v>
      </c>
      <c r="E65" s="3" t="s">
        <v>190</v>
      </c>
      <c r="F65" s="3" t="s">
        <v>13</v>
      </c>
      <c r="G65" s="3" t="s">
        <v>78</v>
      </c>
      <c r="H65" s="3" t="s">
        <v>39</v>
      </c>
      <c r="I65" s="3" t="s">
        <v>7</v>
      </c>
      <c r="J65" s="3" t="s">
        <v>30</v>
      </c>
      <c r="K65" s="3" t="s">
        <v>79</v>
      </c>
      <c r="L65" s="3" t="s">
        <v>27</v>
      </c>
      <c r="M65">
        <v>1</v>
      </c>
    </row>
    <row r="66" spans="1:13" x14ac:dyDescent="0.25">
      <c r="A66" s="2">
        <v>46295</v>
      </c>
      <c r="B66" s="1" t="str">
        <f ca="1">IF(Información1[[#This Row],[Fecha]]='Ajuste de fechas'!$A$2,"Día actual","Día anterior")</f>
        <v>Día anterior</v>
      </c>
      <c r="C66" s="3" t="s">
        <v>75</v>
      </c>
      <c r="D66" t="s">
        <v>76</v>
      </c>
      <c r="E66" s="3" t="s">
        <v>191</v>
      </c>
      <c r="F66" s="3" t="s">
        <v>13</v>
      </c>
      <c r="G66" s="3" t="s">
        <v>192</v>
      </c>
      <c r="H66" s="3" t="s">
        <v>39</v>
      </c>
      <c r="I66" s="3" t="s">
        <v>18</v>
      </c>
      <c r="J66" s="3" t="s">
        <v>30</v>
      </c>
      <c r="K66" s="3" t="s">
        <v>77</v>
      </c>
      <c r="L66" s="3" t="s">
        <v>27</v>
      </c>
      <c r="M66">
        <v>1</v>
      </c>
    </row>
    <row r="67" spans="1:13" x14ac:dyDescent="0.25">
      <c r="A67" s="2">
        <v>46295</v>
      </c>
      <c r="B67" s="1" t="str">
        <f ca="1">IF(Información1[[#This Row],[Fecha]]='Ajuste de fechas'!$A$2,"Día actual","Día anterior")</f>
        <v>Día anterior</v>
      </c>
      <c r="C67" s="3" t="s">
        <v>75</v>
      </c>
      <c r="D67" t="s">
        <v>76</v>
      </c>
      <c r="E67" s="3" t="s">
        <v>193</v>
      </c>
      <c r="F67" s="3" t="s">
        <v>19</v>
      </c>
      <c r="G67" s="3" t="s">
        <v>72</v>
      </c>
      <c r="H67" s="3" t="s">
        <v>39</v>
      </c>
      <c r="I67" s="3" t="s">
        <v>7</v>
      </c>
      <c r="J67" s="3" t="s">
        <v>26</v>
      </c>
      <c r="K67" s="3" t="s">
        <v>79</v>
      </c>
      <c r="L67" s="3" t="s">
        <v>27</v>
      </c>
      <c r="M67">
        <v>1</v>
      </c>
    </row>
    <row r="68" spans="1:13" x14ac:dyDescent="0.25">
      <c r="A68" s="2">
        <v>46295</v>
      </c>
      <c r="B68" s="1" t="str">
        <f ca="1">IF(Información1[[#This Row],[Fecha]]='Ajuste de fechas'!$A$2,"Día actual","Día anterior")</f>
        <v>Día anterior</v>
      </c>
      <c r="C68" s="3" t="s">
        <v>75</v>
      </c>
      <c r="D68" t="s">
        <v>76</v>
      </c>
      <c r="E68" s="3" t="s">
        <v>194</v>
      </c>
      <c r="F68" s="3" t="s">
        <v>13</v>
      </c>
      <c r="G68" s="3" t="s">
        <v>195</v>
      </c>
      <c r="H68" s="3" t="s">
        <v>39</v>
      </c>
      <c r="I68" s="3" t="s">
        <v>7</v>
      </c>
      <c r="J68" s="3" t="s">
        <v>30</v>
      </c>
      <c r="K68" s="3" t="s">
        <v>77</v>
      </c>
      <c r="L68" s="3" t="s">
        <v>27</v>
      </c>
      <c r="M68">
        <v>1</v>
      </c>
    </row>
    <row r="69" spans="1:13" x14ac:dyDescent="0.25">
      <c r="A69" s="2">
        <v>46295</v>
      </c>
      <c r="B69" s="1" t="str">
        <f ca="1">IF(Información1[[#This Row],[Fecha]]='Ajuste de fechas'!$A$2,"Día actual","Día anterior")</f>
        <v>Día anterior</v>
      </c>
      <c r="C69" s="3" t="s">
        <v>65</v>
      </c>
      <c r="D69" t="s">
        <v>66</v>
      </c>
      <c r="E69" s="3" t="s">
        <v>196</v>
      </c>
      <c r="F69" s="3" t="s">
        <v>85</v>
      </c>
      <c r="G69" s="3" t="s">
        <v>86</v>
      </c>
      <c r="H69" s="3" t="s">
        <v>68</v>
      </c>
      <c r="I69" s="3" t="s">
        <v>7</v>
      </c>
      <c r="J69" s="3" t="s">
        <v>17</v>
      </c>
      <c r="K69" s="3" t="s">
        <v>71</v>
      </c>
      <c r="L69" s="3" t="s">
        <v>28</v>
      </c>
      <c r="M69">
        <v>1</v>
      </c>
    </row>
    <row r="70" spans="1:13" x14ac:dyDescent="0.25">
      <c r="A70" s="2">
        <v>46295</v>
      </c>
      <c r="B70" s="1" t="str">
        <f ca="1">IF(Información1[[#This Row],[Fecha]]='Ajuste de fechas'!$A$2,"Día actual","Día anterior")</f>
        <v>Día anterior</v>
      </c>
      <c r="C70" s="3" t="s">
        <v>65</v>
      </c>
      <c r="D70" t="s">
        <v>66</v>
      </c>
      <c r="E70" s="3" t="s">
        <v>197</v>
      </c>
      <c r="F70" s="3" t="s">
        <v>13</v>
      </c>
      <c r="G70" s="3" t="s">
        <v>63</v>
      </c>
      <c r="H70" s="3" t="s">
        <v>68</v>
      </c>
      <c r="I70" s="3" t="s">
        <v>10</v>
      </c>
      <c r="J70" s="3" t="s">
        <v>30</v>
      </c>
      <c r="K70" s="3" t="s">
        <v>163</v>
      </c>
      <c r="L70" s="3" t="s">
        <v>84</v>
      </c>
      <c r="M70">
        <v>1</v>
      </c>
    </row>
    <row r="71" spans="1:13" x14ac:dyDescent="0.25">
      <c r="A71" s="2">
        <v>46295</v>
      </c>
      <c r="B71" s="1" t="str">
        <f ca="1">IF(Información1[[#This Row],[Fecha]]='Ajuste de fechas'!$A$2,"Día actual","Día anterior")</f>
        <v>Día anterior</v>
      </c>
      <c r="C71" s="3" t="s">
        <v>65</v>
      </c>
      <c r="D71" t="s">
        <v>66</v>
      </c>
      <c r="E71" s="3" t="s">
        <v>166</v>
      </c>
      <c r="F71" s="3" t="s">
        <v>67</v>
      </c>
      <c r="G71" s="3" t="s">
        <v>167</v>
      </c>
      <c r="H71" s="3" t="s">
        <v>68</v>
      </c>
      <c r="I71" s="3" t="s">
        <v>7</v>
      </c>
      <c r="J71" s="3" t="s">
        <v>69</v>
      </c>
      <c r="K71" s="3" t="s">
        <v>71</v>
      </c>
      <c r="L71" s="3" t="s">
        <v>27</v>
      </c>
      <c r="M71">
        <v>1</v>
      </c>
    </row>
    <row r="72" spans="1:13" x14ac:dyDescent="0.25">
      <c r="A72" s="2">
        <v>46295</v>
      </c>
      <c r="B72" s="1" t="str">
        <f ca="1">IF(Información1[[#This Row],[Fecha]]='Ajuste de fechas'!$A$2,"Día actual","Día anterior")</f>
        <v>Día anterior</v>
      </c>
      <c r="C72" s="3" t="s">
        <v>65</v>
      </c>
      <c r="D72" t="s">
        <v>66</v>
      </c>
      <c r="E72" s="3" t="s">
        <v>198</v>
      </c>
      <c r="F72" s="3" t="s">
        <v>89</v>
      </c>
      <c r="G72" s="3" t="s">
        <v>112</v>
      </c>
      <c r="H72" s="3" t="s">
        <v>68</v>
      </c>
      <c r="I72" s="3" t="s">
        <v>7</v>
      </c>
      <c r="J72" s="3" t="s">
        <v>26</v>
      </c>
      <c r="K72" s="3" t="s">
        <v>71</v>
      </c>
      <c r="L72" s="3" t="s">
        <v>29</v>
      </c>
      <c r="M72">
        <v>1</v>
      </c>
    </row>
    <row r="73" spans="1:13" x14ac:dyDescent="0.25">
      <c r="A73" s="2">
        <v>46295</v>
      </c>
      <c r="B73" s="1" t="str">
        <f ca="1">IF(Información1[[#This Row],[Fecha]]='Ajuste de fechas'!$A$2,"Día actual","Día anterior")</f>
        <v>Día anterior</v>
      </c>
      <c r="C73" s="3" t="s">
        <v>65</v>
      </c>
      <c r="D73" t="s">
        <v>66</v>
      </c>
      <c r="E73" s="3" t="s">
        <v>199</v>
      </c>
      <c r="F73" s="3" t="s">
        <v>19</v>
      </c>
      <c r="G73" s="3" t="s">
        <v>110</v>
      </c>
      <c r="H73" s="3" t="s">
        <v>68</v>
      </c>
      <c r="I73" s="3" t="s">
        <v>7</v>
      </c>
      <c r="J73" s="3" t="s">
        <v>26</v>
      </c>
      <c r="K73" s="3" t="s">
        <v>71</v>
      </c>
      <c r="L73" s="3" t="s">
        <v>29</v>
      </c>
      <c r="M73">
        <v>1</v>
      </c>
    </row>
    <row r="74" spans="1:13" x14ac:dyDescent="0.25">
      <c r="A74" s="2">
        <v>46295</v>
      </c>
      <c r="B74" s="1" t="str">
        <f ca="1">IF(Información1[[#This Row],[Fecha]]='Ajuste de fechas'!$A$2,"Día actual","Día anterior")</f>
        <v>Día anterior</v>
      </c>
      <c r="C74" s="3" t="s">
        <v>65</v>
      </c>
      <c r="D74" t="s">
        <v>66</v>
      </c>
      <c r="E74" s="3" t="s">
        <v>200</v>
      </c>
      <c r="F74" s="3" t="s">
        <v>16</v>
      </c>
      <c r="G74" s="3" t="s">
        <v>88</v>
      </c>
      <c r="H74" s="3" t="s">
        <v>68</v>
      </c>
      <c r="I74" s="3" t="s">
        <v>7</v>
      </c>
      <c r="J74" s="3" t="s">
        <v>26</v>
      </c>
      <c r="K74" s="3" t="s">
        <v>71</v>
      </c>
      <c r="L74" s="3" t="s">
        <v>27</v>
      </c>
      <c r="M74">
        <v>1</v>
      </c>
    </row>
    <row r="75" spans="1:13" x14ac:dyDescent="0.25">
      <c r="A75" s="2">
        <v>46295</v>
      </c>
      <c r="B75" s="1" t="str">
        <f ca="1">IF(Información1[[#This Row],[Fecha]]='Ajuste de fechas'!$A$2,"Día actual","Día anterior")</f>
        <v>Día anterior</v>
      </c>
      <c r="C75" s="3" t="s">
        <v>65</v>
      </c>
      <c r="D75" t="s">
        <v>66</v>
      </c>
      <c r="E75" s="3" t="s">
        <v>201</v>
      </c>
      <c r="F75" s="3" t="s">
        <v>67</v>
      </c>
      <c r="G75" s="3" t="s">
        <v>202</v>
      </c>
      <c r="H75" s="3" t="s">
        <v>68</v>
      </c>
      <c r="I75" s="3" t="s">
        <v>7</v>
      </c>
      <c r="J75" s="3" t="s">
        <v>69</v>
      </c>
      <c r="K75" s="3" t="s">
        <v>71</v>
      </c>
      <c r="L75" s="3" t="s">
        <v>27</v>
      </c>
      <c r="M75">
        <v>1</v>
      </c>
    </row>
    <row r="76" spans="1:13" x14ac:dyDescent="0.25">
      <c r="A76" s="2">
        <v>46295</v>
      </c>
      <c r="B76" s="1" t="str">
        <f ca="1">IF(Información1[[#This Row],[Fecha]]='Ajuste de fechas'!$A$2,"Día actual","Día anterior")</f>
        <v>Día anterior</v>
      </c>
      <c r="C76" s="3" t="s">
        <v>65</v>
      </c>
      <c r="D76" t="s">
        <v>66</v>
      </c>
      <c r="E76" s="3" t="s">
        <v>203</v>
      </c>
      <c r="F76" s="3" t="s">
        <v>15</v>
      </c>
      <c r="G76" s="3" t="s">
        <v>204</v>
      </c>
      <c r="H76" s="3" t="s">
        <v>68</v>
      </c>
      <c r="I76" s="3" t="s">
        <v>7</v>
      </c>
      <c r="J76" s="3" t="s">
        <v>31</v>
      </c>
      <c r="K76" s="3" t="s">
        <v>71</v>
      </c>
      <c r="L76" s="3" t="s">
        <v>27</v>
      </c>
      <c r="M76">
        <v>1</v>
      </c>
    </row>
    <row r="77" spans="1:13" x14ac:dyDescent="0.25">
      <c r="A77" s="2">
        <v>46295</v>
      </c>
      <c r="B77" s="1" t="str">
        <f ca="1">IF(Información1[[#This Row],[Fecha]]='Ajuste de fechas'!$A$2,"Día actual","Día anterior")</f>
        <v>Día anterior</v>
      </c>
      <c r="C77" s="3" t="s">
        <v>65</v>
      </c>
      <c r="D77" t="s">
        <v>66</v>
      </c>
      <c r="E77" s="3" t="s">
        <v>205</v>
      </c>
      <c r="F77" s="3" t="s">
        <v>13</v>
      </c>
      <c r="G77" s="3" t="s">
        <v>206</v>
      </c>
      <c r="H77" s="3" t="s">
        <v>68</v>
      </c>
      <c r="I77" s="3" t="s">
        <v>18</v>
      </c>
      <c r="J77" s="3" t="s">
        <v>30</v>
      </c>
      <c r="K77" s="3" t="s">
        <v>71</v>
      </c>
      <c r="L77" s="3" t="s">
        <v>27</v>
      </c>
      <c r="M77">
        <v>1</v>
      </c>
    </row>
    <row r="78" spans="1:13" x14ac:dyDescent="0.25">
      <c r="A78" s="2">
        <v>46295</v>
      </c>
      <c r="B78" s="1" t="str">
        <f ca="1">IF(Información1[[#This Row],[Fecha]]='Ajuste de fechas'!$A$2,"Día actual","Día anterior")</f>
        <v>Día anterior</v>
      </c>
      <c r="C78" s="3" t="s">
        <v>65</v>
      </c>
      <c r="D78" t="s">
        <v>66</v>
      </c>
      <c r="E78" s="3" t="s">
        <v>207</v>
      </c>
      <c r="F78" s="3" t="s">
        <v>13</v>
      </c>
      <c r="G78" s="3" t="s">
        <v>107</v>
      </c>
      <c r="H78" s="3" t="s">
        <v>68</v>
      </c>
      <c r="I78" s="3" t="s">
        <v>7</v>
      </c>
      <c r="J78" s="3" t="s">
        <v>30</v>
      </c>
      <c r="K78" s="3" t="s">
        <v>71</v>
      </c>
      <c r="L78" s="3" t="s">
        <v>27</v>
      </c>
      <c r="M78">
        <v>1</v>
      </c>
    </row>
    <row r="79" spans="1:13" x14ac:dyDescent="0.25">
      <c r="A79" s="2">
        <v>46295</v>
      </c>
      <c r="B79" s="1" t="str">
        <f ca="1">IF(Información1[[#This Row],[Fecha]]='Ajuste de fechas'!$A$2,"Día actual","Día anterior")</f>
        <v>Día anterior</v>
      </c>
      <c r="C79" s="3" t="s">
        <v>65</v>
      </c>
      <c r="D79" t="s">
        <v>66</v>
      </c>
      <c r="E79" s="3" t="s">
        <v>208</v>
      </c>
      <c r="F79" s="3" t="s">
        <v>13</v>
      </c>
      <c r="G79" s="3" t="s">
        <v>78</v>
      </c>
      <c r="H79" s="3" t="s">
        <v>68</v>
      </c>
      <c r="I79" s="3" t="s">
        <v>7</v>
      </c>
      <c r="J79" s="3" t="s">
        <v>30</v>
      </c>
      <c r="K79" s="3" t="s">
        <v>70</v>
      </c>
      <c r="L79" s="3" t="s">
        <v>27</v>
      </c>
      <c r="M79">
        <v>1</v>
      </c>
    </row>
    <row r="80" spans="1:13" x14ac:dyDescent="0.25">
      <c r="A80" s="2">
        <v>46296</v>
      </c>
      <c r="B80" s="1" t="str">
        <f ca="1">IF(Información1[[#This Row],[Fecha]]='Ajuste de fechas'!$A$2,"Día actual","Día anterior")</f>
        <v>Día actual</v>
      </c>
      <c r="C80" s="3" t="s">
        <v>44</v>
      </c>
      <c r="D80" t="s">
        <v>45</v>
      </c>
      <c r="E80" s="3" t="s">
        <v>209</v>
      </c>
      <c r="F80" s="3" t="s">
        <v>15</v>
      </c>
      <c r="G80" s="3" t="s">
        <v>210</v>
      </c>
      <c r="H80" s="3" t="s">
        <v>39</v>
      </c>
      <c r="I80" s="3" t="s">
        <v>7</v>
      </c>
      <c r="J80" s="3" t="s">
        <v>31</v>
      </c>
      <c r="K80" s="3" t="s">
        <v>46</v>
      </c>
      <c r="L80" s="3" t="s">
        <v>28</v>
      </c>
      <c r="M80">
        <v>1</v>
      </c>
    </row>
    <row r="81" spans="1:13" x14ac:dyDescent="0.25">
      <c r="A81" s="2">
        <v>46296</v>
      </c>
      <c r="B81" s="1" t="str">
        <f ca="1">IF(Información1[[#This Row],[Fecha]]='Ajuste de fechas'!$A$2,"Día actual","Día anterior")</f>
        <v>Día actual</v>
      </c>
      <c r="C81" s="3" t="s">
        <v>44</v>
      </c>
      <c r="D81" t="s">
        <v>45</v>
      </c>
      <c r="E81" s="3" t="s">
        <v>211</v>
      </c>
      <c r="F81" s="3" t="s">
        <v>15</v>
      </c>
      <c r="G81" s="3" t="s">
        <v>210</v>
      </c>
      <c r="H81" s="3" t="s">
        <v>39</v>
      </c>
      <c r="I81" s="3" t="s">
        <v>7</v>
      </c>
      <c r="J81" s="3" t="s">
        <v>31</v>
      </c>
      <c r="K81" s="3" t="s">
        <v>46</v>
      </c>
      <c r="L81" s="3" t="s">
        <v>27</v>
      </c>
      <c r="M81">
        <v>1</v>
      </c>
    </row>
    <row r="82" spans="1:13" x14ac:dyDescent="0.25">
      <c r="A82" s="2">
        <v>46296</v>
      </c>
      <c r="B82" s="1" t="str">
        <f ca="1">IF(Información1[[#This Row],[Fecha]]='Ajuste de fechas'!$A$2,"Día actual","Día anterior")</f>
        <v>Día actual</v>
      </c>
      <c r="C82" s="3" t="s">
        <v>44</v>
      </c>
      <c r="D82" t="s">
        <v>45</v>
      </c>
      <c r="E82" s="3" t="s">
        <v>212</v>
      </c>
      <c r="F82" s="3" t="s">
        <v>17</v>
      </c>
      <c r="G82" s="3" t="s">
        <v>213</v>
      </c>
      <c r="H82" s="3" t="s">
        <v>39</v>
      </c>
      <c r="I82" s="3" t="s">
        <v>7</v>
      </c>
      <c r="J82" s="3" t="s">
        <v>17</v>
      </c>
      <c r="K82" s="3" t="s">
        <v>46</v>
      </c>
      <c r="L82" s="3" t="s">
        <v>27</v>
      </c>
      <c r="M82">
        <v>1</v>
      </c>
    </row>
    <row r="83" spans="1:13" x14ac:dyDescent="0.25">
      <c r="A83" s="2">
        <v>46296</v>
      </c>
      <c r="B83" s="1" t="str">
        <f ca="1">IF(Información1[[#This Row],[Fecha]]='Ajuste de fechas'!$A$2,"Día actual","Día anterior")</f>
        <v>Día actual</v>
      </c>
      <c r="C83" s="3" t="s">
        <v>44</v>
      </c>
      <c r="D83" t="s">
        <v>138</v>
      </c>
      <c r="E83" s="3" t="s">
        <v>214</v>
      </c>
      <c r="F83" s="3" t="s">
        <v>15</v>
      </c>
      <c r="G83" s="3" t="s">
        <v>210</v>
      </c>
      <c r="H83" s="3" t="s">
        <v>39</v>
      </c>
      <c r="I83" s="3" t="s">
        <v>7</v>
      </c>
      <c r="J83" s="3" t="s">
        <v>31</v>
      </c>
      <c r="K83" s="3" t="s">
        <v>140</v>
      </c>
      <c r="L83" s="3" t="s">
        <v>27</v>
      </c>
      <c r="M83">
        <v>1</v>
      </c>
    </row>
    <row r="84" spans="1:13" x14ac:dyDescent="0.25">
      <c r="A84" s="2">
        <v>46296</v>
      </c>
      <c r="B84" s="1" t="str">
        <f ca="1">IF(Información1[[#This Row],[Fecha]]='Ajuste de fechas'!$A$2,"Día actual","Día anterior")</f>
        <v>Día actual</v>
      </c>
      <c r="C84" s="3" t="s">
        <v>44</v>
      </c>
      <c r="D84" t="s">
        <v>138</v>
      </c>
      <c r="E84" s="3" t="s">
        <v>212</v>
      </c>
      <c r="F84" s="3" t="s">
        <v>17</v>
      </c>
      <c r="G84" s="3" t="s">
        <v>213</v>
      </c>
      <c r="H84" s="3" t="s">
        <v>39</v>
      </c>
      <c r="I84" s="3" t="s">
        <v>7</v>
      </c>
      <c r="J84" s="3" t="s">
        <v>17</v>
      </c>
      <c r="K84" s="3" t="s">
        <v>140</v>
      </c>
      <c r="L84" s="3" t="s">
        <v>27</v>
      </c>
      <c r="M84">
        <v>1</v>
      </c>
    </row>
    <row r="85" spans="1:13" x14ac:dyDescent="0.25">
      <c r="A85" s="2">
        <v>46296</v>
      </c>
      <c r="B85" s="1" t="str">
        <f ca="1">IF(Información1[[#This Row],[Fecha]]='Ajuste de fechas'!$A$2,"Día actual","Día anterior")</f>
        <v>Día actual</v>
      </c>
      <c r="C85" s="3" t="s">
        <v>80</v>
      </c>
      <c r="D85" t="s">
        <v>81</v>
      </c>
      <c r="E85" s="3" t="s">
        <v>215</v>
      </c>
      <c r="F85" s="3" t="s">
        <v>59</v>
      </c>
      <c r="G85" s="3" t="s">
        <v>119</v>
      </c>
      <c r="H85" s="3" t="s">
        <v>39</v>
      </c>
      <c r="I85" s="3" t="s">
        <v>7</v>
      </c>
      <c r="J85" s="3" t="s">
        <v>26</v>
      </c>
      <c r="K85" s="3" t="s">
        <v>82</v>
      </c>
      <c r="L85" s="3" t="s">
        <v>29</v>
      </c>
      <c r="M85">
        <v>1</v>
      </c>
    </row>
    <row r="86" spans="1:13" x14ac:dyDescent="0.25">
      <c r="A86" s="2">
        <v>46296</v>
      </c>
      <c r="B86" s="1" t="str">
        <f ca="1">IF(Información1[[#This Row],[Fecha]]='Ajuste de fechas'!$A$2,"Día actual","Día anterior")</f>
        <v>Día actual</v>
      </c>
      <c r="C86" s="3" t="s">
        <v>44</v>
      </c>
      <c r="D86" t="s">
        <v>45</v>
      </c>
      <c r="E86" s="3" t="s">
        <v>216</v>
      </c>
      <c r="F86" s="3" t="s">
        <v>51</v>
      </c>
      <c r="G86" s="3" t="s">
        <v>217</v>
      </c>
      <c r="H86" s="3" t="s">
        <v>39</v>
      </c>
      <c r="I86" s="3" t="s">
        <v>7</v>
      </c>
      <c r="J86" s="3" t="s">
        <v>26</v>
      </c>
      <c r="K86" s="3" t="s">
        <v>46</v>
      </c>
      <c r="L86" s="3" t="s">
        <v>27</v>
      </c>
      <c r="M86">
        <v>1</v>
      </c>
    </row>
    <row r="87" spans="1:13" x14ac:dyDescent="0.25">
      <c r="A87" s="2">
        <v>46296</v>
      </c>
      <c r="B87" s="1" t="str">
        <f ca="1">IF(Información1[[#This Row],[Fecha]]='Ajuste de fechas'!$A$2,"Día actual","Día anterior")</f>
        <v>Día actual</v>
      </c>
      <c r="C87" s="3" t="s">
        <v>44</v>
      </c>
      <c r="D87" t="s">
        <v>45</v>
      </c>
      <c r="E87" s="3" t="s">
        <v>218</v>
      </c>
      <c r="F87" s="3" t="s">
        <v>37</v>
      </c>
      <c r="G87" s="3" t="s">
        <v>219</v>
      </c>
      <c r="H87" s="3" t="s">
        <v>39</v>
      </c>
      <c r="I87" s="3" t="s">
        <v>7</v>
      </c>
      <c r="J87" s="3" t="s">
        <v>26</v>
      </c>
      <c r="K87" s="3" t="s">
        <v>46</v>
      </c>
      <c r="L87" s="3" t="s">
        <v>27</v>
      </c>
      <c r="M87">
        <v>1</v>
      </c>
    </row>
    <row r="88" spans="1:13" x14ac:dyDescent="0.25">
      <c r="A88" s="2">
        <v>46296</v>
      </c>
      <c r="B88" s="1" t="str">
        <f ca="1">IF(Información1[[#This Row],[Fecha]]='Ajuste de fechas'!$A$2,"Día actual","Día anterior")</f>
        <v>Día actual</v>
      </c>
      <c r="C88" s="3" t="s">
        <v>44</v>
      </c>
      <c r="D88" t="s">
        <v>45</v>
      </c>
      <c r="E88" s="3" t="s">
        <v>220</v>
      </c>
      <c r="F88" s="3" t="s">
        <v>59</v>
      </c>
      <c r="G88" s="3" t="s">
        <v>221</v>
      </c>
      <c r="H88" s="3" t="s">
        <v>39</v>
      </c>
      <c r="I88" s="3" t="s">
        <v>7</v>
      </c>
      <c r="J88" s="3" t="s">
        <v>26</v>
      </c>
      <c r="K88" s="3" t="s">
        <v>46</v>
      </c>
      <c r="L88" s="3" t="s">
        <v>27</v>
      </c>
      <c r="M88">
        <v>1</v>
      </c>
    </row>
    <row r="89" spans="1:13" x14ac:dyDescent="0.25">
      <c r="A89" s="2">
        <v>46296</v>
      </c>
      <c r="B89" s="1" t="str">
        <f ca="1">IF(Información1[[#This Row],[Fecha]]='Ajuste de fechas'!$A$2,"Día actual","Día anterior")</f>
        <v>Día actual</v>
      </c>
      <c r="C89" s="3" t="s">
        <v>44</v>
      </c>
      <c r="D89" t="s">
        <v>45</v>
      </c>
      <c r="E89" s="3" t="s">
        <v>222</v>
      </c>
      <c r="F89" s="3" t="s">
        <v>151</v>
      </c>
      <c r="G89" s="3" t="s">
        <v>223</v>
      </c>
      <c r="H89" s="3" t="s">
        <v>39</v>
      </c>
      <c r="I89" s="3" t="s">
        <v>7</v>
      </c>
      <c r="J89" s="3" t="s">
        <v>26</v>
      </c>
      <c r="K89" s="3" t="s">
        <v>46</v>
      </c>
      <c r="L89" s="3" t="s">
        <v>27</v>
      </c>
      <c r="M89">
        <v>1</v>
      </c>
    </row>
    <row r="90" spans="1:13" x14ac:dyDescent="0.25">
      <c r="A90" s="2">
        <v>46296</v>
      </c>
      <c r="B90" s="1" t="str">
        <f ca="1">IF(Información1[[#This Row],[Fecha]]='Ajuste de fechas'!$A$2,"Día actual","Día anterior")</f>
        <v>Día actual</v>
      </c>
      <c r="C90" s="3" t="s">
        <v>44</v>
      </c>
      <c r="D90" t="s">
        <v>45</v>
      </c>
      <c r="E90" s="3" t="s">
        <v>224</v>
      </c>
      <c r="F90" s="3" t="s">
        <v>47</v>
      </c>
      <c r="G90" s="3" t="s">
        <v>103</v>
      </c>
      <c r="H90" s="3" t="s">
        <v>39</v>
      </c>
      <c r="I90" s="3" t="s">
        <v>7</v>
      </c>
      <c r="J90" s="3" t="s">
        <v>26</v>
      </c>
      <c r="K90" s="3" t="s">
        <v>46</v>
      </c>
      <c r="L90" s="3" t="s">
        <v>27</v>
      </c>
      <c r="M90">
        <v>1</v>
      </c>
    </row>
    <row r="91" spans="1:13" x14ac:dyDescent="0.25">
      <c r="A91" s="2">
        <v>46296</v>
      </c>
      <c r="B91" s="1" t="str">
        <f ca="1">IF(Información1[[#This Row],[Fecha]]='Ajuste de fechas'!$A$2,"Día actual","Día anterior")</f>
        <v>Día actual</v>
      </c>
      <c r="C91" s="3" t="s">
        <v>44</v>
      </c>
      <c r="D91" t="s">
        <v>45</v>
      </c>
      <c r="E91" s="3" t="s">
        <v>225</v>
      </c>
      <c r="F91" s="3" t="s">
        <v>14</v>
      </c>
      <c r="G91" s="3" t="s">
        <v>226</v>
      </c>
      <c r="H91" s="3" t="s">
        <v>39</v>
      </c>
      <c r="I91" s="3" t="s">
        <v>7</v>
      </c>
      <c r="J91" s="3" t="s">
        <v>26</v>
      </c>
      <c r="K91" s="3" t="s">
        <v>46</v>
      </c>
      <c r="L91" s="3" t="s">
        <v>27</v>
      </c>
      <c r="M91">
        <v>1</v>
      </c>
    </row>
    <row r="92" spans="1:13" x14ac:dyDescent="0.25">
      <c r="A92" s="2">
        <v>46296</v>
      </c>
      <c r="B92" s="1" t="str">
        <f ca="1">IF(Información1[[#This Row],[Fecha]]='Ajuste de fechas'!$A$2,"Día actual","Día anterior")</f>
        <v>Día actual</v>
      </c>
      <c r="C92" s="3" t="s">
        <v>44</v>
      </c>
      <c r="D92" t="s">
        <v>45</v>
      </c>
      <c r="E92" s="3" t="s">
        <v>227</v>
      </c>
      <c r="F92" s="3" t="s">
        <v>13</v>
      </c>
      <c r="G92" s="3" t="s">
        <v>107</v>
      </c>
      <c r="H92" s="3" t="s">
        <v>39</v>
      </c>
      <c r="I92" s="3" t="s">
        <v>7</v>
      </c>
      <c r="J92" s="3" t="s">
        <v>30</v>
      </c>
      <c r="K92" s="3" t="s">
        <v>46</v>
      </c>
      <c r="L92" s="3" t="s">
        <v>27</v>
      </c>
      <c r="M92">
        <v>1</v>
      </c>
    </row>
    <row r="93" spans="1:13" x14ac:dyDescent="0.25">
      <c r="A93" s="2">
        <v>46296</v>
      </c>
      <c r="B93" s="1" t="str">
        <f ca="1">IF(Información1[[#This Row],[Fecha]]='Ajuste de fechas'!$A$2,"Día actual","Día anterior")</f>
        <v>Día actual</v>
      </c>
      <c r="C93" s="3" t="s">
        <v>44</v>
      </c>
      <c r="D93" t="s">
        <v>45</v>
      </c>
      <c r="E93" s="3" t="s">
        <v>228</v>
      </c>
      <c r="F93" s="3" t="s">
        <v>17</v>
      </c>
      <c r="G93" s="3" t="s">
        <v>229</v>
      </c>
      <c r="H93" s="3" t="s">
        <v>39</v>
      </c>
      <c r="I93" s="3" t="s">
        <v>7</v>
      </c>
      <c r="J93" s="3" t="s">
        <v>17</v>
      </c>
      <c r="K93" s="3" t="s">
        <v>46</v>
      </c>
      <c r="L93" s="3" t="s">
        <v>27</v>
      </c>
      <c r="M93">
        <v>1</v>
      </c>
    </row>
    <row r="94" spans="1:13" x14ac:dyDescent="0.25">
      <c r="A94" s="2">
        <v>46296</v>
      </c>
      <c r="B94" s="1" t="str">
        <f ca="1">IF(Información1[[#This Row],[Fecha]]='Ajuste de fechas'!$A$2,"Día actual","Día anterior")</f>
        <v>Día actual</v>
      </c>
      <c r="C94" s="3" t="s">
        <v>44</v>
      </c>
      <c r="D94" t="s">
        <v>45</v>
      </c>
      <c r="E94" s="3" t="s">
        <v>230</v>
      </c>
      <c r="F94" s="3" t="s">
        <v>51</v>
      </c>
      <c r="G94" s="3" t="s">
        <v>115</v>
      </c>
      <c r="H94" s="3" t="s">
        <v>39</v>
      </c>
      <c r="I94" s="3" t="s">
        <v>7</v>
      </c>
      <c r="J94" s="3" t="s">
        <v>26</v>
      </c>
      <c r="K94" s="3" t="s">
        <v>46</v>
      </c>
      <c r="L94" s="3" t="s">
        <v>27</v>
      </c>
      <c r="M94">
        <v>1</v>
      </c>
    </row>
    <row r="95" spans="1:13" x14ac:dyDescent="0.25">
      <c r="A95" s="2">
        <v>46296</v>
      </c>
      <c r="B95" s="1" t="str">
        <f ca="1">IF(Información1[[#This Row],[Fecha]]='Ajuste de fechas'!$A$2,"Día actual","Día anterior")</f>
        <v>Día actual</v>
      </c>
      <c r="C95" s="3" t="s">
        <v>44</v>
      </c>
      <c r="D95" t="s">
        <v>45</v>
      </c>
      <c r="E95" s="3" t="s">
        <v>231</v>
      </c>
      <c r="F95" s="3" t="s">
        <v>59</v>
      </c>
      <c r="G95" s="3" t="s">
        <v>119</v>
      </c>
      <c r="H95" s="3" t="s">
        <v>39</v>
      </c>
      <c r="I95" s="3" t="s">
        <v>7</v>
      </c>
      <c r="J95" s="3" t="s">
        <v>26</v>
      </c>
      <c r="K95" s="3" t="s">
        <v>46</v>
      </c>
      <c r="L95" s="3" t="s">
        <v>27</v>
      </c>
      <c r="M95">
        <v>1</v>
      </c>
    </row>
    <row r="96" spans="1:13" x14ac:dyDescent="0.25">
      <c r="A96" s="2">
        <v>46296</v>
      </c>
      <c r="B96" s="1" t="str">
        <f ca="1">IF(Información1[[#This Row],[Fecha]]='Ajuste de fechas'!$A$2,"Día actual","Día anterior")</f>
        <v>Día actual</v>
      </c>
      <c r="C96" s="3" t="s">
        <v>44</v>
      </c>
      <c r="D96" t="s">
        <v>45</v>
      </c>
      <c r="E96" s="3" t="s">
        <v>232</v>
      </c>
      <c r="F96" s="3" t="s">
        <v>35</v>
      </c>
      <c r="G96" s="3" t="s">
        <v>56</v>
      </c>
      <c r="H96" s="3" t="s">
        <v>39</v>
      </c>
      <c r="I96" s="3" t="s">
        <v>7</v>
      </c>
      <c r="J96" s="3" t="s">
        <v>17</v>
      </c>
      <c r="K96" s="3" t="s">
        <v>46</v>
      </c>
      <c r="L96" s="3" t="s">
        <v>27</v>
      </c>
      <c r="M96">
        <v>1</v>
      </c>
    </row>
    <row r="97" spans="1:13" x14ac:dyDescent="0.25">
      <c r="A97" s="2">
        <v>46296</v>
      </c>
      <c r="B97" s="1" t="str">
        <f ca="1">IF(Información1[[#This Row],[Fecha]]='Ajuste de fechas'!$A$2,"Día actual","Día anterior")</f>
        <v>Día actual</v>
      </c>
      <c r="C97" s="3" t="s">
        <v>44</v>
      </c>
      <c r="D97" t="s">
        <v>45</v>
      </c>
      <c r="E97" s="3" t="s">
        <v>233</v>
      </c>
      <c r="F97" s="3" t="s">
        <v>15</v>
      </c>
      <c r="G97" s="3" t="s">
        <v>234</v>
      </c>
      <c r="H97" s="3" t="s">
        <v>39</v>
      </c>
      <c r="I97" s="3" t="s">
        <v>7</v>
      </c>
      <c r="J97" s="3" t="s">
        <v>31</v>
      </c>
      <c r="K97" s="3" t="s">
        <v>46</v>
      </c>
      <c r="L97" s="3" t="s">
        <v>27</v>
      </c>
      <c r="M97">
        <v>1</v>
      </c>
    </row>
    <row r="98" spans="1:13" x14ac:dyDescent="0.25">
      <c r="A98" s="2">
        <v>46296</v>
      </c>
      <c r="B98" s="1" t="str">
        <f ca="1">IF(Información1[[#This Row],[Fecha]]='Ajuste de fechas'!$A$2,"Día actual","Día anterior")</f>
        <v>Día actual</v>
      </c>
      <c r="C98" s="3" t="s">
        <v>44</v>
      </c>
      <c r="D98" t="s">
        <v>45</v>
      </c>
      <c r="E98" s="3" t="s">
        <v>235</v>
      </c>
      <c r="F98" s="3" t="s">
        <v>13</v>
      </c>
      <c r="G98" s="3" t="s">
        <v>236</v>
      </c>
      <c r="H98" s="3" t="s">
        <v>39</v>
      </c>
      <c r="I98" s="3" t="s">
        <v>7</v>
      </c>
      <c r="J98" s="3" t="s">
        <v>30</v>
      </c>
      <c r="K98" s="3" t="s">
        <v>46</v>
      </c>
      <c r="L98" s="3" t="s">
        <v>27</v>
      </c>
      <c r="M98">
        <v>1</v>
      </c>
    </row>
    <row r="99" spans="1:13" x14ac:dyDescent="0.25">
      <c r="A99" s="2">
        <v>46296</v>
      </c>
      <c r="B99" s="1" t="str">
        <f ca="1">IF(Información1[[#This Row],[Fecha]]='Ajuste de fechas'!$A$2,"Día actual","Día anterior")</f>
        <v>Día actual</v>
      </c>
      <c r="C99" s="3" t="s">
        <v>44</v>
      </c>
      <c r="D99" t="s">
        <v>45</v>
      </c>
      <c r="E99" s="3" t="s">
        <v>237</v>
      </c>
      <c r="F99" s="3" t="s">
        <v>15</v>
      </c>
      <c r="G99" s="3" t="s">
        <v>210</v>
      </c>
      <c r="H99" s="3" t="s">
        <v>39</v>
      </c>
      <c r="I99" s="3" t="s">
        <v>7</v>
      </c>
      <c r="J99" s="3" t="s">
        <v>31</v>
      </c>
      <c r="K99" s="3" t="s">
        <v>46</v>
      </c>
      <c r="L99" s="3" t="s">
        <v>27</v>
      </c>
      <c r="M99">
        <v>1</v>
      </c>
    </row>
    <row r="100" spans="1:13" x14ac:dyDescent="0.25">
      <c r="A100" s="2">
        <v>46296</v>
      </c>
      <c r="B100" s="1" t="str">
        <f ca="1">IF(Información1[[#This Row],[Fecha]]='Ajuste de fechas'!$A$2,"Día actual","Día anterior")</f>
        <v>Día actual</v>
      </c>
      <c r="C100" s="3" t="s">
        <v>44</v>
      </c>
      <c r="D100" t="s">
        <v>45</v>
      </c>
      <c r="E100" s="3" t="s">
        <v>238</v>
      </c>
      <c r="F100" s="3" t="s">
        <v>53</v>
      </c>
      <c r="G100" s="3" t="s">
        <v>239</v>
      </c>
      <c r="H100" s="3" t="s">
        <v>39</v>
      </c>
      <c r="I100" s="3" t="s">
        <v>7</v>
      </c>
      <c r="J100" s="3" t="s">
        <v>26</v>
      </c>
      <c r="K100" s="3" t="s">
        <v>46</v>
      </c>
      <c r="L100" s="3" t="s">
        <v>27</v>
      </c>
      <c r="M100">
        <v>1</v>
      </c>
    </row>
    <row r="101" spans="1:13" x14ac:dyDescent="0.25">
      <c r="A101" s="2">
        <v>46296</v>
      </c>
      <c r="B101" s="1" t="str">
        <f ca="1">IF(Información1[[#This Row],[Fecha]]='Ajuste de fechas'!$A$2,"Día actual","Día anterior")</f>
        <v>Día actual</v>
      </c>
      <c r="C101" s="3" t="s">
        <v>44</v>
      </c>
      <c r="D101" t="s">
        <v>45</v>
      </c>
      <c r="E101" s="3" t="s">
        <v>240</v>
      </c>
      <c r="F101" s="3" t="s">
        <v>15</v>
      </c>
      <c r="G101" s="3" t="s">
        <v>241</v>
      </c>
      <c r="H101" s="3" t="s">
        <v>39</v>
      </c>
      <c r="I101" s="3" t="s">
        <v>7</v>
      </c>
      <c r="J101" s="3" t="s">
        <v>31</v>
      </c>
      <c r="K101" s="3" t="s">
        <v>46</v>
      </c>
      <c r="L101" s="3" t="s">
        <v>27</v>
      </c>
      <c r="M101">
        <v>1</v>
      </c>
    </row>
    <row r="102" spans="1:13" x14ac:dyDescent="0.25">
      <c r="A102" s="2">
        <v>46296</v>
      </c>
      <c r="B102" s="1" t="str">
        <f ca="1">IF(Información1[[#This Row],[Fecha]]='Ajuste de fechas'!$A$2,"Día actual","Día anterior")</f>
        <v>Día actual</v>
      </c>
      <c r="C102" s="3" t="s">
        <v>44</v>
      </c>
      <c r="D102" t="s">
        <v>45</v>
      </c>
      <c r="E102" s="3" t="s">
        <v>242</v>
      </c>
      <c r="F102" s="3" t="s">
        <v>19</v>
      </c>
      <c r="G102" s="3" t="s">
        <v>243</v>
      </c>
      <c r="H102" s="3" t="s">
        <v>39</v>
      </c>
      <c r="I102" s="3" t="s">
        <v>7</v>
      </c>
      <c r="J102" s="3" t="s">
        <v>26</v>
      </c>
      <c r="K102" s="3" t="s">
        <v>46</v>
      </c>
      <c r="L102" s="3" t="s">
        <v>27</v>
      </c>
      <c r="M102">
        <v>1</v>
      </c>
    </row>
    <row r="103" spans="1:13" x14ac:dyDescent="0.25">
      <c r="A103" s="2">
        <v>46296</v>
      </c>
      <c r="B103" s="1" t="str">
        <f ca="1">IF(Información1[[#This Row],[Fecha]]='Ajuste de fechas'!$A$2,"Día actual","Día anterior")</f>
        <v>Día actual</v>
      </c>
      <c r="C103" s="3" t="s">
        <v>8</v>
      </c>
      <c r="D103" t="s">
        <v>9</v>
      </c>
      <c r="E103" s="3" t="s">
        <v>244</v>
      </c>
      <c r="F103" s="3" t="s">
        <v>13</v>
      </c>
      <c r="G103" s="3" t="s">
        <v>245</v>
      </c>
      <c r="H103" s="3" t="s">
        <v>39</v>
      </c>
      <c r="I103" s="3" t="s">
        <v>18</v>
      </c>
      <c r="J103" s="3" t="s">
        <v>30</v>
      </c>
      <c r="K103" s="3" t="s">
        <v>50</v>
      </c>
      <c r="L103" s="3" t="s">
        <v>28</v>
      </c>
      <c r="M103">
        <v>1</v>
      </c>
    </row>
    <row r="104" spans="1:13" x14ac:dyDescent="0.25">
      <c r="A104" s="2">
        <v>46296</v>
      </c>
      <c r="B104" s="1" t="str">
        <f ca="1">IF(Información1[[#This Row],[Fecha]]='Ajuste de fechas'!$A$2,"Día actual","Día anterior")</f>
        <v>Día actual</v>
      </c>
      <c r="C104" s="3" t="s">
        <v>8</v>
      </c>
      <c r="D104" t="s">
        <v>9</v>
      </c>
      <c r="E104" s="3" t="s">
        <v>246</v>
      </c>
      <c r="F104" s="3" t="s">
        <v>12</v>
      </c>
      <c r="G104" s="3" t="s">
        <v>156</v>
      </c>
      <c r="H104" s="3" t="s">
        <v>39</v>
      </c>
      <c r="I104" s="3" t="s">
        <v>18</v>
      </c>
      <c r="J104" s="3" t="s">
        <v>26</v>
      </c>
      <c r="K104" s="3" t="s">
        <v>50</v>
      </c>
      <c r="L104" s="3" t="s">
        <v>28</v>
      </c>
      <c r="M104">
        <v>1</v>
      </c>
    </row>
    <row r="105" spans="1:13" x14ac:dyDescent="0.25">
      <c r="A105" s="2">
        <v>46296</v>
      </c>
      <c r="B105" s="1" t="str">
        <f ca="1">IF(Información1[[#This Row],[Fecha]]='Ajuste de fechas'!$A$2,"Día actual","Día anterior")</f>
        <v>Día actual</v>
      </c>
      <c r="C105" s="3" t="s">
        <v>8</v>
      </c>
      <c r="D105" t="s">
        <v>9</v>
      </c>
      <c r="E105" s="3" t="s">
        <v>247</v>
      </c>
      <c r="F105" s="3" t="s">
        <v>6</v>
      </c>
      <c r="G105" s="3" t="s">
        <v>248</v>
      </c>
      <c r="H105" s="3" t="s">
        <v>39</v>
      </c>
      <c r="I105" s="3" t="s">
        <v>18</v>
      </c>
      <c r="J105" s="3" t="s">
        <v>26</v>
      </c>
      <c r="K105" s="3" t="s">
        <v>50</v>
      </c>
      <c r="L105" s="3" t="s">
        <v>28</v>
      </c>
      <c r="M105">
        <v>1</v>
      </c>
    </row>
    <row r="106" spans="1:13" x14ac:dyDescent="0.25">
      <c r="A106" s="2">
        <v>46296</v>
      </c>
      <c r="B106" s="1" t="str">
        <f ca="1">IF(Información1[[#This Row],[Fecha]]='Ajuste de fechas'!$A$2,"Día actual","Día anterior")</f>
        <v>Día actual</v>
      </c>
      <c r="C106" s="3" t="s">
        <v>8</v>
      </c>
      <c r="D106" t="s">
        <v>9</v>
      </c>
      <c r="E106" s="3" t="s">
        <v>249</v>
      </c>
      <c r="F106" s="3" t="s">
        <v>19</v>
      </c>
      <c r="G106" s="3" t="s">
        <v>250</v>
      </c>
      <c r="H106" s="3" t="s">
        <v>39</v>
      </c>
      <c r="I106" s="3" t="s">
        <v>7</v>
      </c>
      <c r="J106" s="3" t="s">
        <v>26</v>
      </c>
      <c r="K106" s="3" t="s">
        <v>50</v>
      </c>
      <c r="L106" s="3" t="s">
        <v>28</v>
      </c>
      <c r="M106">
        <v>1</v>
      </c>
    </row>
    <row r="107" spans="1:13" x14ac:dyDescent="0.25">
      <c r="A107" s="2">
        <v>46296</v>
      </c>
      <c r="B107" s="1" t="str">
        <f ca="1">IF(Información1[[#This Row],[Fecha]]='Ajuste de fechas'!$A$2,"Día actual","Día anterior")</f>
        <v>Día actual</v>
      </c>
      <c r="C107" s="3" t="s">
        <v>8</v>
      </c>
      <c r="D107" t="s">
        <v>9</v>
      </c>
      <c r="E107" s="3" t="s">
        <v>251</v>
      </c>
      <c r="F107" s="3" t="s">
        <v>12</v>
      </c>
      <c r="G107" s="3" t="s">
        <v>54</v>
      </c>
      <c r="H107" s="3" t="s">
        <v>39</v>
      </c>
      <c r="I107" s="3" t="s">
        <v>7</v>
      </c>
      <c r="J107" s="3" t="s">
        <v>26</v>
      </c>
      <c r="K107" s="3" t="s">
        <v>50</v>
      </c>
      <c r="L107" s="3" t="s">
        <v>28</v>
      </c>
      <c r="M107">
        <v>1</v>
      </c>
    </row>
    <row r="108" spans="1:13" x14ac:dyDescent="0.25">
      <c r="A108" s="2">
        <v>46296</v>
      </c>
      <c r="B108" s="1" t="str">
        <f ca="1">IF(Información1[[#This Row],[Fecha]]='Ajuste de fechas'!$A$2,"Día actual","Día anterior")</f>
        <v>Día actual</v>
      </c>
      <c r="C108" s="3" t="s">
        <v>8</v>
      </c>
      <c r="D108" t="s">
        <v>9</v>
      </c>
      <c r="E108" s="3" t="s">
        <v>252</v>
      </c>
      <c r="F108" s="3" t="s">
        <v>35</v>
      </c>
      <c r="G108" s="3" t="s">
        <v>146</v>
      </c>
      <c r="H108" s="3" t="s">
        <v>39</v>
      </c>
      <c r="I108" s="3" t="s">
        <v>7</v>
      </c>
      <c r="J108" s="3" t="s">
        <v>17</v>
      </c>
      <c r="K108" s="3" t="s">
        <v>11</v>
      </c>
      <c r="L108" s="3" t="s">
        <v>36</v>
      </c>
      <c r="M108">
        <v>1</v>
      </c>
    </row>
    <row r="109" spans="1:13" x14ac:dyDescent="0.25">
      <c r="A109" s="2">
        <v>46296</v>
      </c>
      <c r="B109" s="1" t="str">
        <f ca="1">IF(Información1[[#This Row],[Fecha]]='Ajuste de fechas'!$A$2,"Día actual","Día anterior")</f>
        <v>Día actual</v>
      </c>
      <c r="C109" s="3" t="s">
        <v>8</v>
      </c>
      <c r="D109" t="s">
        <v>9</v>
      </c>
      <c r="E109" s="3" t="s">
        <v>253</v>
      </c>
      <c r="F109" s="3" t="s">
        <v>13</v>
      </c>
      <c r="G109" s="3" t="s">
        <v>254</v>
      </c>
      <c r="H109" s="3" t="s">
        <v>39</v>
      </c>
      <c r="I109" s="3" t="s">
        <v>7</v>
      </c>
      <c r="J109" s="3" t="s">
        <v>30</v>
      </c>
      <c r="K109" s="3" t="s">
        <v>11</v>
      </c>
      <c r="L109" s="3" t="s">
        <v>27</v>
      </c>
      <c r="M109">
        <v>1</v>
      </c>
    </row>
    <row r="110" spans="1:13" x14ac:dyDescent="0.25">
      <c r="A110" s="2">
        <v>46296</v>
      </c>
      <c r="B110" s="1" t="str">
        <f ca="1">IF(Información1[[#This Row],[Fecha]]='Ajuste de fechas'!$A$2,"Día actual","Día anterior")</f>
        <v>Día actual</v>
      </c>
      <c r="C110" s="3" t="s">
        <v>8</v>
      </c>
      <c r="D110" t="s">
        <v>9</v>
      </c>
      <c r="E110" s="3" t="s">
        <v>255</v>
      </c>
      <c r="F110" s="3" t="s">
        <v>15</v>
      </c>
      <c r="G110" s="3" t="s">
        <v>234</v>
      </c>
      <c r="H110" s="3" t="s">
        <v>39</v>
      </c>
      <c r="I110" s="3" t="s">
        <v>7</v>
      </c>
      <c r="J110" s="3" t="s">
        <v>31</v>
      </c>
      <c r="K110" s="3" t="s">
        <v>11</v>
      </c>
      <c r="L110" s="3" t="s">
        <v>27</v>
      </c>
      <c r="M110">
        <v>1</v>
      </c>
    </row>
    <row r="111" spans="1:13" x14ac:dyDescent="0.25">
      <c r="A111" s="2">
        <v>46296</v>
      </c>
      <c r="B111" s="1" t="str">
        <f ca="1">IF(Información1[[#This Row],[Fecha]]='Ajuste de fechas'!$A$2,"Día actual","Día anterior")</f>
        <v>Día actual</v>
      </c>
      <c r="C111" s="3" t="s">
        <v>8</v>
      </c>
      <c r="D111" t="s">
        <v>9</v>
      </c>
      <c r="E111" s="3" t="s">
        <v>256</v>
      </c>
      <c r="F111" s="3" t="s">
        <v>13</v>
      </c>
      <c r="G111" s="3" t="s">
        <v>257</v>
      </c>
      <c r="H111" s="3" t="s">
        <v>39</v>
      </c>
      <c r="I111" s="3" t="s">
        <v>7</v>
      </c>
      <c r="J111" s="3" t="s">
        <v>30</v>
      </c>
      <c r="K111" s="3" t="s">
        <v>11</v>
      </c>
      <c r="L111" s="3" t="s">
        <v>27</v>
      </c>
      <c r="M111">
        <v>1</v>
      </c>
    </row>
    <row r="112" spans="1:13" x14ac:dyDescent="0.25">
      <c r="A112" s="2">
        <v>46296</v>
      </c>
      <c r="B112" s="1" t="str">
        <f ca="1">IF(Información1[[#This Row],[Fecha]]='Ajuste de fechas'!$A$2,"Día actual","Día anterior")</f>
        <v>Día actual</v>
      </c>
      <c r="C112" s="3" t="s">
        <v>8</v>
      </c>
      <c r="D112" t="s">
        <v>9</v>
      </c>
      <c r="E112" s="3" t="s">
        <v>258</v>
      </c>
      <c r="F112" s="3" t="s">
        <v>35</v>
      </c>
      <c r="G112" s="3" t="s">
        <v>259</v>
      </c>
      <c r="H112" s="3" t="s">
        <v>39</v>
      </c>
      <c r="I112" s="3" t="s">
        <v>7</v>
      </c>
      <c r="J112" s="3" t="s">
        <v>17</v>
      </c>
      <c r="K112" s="3" t="s">
        <v>11</v>
      </c>
      <c r="L112" s="3" t="s">
        <v>27</v>
      </c>
      <c r="M112">
        <v>1</v>
      </c>
    </row>
    <row r="113" spans="1:13" x14ac:dyDescent="0.25">
      <c r="A113" s="2">
        <v>46296</v>
      </c>
      <c r="B113" s="1" t="str">
        <f ca="1">IF(Información1[[#This Row],[Fecha]]='Ajuste de fechas'!$A$2,"Día actual","Día anterior")</f>
        <v>Día actual</v>
      </c>
      <c r="C113" s="3" t="s">
        <v>8</v>
      </c>
      <c r="D113" t="s">
        <v>9</v>
      </c>
      <c r="E113" s="3" t="s">
        <v>260</v>
      </c>
      <c r="F113" s="3" t="s">
        <v>35</v>
      </c>
      <c r="G113" s="3" t="s">
        <v>56</v>
      </c>
      <c r="H113" s="3" t="s">
        <v>39</v>
      </c>
      <c r="I113" s="3" t="s">
        <v>7</v>
      </c>
      <c r="J113" s="3" t="s">
        <v>17</v>
      </c>
      <c r="K113" s="3" t="s">
        <v>11</v>
      </c>
      <c r="L113" s="3" t="s">
        <v>27</v>
      </c>
      <c r="M113">
        <v>1</v>
      </c>
    </row>
    <row r="114" spans="1:13" x14ac:dyDescent="0.25">
      <c r="A114" s="2">
        <v>46296</v>
      </c>
      <c r="B114" s="1" t="str">
        <f ca="1">IF(Información1[[#This Row],[Fecha]]='Ajuste de fechas'!$A$2,"Día actual","Día anterior")</f>
        <v>Día actual</v>
      </c>
      <c r="C114" s="3" t="s">
        <v>8</v>
      </c>
      <c r="D114" t="s">
        <v>9</v>
      </c>
      <c r="E114" s="3" t="s">
        <v>261</v>
      </c>
      <c r="F114" s="3" t="s">
        <v>47</v>
      </c>
      <c r="G114" s="3" t="s">
        <v>103</v>
      </c>
      <c r="H114" s="3" t="s">
        <v>39</v>
      </c>
      <c r="I114" s="3" t="s">
        <v>10</v>
      </c>
      <c r="J114" s="3" t="s">
        <v>26</v>
      </c>
      <c r="K114" s="3" t="s">
        <v>11</v>
      </c>
      <c r="L114" s="3" t="s">
        <v>29</v>
      </c>
      <c r="M114">
        <v>1</v>
      </c>
    </row>
    <row r="115" spans="1:13" x14ac:dyDescent="0.25">
      <c r="A115" s="2">
        <v>46296</v>
      </c>
      <c r="B115" s="1" t="str">
        <f ca="1">IF(Información1[[#This Row],[Fecha]]='Ajuste de fechas'!$A$2,"Día actual","Día anterior")</f>
        <v>Día actual</v>
      </c>
      <c r="C115" s="3" t="s">
        <v>8</v>
      </c>
      <c r="D115" t="s">
        <v>9</v>
      </c>
      <c r="E115" s="3" t="s">
        <v>262</v>
      </c>
      <c r="F115" s="3" t="s">
        <v>13</v>
      </c>
      <c r="G115" s="3" t="s">
        <v>263</v>
      </c>
      <c r="H115" s="3" t="s">
        <v>39</v>
      </c>
      <c r="I115" s="3" t="s">
        <v>10</v>
      </c>
      <c r="J115" s="3" t="s">
        <v>30</v>
      </c>
      <c r="K115" s="3" t="s">
        <v>11</v>
      </c>
      <c r="L115" s="3" t="s">
        <v>28</v>
      </c>
      <c r="M115">
        <v>1</v>
      </c>
    </row>
    <row r="116" spans="1:13" x14ac:dyDescent="0.25">
      <c r="A116" s="2">
        <v>46296</v>
      </c>
      <c r="B116" s="1" t="str">
        <f ca="1">IF(Información1[[#This Row],[Fecha]]='Ajuste de fechas'!$A$2,"Día actual","Día anterior")</f>
        <v>Día actual</v>
      </c>
      <c r="C116" s="3" t="s">
        <v>8</v>
      </c>
      <c r="D116" t="s">
        <v>9</v>
      </c>
      <c r="E116" s="3" t="s">
        <v>264</v>
      </c>
      <c r="F116" s="3" t="s">
        <v>13</v>
      </c>
      <c r="G116" s="3" t="s">
        <v>263</v>
      </c>
      <c r="H116" s="3" t="s">
        <v>39</v>
      </c>
      <c r="I116" s="3" t="s">
        <v>10</v>
      </c>
      <c r="J116" s="3" t="s">
        <v>30</v>
      </c>
      <c r="K116" s="3" t="s">
        <v>11</v>
      </c>
      <c r="L116" s="3" t="s">
        <v>28</v>
      </c>
      <c r="M116">
        <v>1</v>
      </c>
    </row>
    <row r="117" spans="1:13" x14ac:dyDescent="0.25">
      <c r="A117" s="2">
        <v>46296</v>
      </c>
      <c r="B117" s="1" t="str">
        <f ca="1">IF(Información1[[#This Row],[Fecha]]='Ajuste de fechas'!$A$2,"Día actual","Día anterior")</f>
        <v>Día actual</v>
      </c>
      <c r="C117" s="3" t="s">
        <v>8</v>
      </c>
      <c r="D117" t="s">
        <v>9</v>
      </c>
      <c r="E117" s="3" t="s">
        <v>265</v>
      </c>
      <c r="F117" s="3" t="s">
        <v>35</v>
      </c>
      <c r="G117" s="3" t="s">
        <v>263</v>
      </c>
      <c r="H117" s="3" t="s">
        <v>39</v>
      </c>
      <c r="I117" s="3" t="s">
        <v>10</v>
      </c>
      <c r="J117" s="3" t="s">
        <v>17</v>
      </c>
      <c r="K117" s="3" t="s">
        <v>11</v>
      </c>
      <c r="L117" s="3" t="s">
        <v>28</v>
      </c>
      <c r="M117">
        <v>1</v>
      </c>
    </row>
    <row r="118" spans="1:13" x14ac:dyDescent="0.25">
      <c r="A118" s="2">
        <v>46296</v>
      </c>
      <c r="B118" s="1" t="str">
        <f ca="1">IF(Información1[[#This Row],[Fecha]]='Ajuste de fechas'!$A$2,"Día actual","Día anterior")</f>
        <v>Día actual</v>
      </c>
      <c r="C118" s="3" t="s">
        <v>8</v>
      </c>
      <c r="D118" t="s">
        <v>9</v>
      </c>
      <c r="E118" s="3" t="s">
        <v>266</v>
      </c>
      <c r="F118" s="3" t="s">
        <v>37</v>
      </c>
      <c r="G118" s="3" t="s">
        <v>263</v>
      </c>
      <c r="H118" s="3" t="s">
        <v>39</v>
      </c>
      <c r="I118" s="3" t="s">
        <v>10</v>
      </c>
      <c r="J118" s="3" t="s">
        <v>26</v>
      </c>
      <c r="K118" s="3" t="s">
        <v>11</v>
      </c>
      <c r="L118" s="3" t="s">
        <v>28</v>
      </c>
      <c r="M118">
        <v>1</v>
      </c>
    </row>
    <row r="119" spans="1:13" x14ac:dyDescent="0.25">
      <c r="A119" s="2">
        <v>46296</v>
      </c>
      <c r="B119" s="1" t="str">
        <f ca="1">IF(Información1[[#This Row],[Fecha]]='Ajuste de fechas'!$A$2,"Día actual","Día anterior")</f>
        <v>Día actual</v>
      </c>
      <c r="C119" s="3" t="s">
        <v>8</v>
      </c>
      <c r="D119" t="s">
        <v>9</v>
      </c>
      <c r="E119" s="3" t="s">
        <v>267</v>
      </c>
      <c r="F119" s="3" t="s">
        <v>12</v>
      </c>
      <c r="G119" s="3" t="s">
        <v>263</v>
      </c>
      <c r="H119" s="3" t="s">
        <v>39</v>
      </c>
      <c r="I119" s="3" t="s">
        <v>10</v>
      </c>
      <c r="J119" s="3" t="s">
        <v>26</v>
      </c>
      <c r="K119" s="3" t="s">
        <v>11</v>
      </c>
      <c r="L119" s="3" t="s">
        <v>28</v>
      </c>
      <c r="M119">
        <v>1</v>
      </c>
    </row>
    <row r="120" spans="1:13" x14ac:dyDescent="0.25">
      <c r="A120" s="2">
        <v>46296</v>
      </c>
      <c r="B120" s="1" t="str">
        <f ca="1">IF(Información1[[#This Row],[Fecha]]='Ajuste de fechas'!$A$2,"Día actual","Día anterior")</f>
        <v>Día actual</v>
      </c>
      <c r="C120" s="3" t="s">
        <v>8</v>
      </c>
      <c r="D120" t="s">
        <v>9</v>
      </c>
      <c r="E120" s="3" t="s">
        <v>268</v>
      </c>
      <c r="F120" s="3" t="s">
        <v>6</v>
      </c>
      <c r="G120" s="3" t="s">
        <v>263</v>
      </c>
      <c r="H120" s="3" t="s">
        <v>39</v>
      </c>
      <c r="I120" s="3" t="s">
        <v>10</v>
      </c>
      <c r="J120" s="3" t="s">
        <v>26</v>
      </c>
      <c r="K120" s="3" t="s">
        <v>11</v>
      </c>
      <c r="L120" s="3" t="s">
        <v>28</v>
      </c>
      <c r="M120">
        <v>1</v>
      </c>
    </row>
    <row r="121" spans="1:13" x14ac:dyDescent="0.25">
      <c r="A121" s="2">
        <v>46296</v>
      </c>
      <c r="B121" s="1" t="str">
        <f ca="1">IF(Información1[[#This Row],[Fecha]]='Ajuste de fechas'!$A$2,"Día actual","Día anterior")</f>
        <v>Día actual</v>
      </c>
      <c r="C121" s="3" t="s">
        <v>40</v>
      </c>
      <c r="D121" t="s">
        <v>48</v>
      </c>
      <c r="E121" s="3" t="s">
        <v>269</v>
      </c>
      <c r="F121" s="3" t="s">
        <v>13</v>
      </c>
      <c r="G121" s="3" t="s">
        <v>270</v>
      </c>
      <c r="H121" s="3" t="s">
        <v>39</v>
      </c>
      <c r="I121" s="3" t="s">
        <v>7</v>
      </c>
      <c r="J121" s="3" t="s">
        <v>30</v>
      </c>
      <c r="K121" s="3" t="s">
        <v>42</v>
      </c>
      <c r="L121" s="3" t="s">
        <v>27</v>
      </c>
      <c r="M121">
        <v>1</v>
      </c>
    </row>
    <row r="122" spans="1:13" x14ac:dyDescent="0.25">
      <c r="A122" s="2">
        <v>46296</v>
      </c>
      <c r="B122" s="1" t="str">
        <f ca="1">IF(Información1[[#This Row],[Fecha]]='Ajuste de fechas'!$A$2,"Día actual","Día anterior")</f>
        <v>Día actual</v>
      </c>
      <c r="C122" s="3" t="s">
        <v>40</v>
      </c>
      <c r="D122" t="s">
        <v>48</v>
      </c>
      <c r="E122" s="3" t="s">
        <v>271</v>
      </c>
      <c r="F122" s="3" t="s">
        <v>13</v>
      </c>
      <c r="G122" s="3" t="s">
        <v>272</v>
      </c>
      <c r="H122" s="3" t="s">
        <v>39</v>
      </c>
      <c r="I122" s="3" t="s">
        <v>7</v>
      </c>
      <c r="J122" s="3" t="s">
        <v>30</v>
      </c>
      <c r="K122" s="3" t="s">
        <v>42</v>
      </c>
      <c r="L122" s="3" t="s">
        <v>27</v>
      </c>
      <c r="M122">
        <v>1</v>
      </c>
    </row>
    <row r="123" spans="1:13" x14ac:dyDescent="0.25">
      <c r="A123" s="2">
        <v>46296</v>
      </c>
      <c r="B123" s="1" t="str">
        <f ca="1">IF(Información1[[#This Row],[Fecha]]='Ajuste de fechas'!$A$2,"Día actual","Día anterior")</f>
        <v>Día actual</v>
      </c>
      <c r="C123" s="3" t="s">
        <v>40</v>
      </c>
      <c r="D123" t="s">
        <v>48</v>
      </c>
      <c r="E123" s="3" t="s">
        <v>101</v>
      </c>
      <c r="F123" s="3" t="s">
        <v>13</v>
      </c>
      <c r="G123" s="3" t="s">
        <v>273</v>
      </c>
      <c r="H123" s="3" t="s">
        <v>39</v>
      </c>
      <c r="I123" s="3" t="s">
        <v>7</v>
      </c>
      <c r="J123" s="3" t="s">
        <v>30</v>
      </c>
      <c r="K123" s="3" t="s">
        <v>42</v>
      </c>
      <c r="L123" s="3" t="s">
        <v>27</v>
      </c>
      <c r="M123">
        <v>1</v>
      </c>
    </row>
    <row r="124" spans="1:13" x14ac:dyDescent="0.25">
      <c r="A124" s="2">
        <v>46296</v>
      </c>
      <c r="B124" s="1" t="str">
        <f ca="1">IF(Información1[[#This Row],[Fecha]]='Ajuste de fechas'!$A$2,"Día actual","Día anterior")</f>
        <v>Día actual</v>
      </c>
      <c r="C124" s="3" t="s">
        <v>40</v>
      </c>
      <c r="D124" t="s">
        <v>48</v>
      </c>
      <c r="E124" s="3" t="s">
        <v>274</v>
      </c>
      <c r="F124" s="3" t="s">
        <v>47</v>
      </c>
      <c r="G124" s="3" t="s">
        <v>275</v>
      </c>
      <c r="H124" s="3" t="s">
        <v>39</v>
      </c>
      <c r="I124" s="3" t="s">
        <v>7</v>
      </c>
      <c r="J124" s="3" t="s">
        <v>26</v>
      </c>
      <c r="K124" s="3" t="s">
        <v>42</v>
      </c>
      <c r="L124" s="3" t="s">
        <v>27</v>
      </c>
      <c r="M124">
        <v>1</v>
      </c>
    </row>
    <row r="125" spans="1:13" x14ac:dyDescent="0.25">
      <c r="A125" s="2">
        <v>46296</v>
      </c>
      <c r="B125" s="1" t="str">
        <f ca="1">IF(Información1[[#This Row],[Fecha]]='Ajuste de fechas'!$A$2,"Día actual","Día anterior")</f>
        <v>Día actual</v>
      </c>
      <c r="C125" s="3" t="s">
        <v>57</v>
      </c>
      <c r="D125" t="s">
        <v>58</v>
      </c>
      <c r="E125" s="3" t="s">
        <v>276</v>
      </c>
      <c r="F125" s="3" t="s">
        <v>51</v>
      </c>
      <c r="G125" s="3" t="s">
        <v>217</v>
      </c>
      <c r="H125" s="3" t="s">
        <v>39</v>
      </c>
      <c r="I125" s="3" t="s">
        <v>7</v>
      </c>
      <c r="J125" s="3" t="s">
        <v>26</v>
      </c>
      <c r="K125" s="3" t="s">
        <v>60</v>
      </c>
      <c r="L125" s="3" t="s">
        <v>29</v>
      </c>
      <c r="M125">
        <v>1</v>
      </c>
    </row>
    <row r="126" spans="1:13" x14ac:dyDescent="0.25">
      <c r="A126" s="2">
        <v>46296</v>
      </c>
      <c r="B126" s="1" t="str">
        <f ca="1">IF(Información1[[#This Row],[Fecha]]='Ajuste de fechas'!$A$2,"Día actual","Día anterior")</f>
        <v>Día actual</v>
      </c>
      <c r="C126" s="3" t="s">
        <v>57</v>
      </c>
      <c r="D126" t="s">
        <v>58</v>
      </c>
      <c r="E126" s="3" t="s">
        <v>277</v>
      </c>
      <c r="F126" s="3" t="s">
        <v>14</v>
      </c>
      <c r="G126" s="3" t="s">
        <v>226</v>
      </c>
      <c r="H126" s="3" t="s">
        <v>39</v>
      </c>
      <c r="I126" s="3" t="s">
        <v>7</v>
      </c>
      <c r="J126" s="3" t="s">
        <v>26</v>
      </c>
      <c r="K126" s="3" t="s">
        <v>60</v>
      </c>
      <c r="L126" s="3" t="s">
        <v>29</v>
      </c>
      <c r="M126">
        <v>1</v>
      </c>
    </row>
    <row r="127" spans="1:13" x14ac:dyDescent="0.25">
      <c r="A127" s="2">
        <v>46296</v>
      </c>
      <c r="B127" s="1" t="str">
        <f ca="1">IF(Información1[[#This Row],[Fecha]]='Ajuste de fechas'!$A$2,"Día actual","Día anterior")</f>
        <v>Día actual</v>
      </c>
      <c r="C127" s="3" t="s">
        <v>57</v>
      </c>
      <c r="D127" t="s">
        <v>58</v>
      </c>
      <c r="E127" s="3" t="s">
        <v>278</v>
      </c>
      <c r="F127" s="3" t="s">
        <v>51</v>
      </c>
      <c r="G127" s="3" t="s">
        <v>279</v>
      </c>
      <c r="H127" s="3" t="s">
        <v>39</v>
      </c>
      <c r="I127" s="3" t="s">
        <v>7</v>
      </c>
      <c r="J127" s="3" t="s">
        <v>26</v>
      </c>
      <c r="K127" s="3" t="s">
        <v>60</v>
      </c>
      <c r="L127" s="3" t="s">
        <v>29</v>
      </c>
      <c r="M127">
        <v>1</v>
      </c>
    </row>
    <row r="128" spans="1:13" x14ac:dyDescent="0.25">
      <c r="A128" s="2">
        <v>46296</v>
      </c>
      <c r="B128" s="1" t="str">
        <f ca="1">IF(Información1[[#This Row],[Fecha]]='Ajuste de fechas'!$A$2,"Día actual","Día anterior")</f>
        <v>Día actual</v>
      </c>
      <c r="C128" s="3" t="s">
        <v>57</v>
      </c>
      <c r="D128" t="s">
        <v>58</v>
      </c>
      <c r="E128" s="3" t="s">
        <v>280</v>
      </c>
      <c r="F128" s="3" t="s">
        <v>19</v>
      </c>
      <c r="G128" s="3" t="s">
        <v>281</v>
      </c>
      <c r="H128" s="3" t="s">
        <v>39</v>
      </c>
      <c r="I128" s="3" t="s">
        <v>7</v>
      </c>
      <c r="J128" s="3" t="s">
        <v>26</v>
      </c>
      <c r="K128" s="3" t="s">
        <v>60</v>
      </c>
      <c r="L128" s="3" t="s">
        <v>27</v>
      </c>
      <c r="M128">
        <v>1</v>
      </c>
    </row>
    <row r="129" spans="1:13" x14ac:dyDescent="0.25">
      <c r="A129" s="2">
        <v>46296</v>
      </c>
      <c r="B129" s="1" t="str">
        <f ca="1">IF(Información1[[#This Row],[Fecha]]='Ajuste de fechas'!$A$2,"Día actual","Día anterior")</f>
        <v>Día actual</v>
      </c>
      <c r="C129" s="3" t="s">
        <v>40</v>
      </c>
      <c r="D129" t="s">
        <v>41</v>
      </c>
      <c r="E129" s="3" t="s">
        <v>282</v>
      </c>
      <c r="F129" s="3" t="s">
        <v>53</v>
      </c>
      <c r="G129" s="3" t="s">
        <v>239</v>
      </c>
      <c r="H129" s="3" t="s">
        <v>39</v>
      </c>
      <c r="I129" s="3" t="s">
        <v>7</v>
      </c>
      <c r="J129" s="3" t="s">
        <v>26</v>
      </c>
      <c r="K129" s="3" t="s">
        <v>43</v>
      </c>
      <c r="L129" s="3" t="s">
        <v>29</v>
      </c>
      <c r="M129">
        <v>1</v>
      </c>
    </row>
    <row r="130" spans="1:13" x14ac:dyDescent="0.25">
      <c r="A130" s="2">
        <v>46296</v>
      </c>
      <c r="B130" s="1" t="str">
        <f ca="1">IF(Información1[[#This Row],[Fecha]]='Ajuste de fechas'!$A$2,"Día actual","Día anterior")</f>
        <v>Día actual</v>
      </c>
      <c r="C130" s="3" t="s">
        <v>40</v>
      </c>
      <c r="D130" t="s">
        <v>41</v>
      </c>
      <c r="E130" s="3" t="s">
        <v>283</v>
      </c>
      <c r="F130" s="3" t="s">
        <v>19</v>
      </c>
      <c r="G130" s="3" t="s">
        <v>90</v>
      </c>
      <c r="H130" s="3" t="s">
        <v>39</v>
      </c>
      <c r="I130" s="3" t="s">
        <v>7</v>
      </c>
      <c r="J130" s="3" t="s">
        <v>26</v>
      </c>
      <c r="K130" s="3" t="s">
        <v>43</v>
      </c>
      <c r="L130" s="3" t="s">
        <v>27</v>
      </c>
      <c r="M130">
        <v>1</v>
      </c>
    </row>
    <row r="131" spans="1:13" x14ac:dyDescent="0.25">
      <c r="A131" s="2">
        <v>46296</v>
      </c>
      <c r="B131" s="1" t="str">
        <f ca="1">IF(Información1[[#This Row],[Fecha]]='Ajuste de fechas'!$A$2,"Día actual","Día anterior")</f>
        <v>Día actual</v>
      </c>
      <c r="C131" s="3" t="s">
        <v>40</v>
      </c>
      <c r="D131" t="s">
        <v>41</v>
      </c>
      <c r="E131" s="3" t="s">
        <v>284</v>
      </c>
      <c r="F131" s="3" t="s">
        <v>59</v>
      </c>
      <c r="G131" s="3" t="s">
        <v>221</v>
      </c>
      <c r="H131" s="3" t="s">
        <v>39</v>
      </c>
      <c r="I131" s="3" t="s">
        <v>7</v>
      </c>
      <c r="J131" s="3" t="s">
        <v>26</v>
      </c>
      <c r="K131" s="3" t="s">
        <v>43</v>
      </c>
      <c r="L131" s="3" t="s">
        <v>29</v>
      </c>
      <c r="M131">
        <v>1</v>
      </c>
    </row>
    <row r="132" spans="1:13" x14ac:dyDescent="0.25">
      <c r="A132" s="2">
        <v>46296</v>
      </c>
      <c r="B132" s="1" t="str">
        <f ca="1">IF(Información1[[#This Row],[Fecha]]='Ajuste de fechas'!$A$2,"Día actual","Día anterior")</f>
        <v>Día actual</v>
      </c>
      <c r="C132" s="3" t="s">
        <v>40</v>
      </c>
      <c r="D132" t="s">
        <v>41</v>
      </c>
      <c r="E132" s="3" t="s">
        <v>285</v>
      </c>
      <c r="F132" s="3" t="s">
        <v>37</v>
      </c>
      <c r="G132" s="3" t="s">
        <v>219</v>
      </c>
      <c r="H132" s="3" t="s">
        <v>39</v>
      </c>
      <c r="I132" s="3" t="s">
        <v>7</v>
      </c>
      <c r="J132" s="3" t="s">
        <v>26</v>
      </c>
      <c r="K132" s="3" t="s">
        <v>43</v>
      </c>
      <c r="L132" s="3" t="s">
        <v>29</v>
      </c>
      <c r="M132">
        <v>1</v>
      </c>
    </row>
    <row r="133" spans="1:13" x14ac:dyDescent="0.25">
      <c r="A133" s="2">
        <v>46296</v>
      </c>
      <c r="B133" s="1" t="str">
        <f ca="1">IF(Información1[[#This Row],[Fecha]]='Ajuste de fechas'!$A$2,"Día actual","Día anterior")</f>
        <v>Día actual</v>
      </c>
      <c r="C133" s="3" t="s">
        <v>40</v>
      </c>
      <c r="D133" t="s">
        <v>41</v>
      </c>
      <c r="E133" s="3" t="s">
        <v>286</v>
      </c>
      <c r="F133" s="3" t="s">
        <v>35</v>
      </c>
      <c r="G133" s="3" t="s">
        <v>56</v>
      </c>
      <c r="H133" s="3" t="s">
        <v>39</v>
      </c>
      <c r="I133" s="3" t="s">
        <v>7</v>
      </c>
      <c r="J133" s="3" t="s">
        <v>17</v>
      </c>
      <c r="K133" s="3" t="s">
        <v>43</v>
      </c>
      <c r="L133" s="3" t="s">
        <v>27</v>
      </c>
      <c r="M133">
        <v>1</v>
      </c>
    </row>
    <row r="134" spans="1:13" x14ac:dyDescent="0.25">
      <c r="A134" s="2">
        <v>46296</v>
      </c>
      <c r="B134" s="1" t="str">
        <f ca="1">IF(Información1[[#This Row],[Fecha]]='Ajuste de fechas'!$A$2,"Día actual","Día anterior")</f>
        <v>Día actual</v>
      </c>
      <c r="C134" s="3" t="s">
        <v>40</v>
      </c>
      <c r="D134" t="s">
        <v>41</v>
      </c>
      <c r="E134" s="3" t="s">
        <v>287</v>
      </c>
      <c r="F134" s="3" t="s">
        <v>15</v>
      </c>
      <c r="G134" s="3" t="s">
        <v>288</v>
      </c>
      <c r="H134" s="3" t="s">
        <v>39</v>
      </c>
      <c r="I134" s="3" t="s">
        <v>7</v>
      </c>
      <c r="J134" s="3" t="s">
        <v>31</v>
      </c>
      <c r="K134" s="3" t="s">
        <v>42</v>
      </c>
      <c r="L134" s="3" t="s">
        <v>27</v>
      </c>
      <c r="M134">
        <v>1</v>
      </c>
    </row>
    <row r="135" spans="1:13" x14ac:dyDescent="0.25">
      <c r="A135" s="2">
        <v>46296</v>
      </c>
      <c r="B135" s="1" t="str">
        <f ca="1">IF(Información1[[#This Row],[Fecha]]='Ajuste de fechas'!$A$2,"Día actual","Día anterior")</f>
        <v>Día actual</v>
      </c>
      <c r="C135" s="3" t="s">
        <v>40</v>
      </c>
      <c r="D135" t="s">
        <v>41</v>
      </c>
      <c r="E135" s="3" t="s">
        <v>289</v>
      </c>
      <c r="F135" s="3" t="s">
        <v>13</v>
      </c>
      <c r="G135" s="3" t="s">
        <v>290</v>
      </c>
      <c r="H135" s="3" t="s">
        <v>39</v>
      </c>
      <c r="I135" s="3" t="s">
        <v>7</v>
      </c>
      <c r="J135" s="3" t="s">
        <v>30</v>
      </c>
      <c r="K135" s="3" t="s">
        <v>42</v>
      </c>
      <c r="L135" s="3" t="s">
        <v>27</v>
      </c>
      <c r="M135">
        <v>1</v>
      </c>
    </row>
    <row r="136" spans="1:13" x14ac:dyDescent="0.25">
      <c r="A136" s="2">
        <v>46296</v>
      </c>
      <c r="B136" s="1" t="str">
        <f ca="1">IF(Información1[[#This Row],[Fecha]]='Ajuste de fechas'!$A$2,"Día actual","Día anterior")</f>
        <v>Día actual</v>
      </c>
      <c r="C136" s="3" t="s">
        <v>40</v>
      </c>
      <c r="D136" t="s">
        <v>41</v>
      </c>
      <c r="E136" s="3" t="s">
        <v>291</v>
      </c>
      <c r="F136" s="3" t="s">
        <v>17</v>
      </c>
      <c r="G136" s="3" t="s">
        <v>292</v>
      </c>
      <c r="H136" s="3" t="s">
        <v>39</v>
      </c>
      <c r="I136" s="3" t="s">
        <v>10</v>
      </c>
      <c r="J136" s="3" t="s">
        <v>17</v>
      </c>
      <c r="K136" s="3" t="s">
        <v>43</v>
      </c>
      <c r="L136" s="3" t="s">
        <v>27</v>
      </c>
      <c r="M136">
        <v>1</v>
      </c>
    </row>
    <row r="137" spans="1:13" x14ac:dyDescent="0.25">
      <c r="A137" s="2">
        <v>46296</v>
      </c>
      <c r="B137" s="1" t="str">
        <f ca="1">IF(Información1[[#This Row],[Fecha]]='Ajuste de fechas'!$A$2,"Día actual","Día anterior")</f>
        <v>Día actual</v>
      </c>
      <c r="C137" s="3" t="s">
        <v>40</v>
      </c>
      <c r="D137" t="s">
        <v>41</v>
      </c>
      <c r="E137" s="3" t="s">
        <v>293</v>
      </c>
      <c r="F137" s="3" t="s">
        <v>14</v>
      </c>
      <c r="G137" s="3" t="s">
        <v>294</v>
      </c>
      <c r="H137" s="3" t="s">
        <v>39</v>
      </c>
      <c r="I137" s="3" t="s">
        <v>7</v>
      </c>
      <c r="J137" s="3" t="s">
        <v>26</v>
      </c>
      <c r="K137" s="3" t="s">
        <v>43</v>
      </c>
      <c r="L137" s="3" t="s">
        <v>27</v>
      </c>
      <c r="M137">
        <v>1</v>
      </c>
    </row>
    <row r="138" spans="1:13" x14ac:dyDescent="0.25">
      <c r="A138" s="2">
        <v>46296</v>
      </c>
      <c r="B138" s="1" t="str">
        <f ca="1">IF(Información1[[#This Row],[Fecha]]='Ajuste de fechas'!$A$2,"Día actual","Día anterior")</f>
        <v>Día actual</v>
      </c>
      <c r="C138" s="3" t="s">
        <v>65</v>
      </c>
      <c r="D138" t="s">
        <v>66</v>
      </c>
      <c r="E138" s="3" t="s">
        <v>295</v>
      </c>
      <c r="F138" s="3" t="s">
        <v>53</v>
      </c>
      <c r="G138" s="3" t="s">
        <v>73</v>
      </c>
      <c r="H138" s="3" t="s">
        <v>68</v>
      </c>
      <c r="I138" s="3" t="s">
        <v>7</v>
      </c>
      <c r="J138" s="3" t="s">
        <v>26</v>
      </c>
      <c r="K138" s="3" t="s">
        <v>71</v>
      </c>
      <c r="L138" s="3" t="s">
        <v>27</v>
      </c>
      <c r="M138">
        <v>1</v>
      </c>
    </row>
    <row r="139" spans="1:13" x14ac:dyDescent="0.25">
      <c r="A139" s="2">
        <v>46296</v>
      </c>
      <c r="B139" s="1" t="str">
        <f ca="1">IF(Información1[[#This Row],[Fecha]]='Ajuste de fechas'!$A$2,"Día actual","Día anterior")</f>
        <v>Día actual</v>
      </c>
      <c r="C139" s="3" t="s">
        <v>75</v>
      </c>
      <c r="D139" t="s">
        <v>76</v>
      </c>
      <c r="E139" s="3" t="s">
        <v>296</v>
      </c>
      <c r="F139" s="3" t="s">
        <v>13</v>
      </c>
      <c r="G139" s="3" t="s">
        <v>61</v>
      </c>
      <c r="H139" s="3" t="s">
        <v>39</v>
      </c>
      <c r="I139" s="3" t="s">
        <v>7</v>
      </c>
      <c r="J139" s="3" t="s">
        <v>30</v>
      </c>
      <c r="K139" s="3" t="s">
        <v>79</v>
      </c>
      <c r="L139" s="3" t="s">
        <v>27</v>
      </c>
      <c r="M139">
        <v>1</v>
      </c>
    </row>
    <row r="140" spans="1:13" x14ac:dyDescent="0.25">
      <c r="A140" s="2">
        <v>46296</v>
      </c>
      <c r="B140" s="1" t="str">
        <f ca="1">IF(Información1[[#This Row],[Fecha]]='Ajuste de fechas'!$A$2,"Día actual","Día anterior")</f>
        <v>Día actual</v>
      </c>
      <c r="C140" s="3" t="s">
        <v>75</v>
      </c>
      <c r="D140" t="s">
        <v>76</v>
      </c>
      <c r="E140" s="3" t="s">
        <v>297</v>
      </c>
      <c r="F140" s="3" t="s">
        <v>15</v>
      </c>
      <c r="G140" s="3" t="s">
        <v>298</v>
      </c>
      <c r="H140" s="3" t="s">
        <v>39</v>
      </c>
      <c r="I140" s="3" t="s">
        <v>7</v>
      </c>
      <c r="J140" s="3" t="s">
        <v>31</v>
      </c>
      <c r="K140" s="3" t="s">
        <v>79</v>
      </c>
      <c r="L140" s="3" t="s">
        <v>27</v>
      </c>
      <c r="M140">
        <v>1</v>
      </c>
    </row>
    <row r="141" spans="1:13" x14ac:dyDescent="0.25">
      <c r="A141" s="2">
        <v>46296</v>
      </c>
      <c r="B141" s="1" t="str">
        <f ca="1">IF(Información1[[#This Row],[Fecha]]='Ajuste de fechas'!$A$2,"Día actual","Día anterior")</f>
        <v>Día actual</v>
      </c>
      <c r="C141" s="3" t="s">
        <v>75</v>
      </c>
      <c r="D141" t="s">
        <v>76</v>
      </c>
      <c r="E141" s="3" t="s">
        <v>299</v>
      </c>
      <c r="F141" s="3" t="s">
        <v>13</v>
      </c>
      <c r="G141" s="3" t="s">
        <v>300</v>
      </c>
      <c r="H141" s="3" t="s">
        <v>39</v>
      </c>
      <c r="I141" s="3" t="s">
        <v>7</v>
      </c>
      <c r="J141" s="3" t="s">
        <v>30</v>
      </c>
      <c r="K141" s="3" t="s">
        <v>77</v>
      </c>
      <c r="L141" s="3" t="s">
        <v>27</v>
      </c>
      <c r="M141">
        <v>1</v>
      </c>
    </row>
    <row r="142" spans="1:13" x14ac:dyDescent="0.25">
      <c r="A142" s="2">
        <v>46296</v>
      </c>
      <c r="B142" s="1" t="str">
        <f ca="1">IF(Información1[[#This Row],[Fecha]]='Ajuste de fechas'!$A$2,"Día actual","Día anterior")</f>
        <v>Día actual</v>
      </c>
      <c r="C142" s="3" t="s">
        <v>75</v>
      </c>
      <c r="D142" t="s">
        <v>76</v>
      </c>
      <c r="E142" s="3" t="s">
        <v>301</v>
      </c>
      <c r="F142" s="3" t="s">
        <v>19</v>
      </c>
      <c r="G142" s="3" t="s">
        <v>95</v>
      </c>
      <c r="H142" s="3" t="s">
        <v>39</v>
      </c>
      <c r="I142" s="3" t="s">
        <v>7</v>
      </c>
      <c r="J142" s="3" t="s">
        <v>26</v>
      </c>
      <c r="K142" s="3" t="s">
        <v>77</v>
      </c>
      <c r="L142" s="3" t="s">
        <v>27</v>
      </c>
      <c r="M142">
        <v>1</v>
      </c>
    </row>
    <row r="143" spans="1:13" x14ac:dyDescent="0.25">
      <c r="A143" s="2">
        <v>46296</v>
      </c>
      <c r="B143" s="1" t="str">
        <f ca="1">IF(Información1[[#This Row],[Fecha]]='Ajuste de fechas'!$A$2,"Día actual","Día anterior")</f>
        <v>Día actual</v>
      </c>
      <c r="C143" s="3" t="s">
        <v>75</v>
      </c>
      <c r="D143" t="s">
        <v>76</v>
      </c>
      <c r="E143" s="3" t="s">
        <v>302</v>
      </c>
      <c r="F143" s="3" t="s">
        <v>47</v>
      </c>
      <c r="G143" s="3" t="s">
        <v>303</v>
      </c>
      <c r="H143" s="3" t="s">
        <v>39</v>
      </c>
      <c r="I143" s="3" t="s">
        <v>18</v>
      </c>
      <c r="J143" s="3" t="s">
        <v>26</v>
      </c>
      <c r="K143" s="3" t="s">
        <v>77</v>
      </c>
      <c r="L143" s="3" t="s">
        <v>27</v>
      </c>
      <c r="M143">
        <v>1</v>
      </c>
    </row>
    <row r="144" spans="1:13" x14ac:dyDescent="0.25">
      <c r="A144" s="2">
        <v>46296</v>
      </c>
      <c r="B144" s="1" t="str">
        <f ca="1">IF(Información1[[#This Row],[Fecha]]='Ajuste de fechas'!$A$2,"Día actual","Día anterior")</f>
        <v>Día actual</v>
      </c>
      <c r="C144" s="3" t="s">
        <v>75</v>
      </c>
      <c r="D144" t="s">
        <v>76</v>
      </c>
      <c r="E144" s="3" t="s">
        <v>304</v>
      </c>
      <c r="F144" s="3" t="s">
        <v>13</v>
      </c>
      <c r="G144" s="3" t="s">
        <v>98</v>
      </c>
      <c r="H144" s="3" t="s">
        <v>39</v>
      </c>
      <c r="I144" s="3" t="s">
        <v>7</v>
      </c>
      <c r="J144" s="3" t="s">
        <v>30</v>
      </c>
      <c r="K144" s="3" t="s">
        <v>77</v>
      </c>
      <c r="L144" s="3" t="s">
        <v>27</v>
      </c>
      <c r="M144">
        <v>1</v>
      </c>
    </row>
    <row r="145" spans="1:13" x14ac:dyDescent="0.25">
      <c r="A145" s="2">
        <v>46296</v>
      </c>
      <c r="B145" s="1" t="str">
        <f ca="1">IF(Información1[[#This Row],[Fecha]]='Ajuste de fechas'!$A$2,"Día actual","Día anterior")</f>
        <v>Día actual</v>
      </c>
      <c r="C145" s="3" t="s">
        <v>75</v>
      </c>
      <c r="D145" t="s">
        <v>76</v>
      </c>
      <c r="E145" s="3" t="s">
        <v>284</v>
      </c>
      <c r="F145" s="3" t="s">
        <v>59</v>
      </c>
      <c r="G145" s="3" t="s">
        <v>221</v>
      </c>
      <c r="H145" s="3" t="s">
        <v>39</v>
      </c>
      <c r="I145" s="3" t="s">
        <v>7</v>
      </c>
      <c r="J145" s="3" t="s">
        <v>26</v>
      </c>
      <c r="K145" s="3" t="s">
        <v>79</v>
      </c>
      <c r="L145" s="3" t="s">
        <v>29</v>
      </c>
      <c r="M145">
        <v>1</v>
      </c>
    </row>
    <row r="146" spans="1:13" x14ac:dyDescent="0.25">
      <c r="A146" s="2">
        <v>46296</v>
      </c>
      <c r="B146" s="1" t="str">
        <f ca="1">IF(Información1[[#This Row],[Fecha]]='Ajuste de fechas'!$A$2,"Día actual","Día anterior")</f>
        <v>Día actual</v>
      </c>
      <c r="C146" s="3" t="s">
        <v>75</v>
      </c>
      <c r="D146" t="s">
        <v>76</v>
      </c>
      <c r="E146" s="3" t="s">
        <v>305</v>
      </c>
      <c r="F146" s="3" t="s">
        <v>35</v>
      </c>
      <c r="G146" s="3" t="s">
        <v>56</v>
      </c>
      <c r="H146" s="3" t="s">
        <v>39</v>
      </c>
      <c r="I146" s="3" t="s">
        <v>7</v>
      </c>
      <c r="J146" s="3" t="s">
        <v>17</v>
      </c>
      <c r="K146" s="3" t="s">
        <v>79</v>
      </c>
      <c r="L146" s="3" t="s">
        <v>27</v>
      </c>
      <c r="M146">
        <v>1</v>
      </c>
    </row>
    <row r="147" spans="1:13" x14ac:dyDescent="0.25">
      <c r="A147" s="2">
        <v>46296</v>
      </c>
      <c r="B147" s="1" t="str">
        <f ca="1">IF(Información1[[#This Row],[Fecha]]='Ajuste de fechas'!$A$2,"Día actual","Día anterior")</f>
        <v>Día actual</v>
      </c>
      <c r="C147" s="3" t="s">
        <v>75</v>
      </c>
      <c r="D147" t="s">
        <v>76</v>
      </c>
      <c r="E147" s="3" t="s">
        <v>306</v>
      </c>
      <c r="F147" s="3" t="s">
        <v>67</v>
      </c>
      <c r="G147" s="3" t="s">
        <v>73</v>
      </c>
      <c r="H147" s="3" t="s">
        <v>39</v>
      </c>
      <c r="I147" s="3" t="s">
        <v>7</v>
      </c>
      <c r="J147" s="3" t="s">
        <v>69</v>
      </c>
      <c r="K147" s="3" t="s">
        <v>77</v>
      </c>
      <c r="L147" s="3" t="s">
        <v>27</v>
      </c>
      <c r="M147">
        <v>1</v>
      </c>
    </row>
    <row r="148" spans="1:13" x14ac:dyDescent="0.25">
      <c r="A148" s="2">
        <v>46296</v>
      </c>
      <c r="B148" s="1" t="str">
        <f ca="1">IF(Información1[[#This Row],[Fecha]]='Ajuste de fechas'!$A$2,"Día actual","Día anterior")</f>
        <v>Día actual</v>
      </c>
      <c r="C148" s="3" t="s">
        <v>75</v>
      </c>
      <c r="D148" t="s">
        <v>76</v>
      </c>
      <c r="E148" s="3" t="s">
        <v>277</v>
      </c>
      <c r="F148" s="3" t="s">
        <v>14</v>
      </c>
      <c r="G148" s="3" t="s">
        <v>226</v>
      </c>
      <c r="H148" s="3" t="s">
        <v>39</v>
      </c>
      <c r="I148" s="3" t="s">
        <v>7</v>
      </c>
      <c r="J148" s="3" t="s">
        <v>26</v>
      </c>
      <c r="K148" s="3" t="s">
        <v>79</v>
      </c>
      <c r="L148" s="3" t="s">
        <v>29</v>
      </c>
      <c r="M148">
        <v>1</v>
      </c>
    </row>
    <row r="149" spans="1:13" x14ac:dyDescent="0.25">
      <c r="A149" s="2">
        <v>46296</v>
      </c>
      <c r="B149" s="1" t="str">
        <f ca="1">IF(Información1[[#This Row],[Fecha]]='Ajuste de fechas'!$A$2,"Día actual","Día anterior")</f>
        <v>Día actual</v>
      </c>
      <c r="C149" s="3" t="s">
        <v>75</v>
      </c>
      <c r="D149" t="s">
        <v>76</v>
      </c>
      <c r="E149" s="3" t="s">
        <v>307</v>
      </c>
      <c r="F149" s="3" t="s">
        <v>308</v>
      </c>
      <c r="G149" s="3" t="s">
        <v>309</v>
      </c>
      <c r="H149" s="3" t="s">
        <v>39</v>
      </c>
      <c r="I149" s="3" t="s">
        <v>7</v>
      </c>
      <c r="J149" s="3" t="s">
        <v>17</v>
      </c>
      <c r="K149" s="3" t="s">
        <v>79</v>
      </c>
      <c r="L149" s="3" t="s">
        <v>27</v>
      </c>
      <c r="M149">
        <v>1</v>
      </c>
    </row>
    <row r="150" spans="1:13" x14ac:dyDescent="0.25">
      <c r="A150" s="2">
        <v>46296</v>
      </c>
      <c r="B150" s="1" t="str">
        <f ca="1">IF(Información1[[#This Row],[Fecha]]='Ajuste de fechas'!$A$2,"Día actual","Día anterior")</f>
        <v>Día actual</v>
      </c>
      <c r="C150" s="3" t="s">
        <v>75</v>
      </c>
      <c r="D150" t="s">
        <v>76</v>
      </c>
      <c r="E150" s="3" t="s">
        <v>297</v>
      </c>
      <c r="F150" s="3" t="s">
        <v>15</v>
      </c>
      <c r="G150" s="3" t="s">
        <v>298</v>
      </c>
      <c r="H150" s="3" t="s">
        <v>39</v>
      </c>
      <c r="I150" s="3" t="s">
        <v>7</v>
      </c>
      <c r="J150" s="3" t="s">
        <v>31</v>
      </c>
      <c r="K150" s="3" t="s">
        <v>77</v>
      </c>
      <c r="L150" s="3" t="s">
        <v>27</v>
      </c>
      <c r="M150">
        <v>1</v>
      </c>
    </row>
    <row r="151" spans="1:13" x14ac:dyDescent="0.25">
      <c r="A151" s="2">
        <v>46296</v>
      </c>
      <c r="B151" s="1" t="str">
        <f ca="1">IF(Información1[[#This Row],[Fecha]]='Ajuste de fechas'!$A$2,"Día actual","Día anterior")</f>
        <v>Día actual</v>
      </c>
      <c r="C151" s="3" t="s">
        <v>75</v>
      </c>
      <c r="D151" t="s">
        <v>76</v>
      </c>
      <c r="E151" s="3" t="s">
        <v>310</v>
      </c>
      <c r="F151" s="3" t="s">
        <v>15</v>
      </c>
      <c r="G151" s="3" t="s">
        <v>311</v>
      </c>
      <c r="H151" s="3" t="s">
        <v>39</v>
      </c>
      <c r="I151" s="3" t="s">
        <v>7</v>
      </c>
      <c r="J151" s="3" t="s">
        <v>31</v>
      </c>
      <c r="K151" s="3" t="s">
        <v>79</v>
      </c>
      <c r="L151" s="3" t="s">
        <v>27</v>
      </c>
      <c r="M151">
        <v>1</v>
      </c>
    </row>
    <row r="152" spans="1:13" x14ac:dyDescent="0.25">
      <c r="A152" s="2">
        <v>46296</v>
      </c>
      <c r="B152" s="1" t="str">
        <f ca="1">IF(Información1[[#This Row],[Fecha]]='Ajuste de fechas'!$A$2,"Día actual","Día anterior")</f>
        <v>Día actual</v>
      </c>
      <c r="C152" s="3" t="s">
        <v>75</v>
      </c>
      <c r="D152" t="s">
        <v>76</v>
      </c>
      <c r="E152" s="3" t="s">
        <v>312</v>
      </c>
      <c r="F152" s="3" t="s">
        <v>15</v>
      </c>
      <c r="G152" s="3" t="s">
        <v>313</v>
      </c>
      <c r="H152" s="3" t="s">
        <v>39</v>
      </c>
      <c r="I152" s="3" t="s">
        <v>7</v>
      </c>
      <c r="J152" s="3" t="s">
        <v>31</v>
      </c>
      <c r="K152" s="3" t="s">
        <v>77</v>
      </c>
      <c r="L152" s="3" t="s">
        <v>27</v>
      </c>
      <c r="M152">
        <v>1</v>
      </c>
    </row>
    <row r="153" spans="1:13" x14ac:dyDescent="0.25">
      <c r="A153" s="2">
        <v>46296</v>
      </c>
      <c r="B153" s="1" t="str">
        <f ca="1">IF(Información1[[#This Row],[Fecha]]='Ajuste de fechas'!$A$2,"Día actual","Día anterior")</f>
        <v>Día actual</v>
      </c>
      <c r="C153" s="3" t="s">
        <v>75</v>
      </c>
      <c r="D153" t="s">
        <v>76</v>
      </c>
      <c r="E153" s="3" t="s">
        <v>314</v>
      </c>
      <c r="F153" s="3" t="s">
        <v>13</v>
      </c>
      <c r="G153" s="3" t="s">
        <v>107</v>
      </c>
      <c r="H153" s="3" t="s">
        <v>39</v>
      </c>
      <c r="I153" s="3" t="s">
        <v>7</v>
      </c>
      <c r="J153" s="3" t="s">
        <v>30</v>
      </c>
      <c r="K153" s="3" t="s">
        <v>79</v>
      </c>
      <c r="L153" s="3" t="s">
        <v>27</v>
      </c>
      <c r="M153">
        <v>1</v>
      </c>
    </row>
    <row r="154" spans="1:13" x14ac:dyDescent="0.25">
      <c r="A154" s="2">
        <v>46296</v>
      </c>
      <c r="B154" s="1" t="str">
        <f ca="1">IF(Información1[[#This Row],[Fecha]]='Ajuste de fechas'!$A$2,"Día actual","Día anterior")</f>
        <v>Día actual</v>
      </c>
      <c r="C154" s="3" t="s">
        <v>75</v>
      </c>
      <c r="D154" t="s">
        <v>76</v>
      </c>
      <c r="E154" s="3" t="s">
        <v>315</v>
      </c>
      <c r="F154" s="3" t="s">
        <v>13</v>
      </c>
      <c r="G154" s="3" t="s">
        <v>78</v>
      </c>
      <c r="H154" s="3" t="s">
        <v>39</v>
      </c>
      <c r="I154" s="3" t="s">
        <v>7</v>
      </c>
      <c r="J154" s="3" t="s">
        <v>30</v>
      </c>
      <c r="K154" s="3" t="s">
        <v>83</v>
      </c>
      <c r="L154" s="3" t="s">
        <v>84</v>
      </c>
      <c r="M154">
        <v>1</v>
      </c>
    </row>
    <row r="155" spans="1:13" x14ac:dyDescent="0.25">
      <c r="A155" s="2">
        <v>46296</v>
      </c>
      <c r="B155" s="1" t="str">
        <f ca="1">IF(Información1[[#This Row],[Fecha]]='Ajuste de fechas'!$A$2,"Día actual","Día anterior")</f>
        <v>Día actual</v>
      </c>
      <c r="C155" s="3" t="s">
        <v>75</v>
      </c>
      <c r="D155" t="s">
        <v>76</v>
      </c>
      <c r="E155" s="3" t="s">
        <v>316</v>
      </c>
      <c r="F155" s="3" t="s">
        <v>15</v>
      </c>
      <c r="G155" s="3" t="s">
        <v>234</v>
      </c>
      <c r="H155" s="3" t="s">
        <v>39</v>
      </c>
      <c r="I155" s="3" t="s">
        <v>7</v>
      </c>
      <c r="J155" s="3" t="s">
        <v>31</v>
      </c>
      <c r="K155" s="3" t="s">
        <v>79</v>
      </c>
      <c r="L155" s="3" t="s">
        <v>27</v>
      </c>
      <c r="M155">
        <v>1</v>
      </c>
    </row>
    <row r="156" spans="1:13" x14ac:dyDescent="0.25">
      <c r="A156" s="2">
        <v>46296</v>
      </c>
      <c r="B156" s="1" t="str">
        <f ca="1">IF(Información1[[#This Row],[Fecha]]='Ajuste de fechas'!$A$2,"Día actual","Día anterior")</f>
        <v>Día actual</v>
      </c>
      <c r="C156" s="3" t="s">
        <v>75</v>
      </c>
      <c r="D156" t="s">
        <v>76</v>
      </c>
      <c r="E156" s="3" t="s">
        <v>317</v>
      </c>
      <c r="F156" s="3" t="s">
        <v>13</v>
      </c>
      <c r="G156" s="3" t="s">
        <v>290</v>
      </c>
      <c r="H156" s="3" t="s">
        <v>39</v>
      </c>
      <c r="I156" s="3" t="s">
        <v>7</v>
      </c>
      <c r="J156" s="3" t="s">
        <v>30</v>
      </c>
      <c r="K156" s="3" t="s">
        <v>77</v>
      </c>
      <c r="L156" s="3" t="s">
        <v>27</v>
      </c>
      <c r="M156">
        <v>1</v>
      </c>
    </row>
    <row r="157" spans="1:13" x14ac:dyDescent="0.25">
      <c r="A157" s="2">
        <v>46296</v>
      </c>
      <c r="B157" s="1" t="str">
        <f ca="1">IF(Información1[[#This Row],[Fecha]]='Ajuste de fechas'!$A$2,"Día actual","Día anterior")</f>
        <v>Día actual</v>
      </c>
      <c r="C157" s="3" t="s">
        <v>75</v>
      </c>
      <c r="D157" t="s">
        <v>76</v>
      </c>
      <c r="E157" s="3" t="s">
        <v>302</v>
      </c>
      <c r="F157" s="3" t="s">
        <v>13</v>
      </c>
      <c r="G157" s="3" t="s">
        <v>303</v>
      </c>
      <c r="H157" s="3" t="s">
        <v>39</v>
      </c>
      <c r="I157" s="3" t="s">
        <v>18</v>
      </c>
      <c r="J157" s="3" t="s">
        <v>30</v>
      </c>
      <c r="K157" s="3" t="s">
        <v>77</v>
      </c>
      <c r="L157" s="3" t="s">
        <v>27</v>
      </c>
      <c r="M157">
        <v>1</v>
      </c>
    </row>
    <row r="158" spans="1:13" x14ac:dyDescent="0.25">
      <c r="A158" s="2">
        <v>46296</v>
      </c>
      <c r="B158" s="1" t="str">
        <f ca="1">IF(Información1[[#This Row],[Fecha]]='Ajuste de fechas'!$A$2,"Día actual","Día anterior")</f>
        <v>Día actual</v>
      </c>
      <c r="C158" s="3" t="s">
        <v>65</v>
      </c>
      <c r="D158" t="s">
        <v>66</v>
      </c>
      <c r="E158" s="3" t="s">
        <v>295</v>
      </c>
      <c r="F158" s="3" t="s">
        <v>318</v>
      </c>
      <c r="G158" s="3" t="s">
        <v>73</v>
      </c>
      <c r="H158" s="3" t="s">
        <v>68</v>
      </c>
      <c r="I158" s="3" t="s">
        <v>7</v>
      </c>
      <c r="J158" s="3" t="s">
        <v>26</v>
      </c>
      <c r="K158" s="3" t="s">
        <v>71</v>
      </c>
      <c r="L158" s="3" t="s">
        <v>27</v>
      </c>
      <c r="M158">
        <v>1</v>
      </c>
    </row>
    <row r="159" spans="1:13" x14ac:dyDescent="0.25">
      <c r="A159" s="2">
        <v>46296</v>
      </c>
      <c r="B159" s="1" t="str">
        <f ca="1">IF(Información1[[#This Row],[Fecha]]='Ajuste de fechas'!$A$2,"Día actual","Día anterior")</f>
        <v>Día actual</v>
      </c>
      <c r="C159" s="3" t="s">
        <v>65</v>
      </c>
      <c r="D159" t="s">
        <v>66</v>
      </c>
      <c r="E159" s="3" t="s">
        <v>319</v>
      </c>
      <c r="F159" s="3" t="s">
        <v>17</v>
      </c>
      <c r="G159" s="3" t="s">
        <v>320</v>
      </c>
      <c r="H159" s="3" t="s">
        <v>68</v>
      </c>
      <c r="I159" s="3" t="s">
        <v>7</v>
      </c>
      <c r="J159" s="3" t="s">
        <v>17</v>
      </c>
      <c r="K159" s="3" t="s">
        <v>70</v>
      </c>
      <c r="L159" s="3" t="s">
        <v>27</v>
      </c>
      <c r="M159">
        <v>1</v>
      </c>
    </row>
    <row r="160" spans="1:13" x14ac:dyDescent="0.25">
      <c r="A160" s="2">
        <v>46296</v>
      </c>
      <c r="B160" s="1" t="str">
        <f ca="1">IF(Información1[[#This Row],[Fecha]]='Ajuste de fechas'!$A$2,"Día actual","Día anterior")</f>
        <v>Día actual</v>
      </c>
      <c r="C160" s="3" t="s">
        <v>65</v>
      </c>
      <c r="D160" t="s">
        <v>66</v>
      </c>
      <c r="E160" s="3" t="s">
        <v>321</v>
      </c>
      <c r="F160" s="3" t="s">
        <v>19</v>
      </c>
      <c r="G160" s="3" t="s">
        <v>281</v>
      </c>
      <c r="H160" s="3" t="s">
        <v>68</v>
      </c>
      <c r="I160" s="3" t="s">
        <v>7</v>
      </c>
      <c r="J160" s="3" t="s">
        <v>26</v>
      </c>
      <c r="K160" s="3" t="s">
        <v>70</v>
      </c>
      <c r="L160" s="3" t="s">
        <v>27</v>
      </c>
      <c r="M160">
        <v>1</v>
      </c>
    </row>
    <row r="161" spans="1:13" x14ac:dyDescent="0.25">
      <c r="A161" s="2">
        <v>46296</v>
      </c>
      <c r="B161" s="1" t="str">
        <f ca="1">IF(Información1[[#This Row],[Fecha]]='Ajuste de fechas'!$A$2,"Día actual","Día anterior")</f>
        <v>Día actual</v>
      </c>
      <c r="C161" s="3" t="s">
        <v>65</v>
      </c>
      <c r="D161" t="s">
        <v>66</v>
      </c>
      <c r="E161" s="3" t="s">
        <v>322</v>
      </c>
      <c r="F161" s="3" t="s">
        <v>49</v>
      </c>
      <c r="G161" s="3" t="s">
        <v>323</v>
      </c>
      <c r="H161" s="3" t="s">
        <v>68</v>
      </c>
      <c r="I161" s="3" t="s">
        <v>7</v>
      </c>
      <c r="J161" s="3" t="s">
        <v>26</v>
      </c>
      <c r="K161" s="3" t="s">
        <v>163</v>
      </c>
      <c r="L161" s="3" t="s">
        <v>84</v>
      </c>
      <c r="M161">
        <v>1</v>
      </c>
    </row>
    <row r="162" spans="1:13" x14ac:dyDescent="0.25">
      <c r="A162" s="2">
        <v>46296</v>
      </c>
      <c r="B162" s="1" t="str">
        <f ca="1">IF(Información1[[#This Row],[Fecha]]='Ajuste de fechas'!$A$2,"Día actual","Día anterior")</f>
        <v>Día actual</v>
      </c>
      <c r="C162" s="3" t="s">
        <v>65</v>
      </c>
      <c r="D162" t="s">
        <v>66</v>
      </c>
      <c r="E162" s="3" t="s">
        <v>324</v>
      </c>
      <c r="F162" s="3" t="s">
        <v>13</v>
      </c>
      <c r="G162" s="3" t="s">
        <v>325</v>
      </c>
      <c r="H162" s="3" t="s">
        <v>68</v>
      </c>
      <c r="I162" s="3" t="s">
        <v>7</v>
      </c>
      <c r="J162" s="3" t="s">
        <v>30</v>
      </c>
      <c r="K162" s="3" t="s">
        <v>163</v>
      </c>
      <c r="L162" s="3" t="s">
        <v>84</v>
      </c>
      <c r="M162">
        <v>1</v>
      </c>
    </row>
    <row r="163" spans="1:13" x14ac:dyDescent="0.25">
      <c r="A163" s="2">
        <v>46296</v>
      </c>
      <c r="B163" s="1" t="str">
        <f ca="1">IF(Información1[[#This Row],[Fecha]]='Ajuste de fechas'!$A$2,"Día actual","Día anterior")</f>
        <v>Día actual</v>
      </c>
      <c r="C163" s="3" t="s">
        <v>65</v>
      </c>
      <c r="D163" t="s">
        <v>66</v>
      </c>
      <c r="E163" s="3" t="s">
        <v>326</v>
      </c>
      <c r="F163" s="3" t="s">
        <v>12</v>
      </c>
      <c r="G163" s="3" t="s">
        <v>327</v>
      </c>
      <c r="H163" s="3" t="s">
        <v>68</v>
      </c>
      <c r="I163" s="3" t="s">
        <v>7</v>
      </c>
      <c r="J163" s="3" t="s">
        <v>26</v>
      </c>
      <c r="K163" s="3" t="s">
        <v>70</v>
      </c>
      <c r="L163" s="3" t="s">
        <v>27</v>
      </c>
      <c r="M163">
        <v>1</v>
      </c>
    </row>
    <row r="164" spans="1:13" x14ac:dyDescent="0.25">
      <c r="A164" s="2">
        <v>46296</v>
      </c>
      <c r="B164" s="1" t="str">
        <f ca="1">IF(Información1[[#This Row],[Fecha]]='Ajuste de fechas'!$A$2,"Día actual","Día anterior")</f>
        <v>Día actual</v>
      </c>
      <c r="C164" s="3" t="s">
        <v>65</v>
      </c>
      <c r="D164" t="s">
        <v>66</v>
      </c>
      <c r="E164" s="3" t="s">
        <v>328</v>
      </c>
      <c r="F164" s="3" t="s">
        <v>13</v>
      </c>
      <c r="G164" s="3" t="s">
        <v>325</v>
      </c>
      <c r="H164" s="3" t="s">
        <v>68</v>
      </c>
      <c r="I164" s="3" t="s">
        <v>7</v>
      </c>
      <c r="J164" s="3" t="s">
        <v>30</v>
      </c>
      <c r="K164" s="3" t="s">
        <v>71</v>
      </c>
      <c r="L164" s="3" t="s">
        <v>27</v>
      </c>
      <c r="M164">
        <v>1</v>
      </c>
    </row>
    <row r="165" spans="1:13" x14ac:dyDescent="0.25">
      <c r="A165" s="2">
        <v>46296</v>
      </c>
      <c r="B165" s="1" t="str">
        <f ca="1">IF(Información1[[#This Row],[Fecha]]='Ajuste de fechas'!$A$2,"Día actual","Día anterior")</f>
        <v>Día actual</v>
      </c>
      <c r="C165" s="3" t="s">
        <v>65</v>
      </c>
      <c r="D165" t="s">
        <v>66</v>
      </c>
      <c r="E165" s="3" t="s">
        <v>329</v>
      </c>
      <c r="F165" s="3" t="s">
        <v>13</v>
      </c>
      <c r="G165" s="3" t="s">
        <v>330</v>
      </c>
      <c r="H165" s="3" t="s">
        <v>68</v>
      </c>
      <c r="I165" s="3" t="s">
        <v>18</v>
      </c>
      <c r="J165" s="3" t="s">
        <v>30</v>
      </c>
      <c r="K165" s="3" t="s">
        <v>71</v>
      </c>
      <c r="L165" s="3" t="s">
        <v>27</v>
      </c>
      <c r="M165">
        <v>1</v>
      </c>
    </row>
    <row r="166" spans="1:13" x14ac:dyDescent="0.25">
      <c r="A166" s="2">
        <v>46296</v>
      </c>
      <c r="B166" s="1" t="str">
        <f ca="1">IF(Información1[[#This Row],[Fecha]]='Ajuste de fechas'!$A$2,"Día actual","Día anterior")</f>
        <v>Día actual</v>
      </c>
      <c r="C166" s="3" t="s">
        <v>65</v>
      </c>
      <c r="D166" t="s">
        <v>66</v>
      </c>
      <c r="E166" s="3" t="s">
        <v>277</v>
      </c>
      <c r="F166" s="3" t="s">
        <v>14</v>
      </c>
      <c r="G166" s="3" t="s">
        <v>226</v>
      </c>
      <c r="H166" s="3" t="s">
        <v>68</v>
      </c>
      <c r="I166" s="3" t="s">
        <v>7</v>
      </c>
      <c r="J166" s="3" t="s">
        <v>26</v>
      </c>
      <c r="K166" s="3" t="s">
        <v>71</v>
      </c>
      <c r="L166" s="3" t="s">
        <v>29</v>
      </c>
      <c r="M166">
        <v>1</v>
      </c>
    </row>
    <row r="167" spans="1:13" x14ac:dyDescent="0.25">
      <c r="A167" s="2">
        <v>46296</v>
      </c>
      <c r="B167" s="1" t="str">
        <f ca="1">IF(Información1[[#This Row],[Fecha]]='Ajuste de fechas'!$A$2,"Día actual","Día anterior")</f>
        <v>Día actual</v>
      </c>
      <c r="C167" s="3" t="s">
        <v>65</v>
      </c>
      <c r="D167" t="s">
        <v>66</v>
      </c>
      <c r="E167" s="3" t="s">
        <v>331</v>
      </c>
      <c r="F167" s="3" t="s">
        <v>13</v>
      </c>
      <c r="G167" s="3" t="s">
        <v>165</v>
      </c>
      <c r="H167" s="3" t="s">
        <v>68</v>
      </c>
      <c r="I167" s="3" t="s">
        <v>18</v>
      </c>
      <c r="J167" s="3" t="s">
        <v>30</v>
      </c>
      <c r="K167" s="3" t="s">
        <v>50</v>
      </c>
      <c r="L167" s="3" t="s">
        <v>28</v>
      </c>
      <c r="M167">
        <v>1</v>
      </c>
    </row>
    <row r="168" spans="1:13" x14ac:dyDescent="0.25">
      <c r="A168" s="2">
        <v>46296</v>
      </c>
      <c r="B168" s="1" t="str">
        <f ca="1">IF(Información1[[#This Row],[Fecha]]='Ajuste de fechas'!$A$2,"Día actual","Día anterior")</f>
        <v>Día actual</v>
      </c>
      <c r="C168" s="3" t="s">
        <v>65</v>
      </c>
      <c r="D168" t="s">
        <v>66</v>
      </c>
      <c r="E168" s="3" t="s">
        <v>332</v>
      </c>
      <c r="F168" s="3" t="s">
        <v>67</v>
      </c>
      <c r="G168" s="3" t="s">
        <v>73</v>
      </c>
      <c r="H168" s="3" t="s">
        <v>68</v>
      </c>
      <c r="I168" s="3" t="s">
        <v>7</v>
      </c>
      <c r="J168" s="3" t="s">
        <v>69</v>
      </c>
      <c r="K168" s="3" t="s">
        <v>71</v>
      </c>
      <c r="L168" s="3" t="s">
        <v>27</v>
      </c>
      <c r="M168">
        <v>1</v>
      </c>
    </row>
    <row r="169" spans="1:13" x14ac:dyDescent="0.25">
      <c r="A169" s="2">
        <v>46296</v>
      </c>
      <c r="B169" s="1" t="str">
        <f ca="1">IF(Información1[[#This Row],[Fecha]]='Ajuste de fechas'!$A$2,"Día actual","Día anterior")</f>
        <v>Día actual</v>
      </c>
      <c r="C169" s="3" t="s">
        <v>65</v>
      </c>
      <c r="D169" t="s">
        <v>66</v>
      </c>
      <c r="E169" s="3" t="s">
        <v>333</v>
      </c>
      <c r="F169" s="3" t="s">
        <v>13</v>
      </c>
      <c r="G169" s="3" t="s">
        <v>119</v>
      </c>
      <c r="H169" s="3" t="s">
        <v>68</v>
      </c>
      <c r="I169" s="3" t="s">
        <v>7</v>
      </c>
      <c r="J169" s="3" t="s">
        <v>30</v>
      </c>
      <c r="K169" s="3" t="s">
        <v>71</v>
      </c>
      <c r="L169" s="3" t="s">
        <v>27</v>
      </c>
      <c r="M169">
        <v>1</v>
      </c>
    </row>
    <row r="170" spans="1:13" x14ac:dyDescent="0.25">
      <c r="A170" s="2">
        <v>46296</v>
      </c>
      <c r="B170" s="1" t="str">
        <f ca="1">IF(Información1[[#This Row],[Fecha]]='Ajuste de fechas'!$A$2,"Día actual","Día anterior")</f>
        <v>Día actual</v>
      </c>
      <c r="C170" s="3" t="s">
        <v>65</v>
      </c>
      <c r="D170" t="s">
        <v>66</v>
      </c>
      <c r="E170" s="3" t="s">
        <v>334</v>
      </c>
      <c r="F170" s="3" t="s">
        <v>37</v>
      </c>
      <c r="G170" s="3" t="s">
        <v>335</v>
      </c>
      <c r="H170" s="3" t="s">
        <v>68</v>
      </c>
      <c r="I170" s="3" t="s">
        <v>7</v>
      </c>
      <c r="J170" s="3" t="s">
        <v>26</v>
      </c>
      <c r="K170" s="3" t="s">
        <v>71</v>
      </c>
      <c r="L170" s="3" t="s">
        <v>27</v>
      </c>
      <c r="M17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33</v>
      </c>
      <c r="B1" t="s">
        <v>34</v>
      </c>
    </row>
    <row r="2" spans="1:2" x14ac:dyDescent="0.25">
      <c r="A2" s="2">
        <f ca="1">TODAY()</f>
        <v>46296</v>
      </c>
      <c r="B2" s="2">
        <f ca="1">A2-1</f>
        <v>46295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2026-10-01T22:38:41Z</dcterms:modified>
</cp:coreProperties>
</file>