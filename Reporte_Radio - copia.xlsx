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1A2B51E3-C43B-4E69-937A-53AEDACC597E}"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114" i="2" l="1"/>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61" i="2"/>
  <c r="B63" i="2"/>
  <c r="B65" i="2"/>
  <c r="B67" i="2"/>
  <c r="B70" i="2"/>
  <c r="B73" i="2"/>
  <c r="B76" i="2"/>
  <c r="B79" i="2"/>
  <c r="B82" i="2"/>
  <c r="B84" i="2"/>
  <c r="B87" i="2"/>
  <c r="B90" i="2"/>
  <c r="B93" i="2"/>
  <c r="B96" i="2"/>
  <c r="B99" i="2"/>
  <c r="B102" i="2"/>
  <c r="B106" i="2"/>
  <c r="B108" i="2"/>
  <c r="B111"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 i="2"/>
  <c r="B3" i="2"/>
  <c r="B4" i="2"/>
  <c r="B5" i="2"/>
  <c r="B60" i="2"/>
  <c r="B224" i="2"/>
  <c r="B66" i="2"/>
  <c r="B69" i="2"/>
  <c r="B72" i="2"/>
  <c r="B75" i="2"/>
  <c r="B78" i="2"/>
  <c r="B81" i="2"/>
  <c r="B86" i="2"/>
  <c r="B88" i="2"/>
  <c r="B91" i="2"/>
  <c r="B94" i="2"/>
  <c r="B97" i="2"/>
  <c r="B100" i="2"/>
  <c r="B103" i="2"/>
  <c r="B105" i="2"/>
  <c r="B110" i="2"/>
  <c r="B113"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222" i="2"/>
  <c r="B48" i="2"/>
  <c r="B49" i="2"/>
  <c r="B50" i="2"/>
  <c r="B51" i="2"/>
  <c r="B52" i="2"/>
  <c r="B53" i="2"/>
  <c r="B54" i="2"/>
  <c r="B55" i="2"/>
  <c r="B56" i="2"/>
  <c r="B57" i="2"/>
  <c r="B223" i="2"/>
  <c r="B58" i="2"/>
  <c r="B59" i="2"/>
  <c r="B62" i="2"/>
  <c r="B64" i="2"/>
  <c r="B68" i="2"/>
  <c r="B71" i="2"/>
  <c r="B74" i="2"/>
  <c r="B77" i="2"/>
  <c r="B80" i="2"/>
  <c r="B83" i="2"/>
  <c r="B85" i="2"/>
  <c r="B89" i="2"/>
  <c r="B92" i="2"/>
  <c r="B95" i="2"/>
  <c r="B98" i="2"/>
  <c r="B101" i="2"/>
  <c r="B104" i="2"/>
  <c r="B107" i="2"/>
  <c r="B109" i="2"/>
  <c r="B112"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<sst xmlns="http://schemas.openxmlformats.org/spreadsheetml/2006/main" count="2245" uniqueCount="378">
  <si>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</si>
  <si>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</si>
  <si>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</si>
  <si>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</si>
  <si>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</si>
  <si>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</si>
  <si>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</si>
  <si>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</si>
  <si>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</si>
  <si>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</si>
  <si>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</si>
  <si>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</si>
  <si>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</si>
  <si>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</si>
  <si>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</si>
  <si>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</si>
  <si>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</si>
  <si>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</si>
  <si>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</si>
  <si>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</si>
  <si>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</si>
  <si>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</si>
  <si>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Congreso</t>
  </si>
  <si>
    <t>Presidencia</t>
  </si>
  <si>
    <t>SSPH</t>
  </si>
  <si>
    <t>SSH</t>
  </si>
  <si>
    <t>Otros</t>
  </si>
  <si>
    <t>Negativa</t>
  </si>
  <si>
    <t>Gobernador</t>
  </si>
  <si>
    <t>Luminarias</t>
  </si>
  <si>
    <t>Andrés Torres</t>
  </si>
  <si>
    <t>Ke Buena 106.7 FM</t>
  </si>
  <si>
    <t>David Cárdenas</t>
  </si>
  <si>
    <t>Noticias 106.7</t>
  </si>
  <si>
    <t>La Poderosa Tuxpan 93.1 FM</t>
  </si>
  <si>
    <t>Liz Argüelles</t>
  </si>
  <si>
    <t>NN Nuestras Noticias Zona Norte</t>
  </si>
  <si>
    <t>Turismo</t>
  </si>
  <si>
    <t>Súper Stéreo 100.5 FM</t>
  </si>
  <si>
    <t>Rodolfo López</t>
  </si>
  <si>
    <t>Enfoque Regional Meridiano</t>
  </si>
  <si>
    <t>Enfoque Regional Matutino</t>
  </si>
  <si>
    <t>TV Cable hidalguense Canal 6</t>
  </si>
  <si>
    <t>Juan Carlos Santamaria</t>
  </si>
  <si>
    <t>Contigo Noticias</t>
  </si>
  <si>
    <t>TV local</t>
  </si>
  <si>
    <t>Auxilio a la ciudadanía</t>
  </si>
  <si>
    <t>PGJEH</t>
  </si>
  <si>
    <t>Canal del Pueblo</t>
  </si>
  <si>
    <t>Vocales Radio</t>
  </si>
  <si>
    <t>Semarnath</t>
  </si>
  <si>
    <t>NQ 90.1 FM</t>
  </si>
  <si>
    <t>Jesús Riveros</t>
  </si>
  <si>
    <t>Enlace Hidalgo1</t>
  </si>
  <si>
    <t>Enlace Hidalgo2</t>
  </si>
  <si>
    <t>Radio Lobo 96.7 FM</t>
  </si>
  <si>
    <t>Planeación</t>
  </si>
  <si>
    <t>Ultra 102.9 FM</t>
  </si>
  <si>
    <t>Ultra Noticias1</t>
  </si>
  <si>
    <t>Daniel Martínez</t>
  </si>
  <si>
    <t>Cultura</t>
  </si>
  <si>
    <t>Firma De Convenio</t>
  </si>
  <si>
    <t>Eulalio Larrieta agradece a Carlos Gamiño por estar al pendiente de temas</t>
  </si>
  <si>
    <t>Iniciativa</t>
  </si>
  <si>
    <t>Justicia Por Propia Mano</t>
  </si>
  <si>
    <t>Abasto De Agua</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</si>
  <si>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</si>
  <si>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</si>
  <si>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</si>
  <si>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</si>
  <si>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</si>
  <si>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</si>
  <si>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</si>
  <si>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</si>
  <si>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</si>
  <si>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</si>
  <si>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</si>
  <si>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</si>
  <si>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</si>
  <si>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</si>
  <si>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</si>
  <si>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</si>
  <si>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</si>
  <si>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</si>
  <si>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</si>
  <si>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Eulalio Larrieta agradece a Edith Balderas de la Secretaria de Educación Pública.</t>
  </si>
  <si>
    <t>Maltrato animal</t>
  </si>
  <si>
    <t>Tauromaquia</t>
  </si>
  <si>
    <t>Prevención De Riesgos</t>
  </si>
  <si>
    <t>Sedeco</t>
  </si>
  <si>
    <t>Combate Al Narcomenudeo</t>
  </si>
  <si>
    <t>Rehabilitación Vial</t>
  </si>
  <si>
    <t>Aumento Tarifa De Transporte</t>
  </si>
  <si>
    <t>Exigen esclarecer homicidio</t>
  </si>
  <si>
    <t>Mundial De Futbol</t>
  </si>
  <si>
    <t>Prevención De Embarazo Adolescente</t>
  </si>
  <si>
    <t>Refuerzo De Seguridad</t>
  </si>
  <si>
    <t>Robo de identidad</t>
  </si>
  <si>
    <t>Semana Santa</t>
  </si>
  <si>
    <t>Nacionales Conade</t>
  </si>
  <si>
    <t>Saderh</t>
  </si>
  <si>
    <t>Gusano barrenador</t>
  </si>
  <si>
    <t>Vía telefónica el reporte de Bombero y Protección Civil con Abner Yáñez informa que se atendieron diversas emergencias.</t>
  </si>
  <si>
    <t>Vacunación</t>
  </si>
  <si>
    <t>Bienestar</t>
  </si>
  <si>
    <t>Hidalgo fortalece acciones para prevenir el embarazo en niñas y adolescentes</t>
  </si>
  <si>
    <t>Ambulantaje</t>
  </si>
  <si>
    <t>Fuga de hidrocarburo</t>
  </si>
  <si>
    <t>Derrumbe Carretero</t>
  </si>
  <si>
    <t>Una patrulla de Mineral de la Reforma se impactó contra al menos tres vehículos que se encontraban estacionados en la calle Santa Cecilia de la colonia La Providencia.</t>
  </si>
  <si>
    <t>Accidente de patrulla</t>
  </si>
  <si>
    <t>Reforma De Ley</t>
  </si>
  <si>
    <t>Las y los legisladores Tania Eréndira Meza Escorza, Yarabi González Martínez, Julián Nochebuena Hernández, Diana Rangel Zúñiga y José Luis Rodríguez Higareda (Morena) detallaron la iniciativa que reforma la Ley para la Prevención, Atención y Erradicación de Violencia Escolar en el Estado de Hidalgo, con la finalidad de especificar la mediación escolar como mecanismo de atención temprana, solución pacífica de conflictos y fortalecimiento de la convivencia armónica en las instituciones educativas públicas y privadas.</t>
  </si>
  <si>
    <t>Boletín 39: Atiende gobierno de Hidalgo derrumbe en carretera estatal Tianguistengo–Yatipán</t>
  </si>
  <si>
    <t>Boletín: Formalizan alianza DESCTI-CIATEQ para impulso de innovación y desarrollo tecnológico en Hidalgo</t>
  </si>
  <si>
    <t>La Subsecretaría de Protección Civil y Gestión de Riesgos del Gobierno del Estado de Hidalgo informó que, tras lo ocurrido en instalaciones de la Refinería Miguel Hidalgo, en el municipio de Tula de Allende, se activaron de manera oportuna los protocolos internos de atención a emergencias. De acuerdo con la información disponible hasta el momento, la situación se encuentra bajo control y no representa riesgo para la población. Las instancias correspondientes continúan atentas al seguimiento del evento en coordinación con autoridades y cuerpos de atención internos de la refinería. Se exhorta a la ciudadanía a mantener la calma, informarse únicamente a través de medios oficiales y evitar la difusión de rumores.</t>
  </si>
  <si>
    <t>Concierto Sinfónico</t>
  </si>
  <si>
    <t>Cooperación UNFPA</t>
  </si>
  <si>
    <t>Homicidios</t>
  </si>
  <si>
    <t>Localización de cuerpo</t>
  </si>
  <si>
    <t>Un Tribunal de Enjuiciamiento dictó sentencia condenatoria contra Elías San Juan Sánchez, expresidente municipal de Yahualica, por los delitos de peculado agravado y uso ilícito de atribuciones y facultades agravado, en perjuicio de la administración pública del municipio que gobernó. La audiencia que duró más de siete horas se desarrolló bajo el expediente Juicio Oral 185/2024. El Tribunal estuvo integrado por la jueza presidenta Diana Villarreal Quintero, el juez relator José Luis Crespo García y el tercer integrante Miguel Ángel Galindo Nájera; sin embargo, el asunto se regresó a la etapa intermedia debido a que el acusado accedió a un procedimiento abreviado, ello mediante control difuso. En este contexto, fue el juez relator quien emitió la resolución. Como resultado, Elías San Juan Sánchez fue condenado a 13 años y seis meses de prisión, además de una multa de 500 Unidades de Medida y Actualización (UMA), equivalente a 48 mil 110 pesos. Asimismo, se ordenó como parte de la reparación del daño la emisión de una disculpa pública y el compromiso de no repetición. También se determinó la suspensión de sus derechos políticos y civiles. El tribunal dispensó la lectura y explicación íntegra de la sentencia al concluir la audiencia. Este fallo se suma a una serie de resoluciones recientes en Hidalgo contra exservidores públicos por delitos relacionados con el manejo indebido de recursos públicos, denominado Estafa Siniestra, que consistió en qué se le asignaba recursos extraordinarios a un ayuntamiento y éste lo asignaba de manera directa a supuestas empresas fantasma. De ese asunto se ha sentenciado a Martiniano Vega Orozco, exoficial mayor, a 12 años de prisión por peculado, además de una reparación del daño superior a los 14 millones de pesos. Felipe Juárez Ramírez, exalcalde de Huautla, condenado a 10 años de prisión por peculado agravado y uso ilícito de facultades. Fidel Arce Santander, exalcalde de Epazoyucan, quien recibió una pena de 8 años de prisión por delitos similares.</t>
  </si>
  <si>
    <t>Detención Diputado</t>
  </si>
  <si>
    <t>Locutor Jesús Riveros informa que, en este momento se realiza la “Jornada por la paz” en el Jardín La Floresta de Tulancingo, evento encabezado por el secretario Guillermo Olivares y diversas autoridades como, Lorena García, presidenta municipal de Tulancingo; esta dinámica que ha servido de mucho, porque las personas tienen la posibilidad de exponer sus casos frente a las autoridades, con ese compromiso de darle surgimiento y acompañamiento</t>
  </si>
  <si>
    <t>Jornada por la paz</t>
  </si>
  <si>
    <t>Boletín: Apoya gobierno de Julio Menchaca a personas investigadoras a través del “Fondo Hidalgo, Ciencia y Tecnología”</t>
  </si>
  <si>
    <t>Becas De Posgrado</t>
  </si>
  <si>
    <t>Boletín: Respuesta oportuna de la SSPH permite auxiliar a mujer embarazada en la México–Pachuca</t>
  </si>
  <si>
    <t>Boletín: Refuerzan atención a casos de violencia de género en Huichapan</t>
  </si>
  <si>
    <t>Boletín 635: OSEH abre audiciones para integrar nuevos talentos a su plantilla artística</t>
  </si>
  <si>
    <t>Orquesta Sinfónica</t>
  </si>
  <si>
    <t>Boletín 570: Auxiliares funcionales mejoran la vida a personas mayores</t>
  </si>
  <si>
    <t>Ayudas funcionales</t>
  </si>
  <si>
    <t>Boletín: Hidalgo impulsa modelo de partería centrado en las mujeres</t>
  </si>
  <si>
    <t>Boletín: Alerta sobre perfil falso que suplanta la identidad de Miguel Tello</t>
  </si>
  <si>
    <t>Alerta De Fraude</t>
  </si>
  <si>
    <t>Boletín 716: Caen 5 presuntos narcomenudistas en Pachuca, tras operativo de la SSPH</t>
  </si>
  <si>
    <t>Boletín: Secretaría de Salud llevará jornada médica integral a Yolotepec, en Santiago de Anaya</t>
  </si>
  <si>
    <t>Jornada de salud</t>
  </si>
  <si>
    <t>Boletín 101: Fortalecen medidas sanitarias rumbo a la Expo Feria La Ganadera Hidalgo 2026</t>
  </si>
  <si>
    <t>Supervisión sanitaria</t>
  </si>
  <si>
    <t>Petróleos Mexicanos (Pemex) aclaró este 16 de abril que no se registró incendio en la refinería de Tula, tras versiones que circularon en redes sociales. En sus redes sociales, la empresa estatal asegura que ocurrió “un incidente menor con presencia de humo” en la Planta Hidrodesulfuradora de la refinería de Tula, donde personal actuó de forma inmediata. La paraestatal reportó que no hay personas lesionadas ni se detectan daños en las instalaciones. De acuerdo con Pemex, la refinería continúa en operación y cumple con sus programas de producción habituales.</t>
  </si>
  <si>
    <t>Incendio en Refinería</t>
  </si>
  <si>
    <t>Con un total de 90 cámaras instaladas en puntos estratégicos del municipio y conectadas al C5i estatal, el municipio de Acaxochitlán modernizó su C2 para contar con una mejor vigilancia. El presidente municipal, Ricardo Perea Gómez, gestionó la transformación del espacio de monitoreo Centro de Comando y Control (C2), una acción estratégica que fortalece la seguridad en el municipio mediante la incorporación de tecnología de última generación. El alcalde reconoció el respaldo del gobierno estatal encabezado por Julio Menchaca Salazar, destacando que la coordinación institucional ha sido clave para avanzar en materia de seguridad pública. Como parte de esta intervención, se realizó la renovación integral del sistema de videovigilancia, incluyendo circuito cerrado y la modernización de cámaras, alcanzando un total de 90 cámaras instaladas en puntos estratégicos del municipio, todos conectados al sistema estatal C5i. Esta red permitirá mejorar la supervisión, ampliar la cobertura y agilizar la atención ante situaciones de riesgo. Ricardo Perea Gómez subrayó que esta inversión representa un paso firme hacia un municipio más fuerte, preparado y seguro, al incrementar la capacidad de respuesta de las corporaciones de seguridad. Asimismo, enfatizó que contar con mejores herramientas tecnológicas permite proteger de manera más eficiente a la población. Los recursos destinados a estas acciones provienen del Fondo de Aportaciones para el Fortalecimiento de los Municipios (FORTAMUN), con aportaciones estatales y federales, el cual también ha permitido la adquisición de equipo complementario como computadoras para la conexión a Plataforma México, uniformes para elementos de seguridad y, durante este año, la incorporación de una nueva patrulla.</t>
  </si>
  <si>
    <t>Al menos tres personas perdieron la vida en el percance vial ocurrido esta tarde sobre el libramiento Pitula-San Alejo, de la autopista México-Tuxpan, que involucró a un tractocamión con doble remolque y dos vehículos compactos. Este accidente se presentó en el kilómetro 87 de la transitada vialidad, a la altura de Huajomulco, comunidad del municipio Tulancingo. De acuerdo con los primeros reportes, el tractocamión presuntamente invadió ambos carriles e impactó a dos automóviles de las marcas Chevy y Tiida. Al lugar arribaron elementos de la dirección de Bomberos y Protección Civil de Tulancingo, al mando del titular, Jesús García Ávila, quien confirmó el deceso de tres masculinos, dos de los cuales tripulaban el vehículo Tiida, mientras que el otro aparentemente conducía el Chevy. El jefe vulcano dio a conocer que también trasladaron para su atención hospitalaria a un varón que resultó con múltiples lesiones en este percance.</t>
  </si>
  <si>
    <t>Accidente Carretero</t>
  </si>
  <si>
    <t>Boletín: En operación nueva línea de alcantarillado sanitario en Pachuca</t>
  </si>
  <si>
    <t>Alcantarillado</t>
  </si>
  <si>
    <t>Boletín 40: Abrirá SIPDUS en este mes la avenida Tezontle, en la colonia Venta Prieta de Pachuca</t>
  </si>
  <si>
    <t>Al menos dos elementos adscritos a la Dirección de Seguridad Pública Municipal de Santiago de Anaya se vieron involucrados en un altercado vial en la comunidad de González Ortega. El incidente generó una movilización y el descontento de los testigos que presenciaron los hechos. La principal queja de los pobladores radicó en que los uniformados se encontraban en presunto estado de ebriedad al momento de un incidente. AUDIO DE APOYO</t>
  </si>
  <si>
    <t>Policía ebrio</t>
  </si>
  <si>
    <t>La madrugada de este viernes, entre las 2:00 y 3:00 horas, un joven de apenas 18 años de edad, originario de la comunidad indígena de San Ildefonso en Tepeji del Río, perdió la vida tras sufrir un accidente en la motocicleta que tripulaba.De acuerdo con información oficial, el percance ocurrió sobre la avenida del Trabajo, a la altura del Cobaeh de la localidad. Presuntamente, el fallecido acudió a la zona con el objetivo de participar en “arrancones” de motocicleta, momento en el cual cayó de la unidad que pilotaba.</t>
  </si>
  <si>
    <t>Accidente vial</t>
  </si>
  <si>
    <t>Autoridades federales intervienen en el conflicto interno que enfrenta el ejido de Melchor Ocampo, ubicado en Tepeji del Río , donde los grupos de ejidatarios mantienen una disputa por el control de la representación. La delegación en Hidalgo de la Procuraduría Agraria asumió un papel de mediación para reducir tensiones; además del conflicto, esta busca evitar afectaciones a la obra México-Querétaro.</t>
  </si>
  <si>
    <t>Conflicto agrario</t>
  </si>
  <si>
    <t>Comenta el conductor Jesús González que el lirio acuático no solo se presenta en la presa Endhó, también en presa en Alfajayucan y hoy confirman en el Río Tepeji; esto enciende las alertas en el flujo de agua, reducir los niveles de oxígeno y alterar el equilibrio ecológico del afluente, este escenario se suma el riesgo sanitario, eso mencionaron un grupo de regidores de Tepeji del Río. Quienes plantearon la necesidad de intervenir de manera inmediata mediante acciones coordinadas entre los 3 niveles de gobierno, para el control y retiro del lirio acuático. AUDIO APOYO</t>
  </si>
  <si>
    <t>Control lirio acuático</t>
  </si>
  <si>
    <t>Información de Nadime Ashane. El gobierno de México, a través de la Secretaría de Medio Ambiente y Recursos Naturales, convocó a comunidades indígenas de distintos municipios del estado a participar en las asambleas generales comunitarias como parte del proceso de consulta sobre el programa de restauración ecológica en la zona de influencia de la presa Endhó. La invitación está dirigida a habitantes de comunidades del municipio de Tepetitlán, Tula de Allende y Tezontepec de Aldama. Este proceso busca garantizar la participación directa de los pueblos indígenas en decisiones relacionadas con la restauración ambiental de la región.</t>
  </si>
  <si>
    <t>Consulta Indígena</t>
  </si>
  <si>
    <t>Como parte del Proyecto Mundial Social: Intervención y Modernización de Infraestructura Deportiva Comunitaria rumbo al Mundial FIFA 2026, impulsado por la SEDATU en coordinación con la CONADE, el municipio de Tula de Allende será uno de los 29 municipios beneficiados con la construcción de una cancha de fútbol 5 en la unidad deportiva.Este día, en la ciudad de Pachuca, se llevó a cabo la firma de este importante convenio, donde participó el presidente municipal Cristhian Martínez, quien reiteró el compromiso de la administración municipal con el desarrollo integral y el impulso al deporte en el municipio. AUDIO APOYO</t>
  </si>
  <si>
    <t>Boletín 1624: Mundial Social llega a Hidalgo con impulso a infraestructura deportiva comunitaria ,AUDIO APOYO</t>
  </si>
  <si>
    <t>La Unidad de Planeación y Prospectiva detectó un perfil falso en redes sociales que suplanta la identidad de su titular, Miguel Ángel Tello Vargas, con el fin de difundir engaños sobre supuestos negocios</t>
  </si>
  <si>
    <t>Piden apoyo para localizar a Felipe Sánchez Huitron de 40 años de edad, quien desaparecido en Nopala Hidalgo desde el 15 de diciembre 2025, dan lectura a su ficha de búsqueda</t>
  </si>
  <si>
    <t>Búsqueda de personas</t>
  </si>
  <si>
    <t>Boletín : Refuerzan atención a casos de violencia de género en Huichapan</t>
  </si>
  <si>
    <t>Boletín: Impulsa Gobierno de Hidalgo espacios de inclusión a través del arte en Tulancingo</t>
  </si>
  <si>
    <t>Inclusión</t>
  </si>
  <si>
    <t>Boletín:Auxiliares funcionales mejoran la vida a personas mayores</t>
  </si>
  <si>
    <t>Boletín:Refuerzan atención a casos de violencia de género en Huichapan</t>
  </si>
  <si>
    <t>Al menos dos elementos adscritos a la Dirección de Seguridad Pública Municipal de Santiago de Anaya se vieron involucrados en un altercado vial en la comunidad de González Ortega. El incidente generó una movilización y el descontento de los testigos que presenciaron los hechos. La principal queja de los pobladores radicó en que los uniformados se encontraban en presunto estado de ebriedad al momento de un incidente. AUDIO DE APOYO DE ALEGATO.</t>
  </si>
  <si>
    <t>Las y los derechohabientes de Infonavit, en la región Tula-Tepeji, tienen una nueva oportunidad para acceder a una vivienda del Bienestar. Este domingo, 19 de abril, el próximo domingo se abrirá, por última vez, el registro al Programa Vivienda para el Bienestar en el Centro de Servicio Infonavit Tula, dirigido a personas trabajadoras de municipios como Ajacuba, Atitalaquia, Atotonilco de Tula, Tetepango, Tepeji del Río, Tepetitlán, Tezontepec, Tlahuelilpan, Tlaxcoapan y Tula.</t>
  </si>
  <si>
    <t>Plan Nacional De Vivienda</t>
  </si>
  <si>
    <t>Comunicación vía telefónica a la Presidenta Municipal Tepetitlán, la licenciada Ana Elsa Castillo, Consultas Médicas gratuitas en el municipio. Hoy inician en la Casa de Salud de Xhiti primera Sección. Las jornadas se extenderán a lo largo y ancho del municipio. Estas consultas serán todos los días y serán itinerantes. Se van a emitir ahorita el calendario para que la gente pueda estar en comunicación o en conocimiento a través de los delegados. De igual forma, por cierto, la siguiente semana iniciamos campaña de vacunación Felina y Canina y de igual forma pues vamos a estar tocando todas las comunidades para poder generar este tipo de cuestiones que hoy también el gobierno municipal asume y con mucha responsabilidad. Entonces se va a emitir el calendario para que la gente sepa qué día le toca estar al médico en la comunidad.</t>
  </si>
  <si>
    <t>¿Qué dijo la alcaldía? En un comunicado oficial señaló derivado de los hechos en los que se vieron involucrados elementos de la Corporación de Seguridad Pública y Tránsito Municipal de este municipio, quienes, aunque portaban un uniforme, no se encontraban en servicio. Informaron que se activaron de manera inmediata los protocolos correspondientes. Este gobierno municipal condena enérgicamente cualquier conducta que contravenga la ley y los principios del servicio público. Por ello, se han iniciado los procedimientos necesarios para que los responsables sean sancionados conforme a derecho, sin excepción alguna.</t>
  </si>
  <si>
    <t>En otros temas, autoridades suspendieron clases en nivel preescolar y primaria en la comunidad de Texcaltepec, municipio de Cuautepec de Hinojosa, tras una fuga de hidrocarburo que generó riesgos para la población. El incidente se registró la tarde del miércoles 15 de abril, cuando una fuga tipo fuente de aproximadamente 9 metros de altura movilizó cuerpos de emergencia y fuerzas de seguridad.Personal de Pemex informó que la fuga se originó durante la reparación de una toma clandestina, provocando la expulsión violenta del combustible. Tras maniobras de contención, la toma fue cerrada. Sin embargo, continuaron los trabajos hasta el día jueves para la disipación de gases y la inhabilitación total de la conexión ilegal.</t>
  </si>
  <si>
    <t>Boletín 101: Fortalecen medidas sanitarias rumbo a la Expo Feria La Ganadera Hidalgo 2026, AUDIO DE APOYO</t>
  </si>
  <si>
    <t>COMENTARIO LOCUTOR Hay que recordar que la Secretaría de Turismo señaló que, pues, los bloqueos, las lluvias fueron factores importantes para que, pues, las cifras en cuanto a visitantes y derrama económica no se superara en este 2026. Y también hay que decirlo, generalmente las personas que visitan el Estado, los turistas que visitan Hidalgo, pues vienen de las entidades que están exentas de este pase turístico. Recibimos gente del Estado de México, de Ciudad de México, de Puebla, de Tlaxcala, de Querétaro, que eligen al Estado de Hidalgo como destino turístico.</t>
  </si>
  <si>
    <t>Afluencia Turística</t>
  </si>
  <si>
    <t>En la capital hidalguense, el pase turístico en Hidalgo se implementó oficialmente desde julio de 2025. Esta norma permite transitar en la entidad sin ser multado por autoridades ambientales. Las entidades exentas de este permiso son Ciudad de México, Puebla, Estado de México, Morelos, Tlaxcala y Querétaro. Actualmente se encuentra en una fase de concientización en materia turística. Se busca que esta disposición no afecte la derrama económica de nuestro estado, destacó Liz Quintanar, secretaria de Turismo de Hidalgo. AUDIO DE APOYO</t>
  </si>
  <si>
    <t>Pase turístico</t>
  </si>
  <si>
    <t>El gobernador de Hidalgo, Julio Menchaca Salazar, advirtió que no se permitirá la invasión del carril exclusivo del Tuzobús, señaló que pues esta práctica ha provocado accidentes, incluso fatales, por lo que habrá mano dura. Indicó que el problema tiene su origen en decisiones de la administración pasada, aunque reconoció la inconformidad de los automovilistas. AUDIO APOYO ENTREVISTA JMS</t>
  </si>
  <si>
    <t>Carril confinado</t>
  </si>
  <si>
    <t>La Subsecretaría de Protección Civil y Gestión de Riesgos Estatal reiteró que no se reportan personas lesionadas ni daños estructurales que comprometan la continuidad de la producción en el complejo. Este incidente surge apenas una semana después de registrarse otro evento similar en el mismo complejo industrial. Pese al incidente, la refinería mantiene sus operaciones de producción, mientras las autoridades estatales vigilan el perímetro para descartar daños estructurales</t>
  </si>
  <si>
    <t>Incendio en refinería</t>
  </si>
  <si>
    <t>El gobernador de Hidalgo, Julio Menchaca Salazar, validó la alerta al informar que se activaron los protocolos de atención a emergencias. Informes de cuerpos de auxilio indicaron que el estruendo provino de un compresor de la planta HDR catalítica. Detalle que la administración de la refinería omitió en su reporte oficial.</t>
  </si>
  <si>
    <t>Indencio en Refinería</t>
  </si>
  <si>
    <t>Al respecto, Petróleos Mexicanos negó cualquier explosión o incendio en las instalaciones al asegurar que sólo se registró presencia de humo ahí en la planta. Únicamente humo negro, como todos los días, pero empezaron a surgir vídeos en redes sociales donde pues la situación se veía un poco más grave. Falso que hubo incendio en la refinería de Tula, se registró un incidente menor, el cual fue atendido de manera inmediata, así apuntó en un comunicado de Petróleos Mexicanos.</t>
  </si>
  <si>
    <t>La Subsecretaría de Protección Civil y el gobierno de Hidalgo confirmaron la activación de protocolos de emergencia por un incidente en la refinería de Tula Miguel Hidalgo, mientras Petróleos Mexicanos minimizó el hecho a calificarlo como un evento intrascendente. Los vídeos dicen lo contrario. La movilización de brigadas internas y el despliegue de seguridad estatal ocurrieron tras reportes ciudadanos sobre un fuerte estruendo, llamas y una densa columna de humo negro visible desde distintos puntos del municipio</t>
  </si>
  <si>
    <t>Radioescucha Sra Cristina Fernández , reporta que sigue sin agua en Ferrocarril Central en Santa Julia</t>
  </si>
  <si>
    <t>Radioescucha reporta falta de agua en Ferrocarril Central de lado de San Cayetano</t>
  </si>
  <si>
    <t>Radioescucha reporta que no cae agua en colonia Valle del Palmar</t>
  </si>
  <si>
    <t>Radioescucha agradece al presidente municipal de Pachuca, por quitar a los ambulantes en Plaza Constitución</t>
  </si>
  <si>
    <t>Participación semanal Maestro Julio Valera Piedras, titular de la Sedatu en Hidalgo, con el tema Instalación del comité estatal de obras comunitarias, comentó que es un esfuerzo impulsado por el gobierno de México encabezado por la presidenta Claudia Sheinbaum que busca dejar un legado en todo el país, lo que se pretende es que en cada comunidad existan espacios dignos, seguros y accesibles donde las personas puedan convivir, hacer deporte y fortalecer el tejido social. Este programa contempla la intervención de 1200 canchas en todo el país. En Hidalgo estarán realizando 38 acciones en distintos municipios del estado.</t>
  </si>
  <si>
    <t>El presidente municipal de Mineral de la Reforma, Eduardo Medécigo Rubio, puso en marcha acciones de renovación de luminarias en las colonias Francisco Villa, La Calera y Pradera de Virreyes.Durante el arranque, el alcalde destacó que una prioridad es atender necesidades históricas en zonas que permanecieron en el abandono.</t>
  </si>
  <si>
    <t>Congreso de Hidalgo avala reforma educativa para enseñar primeros auxilios y fortalecer valores cívicos en estudiantes .En sesión ordinaria, diputadas y diputados integrantes de la LXVI Legislatura avalaron con 20 votos a favor, cero en contra y cero abstenciones, el dictamen que aprueba con modificaciones las iniciativas que reforman la Ley de Educación del Estado de Hidalgo, promovido por diputadas y diputados, emitido por la primera Comisión Permanente de Legislación y Puntos Constitucionales.</t>
  </si>
  <si>
    <t>Luego de la alarma generada por una supuesta explosión e incendio en la refinería de Tula, autoridades de Petróleos Mexicanos (Pemex) aclararon que no se trató de un siniestro mayor, sino de un incidente menor con presencia de humo.La empresa informó que el evento ocurrió en la Planta Hidrodesulfuradora de la Refinería Miguel Hidalgo, ubicada en Tula de Allende, y fue atendido de forma inmediata por personal interno.</t>
  </si>
  <si>
    <t>Como parte de la estrategia para transformar la infraestructura urbana y garantizar servicios básicos eficientes en la entidad, la Secretaría de Infraestructura Pública y Desarrollo Urbano Sostenible (SIPDUS), informó sobre el avance que se registran en los trabajos de reconstrucción con pavimento hidráulico de la avenida del Tezontle de la colonia Venta Prieta, en Pachuca. El titular de la dependencia Alejandro Sánchez García explicó que las labores consistieron en la pavimentación con concreto hidráulico MR45 de 20 centímetros de espesor, con una vida útil de aproximadamente 25 años; asimismo, previo al colado de la superficie, se realizó una sustitución de la antigua tubería de asbesto cemento por PVC clase 500 de 20 pulgadas, y la renovación de la red de drenaje sanitario con tubería de polietileno de 18 pulgadas, lo que contribuirá a un suministro de agua eficiente para las colonias aledañas y un desalojo de las aguas residuales sin filtraciones.</t>
  </si>
  <si>
    <t>En unas horas más se llevará a cabo la Jornada por la paz, en el Jardín la Foresta de Tulancingo con la presencia del Secretario de Gobierno, Guillermo Olivares. El objetivo es conocer comentarios, dudas y sugerencias hacia las instancias gubernamentales.</t>
  </si>
  <si>
    <t>Con el objetivo de ampliar el acceso a servicios médicos, el Gobierno de Tulancingo fortalece la atención en salud a través de dispensarios y jornadas móviles “Salud a tu Alcance”, beneficiando a cientos de familias en colonias y comunidades. Durante el primer trimestre del año, la Dirección de Sanidad Municipal reportó mil 61 atenciones médicas y dentales en los dispensarios de La Cañada, Metilatla y San Nicolás El Chico, espacios que también promueven la prevención como eje del bienestar comunitario. De forma complementaria, más de 300 personas han sido atendidas mediante las jornadas médicas que se realizan semanalmente en distintos puntos del municipio, acercando servicios como consulta general, detección de diabetes e hipertensión, así como orientación nutricional. En lo que va del año, se han efectuado cerca de 20 jornadas en diversas colonias, donde se ha identificado una alta incidencia de enfermedades como diabetes tipo 2, así como padecimientos respiratorios y gastrointestinales.</t>
  </si>
  <si>
    <t>OSEH abre audiciones para integrar nuevos talentos a su plantilla artística</t>
  </si>
  <si>
    <t>Habitantes de comunidades ubicadas en la ribera de la presa Endhó denunciaron la creciente presencia del mosco culex, cuya proliferación se ha convertido en un severo problema de salud y ha deteriorado significativamente su calidad de vida. De acuerdo con testimonios de los pobladores, al caer la tarde se forman densas nubes de mosquitos que emergen del lirio acuático que invade el embalse. Actualmente, más del 50 por ciento de las mil 200 hectáreas del vaso de la presa se encuentran cubiertas por esta planta, considerada el principal hábitat del insecto. “No se puede vivir así. Continúa el mosquerío, es un grave problema”, expresó Noé Olguín Luna, subdelegado de la comunidad de Michimaloya, en el municipio de Tula, quien aseguró que la situación se ha intensificado en los últimos meses. Los habitantes relatan que durante las noches las paredes de sus viviendas llegan a cubrirse completamente de mosquitos, al grado de “pintarse de negro”. Además, denunciaron la muerte de animales de granja debido a la gran cantidad de picaduras que reciben diariamente. El roblema, señalaron, se agrava ante el incumplimiento de las autoridades. Según explicaron, el Gobierno Federal había prometido implementar fumigaciones constantes para controlar la plaga, compromiso que —afirman— no se ha cumplido. Ante este panorama, pobladores de diversas comunidades ribereñas hicieron un llamado urgente a los tres niveles de gobierno para atender de manera inmediata la problemática, al considerar que las condiciones actuales son insostenibles y representan un riesgo de salud pública en la región.</t>
  </si>
  <si>
    <t>Mosco Culex</t>
  </si>
  <si>
    <t>Caen 5 presuntos narcomenudistas en Pachuca, tras operativo de la SSPH</t>
  </si>
  <si>
    <t>Comerciantes del mercado local de Zimapán lograron detener a un hombre a quien presuntamente detectaron robando en un puesto de verduras, de acuerdo a versiones de algunos comerciantes. Fue así que comerciantes del mercado en la cabecera municipal de Zimapán en Hidalgo, detuvieron al presunto ladrón al que capturaron y lo amarraron para llevárselo caminando y exhibirlo entre los propios comerciantes. El sujeto fue amarrado de un poste antes le dieron algunos golpes y luego lo entregaron a la policía que lo puso a disposición de la autoridad competente.</t>
  </si>
  <si>
    <t>En Acaxochilán fue atropellada una mujer de 85 años de edad, el conducto fue detenido por la policía municipal.</t>
  </si>
  <si>
    <t>Detención</t>
  </si>
  <si>
    <t>Después de 10 días secuestrado un hombre fue localizado sin vida en Mixquiahuala, se trató de Mauricio N. de 38 años. El cuerpo fue enterrado parcialmente y estaba en estado de descomposición lo cual dificultó su identificación. El hombre había sido secuestrado por sujetos armados que irrumpieron en su vivienda el pasado 6 de abril y huyeron con rumbo a Tezontepec de Aldama. Se implementó un operativo, pero trascendió la posible detención de los responsables, que esto no ha sido confirmado por las autoridades</t>
  </si>
  <si>
    <t>Daniel Martínez critica que Pemex haya minimizado el incendio de ayer en la refinería de Tula.</t>
  </si>
  <si>
    <t>Un fuerte estallido registrado durante la madrugada de este jueves 16 de abril generó alarma entre habitantes cercanos a la Refinería Miguel Hidalgo, luego de que se percibiera una vibración en viviendas y se observara una densa columna de humo negro proveniente del complejo industrial. De acuerdo con reportes preliminares, el evento habría tenido origen en el área de procesos, específicamente en un calentador del sector de Hidros. Versiones extraoficiales apuntan a una posible falla técnica como causa del incidente. Personal especializado de la refinería logró contener el fuego en cuestión de minutos, evitando su propagación a otras áreas. No fue necesaria la intervención de cuerpos externos y la operación del complejo no presentó afectaciones mayores. En sus redes sociales el gobernador Julio Menchaca confirmó que se habían activado los protocolos correspondientes y conformaron también que el incidente se encontraba bajo control, sin presentar un peligro para la población</t>
  </si>
  <si>
    <t>El diputado del Congreso de Hidalgo, José María Alejandro Pérez Ramírez, dio a conocer el compromiso adquirido por el Poder Legislativo para realizar una consulta ciudadana sobre tauromaquia en Hidalgo, solicitada por manifestantes taurinos que se presentaron esta tarde frente al recinto legislativo. En ese sentido, al ser cuestionado sobre a cuántas comunidades se abrirá la consulta ciudadana en Hidalgo, el legislador señaló que los criterios y el proceso a seguir aún no han quedado definidos en la mesa de trabajo entablada este miércoles, por lo que deberán revisarse en los próximos días.</t>
  </si>
  <si>
    <t>El promedio de conductores de vehículos automotores detenidos durante el periodo vacacional de Semana Santa en los operativos alcoholímetro en Tulancingo, no tuvo variación respecto a la aplicación cotidiana. Lo anterior fue informado por Enrique Romero Alcántar, titular de la Secretaría municipal de Seguridad Ciudadana, señalando que en la primera semana del periodo de asueto fueron tres automovilistas detenidos al serles detectados altos niveles de alcohol en la sangre. Se trata prácticamente del mismo promedio de detenciones que se registra cada semana durante la aplicación de las pruebas, con objetivo de disminuir la incidencia de accidentes automovilísticos. Los operativos alcoholímetro se implementaron en el año 2009, siendo incluidos en el Reglamento municipal de Tránsito. De acuerdo a la normativa, los automovilistas son detenidos cuando se detecta que tienen más de 0.40 miligramos por litro de alcohol en la sangre, pues se considera que con dicho nivel no están aptos para conducir un vehículo automotor. Pero incluso al rebasar los 0.08 miligramos por litro de alcohol en la sangre, los conductores son sancionados, pues se trata de niveles que ya se consideran inadecuados para manejar un vehículo automotor.</t>
  </si>
  <si>
    <t>Fue presentada propuesta en el Congreso del Estado de Hidalgo para reducir en casi 300 la cantidad de regidores, así como seis Síndicos en Ayuntamientos del Estado de Hidalgo. Al presentar la propuesta, la diputada local Cynthia Citlali Delgado Mendoza, señaló que la disminución en el número de integrantes de las Asambleas Municipales en los 84 municipios de Hidalgo, significaría un ahorro económico de 266 millones de pesos. Para ello, se propone que en municipios con menos de 30 mil habitantes, cuenten con Asambleas Municipales conformadas entre 10 a 8 integrantes; mientras que en demarcaciones que tienen entre 30 mil y 50 mil habitantes, tendrían entre 13 a 10 integrantes. En el caso de los municipios con población entre 50 mil y 100 mil habitantes, contarían con 17 a 13 integrantes de la Asamblea Municipal, y con más de cien mil habitantes, los municipios contarían con cuerpos edilicios entre 21 a 16 integrantes. En todos los casos se contempla una sola sindicatura y una reducción tanto en regidurías de mayoría relativa como de representación proporcional. La iniciativa también propone la eliminación de la sindicatura de primera minoría, al considerar que duplica funciones dentro del esquema de representación proporcional.</t>
  </si>
  <si>
    <t>Plan B</t>
  </si>
  <si>
    <t>Un reporte emitido a través de la línea de emergencias 9-1-1 y canalizado por el Centro de Control, Comando, Comunicaciones, Cómputo, Coordinación e Inteligencia, permitió la movilización inmediata de elementos de la Secretaría de Seguridad Pública de Hidalgo y del H. Cuerpo de Bomberos hacia la carretera México–Pachuca, a la altura de Téllez con dirección a la Ciudad de México, donde una mujer embarazada resultó lesionada tras un incidente vial. Al arribar, el personal brindó atención prehospitalaria a la afectada, quien presentaba una contusión, realizando las maniobras necesarias para su estabilización.</t>
  </si>
  <si>
    <t>Asistencia de parto</t>
  </si>
  <si>
    <t>El Congreso de Hidalgo dio luz verde a una modificación a la Ley de Educación del estado, con la cual se integrará la enseñanza de primeros auxilios y atención básica ante emergencias en las escuelas. La iniciativa fue avalada por unanimidad durante la sesión de la LXVI Legislatura, y contempla la reforma al artículo 68, con el objetivo de que niñas, niños y jóvenes cuenten con herramientas esenciales para actuar de manera inmediata en situaciones de riesgo. La diputada Alma Rosa Elías, del partido Morena, explicó que esta medida busca que el alumnado adquiera conocimientos prácticos que puedan marcar la diferencia en momentos críticos, al brindar atención oportuna mientras llegan los servicios de emergencia. Además, destacó que la incorporación de estos contenidos no solo tiene un enfoque preventivo, sino también formativo, ya que promueve valores como la empatía, la responsabilidad y la protección de la vida.</t>
  </si>
  <si>
    <t>Radioescucha: en el verifcentro no respetan el horario de las citas.</t>
  </si>
  <si>
    <t>Verificación vehicular</t>
  </si>
  <si>
    <t>Reconocen a investigador de la UTEC a nivel internacional</t>
  </si>
  <si>
    <t>Investigación académica</t>
  </si>
  <si>
    <t>Derivado de las recientes lluvias en la región Otomí-Tepehua de Hidalgo hay cinco comunidades que constantemente se quedan incomunicadas porque prevalece un deslave y la vialidad no está rehabilitada, indicó la diputada Yarabi González Martínez, quien mencionó que la SICT emitió las licitaciones para la construcción de los puentes. La legisladora representante del distrito IX, con cabecera en Metepec, recordó que recientemente se cayó el puente provisional que atraviesa el río de la comunidad de Zicatlán en el municipio de Huehuetla, pero con maquinaria se habilitó un paso provisional. La legisladora explicó que la Secretaría de Infraestructura, Comunicaciones y Transporte (SICT) del gobierno federal, está en constante comunicación con los presidentes municipales de Tenango de Doria, Huehuetla y San Bartolo Tutotepec, así como con el gobierno estatal. La diputada local detalló que los puentes que serán reconstruidos son los ubicados en las comunidades de Zicatlán, de Piedras Negras, de Cerro Chiquito, y el de San Francisco la Laguna, los cuales son muy importantes porque comunican a muchas localidades de Tenango de Doria, Huehuetla y San Bartolo.</t>
  </si>
  <si>
    <t>Atención Afectaciones Por Lluvias</t>
  </si>
  <si>
    <t>Como parte de un operativo municipal, la noche de este miércoles fueron retirados más de 200 puestos ambulantes instalados en la plaza Constitución. el alcalde de Pachuca, Jorge Reyes reconoció que hasta el momento no tienen un censo de cuántos comerciantes ambulaste son lo que se tendrán que reubicar.</t>
  </si>
  <si>
    <t>Ninguno de los 13 tianguis que se desarrollan a lo largo de cada semana en Tulancingo cuentan con planes de Protección Civil, y tampoco cuentan con comités que atiendan el tema. Lo anterior fue confirmado por funcionarios municipales a cargo del tema, en el contexto del ordenamiento de estos espacios de comercio popular, iniciado este jueves 16 de abril, en el tianguis tradicional semanal que se lleva a cabo en el centro de la ciudad. Los comités de Protección Civil deben realizar evaluaciones de riesgos en base a las situaciones que tengan, tras lo cual elaboran y aplican planes de prevención de riesgos y atención a emergencias. Además de revisar que en este caso sus comerciantes agremiados cumplan con las normativas para prevenir riesgos, así como realizar prácticas y simulacros sobre supuestas situaciones de riesgo.</t>
  </si>
  <si>
    <t>Andrés Torres en respuesta a un radioescucha que pregunta qué le parece la participación de la Presidenta del Tribunal Superior de Justicia, Rebeca Aladro en las Jornadas de Paz en Huichapan y si esto la convierte en una posible elegida, señala que no se sabe si será elegida, pero debe serlo para muchas cosas. Las jornadas por la paz abordan temas legales y complejas, donde la población, especialmente mujeres y ciudadanos, se acerca a las autoridades. No solo están presentes el secretario de gobierno y la presidenta del tribunal, sino también representantes de diversas instancias del gobierno, quienes discuten problemas serios. Sostiene que Rebeca Aladro no está en campaña, sino trabajando. Existen muchas especulaciones sobre las próximas elecciones, pero recuerda que falta tiempo para el proceso electoral de 2027. Antes de eso, hay elecciones para alcaldías y congresos, y es más pertinente enfocarse en esos asuntos actuales. Hablar sobre la elección del gobernador en este momento parece prematuro y podría ser desinformativo. Critica la tendencia de algunos medios a centrar la atención en elecciones lejanas, en lugar de informar objetivamente sobre los desafíos actuales.</t>
  </si>
  <si>
    <t>TSJEH</t>
  </si>
  <si>
    <t>Promoción con fines electorales</t>
  </si>
  <si>
    <t>Sigue el tema del gusano barrenado en la Huasteca, es un gusano blanco grande como los gusanos de maguey, que se come prácticamente vivo al ganado. Se aloja de manera subcutánea y puede también afectar al ser humano, por eso son tan importantes que estas campañas que las Secretarías de Agricultura y de Medio Ambiente llevan a efecto, sobre todo en aquellas zonas ganaderas de nuestro estado sean apoyadas por la población. Es muy importante que los técnicos, los especialistas de estas instancias tengan todas las facilidades para revisar el ganado. Da recomendaciones y describe las lesiones que ocasiona el gusano barrenador.</t>
  </si>
  <si>
    <t>Secretaría de Salud llevará jornada médica integral a Yolotepec, en Santiago de Anaya</t>
  </si>
  <si>
    <t>Jornada médica</t>
  </si>
  <si>
    <t>A poco más de ocho semanas del primer caso, la plaga de gusano barrenador se ha expandido a 45 municipios de Hidalgo, afectando ya al 53% del territorio estatal, según autoridades sanitarias. El reporte más reciente contabiliza 303 casos acumulados, de los cuales 105 permanecen activos, con un ritmo de propagación de aproximadamente cinco nuevos registros diarios. Las regiones rurales del norte concentran la mayor incidencia, destacando municipios como Huehuetla, La Misión y Huautla. Ante ello, autoridades han intensificado acciones de vigilancia y contención para frenar el avance del brote.</t>
  </si>
  <si>
    <t>Ayer fue localizada en el municipio de Mixtiahuala, en la Comunidad de San Juan una persona sin vida el cual presenta impactos de proyectiles. Por dicho hecho personal de la Procuraduría de Justicia inició la carpeta.</t>
  </si>
  <si>
    <t>Después de 10 días secuestrado un hombre fue localizado sin vida en Mixquiahuala, se trató de Mauricio N. de 38 años. De acuerdo a la Procuraduría de Justicia del Estado de Hidalgo el cuerpo fue enterrado parcialmente y estaba en estado de descomposición lo cual dificultó su identificación. El hombre había sido secuestrado por sujetos armados que irrumpieron en su vivienda el pasado 6 de abril y huyeron con rumbo a Tezontepec de Aldama. Se implementó un operativo, pero trascendió la posible detención de los responsables, que esto no ha sido confirmado por las autoridades</t>
  </si>
  <si>
    <t>En operación nueva línea de alcantarillado sanitario en Pachuca</t>
  </si>
  <si>
    <t>En Noxtey, comunidad de Tasquillo, Omar Chávez asaltó y agredió a un hombre de la tercera edad de nombre Silverio Saldaña y se dio a la fuga. Sus hijas lo acompañaron a presentar la denuncia con número 20/2026/00155. Nos piden se haga un llamado a la Procuraduría General Justicia del Estado Hidalgo  para que agilice la situación y pueda ser llamado ante las autoridades señor Omar Chávez. Andrés Torres pues yo me voy a permitir mandarle un saludo primero y luego pedirle a mi amigo Irám González, Subprocurador Justicia del Estado Hidalgo para que nos ayude a darle celeridad a este tema y que se deslinden las responsabilidades.</t>
  </si>
  <si>
    <t>Caepeta de investigación</t>
  </si>
  <si>
    <t>En Villa de Tezontepec, hay una enorme polémica en estos momentos en las redes sociales, porque resulta que el hijo de la Presidenta Municipal de ese municipio, andaba echando tiros, andaba de fiesta, y andaba haciendo disparos al aire, y bueno, traen una enorme polémica ahí en las redes sociales locales, por el comportamiento, pues, poco apropiado de esta persona. Serán las autoridades quienes hagan las investigaciones correspondientes y deslinden las responsabilidades.</t>
  </si>
  <si>
    <t>Disparos al aire</t>
  </si>
  <si>
    <t>Un incendio acompañado de una explosión se registró en instalaciones de la Refinería Miguel Hidalgo, generando movilización de cuerpos de emergencia al interior del complejo. Ante lo sucedido, la Subsecretaría de Protección Civil y Gestión de Riesgos de Hidalgo informó mediante un comunicado que se activaron de manera oportuna los protocolos internos de atención a emergencias por parte de la propia instalación. Las autoridades señalaron que, con base en la información disponible, la situación se encuentra bajo control y no representa riesgo para la población del municipio de Tula de Allende ni zonas aledañas. Asimismo, indicaron que las instancias correspondientes continúan atentas al seguimiento del evento en coordinación con autoridades y cuerpos de atención internos de la refinería.</t>
  </si>
  <si>
    <t>Apoya gobierno de Julio Menchaca a personas investigadoras a través del “Fondo Hidalgo, Ciencia y Tecnología”</t>
  </si>
  <si>
    <t>Mundial Social llega a Hidalgo con impulso a infraestructura deportiva comunitaria</t>
  </si>
  <si>
    <t>Andrés Torres informa que en breve Radio Mezquital estará en posibilidades de transmitir desde la estación su propia programación. Personal técnico ha trabajado intensamente para logar esto.</t>
  </si>
  <si>
    <t>Radiodifusoras</t>
  </si>
  <si>
    <t>Ayer se llevó a cabo una jornada de vacunación contra el sarampión por parte del DIF Pachuca, ubicado en el Parque Hidalgo de Pachuca de 09:00 a 14:00 hrs. se hará la aplicación de vacunas contra sarampión, rubéola y parotiditis (SRP) en niñas y niños</t>
  </si>
  <si>
    <t>Locutor Jesús Riveros da lectura a comentario de radioescucha que reporta un caso de discriminación a su hijo autista en la Unidad Deportiva de Tulancingo.</t>
  </si>
  <si>
    <t>Discriminación</t>
  </si>
  <si>
    <t>En el marco del Día Internacional de la Propiedad Industrial, el Gobierno de Tulancingo llevará a cabo el próximo lunes 27 de abril una jornada especial para presentar a negocios y empresas que ya cuentan con su título de marca registrada, otorgado por el Instituto Mexicano de la Propiedad Industrial (IMPI). El evento se realizará en el Auditorio Benito Juárez de la Presidencia Municipal, en un horario de 11:00 a 15:00 horas. Durante la jornada, Claudia Yadira Ibarra Cea, representante del IMPI, impartirá la conferencia “Registro de Marca, una inversión inteligente”, con el objetivo de brindar herramientas que fortalezcan a los emprendimientos locales. Además, se llevará a cabo una exposición con la participación de 40 empresarios tulancinguenses que, con el apoyo de la Dirección de Fomento Industrial, adscrita a la Secretaría de Fomento Económico, lograron obtener su registro de marca con un descuento del 90 por ciento, consolidando así su identidad y abriendo nuevas oportunidades de mercado. Productores de alimentos, textiles y prestadores de servicios serán protagonistas de esta jornada, demostrando que, con asesoría y acompañamiento, es posible acceder al reconocimiento y protección legal de sus marcas. Asimismo, las y los interesados podrán recibir orientación para iniciar su trámite ante el IMPI, con acompañamiento durante todo el proceso. Cabe destacar que el registro de marca tiene una vigencia de 10 años y es renovable, lo que garantiza la protección continua del nombre e identidad del negocio. El costo habitual del trámite es de 3 mil 129 pesos; sin embargo, mediante esta campaña institucional se reduce a 312 pesos con 80 centavos.</t>
  </si>
  <si>
    <t>Registro de marca</t>
  </si>
  <si>
    <t>En tres años y medio, el gobierno de Hidalgo ha recuperado más de 385 inmuebles a su patrimonio mediante diferentes acciones, informó el Oficial Mayor del estado, Orlando Angeles Pérez. La estimación en recuperación de inmuebles asciende a mil 230 millones de pesos. El funcionario estatal indicó que la recuperación de inmuebles deriva de la estrategia integral para el fortalecimiento y la inscripción de nuevos bienes al patrimonio inmobiliario estatal, que tiene como objetivo darle certeza jurídica y corregir el rezago histórico, y sobre todo garantizar que se cumpla con una función social. En conferencia de prensa, el funcionario estatal detalló que en tres años siete meses de la administración, han incorporado y reincorporado al patrimonio estatal más de 385 inmuebles mediante acciones como revocación de decreto, reversión de donación, incorporación de bienes, o acciones jurídicas implementadas a través de la Coordinación General Jurídica y de la Secretaría de Gobierno. Además, dijo que, en coordinación con la Secretaría de Hacienda de Hidalgo, mediante el cumplimiento de obligaciones fiscales, les ha permitido un incremento al patrimonio estatal de aproximadamente mil 230 millones de pesos. Entre los inmuebles recuperados se encuentran predios en Tizayuca, en Apan y uno más en Mineral de la Reforma, así como en particular uno ubicado en Pachuca que será sede del Tribunal de Justicia Administrativa y fue en recuperación de cumplimientos de obligación fiscal.</t>
  </si>
  <si>
    <t>Oficialía Mayor</t>
  </si>
  <si>
    <t>Mañanera de Hidalgo</t>
  </si>
  <si>
    <t>La tarde de este domingo, dos mujeres, una de ellas menor de edad, resultaron lesionadas luego de ser embestidas por un tren, al intentar ganarle el paso en el municipio de Nopala de Villagrán. De acuerdo a la versión de la mujer, al momento de conducir su automóvil e intentar cruzar no se percató de la cercanía de la locomotora, lo que ocasionó que intentará pasar la vía y terminará alcanzada por la máquina. Paramédicos de Protección Civil Municipal atendieron el llamado, localizando con lesiones a la automovilista y a una menor de 10 años de edad, ambas tuvieron que ser trasladadas al nosocomio para su atención médica. Las autoridades insisten a los automovilistas respetar los señalamientos y los cruces ferroviarios para evitar accidentes de este tipo.</t>
  </si>
  <si>
    <t>Boletín: Promueven gobierno participativo en la Primera Sesión ordinaria del Copladem en Nopala</t>
  </si>
  <si>
    <t>COPLADEM</t>
  </si>
  <si>
    <t>Luego de que la noche de ayer, vecinos del barrio de San Antonio en el municipio de Ixmiquilpan reportaron detonaciones de arma de fuego que generaron alarma entre la población, el gobierno municipal emitió este día un comunicado en el que aclaró que no se trató de un ataque o hecho delictivo. De acuerdo con la versión oficial, las detonaciones correspondieron únicamente a disparos realizados al aire, situación que fue atendida por las autoridades para evitar mayores riesgos a la ciudadanía. Así tambien se descartó la existencia de personas lesionadas y la implementación en el área de un operativo de vigilancia por parte de Seguridad Pública Municipal. El gobierno local exhorto a la ciudadanía a no realizar este tipo de acciones, ante el riesgo que significan para la población.</t>
  </si>
  <si>
    <t>Boletín 1629: Estudiantes de UTVAM presentan revista literaria Aporía</t>
  </si>
  <si>
    <t>Presentación Editorial</t>
  </si>
  <si>
    <t>Boletín 716: SSPH desarticula bodega utilizada para almacenar autopartes y desmantelar vehículos robados en Cuautepec de Hinojosa</t>
  </si>
  <si>
    <t>Combate a la delincuencia</t>
  </si>
  <si>
    <t>Boletín: Biznagas aseguradas en San Salvador son trasladadas al Parque Ecológico Cubitos para su conservación</t>
  </si>
  <si>
    <t>Conservación Biodiversidad</t>
  </si>
  <si>
    <t>Boletín 028: Probable responsable de feminicidio en Veracruz fue aprehendido por la PGJEH</t>
  </si>
  <si>
    <t>Detención Feminicida</t>
  </si>
  <si>
    <t>Boletín 716: Hidalgo ratifica su posición entre los estados con mayor estabilidad en materia de seguridad</t>
  </si>
  <si>
    <t>Incidencia Delictiva</t>
  </si>
  <si>
    <t>Boletín 1048: Atención oportuna y gratuita, clave para contener al gusano barrenador del ganado</t>
  </si>
  <si>
    <t>CGCG</t>
  </si>
  <si>
    <t>Boletín: El Gobierno de Hidalgo anuncia la creación de un nuevo museo estatal en un inmueble emblemático recuperado en el Centro Histórico de Pachuca</t>
  </si>
  <si>
    <t>Museo de la Ciudad</t>
  </si>
  <si>
    <t>Entrevista en cabina Guadalupe Rodríguez Uribe, secretaria de Educación, Cultura y Deporte - Habló sobre la actividad que se realizarán en Tulancingo en conmemoración del “día de la niñez” con actividades como: carrera atlética, función de lucha libre, voleibol, parque temático de Alicia en el país de las maravillas, really de las guerreras K-pop, juegos mecánicos gratuitos, por mencionar algunas. Las actividades mencionadas se llevarán a cabo el próximo domingo 26 abril desde las 08:00 horas en la Unidad Deportiva.</t>
  </si>
  <si>
    <t>Día del Niño</t>
  </si>
  <si>
    <t>En vivo desde la conferencia mañanera, Juan Carlos Santamaría informó que, al inicio de esta actividad, se presentó un video sobre la presencia del gobernador, Julio Menchaca Salazar en los “Círculos de Diálogo”, en esta ocasión desde el municipio de Tepetitlán en donde en el marco de este mes de abril “mes de la niñez” se dio un encuentro con estudiantes de excelencia</t>
  </si>
  <si>
    <t>En vivo desde la conferencia mañanera, Juan Carlos Santamaría informa sobre la participación de la secretaria de Cultura, Neyda Naranjo, quien informó sobre la presencia de la Orquesta Sinfónica Infantil y Juvenil del Centro de las Artes en lo que será la presencia de Hidalgo en Los Pinos en próximo 9 y 10 de mayo, en compañía de personas artesanas, artistas de las comunidades de 43 municipios.</t>
  </si>
  <si>
    <t>Locutor Juan Carlos Santamaría transmite en vivo desde la conferencia mañanera, en donde informa sobre una manifestación que se realizó el fin de semana en el primer cuadro de la capital en defensa de la fundación “Arturo Herrera Cabañas” en ese sentido, durante la intervención de Raúl Serret Lara, Coordinador General Jurídico del Gobierno del Estado, ha fijado la postura de la autoridad estatal al respecto.</t>
  </si>
  <si>
    <t>En vivo desde la conferencia mañanera de Gobierno de Hidalgo, locutor Juan Carlos Santamaría, que será encabezada por la secretaria de Cultura, Neyda Naranjo Baltazar; el subsecretario de Protección Civil y Gestión de Riegos, Román Bernal Díaz y el presidente municipal de Pachuca, Jorge Reyes Hernández. Cabe destacar que, como parte de esta conferencia, en la parte de la planta baja, está en este momento la presencia de la Orquesta Sinfónica del Estado de Hidalgo, ya estarán informando del porqué de su presencia. El Coordinador General de Comunicación Gubernamental, Edmundo Pineda López da la bienvenida a los asistentes.</t>
  </si>
  <si>
    <t>Locutor Jesús Riveros da lectura a un comunicado que les hacen llegar a través de redes sociales, sobre el asesinato de una pareja en la comunidad de Santa María Asunción, ante la falta de respuesta por parte de las autoridades, convocan a una manifestación pacífica para exigir justicia, transparencia y acciones concretas que lleven a encontrar al responsable, la cita es el miércoles 22 e abril a las 08:00 horas en las casetas de San Alejo donde se realizará un cierre pacífico como medida de presión social.</t>
  </si>
  <si>
    <t>Respecto a la marcha pacífica realizada en calles de Tulancingo para exigir justicia por la muerte de Ximena Abigail, joven de 14 años que perdió la vida tras resultar gravemente herida en un incidente ocurrido el pasado 8 de abril, locutor Jesús Riveros comentó que, el pasado viernes 17 de abril, durante la realización de la “Jornada por la paz” que se realizó en el Jardín La Floresta y que estuvo encabezada por el secretario de Gobierno Guillermo Olivares y la presidenta de Tulancingo Lorena García, se comprometieron a brindarle el apoyo requerido al padre de Ximena.</t>
  </si>
  <si>
    <t>Muerte en tianguis</t>
  </si>
  <si>
    <t>Entre consignas, pancartas y un profundo sentimiento de indignación, familiares, amigos y habitantes de Tulancingo, Hidalgo, salieron a las calles este sábado para exigir justicia por la muerte de Ximena Abigail, joven de 14 años que perdió la vida tras resultar gravemente herida en un incidente ocurrido a inicios de abril. Los hechos ocurrieron el pasado 8 de abril, cuando la menor sufrió quemaduras severas luego de que le cayera encima aceite hirviendo en el mercado Solidaridad. El accidente se presentó cuando una camioneta, al maniobrar en reversa, impactó un puesto de papas fritas, provocando que el cazo con aceite se volcara y causara la tragedia. De acuerdo con testimonios de la familia, el conductor involucrado, identificado como Eric “N”, fue detenido tras el incidente; sin embargo, recuperó su libertad apenas 36 horas después, lo que ha generado molestia entre la comunidad. La movilización recorrió diversas vialidades del municipio y estuvo marcada por una consigna central: “No fue un accidente, fue una imprudencia”. Los manifestantes señalaron que el caso no debe quedar impune y demandaron una investigación a fondo sobre las circunstancias que rodearon el suceso.</t>
  </si>
  <si>
    <t>Radioescucha reporta que tiene 3 semanas sin agua en la Plutarco Elías Calles; no tenemos agua ni para el baño ni para nada</t>
  </si>
  <si>
    <t>-Un hombre perdió la vida en un accidente vehicular registrado la mañana de este lunes. La camioneta que conducía se impactó contra la parte trasera de un camión de carga.El percance ocurrió sobre la carretera Apan-Calpulalpan, a la altura del kilómetro 20 en la zona del municipio de Emiliano Zapata. De acuerdo con los primeros reportes, el conductor chocó contra la parte trasera de un camión de plataforma, quedando sin vida de manera instantánea y prensado el interior de la unidad tipo pick up.</t>
  </si>
  <si>
    <t>Boletín: Invita CEDSPI a donar al “Juguetón Indígena 2026”</t>
  </si>
  <si>
    <t>Acopio de juguetes</t>
  </si>
  <si>
    <t>Una gasolinera ubicada en Mineral de la Reforma, Hidalgo, está entre las siete del país que exhiben precios más altos de gasolina regular, superiores a los 24 pesos.Dicha estación de Oxxo Gas, ubicada en la carretera Pachuca-Ciudad Sahagún, kilómetro 12+450, oferta precios de 24.99 pesos, con un margen de 2.76 pesos, con cifras similares a otra de la misma marca en Aguascalientes, en avenida Siglo XXI.Igualmente, aparecen otras con precios entre los 24.39 y 24.94 pesos en Cancún, Quintana Roo; Culiacán, Sinaloa; Santiago Juxtlahuaca, Oaxaca; Gómez Palacio, Durango; y Monterrey, Nuevo León.El titular de la Procuraduría Federal del Consumidor (Profeco), César Iván Escalante Ruiz, recordó en la sección “Quién es quién en los combustibles” que la gasolina regular no debe costar más de 24 pesos y el diésel acercarse a los 28 pesos; por ello, continuarán con la colocación de lonas para exhibir estaciones con precios altos. Hasta ahora, de 44 visitas, se han instalado 14 avisos.</t>
  </si>
  <si>
    <t>Alerta al consumidor</t>
  </si>
  <si>
    <t>Radioescucha reporta que el taxi 0973 de Tuzo a la Aquiles Serdán quería cobrar $100.00 según porque ya todo subió; eran las 4 de la tarde</t>
  </si>
  <si>
    <t>Alteración tarifa de transporte</t>
  </si>
  <si>
    <t>Vía telefónica Carlos Martín Pérez Quijano, titular del Instituto Hidalguense de Competitividad Empresarial. EXPONE EL PROGRAMA: Emprendimiento Paso a Paso que a través del instituto que dirige otorga el gobierno del Estado de Hidalgo, que dirige Julio Menchaca Salazar. “La visión del Instituto Hidalguense de Competitividad el día de hoy es justamente enfocarnos en el apoyo a las microempresas. Y este programa, estamos ya por aperturar las convocatorias para la inscripción al programa. Es un programa en el que hay 760 hidalguenses en todo el estado y que para que el recurso quede disperso entre todo el estado, se han emitido cinco convocatorias por macroregión.Estas macroregiones las determina la unidad de planeación y cada macroregión tendrá un día para la inscripción.</t>
  </si>
  <si>
    <t>Apoyo a emprendedores</t>
  </si>
  <si>
    <t>La tarde del domingo 19 de abril, una mujer fue trasladada al hospital regional de Tula, luego de dar a luz a una bebé en el sanitario de la terminal de microbuses. Al parecer, ella no sabía que se encontraba embarazada.La bebé nació viva y sana, y junto con la madre fueron llevadas a ese nosocomio para recibir atención médica especializada</t>
  </si>
  <si>
    <t>Sobre el reporte de radioescucha de costo de servicio de taxi, comenta conductor: "Es el gran problema, si no ponemos orden en el tema de las tarifas, los taxistas estarán abusando".</t>
  </si>
  <si>
    <t>Boletín 570: Auxiliares funcionales mejoran la vida a personas mayores, audio de apoyo.</t>
  </si>
  <si>
    <t>Entrevista Alicia Sanchéz corista y Mayte Herrera soprano solista ,con la invitación a concierto “Misa de Coronación” (KV 317) de Wolfgang Amadeus Mozart, este 22 de abril a las 18:00 horas al evento que se llevara acabo en la Parroquia Basílica de Santa María de Guadalupe. El concierto será interpretado por la Orquesta Filarmónica de Pachuca, en conjunto con el Coro de Pachuca y el Coro del Estado de Hidalgo, reuniendo a más de 50 voces en escena, recordando igual que este recinto contará con acceso gratuito al público.</t>
  </si>
  <si>
    <t>Enlace Noticias</t>
  </si>
  <si>
    <t>Gina Lorenzo</t>
  </si>
  <si>
    <t>Boletín 28: Probable responsable de feminicidio en Veracruz fue aprehendido por la PGJEH</t>
  </si>
  <si>
    <t>Radioescucha reporta fuga de agua a un costado de la Aurrera de La Providencia; ya se había reportado anteriormente, pero siguen sin arreglarla</t>
  </si>
  <si>
    <t>Fuga De Agua</t>
  </si>
  <si>
    <t>Boletín 1048 : Atención oportuna y gratuita, clave para contener al gusano barrenador del ganador</t>
  </si>
  <si>
    <t>Con una inversión superior a los 400 millones de pesos en los últimos tres años, el gobierno de Hidalgo a cargo de Julio Menchaca Salazar consolida una nueva era para el deporte, fortaleciendo la infraestructura, el apoyo a atletas y la promoción de la actividad física en toda la entidad. Óscar Pérez Rojas, director general del Instituto Hidalguense del Deporte, dijo que aún no hay fecha para la inauguración del Centro Deportivo Hidalguense, pero está seguro de que será un espacio digno para todos los deportistas. AUDIO DE APOYO</t>
  </si>
  <si>
    <t>Impulso al deporte</t>
  </si>
  <si>
    <t>"NN Nuestras Noticias ""El Resumen"""</t>
  </si>
  <si>
    <t>Tomás Sosa</t>
  </si>
  <si>
    <t>La AC BIOFUTURA obtuco datos gubernamentales sobre denuncias de maltrato animal, de mil 681 casos , solo dos han procedido por parte de la Procuraduria Estatal de Protecciñon al Ambiente en Hidalgo, uno en 2025 y otro en 2019, AUDIO APOYO</t>
  </si>
  <si>
    <t>Desde la conferencia mañanera participó la secretaria de Cultura, Neyda Naranjo, quien informó sobre el proyecto del Museo de la Ciudad de Pachuca. Dejó en claro que estas acciones son un impulso para recuperar la infraestructura que durante años estuvo en abandono, como lo son las estaciones del ferrocarril, que gracias a la gestión coordinada con el Instituto de Devolver al Pueblo lo Robado, facilitó la donación de 10 espacios que se restauran para que sean recintos culturales en sus comunidades. "En este gobierno no se cierran espacios, se abren puertas y posibilidades para todas y todos"</t>
  </si>
  <si>
    <t>Durante la conferencia mañanera participo el Coordinador General Jurídico de la Secretaría de Gobierno del Estado de Hidalgo Raúl Serret Lara , informo sobre el proceso legal que vive el inmueble ocupado por la fundación “Arturo Herrera Cabañas”,AUDIO APOYO</t>
  </si>
  <si>
    <t>Durante la conferencia mañanera, se transmitió la cápsula de los círculos de dialogo encabezados por el gobernador Julio Menchaca Salazar hoy desde el municipio de Tepetitlán donde tuvo acercamiento con la ciudadanía, AUDIO APOYO</t>
  </si>
  <si>
    <t>Hoy se llevó a cabo la conferencia mañanera en la Sala del Pueblo</t>
  </si>
  <si>
    <t>“Investigar y castigar probables hechos de omisión y corrupción, imputados a personal de la PGJEH y del IMSS Bienestar”, fue la demanda del padre del adolescente Ximena Abigail, joven de 14 años que perdió la vida tras resultar gravemente herida en un incidente ,luego de que le cayó encima aceite en ebullición que contenía el caso de un puesto de venta de papas, impactado por una camioneta y movimiento dentro del tianguis que cada miércoles instala en la colonia Guadalupe, en Tulancingo. “Tenemos unas autoridades incompetentes, las autoridades llegaron al hecho y no lo quisieron detener y a las 36 horas fue libre, hoy mi niña no está y a pesar de lo que hagamos no va a regresar, pero queremos justicia”</t>
  </si>
  <si>
    <t>Hidalgo se alista rumbo al Copa Mundial de la FIFA 2026 con una fuerte inversión en infraestructura deportiva, a través del proyecto Mundial Social, impulsado por el gobierno federal.El director del Instituto Hidalguense del Deporte, Óscar Pérez Rojas, informó que se construirán o rehabilitarán espacios deportivos en 23 municipios, con la edificación de 25 canchas de fútbol y una inversión cercana a 50 millones de pesos, en beneficio de más de 100 mil habitantes.Destacó que Hidalgo fue de las primeras entidades en cumplir con los requisitos del programa, lo que permitió acelerar la planeación y ejecución de las obras, que se busca estén listas antes del arranque del Mundial.En el plano deportivo, el estado también será sede de la fase final de la Concacaf W Champions Cup que se disputará en el estadio Hidalgo en mayo de 2026, con la participación de equipos como Club América Femenil y las Tuzas. AUDIO DE APOYO</t>
  </si>
  <si>
    <t>Boletín 635: OSEH abre audiciones para integrar nuevos talentos a su plantilla artística:</t>
  </si>
  <si>
    <t>En el marco del día mundial de la hemofilia, el Instituto Mexicano del Seguro Social (IMSS) en Hidalgo, ofrece tratamientos multidisciplinarios de vanguardia para la atención de pacientes con Hemofilia.La hemofilia es una enfermedad hereditaria, poco frecuente que se caracteriza por presentar hemorragias constantes, debido a la falta de factores de coagulación y esta pasa de padres a hijos a través de los cromosomas. Existen dos variantes de la hemofilia, la de tipo “A” o clásica, que es causada por la falta o deficiencia del factor de coagulación tipo VIII y la de tipo “B” o enfermedad de Christmas, que es originada por la deficiencia del factor de coagulación tipo IX.La doctora Clareth Guadalupe Barrios Carballo, hematóloga adscrita al Hospital General de Zona con Medicina Familiar (HGZ/MF) No. 1 de Pachuca, señaló que es importante mantenerse atentos a las manifestaciones hemorragicas, ya que, aunque esta enfermedad se considera rara y poco frecuente, resulta fundamental reconocer las señales de alarma que puedan poner en riesgo la integridad del paciente.</t>
  </si>
  <si>
    <t>Promoción De La Salud</t>
  </si>
  <si>
    <t>Ejemplares de biznaga, especie protegida por la nom-059, fueron rescatados y trasladados al parque ecológico cubitos en pachuca, luego de ser asegurados por la profepa en coordinación con autoridades de san salvador.las plantas presentaban lesiones, por lo que brigadistas de la semarnath realizan trabajos especializados para su recuperación, como poda de raíz, aplicación de cicatrizantes y fertilización.la dependencia estatal informó que estas acciones forman parte de la estrategia para preservar la biodiversidad en hidalgo y garantizar la protección de especies en riesgo.autoridades reiteraron que el cumplimiento de la nom-059 es clave para evitar el deterioro de la flora silvestre y conservar el patrimonio natural del estado.</t>
  </si>
  <si>
    <t>Protección Biodiversidad</t>
  </si>
  <si>
    <t>Boletín 41: Gobierno de Hidalgo abre a la circulación la avenida el Tezontle en Pachuca</t>
  </si>
  <si>
    <t>Boletín: La SEPH lamenta profundamente el fallecimiento del estudiante A.I.B.T. de la escuela secundaria Eliza Acuña Rossetti, ubicada en Tizayuca, expresamos nuestras más sinceras condolencias para sus familiares y amigos (...)</t>
  </si>
  <si>
    <t>Suicidio Estudiante</t>
  </si>
  <si>
    <t>Boletín 1626: Entrega Natividad Castrejón 229 títulos a egresados de la UTVAM</t>
  </si>
  <si>
    <t>Titulación</t>
  </si>
  <si>
    <t>Boletín 1046:Junto a la CMIC, Julio Menchaca fortalece infraestructura de Hidalgo, AUDIO DE APOYO</t>
  </si>
  <si>
    <t>Toma de protesta</t>
  </si>
  <si>
    <t>El día de ayer en el Auditorio GNP de la ciudad de Puebla se llevó a cabo la inauguración de la Olimpiada Nacional CONADE 2026 donde asistieron delegaciones deportivas de todo el país. En cuanto a la actividad deportiva, las delegaciones hidalguenses de voleibol de sala, escalada y breaking ya se encuentran compitiendo en la olimpiada nacional, con un gran resultado para el breaking, donde el pasado jueves avanzaron al top 8 en la modalidad 2 contra 2, mientras tanto escalada y voleibol de sala continúan dando su máximo esfuerzo en fase de clasificación.</t>
  </si>
  <si>
    <t>Respuesta oportuna de la SSPH permite auxiliar a mujer embarazada en la México–Pachuca</t>
  </si>
  <si>
    <t>Impulsa Gobierno de Hidalgo espacios de inclusión a través del arte en Tulancingo</t>
  </si>
  <si>
    <t>Reconocen a investigador de la UTEC a nivel internacional|</t>
  </si>
  <si>
    <t>Vía telefónica Katia Moreno, informa que este fin de semana se puede acudir al municipio de Metepec al Gran Remate de Carnaval Festival de Ferrería.</t>
  </si>
  <si>
    <t>Feria Patronal</t>
  </si>
  <si>
    <t>Participación</t>
  </si>
  <si>
    <t>La Comisión de Derechos Humanos del Estado de Hidalgo (CDHEH) puso en marcha el programa “Por los Derechos de las Niñas, Niños y Adolescentes”, una estrategia de capacitación regional orientada a fortalecer el reconocimiento, promoción y protección de los derechos de niñas, niños y adolescentes. Este esfuerzo reúne a personas servidoras públicas de los municipios de Acaxochitlán, Acatlán, Cuautepec de Hinojosa, Santiago Tulantepec de Lugo Guerrero, Metepec, Agua Blanca de Iturbide y Tulancingo de Bravo, consolidando un trabajo coordinado que busca incidir en las políticas públicas con enfoque de derechos humanos.</t>
  </si>
  <si>
    <t>CDHEH</t>
  </si>
  <si>
    <t>Capacitación</t>
  </si>
  <si>
    <t>Auxiliares funcionales mejoran la vida a personas mayores</t>
  </si>
  <si>
    <t>Fortalecen medidas sanitarias rumbo a la Expo Feria La Ganadera Hidalgo 2026</t>
  </si>
  <si>
    <t>En el marco de la expo feria La Ganadera Hidalgo dos mil veintiséis el monumental lienzo charro de Pachuca será sede de la primera etapa de los charros de acero donde diversos escuadrones de alto rendimiento buscarán los primeros puntos de la temporada de la Copa Hidalgo. Este torneo se desarrollará del viernes 17 al domingo 19 de abril y representa el inicio de un nuevo ciclo competitivo tras los resultados de la edición 2025.</t>
  </si>
  <si>
    <t>Expo feria</t>
  </si>
  <si>
    <t>Probable responsable de feminicidio en Veracruz fue aprehendido por la PGJEH</t>
  </si>
  <si>
    <t>Aprehensión</t>
  </si>
  <si>
    <t>Este sábado se registró un aparatoso accidente en el poblado de San José del Oro, en el municipio de Zimapán, donde un automóvil terminó al fondo de un barranco tras perder el control mientras circulaba sobre la carretera México–Laredo. Tras el incidente, al sitio arribaron elementos de Seguridad Pública municipal, así como personal de la Guardia Nacional y de la Policía Estatal, quienes coordinaron las labores de auxilio y rescate.</t>
  </si>
  <si>
    <t>La mañana del domingo se reportó un accidente en la zona conocida como El Destello, en el municipio de Nopala de Villagrán. Un vehículo particular intentó ganar el paso, pero fue impactado y arrastrado por el tren. Oficiales de seguridad municipal acudieron al sitio para brindar apoyo y realizar las labores correspondientes, además de asegurar la zona para evitar mayores riesgos y percances mayores.</t>
  </si>
  <si>
    <t>Un camión de carga se estrelló contra al menos cuatro viviendas la tarde de este viernes en el fraccionamiento Saucillo, en la zona conocida como “Muro de Piedra”, en Mineral de la Reforma. De acuerdo con vecinos, la unidad transportaba material de construcción cuando perdió el control y terminó impactándose contra las casas, lo que provocó momentos de alarma entre los habitantes. Al lugar acudieron elementos de la Policía Estatal y de Protección Civil, quienes realizaron las diligencias correspondientes.</t>
  </si>
  <si>
    <t>La Secretaría de Seguridad Pública de Hidalgo encabezó un operativo en la colonia Francisco Villa, municipio de Cuautepec de Hinojosa, donde se logró el aseguramiento de dos hombres. Así como 120 piezas de autopartes robadas, 758 dosis de presunta droga y siete vehículos, varios de ellos con irregularidades y reporte de robo, tras la ubicación de cuatro inmuebles presuntamente vinculados con actividades delictivas. Como resultado de trabajos de inteligencia y recorridos operativos, elementos estatales, en coordinación con la Procuraduría General de Justicia del Estado de Hidalgo y la Secretaría de la Defensa Nacional, desplegaron un operativo simultáneo en distintos predios de la zona.</t>
  </si>
  <si>
    <t>En la central de microbuses de Tula registró un hecho inusual: una mujer dio a luz en los sanitarios del lugar. De acuerdo con el reporte de la autoridad y versión de los testigos, la mujer de 34 años de edad comenzó a sentir dolores de manera repentina y al ser muy fuertes se alarmó y solicitó ayuda.</t>
  </si>
  <si>
    <t>En cabina Guadalupe Rodríguez Uribe, titular de la Secretaría de Cultura, Educación, Deporte y Juventud en Tulancingo y Eneida Hernández Rosas, titular de Cultura Física informaron de las actividades que realizará el ayuntamiento en el marco del Día del Niño y la Niña.</t>
  </si>
  <si>
    <t>En el marco del Día Internacional de la Propiedad Industrial, el Gobierno de Tulancingo llevará a cabo el próximo lunes 27 de abril una jornada especial para presentar a negocios y empresas que ya cuentan con su título de marca registrada, otorgado por el Instituto Mexicano de la Propiedad Industrial (IMPI). El evento se realizará en el Auditorio Benito Juárez de la Presidencia Municipal, en un horario de 11:00 a 15:00 horas. Durante la jornada, Claudia Yadira Ibarra Cea, representante del IMPI, impartirá la conferencia “Registro de Marca, una inversión inteligente”, con el objetivo de brindar herramientas que fortalezcan a los emprendimientos locales.</t>
  </si>
  <si>
    <t>La Secretaría de Educación Pública de Hidalgo (SEPH) llevó a cabo el abanderamiento de la delegación que representará al estado en el Campeonato Mundial de Robótica VEX 2026, a celebrarse en San Luis, Misuri, Estados Unidos. Durante la ceremonia, en el auditorio de la Dirección General del Cobaeh, y en representación del secretario de Educación Pública de Hidalgo, Natividad Castrejón Valdez, el subsecretario de Educación Media Superior y Superior, Daniel Fragoso Torres subrayó que la delegación hidalguense es una de las más numerosas del país en esta competencia internacional, muestra del compromiso estatal con la formación científica y tecnológica de la juventud.</t>
  </si>
  <si>
    <t>Campeonato de robótica</t>
  </si>
  <si>
    <t>Tras el retiro de vendedores ambulantes de la Plaza Constitución, el titular del Centro INAH Hidalgo, Manuel Villarruel Vázquez, consideró que es el momento ideal para iniciar un proyecto integral de restauración que permita recuperar este espacio emblemático de Pachuca. “Es el lugar donde nació Pachuca realmente, ahí se generó la ciudad en el siglo XVI, es el corazón del centro histórico, lo ideal es que se pueda ir renovando con un proyecto de restauración”. El funcionario explicó que actualmente trabajan en coordinación con el ayuntamiento capitalino con asesoría en intervenciones específicas, como la herrería que protege el monumento a Miguel Hidalgo, ubicado en el centro de la plaza. “Los asesoramos de cómo se debe intervenir, obviamente tienen que ser colores muy formales, debido a la seriedad que reviste al prócer Miguel Hidalgo”.</t>
  </si>
  <si>
    <t>Tras el retiro de comerciantes ambulantes de la Plaza Constitución, en el centro de la ciudad de Pachuca, aún no se conoce la cantidad de estos que se reubicarán en uno nuevo espacio acondicionado para continuar con sus actividades comerciales. Lo anterior fue reconocido por el alcalde Jorge Reyes Hernández, asegurando que el proceso va en orden y coordinación con el apoyo de los representantes del gremio. “Se dejaron 120 preparaciones eléctricas, pero eso no quiere decir que el número sea exacto”, informó el alcalde. Por lo que el número de comerciantes que ocuparán el nuevo punto aún no puede determinar con exactitud, ya que algunos espacios serán compartidos y otros locatarios han decidido no instalarse. Ante cuestionamientos sobre la posibilidad de que el número de comerciantes exceda la capacidad del lugar, Reyes Hernández afirmó que prevalecerá el orden.</t>
  </si>
  <si>
    <t>Daniel Martínez sobre la recuperación del inmueble que utilizaba la Fundación Arturo Herrera Cabañas, dice que negar que esta fundación ha hecho un trabajo general para el tema de la cultura, las artes y los derechos humanos; es hacer como que no ha hecho nada y es fundamental su trabajo en estos tres rubros. Asimismo, dijo que le llama positivamente ver que la diputada Tania Meza perteneciente a Morena, también a alzado la voz en defensa de este espacio y que entiende que el edificio está deteriorado y por qué no mejor sentarse el gobierno con esta asociación civil para ver como se pude solucionar la situación o a menos que exista un asunto de fondo al respecto. Envía su reconocimiento a la Fundación Arturo Herrera Cabañas.</t>
  </si>
  <si>
    <t>El Gobierno de Hidalgo anuncia la creación de un nuevo museo estatal en un inmueble emblemático recuperado en el Centro Histórico de Pachuca</t>
  </si>
  <si>
    <t>Junto a la CMIC, Julio Menchaca fortalece infraestructura de Hidalgo</t>
  </si>
  <si>
    <t>Daniel Martínez sobre la detención de Roberto N, alias “El Bukanas” que se dio, luego de que su nombre fuera vinculado a diversos mensajes intimidatorios colocados en mantas semanas atrás en diversos puntos del municipio de Tepeapulco, comenta que recuerda que las autoridades en seguida salieron a decir que no había presencia de crimen organizado y con esta detención cómo decir que no.</t>
  </si>
  <si>
    <t>Crimen Organizado</t>
  </si>
  <si>
    <t>En la localidad de Tres Cabezas, Chignahuapan, Roberto N. alias El Bukanas, así como siete integrantes del grupo delincuencial denominado Los Bukanas, fueron detenidos así lo confirmó el Gobierno del Estado de Puebla. Mediante un operativo coordinado entre la Secretaría de Seguridad Pública, la Secretaría de Marina, Secretaría de la Defensa, Guardia Nacional y Fiscalía General del Estado se llevó a cabo la detención del objetivo prioritario y la célula delincuencial, especializada en robo de autotransportes. La detención de Roberto N. se dio, luego de que su nombre fuera vinculado a diversos mensajes intimidatorios colocados semanas atrás en diversos puntos del municipio de Tepeapulco.</t>
  </si>
  <si>
    <t>Por peculado agravado y uso ilícito de atribuciones y facultades, el ex alcalde de Yahualica, Elías San Juan Sánchez, recibió sentencia de 13 años y seis meses de prisión. Se trata de uno de los casos relacionados con el maxi proceso relacionado con el esquema de corrupción denominado como “La Estafa Siniestra”. Tras aproximadamente tres años a partir de su detención, el ex funcionario recibió la sentencia luego de aceptar un procedimiento abreviado. Fue así que los jueces Diana Villarreal Quintero, José Luis Crespo García y Miguel Ángel Galindo Nájera dictaron la sentencia señalada, que incluye el pago de una multa por 48 mil 110 pesos, una disculpa pública, el compromiso de no repetición, así como la suspensión de sus derechos políticos y civiles.</t>
  </si>
  <si>
    <t>Detención Estafa Siniestra</t>
  </si>
  <si>
    <t>Integrantes de la Asamblea de Cuautepec de Hinojosa, provenientes de varios partidos políticos, coincidieron en señalar falta de transparencia y rendición de cuentas de recursos públicos por parte del gobierno municipal. En rueda de prensa, los asambleístas municipales reclamaron que les parecía excesivo aplicar 2.1 millones de pesos para la adquisición de uniformes. Tampoco han sido informados sobre la aplicación de recursos para seguridad pública, provenientes del Fondo de Aportaciones para el Fortalecimiento de los Municipios y de las Demarcaciones Territoriales del Distrito Federal (Fortamun). Destacaron que el 20 por ciento de dicho presupuesto debe aplicarse para el rubro de seguridad pública, pero insistieron que hasta el momento no han recibido información alguna sobre la forma en que se aplicará el recurso público.</t>
  </si>
  <si>
    <t>Opacidad</t>
  </si>
  <si>
    <t>Vía telefónica el radioescucha Benjamín, reporta que en la zona de San José hay una jauría de 6 perros aproximadamente que agreden a las personas. Le ha tocado presenciar 2 ataques a un niño y un adulto mayor. además de otra mujer ha sido mordida, por lo que pide a las autoridades que hagan algo al respecto.</t>
  </si>
  <si>
    <t>Control animal</t>
  </si>
  <si>
    <t>La Procuraduría General de Justicia del Estado de Hidalgo ya está realizando la investigación respecto al fallecimiento de un alumno de la secundaria Eliza Acuña Rossetti, ubicada en el municipio de Tizayuca. Así lo señaló el titular de la Secretaría de Educación Pública en Hidalgo (SEPH), lamentado el fallecimiento del adolescente, al tiempo de descartar que existieran en su caso reporte previo sobre violencia escolar hacia el estudiante. “No hay ninguna evidencia de bullying, la Policía Investigadora tendrá que hacer su indagación e irán analizando todos los factores y los contextos en los que el niño se desenvolvía y puedan llegar a esclarecer el caso”, insistió el funcionario estatal. El secretario detalló que no había reportes previos por parte de docentes o personal escolar que alertaran sobre una posible ideación suicida en el estudiante.</t>
  </si>
  <si>
    <t>El padre de la adolescente que falleció tras caerle aceite hirviendo en el tianguis de la colonia Guadalupe, en Tulancingo, señaló negligencia por parte de servicios médicos públicos para atender a su hija, así como falta de atención por parte del Ministerio Público, señalando que el presunto responsable fue dejado en libertad. Los reclamos ocurrieron durante la Jornada por la Paz y Bienestar del Pueblo, llevada a cabo este viernes 17 de abril, en el parque La Floresta, encabezada por Guillermo Olivares Reyna, Secretario General de Gobierno estatal de Hidalgo. El pasado 8 de abril, la adolescente se acercó a un puesto para venta de papas fritas a realizar una compra; en ese momento, una camioneta que estaba estacionada en la zona al parecer se quedó sin frenos, golpeando el cazo, cayendo el aceite hirviendo que contenía sobre el cuerpo de la menor de edad. La adolescente falleció en el Hospital General de Pachuca el pasado 10 de abril, un par de días de sufrir el accidente, contando con lesiones en el 70 por ciento de su cuerpo.</t>
  </si>
  <si>
    <t>Andrés Torres y Alberto González comentan sobre la la recuperación legal e institucional del inmueble que alberga a la Fundación Arturo Herrera Cabañas, A.C., ubicado en el centro de la ciudad de Pachuca. Señalan que antes de que terminara el sexenio del exgobernador Omar Fayad el comodato del inmueble fue renovado por 30 años a esta institución y que después de que la presidencia de Pachuca realizara una revisión y se comprobara que vendían café fue que se les retiró esta propiedad. Ven con buenos ojos que esto sucediera y que no es el único recinto que debería de rescatarse con fines culturales. Andrés Torres señala que esta fundación antes fue financiada por el gobierno.</t>
  </si>
  <si>
    <t>Andrés Torres critica que en la reunión del pasado viernes del Secretario de Gobierno, Guillermo Olivares con dirigentes de partidos políticos de la entidad y dirigentes políticos, no estuvieron la dirigente del PRD, la de Nueva Alianza ni al presidente del Partido Verde Ecologista o a Marco Antonio Rico y por qué insisten en invitar a José Antonio Rojo que ni partido tiene. Quienes Sí estuvieron fue el Delegado de Bienestar, Abraham Zenteno; Héctor Chávez, ex presidente del PRD; Saíd Vargas, dirígete de la Sección 15 del SNTE; Avelino Tovar, ex dirigente del Partido Verde y José Antonio Rojo y se abordaron temas que tienen que ver con la disciplina, el honor y la importancia de retomar los valores que contribuyen a tener una mejor sociedad. A ver si en una de esas me invitan a una reunión de esas, pero yo sí haría preguntas y saldría a contar, aseveró Andrés Torres</t>
  </si>
  <si>
    <t>Reunión con partidos</t>
  </si>
  <si>
    <t>Andrés torres en respuesta a un radioescucha comenta que el nuevo Cereso se construirá en Mineral de la Reforma.</t>
  </si>
  <si>
    <t>Construcción de Cereso</t>
  </si>
  <si>
    <t>Radioescucha, Roberto Pérez Serrano: será en el mes de mayo cuando nuestro gobernador visite Mangas con las Rutas de la Transformación y su Feria de Servicios, para también inaugurar los proyectos de gran calidad y de mucho impacto social, la línea de la nueva red de agua potable y la gran cancha de basquetbol.</t>
  </si>
  <si>
    <t>Ruta de la transformación</t>
  </si>
  <si>
    <t>Estudiantes de la UPMH participan en foro nacional con propuestas sobre T-MEC</t>
  </si>
  <si>
    <t>Foro nacional</t>
  </si>
  <si>
    <t>Hidalgo se consolida entre los estados más seguros</t>
  </si>
  <si>
    <t>El gobernador hoy encabezará la mesa de seguridad acompañado por el Secretario de Gobierno y los titulares de Seguridad Pública y la Procuraduría.</t>
  </si>
  <si>
    <t>Reunión Gabinete De Seguridad</t>
  </si>
  <si>
    <t>Hoy a las 8:45 de la mañana se llevará a cabo la conferencia mañanera en la Sala del Pueblo.</t>
  </si>
  <si>
    <t>En Tepeji las cosas están adelantadas en cuanto al proceso electoral, pues hay mucha especulación y ataques en las redes sociales porque apenas se dio conocer que Miguel Ángel Tello, titular de Planeación figuraba entre los posibles aspirantes a la candidatura a una diputación federal por Tula. Hubo Hackeo a cuantas, ataque en redes y perfiles falsos.</t>
  </si>
  <si>
    <t>Aspirantes</t>
  </si>
  <si>
    <t>A partir de este lunes 20 de abril, se aplicarán nuevos cierres parciales y totales a la circulación derivados de los trabajos de reconstrucción y pavimentación en concreto hidráulico en la avenida Madero, tramo comprendido entre la avenida Juárez y el Viaducto Río de las Avenidas. La obra se ejecutará en las siguientes zonas: Tramo 1: De avenida Juárez a la Glorieta del Monumento a la Revolución. Tramo 2: De la Glorieta del Monumento a la Revolución al Viaducto Río de las Avenidas (cierre del carril izquierdo). Para mitigar el impacto en la movilidad de la zona, las autoridades han habilitado las rutas de circulación alternativas para los automovilistas: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</si>
</sst>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24" tableType="queryTable" totalsRowShown="0">
  <autoFilter ref="A1:M224" xr:uid="{717AF3FA-E95C-4D17-A1C9-B8D7CBE34EF0}"/>
  <sortState xmlns:xlrd2="http://schemas.microsoft.com/office/spreadsheetml/2017/richdata2" ref="A2:M224">
    <sortCondition ref="B1:B224"/>
  </sortState>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24"/>
  <sheetViews>
    <sheetView tabSelected="1" topLeftCell="A121" workbookViewId="0">
      <selection activeCell="C2" sqref="C2"/>
    </sheetView>
  </sheetViews>
  <sheetFormatPr baseColWidth="10" defaultRowHeight="15" x14ac:dyDescent="0.25"/>
  <cols>
    <col min="1" max="1" width="10.42578125" bestFit="1" customWidth="1"/>
    <col min="2" max="2" width="11.42578125" bestFit="1" customWidth="1"/>
    <col min="3" max="3" width="27.28515625" bestFit="1" customWidth="1"/>
    <col min="4" max="4" width="35.5703125" bestFit="1" customWidth="1"/>
    <col min="5" max="5" width="81.140625" bestFit="1" customWidth="1"/>
    <col min="6" max="6" width="15.28515625" bestFit="1" customWidth="1"/>
    <col min="7" max="7" width="34.42578125" bestFit="1" customWidth="1"/>
    <col min="8" max="8" width="11" bestFit="1" customWidth="1"/>
    <col min="9" max="9" width="11.1406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69</v>
      </c>
      <c r="C1" t="s">
        <v>70</v>
      </c>
      <c r="D1" t="s">
        <v>71</v>
      </c>
      <c r="E1" t="s">
        <v>1</v>
      </c>
      <c r="F1" t="s">
        <v>2</v>
      </c>
      <c r="G1" t="s">
        <v>4</v>
      </c>
      <c r="H1" t="s">
        <v>3</v>
      </c>
      <c r="I1" t="s">
        <v>5</v>
      </c>
      <c r="J1" t="s">
        <v>72</v>
      </c>
      <c r="K1" t="s">
        <v>73</v>
      </c>
      <c r="L1" t="s">
        <v>74</v>
      </c>
      <c r="M1" t="s">
        <v>82</v>
      </c>
    </row>
    <row r="2" spans="1:13" x14ac:dyDescent="0.25">
      <c r="A2" s="1">
        <v>46132</v>
      </c>
      <c r="B2" s="1" t="str">
        <f ca="1">IF(Información1[[#This Row],[Fecha]]='Ajuste de fechas'!$A$2,"Día actual","Día anterior")</f>
        <v>Día actual</v>
      </c>
      <c r="C2" t="s">
        <v>51</v>
      </c>
      <c r="D2" t="s">
        <v>54</v>
      </c>
      <c r="E2" t="s">
        <v>243</v>
      </c>
      <c r="F2" t="s">
        <v>19</v>
      </c>
      <c r="G2" t="s">
        <v>244</v>
      </c>
      <c r="H2" t="s">
        <v>11</v>
      </c>
      <c r="I2" t="s">
        <v>27</v>
      </c>
      <c r="J2" t="s">
        <v>79</v>
      </c>
      <c r="K2" t="s">
        <v>52</v>
      </c>
      <c r="L2" t="s">
        <v>77</v>
      </c>
      <c r="M2">
        <v>1</v>
      </c>
    </row>
    <row r="3" spans="1:13" x14ac:dyDescent="0.25">
      <c r="A3" s="1">
        <v>46132</v>
      </c>
      <c r="B3" s="1" t="str">
        <f ca="1">IF(Información1[[#This Row],[Fecha]]='Ajuste de fechas'!$A$2,"Día actual","Día anterior")</f>
        <v>Día actual</v>
      </c>
      <c r="C3" t="s">
        <v>51</v>
      </c>
      <c r="D3" t="s">
        <v>54</v>
      </c>
      <c r="E3" t="s">
        <v>245</v>
      </c>
      <c r="F3" t="s">
        <v>19</v>
      </c>
      <c r="G3" t="s">
        <v>246</v>
      </c>
      <c r="H3" t="s">
        <v>11</v>
      </c>
      <c r="I3" t="s">
        <v>7</v>
      </c>
      <c r="J3" t="s">
        <v>79</v>
      </c>
      <c r="K3" t="s">
        <v>52</v>
      </c>
      <c r="L3" t="s">
        <v>76</v>
      </c>
      <c r="M3">
        <v>1</v>
      </c>
    </row>
    <row r="4" spans="1:13" x14ac:dyDescent="0.25">
      <c r="A4" s="1">
        <v>46132</v>
      </c>
      <c r="B4" s="1" t="str">
        <f ca="1">IF(Información1[[#This Row],[Fecha]]='Ajuste de fechas'!$A$2,"Día actual","Día anterior")</f>
        <v>Día actual</v>
      </c>
      <c r="C4" t="s">
        <v>51</v>
      </c>
      <c r="D4" t="s">
        <v>54</v>
      </c>
      <c r="E4" t="s">
        <v>247</v>
      </c>
      <c r="F4" t="s">
        <v>248</v>
      </c>
      <c r="G4" t="s">
        <v>249</v>
      </c>
      <c r="H4" t="s">
        <v>11</v>
      </c>
      <c r="I4" t="s">
        <v>7</v>
      </c>
      <c r="J4" t="s">
        <v>75</v>
      </c>
      <c r="K4" t="s">
        <v>52</v>
      </c>
      <c r="L4" t="s">
        <v>77</v>
      </c>
      <c r="M4">
        <v>1</v>
      </c>
    </row>
    <row r="5" spans="1:13" x14ac:dyDescent="0.25">
      <c r="A5" s="1">
        <v>46132</v>
      </c>
      <c r="B5" s="1" t="str">
        <f ca="1">IF(Información1[[#This Row],[Fecha]]='Ajuste de fechas'!$A$2,"Día actual","Día anterior")</f>
        <v>Día actual</v>
      </c>
      <c r="C5" t="s">
        <v>31</v>
      </c>
      <c r="D5" t="s">
        <v>33</v>
      </c>
      <c r="E5" t="s">
        <v>250</v>
      </c>
      <c r="F5" t="s">
        <v>19</v>
      </c>
      <c r="G5" t="s">
        <v>46</v>
      </c>
      <c r="H5" t="s">
        <v>11</v>
      </c>
      <c r="I5" t="s">
        <v>7</v>
      </c>
      <c r="J5" t="s">
        <v>79</v>
      </c>
      <c r="K5" t="s">
        <v>32</v>
      </c>
      <c r="L5" t="s">
        <v>76</v>
      </c>
      <c r="M5">
        <v>1</v>
      </c>
    </row>
    <row r="6" spans="1:13" x14ac:dyDescent="0.25">
      <c r="A6" s="1">
        <v>46132</v>
      </c>
      <c r="B6" s="1" t="str">
        <f ca="1">IF(Información1[[#This Row],[Fecha]]='Ajuste de fechas'!$A$2,"Día actual","Día anterior")</f>
        <v>Día actual</v>
      </c>
      <c r="C6" t="s">
        <v>31</v>
      </c>
      <c r="D6" t="s">
        <v>33</v>
      </c>
      <c r="E6" t="s">
        <v>251</v>
      </c>
      <c r="F6" t="s">
        <v>56</v>
      </c>
      <c r="G6" t="s">
        <v>252</v>
      </c>
      <c r="H6" t="s">
        <v>11</v>
      </c>
      <c r="I6" t="s">
        <v>7</v>
      </c>
      <c r="J6" t="s">
        <v>75</v>
      </c>
      <c r="K6" t="s">
        <v>32</v>
      </c>
      <c r="L6" t="s">
        <v>78</v>
      </c>
      <c r="M6">
        <v>1</v>
      </c>
    </row>
    <row r="7" spans="1:13" x14ac:dyDescent="0.25">
      <c r="A7" s="1">
        <v>46132</v>
      </c>
      <c r="B7" s="1" t="str">
        <f ca="1">IF(Información1[[#This Row],[Fecha]]='Ajuste de fechas'!$A$2,"Día actual","Día anterior")</f>
        <v>Día actual</v>
      </c>
      <c r="C7" t="s">
        <v>31</v>
      </c>
      <c r="D7" t="s">
        <v>33</v>
      </c>
      <c r="E7" t="s">
        <v>253</v>
      </c>
      <c r="F7" t="s">
        <v>19</v>
      </c>
      <c r="G7" t="s">
        <v>236</v>
      </c>
      <c r="H7" t="s">
        <v>11</v>
      </c>
      <c r="I7" t="s">
        <v>7</v>
      </c>
      <c r="J7" t="s">
        <v>79</v>
      </c>
      <c r="K7" t="s">
        <v>32</v>
      </c>
      <c r="L7" t="s">
        <v>76</v>
      </c>
      <c r="M7">
        <v>1</v>
      </c>
    </row>
    <row r="8" spans="1:13" x14ac:dyDescent="0.25">
      <c r="A8" s="1">
        <v>46132</v>
      </c>
      <c r="B8" s="1" t="str">
        <f ca="1">IF(Información1[[#This Row],[Fecha]]='Ajuste de fechas'!$A$2,"Día actual","Día anterior")</f>
        <v>Día actual</v>
      </c>
      <c r="C8" t="s">
        <v>31</v>
      </c>
      <c r="D8" t="s">
        <v>33</v>
      </c>
      <c r="E8" t="s">
        <v>128</v>
      </c>
      <c r="F8" t="s">
        <v>60</v>
      </c>
      <c r="G8" t="s">
        <v>129</v>
      </c>
      <c r="H8" t="s">
        <v>11</v>
      </c>
      <c r="I8" t="s">
        <v>7</v>
      </c>
      <c r="J8" t="s">
        <v>75</v>
      </c>
      <c r="K8" t="s">
        <v>32</v>
      </c>
      <c r="L8" t="s">
        <v>78</v>
      </c>
      <c r="M8">
        <v>1</v>
      </c>
    </row>
    <row r="9" spans="1:13" x14ac:dyDescent="0.25">
      <c r="A9" s="1">
        <v>46132</v>
      </c>
      <c r="B9" s="1" t="str">
        <f ca="1">IF(Información1[[#This Row],[Fecha]]='Ajuste de fechas'!$A$2,"Día actual","Día anterior")</f>
        <v>Día actual</v>
      </c>
      <c r="C9" t="s">
        <v>31</v>
      </c>
      <c r="D9" t="s">
        <v>33</v>
      </c>
      <c r="E9" t="s">
        <v>254</v>
      </c>
      <c r="F9" t="s">
        <v>21</v>
      </c>
      <c r="G9" t="s">
        <v>255</v>
      </c>
      <c r="H9" t="s">
        <v>11</v>
      </c>
      <c r="I9" t="s">
        <v>7</v>
      </c>
      <c r="J9" t="s">
        <v>75</v>
      </c>
      <c r="K9" t="s">
        <v>32</v>
      </c>
      <c r="L9" t="s">
        <v>78</v>
      </c>
      <c r="M9">
        <v>1</v>
      </c>
    </row>
    <row r="10" spans="1:13" x14ac:dyDescent="0.25">
      <c r="A10" s="1">
        <v>46132</v>
      </c>
      <c r="B10" s="1" t="str">
        <f ca="1">IF(Información1[[#This Row],[Fecha]]='Ajuste de fechas'!$A$2,"Día actual","Día anterior")</f>
        <v>Día actual</v>
      </c>
      <c r="C10" t="s">
        <v>31</v>
      </c>
      <c r="D10" t="s">
        <v>33</v>
      </c>
      <c r="E10" t="s">
        <v>256</v>
      </c>
      <c r="F10" t="s">
        <v>24</v>
      </c>
      <c r="G10" t="s">
        <v>257</v>
      </c>
      <c r="H10" t="s">
        <v>11</v>
      </c>
      <c r="I10" t="s">
        <v>7</v>
      </c>
      <c r="J10" t="s">
        <v>75</v>
      </c>
      <c r="K10" t="s">
        <v>32</v>
      </c>
      <c r="L10" t="s">
        <v>78</v>
      </c>
      <c r="M10">
        <v>1</v>
      </c>
    </row>
    <row r="11" spans="1:13" x14ac:dyDescent="0.25">
      <c r="A11" s="1">
        <v>46132</v>
      </c>
      <c r="B11" s="1" t="str">
        <f ca="1">IF(Información1[[#This Row],[Fecha]]='Ajuste de fechas'!$A$2,"Día actual","Día anterior")</f>
        <v>Día actual</v>
      </c>
      <c r="C11" t="s">
        <v>31</v>
      </c>
      <c r="D11" t="s">
        <v>33</v>
      </c>
      <c r="E11" t="s">
        <v>258</v>
      </c>
      <c r="F11" t="s">
        <v>50</v>
      </c>
      <c r="G11" t="s">
        <v>259</v>
      </c>
      <c r="H11" t="s">
        <v>11</v>
      </c>
      <c r="I11" t="s">
        <v>7</v>
      </c>
      <c r="J11" t="s">
        <v>75</v>
      </c>
      <c r="K11" t="s">
        <v>32</v>
      </c>
      <c r="L11" t="s">
        <v>78</v>
      </c>
      <c r="M11">
        <v>1</v>
      </c>
    </row>
    <row r="12" spans="1:13" x14ac:dyDescent="0.25">
      <c r="A12" s="1">
        <v>46132</v>
      </c>
      <c r="B12" s="1" t="str">
        <f ca="1">IF(Información1[[#This Row],[Fecha]]='Ajuste de fechas'!$A$2,"Día actual","Día anterior")</f>
        <v>Día actual</v>
      </c>
      <c r="C12" t="s">
        <v>31</v>
      </c>
      <c r="D12" t="s">
        <v>33</v>
      </c>
      <c r="E12" t="s">
        <v>260</v>
      </c>
      <c r="F12" t="s">
        <v>47</v>
      </c>
      <c r="G12" t="s">
        <v>261</v>
      </c>
      <c r="H12" t="s">
        <v>11</v>
      </c>
      <c r="I12" t="s">
        <v>7</v>
      </c>
      <c r="J12" t="s">
        <v>75</v>
      </c>
      <c r="K12" t="s">
        <v>32</v>
      </c>
      <c r="L12" t="s">
        <v>78</v>
      </c>
      <c r="M12">
        <v>1</v>
      </c>
    </row>
    <row r="13" spans="1:13" x14ac:dyDescent="0.25">
      <c r="A13" s="1">
        <v>46132</v>
      </c>
      <c r="B13" s="1" t="str">
        <f ca="1">IF(Información1[[#This Row],[Fecha]]='Ajuste de fechas'!$A$2,"Día actual","Día anterior")</f>
        <v>Día actual</v>
      </c>
      <c r="C13" t="s">
        <v>31</v>
      </c>
      <c r="D13" t="s">
        <v>33</v>
      </c>
      <c r="E13" t="s">
        <v>262</v>
      </c>
      <c r="F13" t="s">
        <v>24</v>
      </c>
      <c r="G13" t="s">
        <v>263</v>
      </c>
      <c r="H13" t="s">
        <v>11</v>
      </c>
      <c r="I13" t="s">
        <v>7</v>
      </c>
      <c r="J13" t="s">
        <v>75</v>
      </c>
      <c r="K13" t="s">
        <v>32</v>
      </c>
      <c r="L13" t="s">
        <v>78</v>
      </c>
      <c r="M13">
        <v>1</v>
      </c>
    </row>
    <row r="14" spans="1:13" x14ac:dyDescent="0.25">
      <c r="A14" s="1">
        <v>46132</v>
      </c>
      <c r="B14" s="1" t="str">
        <f ca="1">IF(Información1[[#This Row],[Fecha]]='Ajuste de fechas'!$A$2,"Día actual","Día anterior")</f>
        <v>Día actual</v>
      </c>
      <c r="C14" t="s">
        <v>31</v>
      </c>
      <c r="D14" t="s">
        <v>33</v>
      </c>
      <c r="E14" t="s">
        <v>264</v>
      </c>
      <c r="F14" t="s">
        <v>265</v>
      </c>
      <c r="G14" t="s">
        <v>101</v>
      </c>
      <c r="H14" t="s">
        <v>11</v>
      </c>
      <c r="I14" t="s">
        <v>7</v>
      </c>
      <c r="J14" t="s">
        <v>75</v>
      </c>
      <c r="K14" t="s">
        <v>32</v>
      </c>
      <c r="L14" t="s">
        <v>78</v>
      </c>
      <c r="M14">
        <v>1</v>
      </c>
    </row>
    <row r="15" spans="1:13" x14ac:dyDescent="0.25">
      <c r="A15" s="1">
        <v>46132</v>
      </c>
      <c r="B15" s="1" t="str">
        <f ca="1">IF(Información1[[#This Row],[Fecha]]='Ajuste de fechas'!$A$2,"Día actual","Día anterior")</f>
        <v>Día actual</v>
      </c>
      <c r="C15" t="s">
        <v>31</v>
      </c>
      <c r="D15" t="s">
        <v>33</v>
      </c>
      <c r="E15" t="s">
        <v>266</v>
      </c>
      <c r="F15" t="s">
        <v>265</v>
      </c>
      <c r="G15" t="s">
        <v>267</v>
      </c>
      <c r="H15" t="s">
        <v>11</v>
      </c>
      <c r="I15" t="s">
        <v>7</v>
      </c>
      <c r="J15" t="s">
        <v>75</v>
      </c>
      <c r="K15" t="s">
        <v>32</v>
      </c>
      <c r="L15" t="s">
        <v>78</v>
      </c>
      <c r="M15">
        <v>1</v>
      </c>
    </row>
    <row r="16" spans="1:13" x14ac:dyDescent="0.25">
      <c r="A16" s="1">
        <v>46132</v>
      </c>
      <c r="B16" s="1" t="str">
        <f ca="1">IF(Información1[[#This Row],[Fecha]]='Ajuste de fechas'!$A$2,"Día actual","Día anterior")</f>
        <v>Día actual</v>
      </c>
      <c r="C16" t="s">
        <v>51</v>
      </c>
      <c r="D16" t="s">
        <v>53</v>
      </c>
      <c r="E16" t="s">
        <v>268</v>
      </c>
      <c r="F16" t="s">
        <v>19</v>
      </c>
      <c r="G16" t="s">
        <v>269</v>
      </c>
      <c r="H16" t="s">
        <v>11</v>
      </c>
      <c r="I16" t="s">
        <v>7</v>
      </c>
      <c r="J16" t="s">
        <v>79</v>
      </c>
      <c r="K16" t="s">
        <v>52</v>
      </c>
      <c r="L16" t="s">
        <v>76</v>
      </c>
      <c r="M16">
        <v>1</v>
      </c>
    </row>
    <row r="17" spans="1:13" x14ac:dyDescent="0.25">
      <c r="A17" s="1">
        <v>46132</v>
      </c>
      <c r="B17" s="1" t="str">
        <f ca="1">IF(Información1[[#This Row],[Fecha]]='Ajuste de fechas'!$A$2,"Día actual","Día anterior")</f>
        <v>Día actual</v>
      </c>
      <c r="C17" t="s">
        <v>51</v>
      </c>
      <c r="D17" t="s">
        <v>53</v>
      </c>
      <c r="E17" t="s">
        <v>270</v>
      </c>
      <c r="F17" t="s">
        <v>28</v>
      </c>
      <c r="G17" t="s">
        <v>249</v>
      </c>
      <c r="H17" t="s">
        <v>11</v>
      </c>
      <c r="I17" t="s">
        <v>7</v>
      </c>
      <c r="J17" t="s">
        <v>75</v>
      </c>
      <c r="K17" t="s">
        <v>43</v>
      </c>
      <c r="L17" t="s">
        <v>76</v>
      </c>
      <c r="M17">
        <v>1</v>
      </c>
    </row>
    <row r="18" spans="1:13" x14ac:dyDescent="0.25">
      <c r="A18" s="1">
        <v>46132</v>
      </c>
      <c r="B18" s="1" t="str">
        <f ca="1">IF(Información1[[#This Row],[Fecha]]='Ajuste de fechas'!$A$2,"Día actual","Día anterior")</f>
        <v>Día actual</v>
      </c>
      <c r="C18" t="s">
        <v>51</v>
      </c>
      <c r="D18" t="s">
        <v>53</v>
      </c>
      <c r="E18" t="s">
        <v>271</v>
      </c>
      <c r="F18" t="s">
        <v>60</v>
      </c>
      <c r="G18" t="s">
        <v>249</v>
      </c>
      <c r="H18" t="s">
        <v>11</v>
      </c>
      <c r="I18" t="s">
        <v>7</v>
      </c>
      <c r="J18" t="s">
        <v>75</v>
      </c>
      <c r="K18" t="s">
        <v>43</v>
      </c>
      <c r="L18" t="s">
        <v>76</v>
      </c>
      <c r="M18">
        <v>1</v>
      </c>
    </row>
    <row r="19" spans="1:13" x14ac:dyDescent="0.25">
      <c r="A19" s="1">
        <v>46132</v>
      </c>
      <c r="B19" s="1" t="str">
        <f ca="1">IF(Información1[[#This Row],[Fecha]]='Ajuste de fechas'!$A$2,"Día actual","Día anterior")</f>
        <v>Día actual</v>
      </c>
      <c r="C19" t="s">
        <v>51</v>
      </c>
      <c r="D19" t="s">
        <v>53</v>
      </c>
      <c r="E19" t="s">
        <v>272</v>
      </c>
      <c r="F19" t="s">
        <v>15</v>
      </c>
      <c r="G19" t="s">
        <v>249</v>
      </c>
      <c r="H19" t="s">
        <v>11</v>
      </c>
      <c r="I19" t="s">
        <v>7</v>
      </c>
      <c r="J19" t="s">
        <v>75</v>
      </c>
      <c r="K19" t="s">
        <v>43</v>
      </c>
      <c r="L19" t="s">
        <v>76</v>
      </c>
      <c r="M19">
        <v>1</v>
      </c>
    </row>
    <row r="20" spans="1:13" x14ac:dyDescent="0.25">
      <c r="A20" s="1">
        <v>46132</v>
      </c>
      <c r="B20" s="1" t="str">
        <f ca="1">IF(Información1[[#This Row],[Fecha]]='Ajuste de fechas'!$A$2,"Día actual","Día anterior")</f>
        <v>Día actual</v>
      </c>
      <c r="C20" t="s">
        <v>51</v>
      </c>
      <c r="D20" t="s">
        <v>53</v>
      </c>
      <c r="E20" t="s">
        <v>273</v>
      </c>
      <c r="F20" t="s">
        <v>265</v>
      </c>
      <c r="G20" t="s">
        <v>249</v>
      </c>
      <c r="H20" t="s">
        <v>11</v>
      </c>
      <c r="I20" t="s">
        <v>7</v>
      </c>
      <c r="J20" t="s">
        <v>75</v>
      </c>
      <c r="K20" t="s">
        <v>43</v>
      </c>
      <c r="L20" t="s">
        <v>76</v>
      </c>
      <c r="M20">
        <v>1</v>
      </c>
    </row>
    <row r="21" spans="1:13" x14ac:dyDescent="0.25">
      <c r="A21" s="1">
        <v>46132</v>
      </c>
      <c r="B21" s="1" t="str">
        <f ca="1">IF(Información1[[#This Row],[Fecha]]='Ajuste de fechas'!$A$2,"Día actual","Día anterior")</f>
        <v>Día actual</v>
      </c>
      <c r="C21" t="s">
        <v>51</v>
      </c>
      <c r="D21" t="s">
        <v>53</v>
      </c>
      <c r="E21" t="s">
        <v>274</v>
      </c>
      <c r="F21" t="s">
        <v>47</v>
      </c>
      <c r="G21" t="s">
        <v>93</v>
      </c>
      <c r="H21" t="s">
        <v>11</v>
      </c>
      <c r="I21" t="s">
        <v>7</v>
      </c>
      <c r="J21" t="s">
        <v>75</v>
      </c>
      <c r="K21" t="s">
        <v>52</v>
      </c>
      <c r="L21" t="s">
        <v>76</v>
      </c>
      <c r="M21">
        <v>1</v>
      </c>
    </row>
    <row r="22" spans="1:13" x14ac:dyDescent="0.25">
      <c r="A22" s="1">
        <v>46132</v>
      </c>
      <c r="B22" s="1" t="str">
        <f ca="1">IF(Información1[[#This Row],[Fecha]]='Ajuste de fechas'!$A$2,"Día actual","Día anterior")</f>
        <v>Día actual</v>
      </c>
      <c r="C22" t="s">
        <v>51</v>
      </c>
      <c r="D22" t="s">
        <v>53</v>
      </c>
      <c r="E22" t="s">
        <v>275</v>
      </c>
      <c r="F22" t="s">
        <v>15</v>
      </c>
      <c r="G22" t="s">
        <v>276</v>
      </c>
      <c r="H22" t="s">
        <v>11</v>
      </c>
      <c r="I22" t="s">
        <v>7</v>
      </c>
      <c r="J22" t="s">
        <v>75</v>
      </c>
      <c r="K22" t="s">
        <v>52</v>
      </c>
      <c r="L22" t="s">
        <v>76</v>
      </c>
      <c r="M22">
        <v>1</v>
      </c>
    </row>
    <row r="23" spans="1:13" x14ac:dyDescent="0.25">
      <c r="A23" s="1">
        <v>46132</v>
      </c>
      <c r="B23" s="1" t="str">
        <f ca="1">IF(Información1[[#This Row],[Fecha]]='Ajuste de fechas'!$A$2,"Día actual","Día anterior")</f>
        <v>Día actual</v>
      </c>
      <c r="C23" t="s">
        <v>51</v>
      </c>
      <c r="D23" t="s">
        <v>53</v>
      </c>
      <c r="E23" t="s">
        <v>277</v>
      </c>
      <c r="F23" t="s">
        <v>47</v>
      </c>
      <c r="G23" t="s">
        <v>276</v>
      </c>
      <c r="H23" t="s">
        <v>11</v>
      </c>
      <c r="I23" t="s">
        <v>7</v>
      </c>
      <c r="J23" t="s">
        <v>75</v>
      </c>
      <c r="K23" t="s">
        <v>52</v>
      </c>
      <c r="L23" t="s">
        <v>76</v>
      </c>
      <c r="M23">
        <v>1</v>
      </c>
    </row>
    <row r="24" spans="1:13" x14ac:dyDescent="0.25">
      <c r="A24" s="1">
        <v>46132</v>
      </c>
      <c r="B24" s="1" t="str">
        <f ca="1">IF(Información1[[#This Row],[Fecha]]='Ajuste de fechas'!$A$2,"Día actual","Día anterior")</f>
        <v>Día actual</v>
      </c>
      <c r="C24" t="s">
        <v>51</v>
      </c>
      <c r="D24" t="s">
        <v>53</v>
      </c>
      <c r="E24" t="s">
        <v>258</v>
      </c>
      <c r="F24" t="s">
        <v>50</v>
      </c>
      <c r="G24" t="s">
        <v>259</v>
      </c>
      <c r="H24" t="s">
        <v>11</v>
      </c>
      <c r="I24" t="s">
        <v>7</v>
      </c>
      <c r="J24" t="s">
        <v>75</v>
      </c>
      <c r="K24" t="s">
        <v>43</v>
      </c>
      <c r="L24" t="s">
        <v>78</v>
      </c>
      <c r="M24">
        <v>1</v>
      </c>
    </row>
    <row r="25" spans="1:13" x14ac:dyDescent="0.25">
      <c r="A25" s="1">
        <v>46132</v>
      </c>
      <c r="B25" s="1" t="str">
        <f ca="1">IF(Información1[[#This Row],[Fecha]]='Ajuste de fechas'!$A$2,"Día actual","Día anterior")</f>
        <v>Día actual</v>
      </c>
      <c r="C25" t="s">
        <v>51</v>
      </c>
      <c r="D25" t="s">
        <v>53</v>
      </c>
      <c r="E25" t="s">
        <v>260</v>
      </c>
      <c r="F25" t="s">
        <v>47</v>
      </c>
      <c r="G25" t="s">
        <v>261</v>
      </c>
      <c r="H25" t="s">
        <v>11</v>
      </c>
      <c r="I25" t="s">
        <v>7</v>
      </c>
      <c r="J25" t="s">
        <v>75</v>
      </c>
      <c r="K25" t="s">
        <v>43</v>
      </c>
      <c r="L25" t="s">
        <v>76</v>
      </c>
      <c r="M25">
        <v>1</v>
      </c>
    </row>
    <row r="26" spans="1:13" x14ac:dyDescent="0.25">
      <c r="A26" s="1">
        <v>46132</v>
      </c>
      <c r="B26" s="1" t="str">
        <f ca="1">IF(Información1[[#This Row],[Fecha]]='Ajuste de fechas'!$A$2,"Día actual","Día anterior")</f>
        <v>Día actual</v>
      </c>
      <c r="C26" t="s">
        <v>8</v>
      </c>
      <c r="D26" t="s">
        <v>10</v>
      </c>
      <c r="E26" t="s">
        <v>278</v>
      </c>
      <c r="F26" t="s">
        <v>6</v>
      </c>
      <c r="G26" t="s">
        <v>65</v>
      </c>
      <c r="H26" t="s">
        <v>11</v>
      </c>
      <c r="I26" t="s">
        <v>27</v>
      </c>
      <c r="J26" t="s">
        <v>75</v>
      </c>
      <c r="K26" t="s">
        <v>9</v>
      </c>
      <c r="L26" t="s">
        <v>77</v>
      </c>
      <c r="M26">
        <v>1</v>
      </c>
    </row>
    <row r="27" spans="1:13" x14ac:dyDescent="0.25">
      <c r="A27" s="1">
        <v>46132</v>
      </c>
      <c r="B27" s="1" t="str">
        <f ca="1">IF(Información1[[#This Row],[Fecha]]='Ajuste de fechas'!$A$2,"Día actual","Día anterior")</f>
        <v>Día actual</v>
      </c>
      <c r="C27" t="s">
        <v>38</v>
      </c>
      <c r="D27" t="s">
        <v>40</v>
      </c>
      <c r="E27" t="s">
        <v>279</v>
      </c>
      <c r="F27" t="s">
        <v>26</v>
      </c>
      <c r="G27" t="s">
        <v>144</v>
      </c>
      <c r="H27" t="s">
        <v>11</v>
      </c>
      <c r="I27" t="s">
        <v>7</v>
      </c>
      <c r="J27" t="s">
        <v>26</v>
      </c>
      <c r="K27" t="s">
        <v>67</v>
      </c>
      <c r="L27" t="s">
        <v>76</v>
      </c>
      <c r="M27">
        <v>1</v>
      </c>
    </row>
    <row r="28" spans="1:13" x14ac:dyDescent="0.25">
      <c r="A28" s="1">
        <v>46132</v>
      </c>
      <c r="B28" s="1" t="str">
        <f ca="1">IF(Información1[[#This Row],[Fecha]]='Ajuste de fechas'!$A$2,"Día actual","Día anterior")</f>
        <v>Día actual</v>
      </c>
      <c r="C28" t="s">
        <v>8</v>
      </c>
      <c r="D28" t="s">
        <v>10</v>
      </c>
      <c r="E28" t="s">
        <v>280</v>
      </c>
      <c r="F28" t="s">
        <v>56</v>
      </c>
      <c r="G28" t="s">
        <v>281</v>
      </c>
      <c r="H28" t="s">
        <v>11</v>
      </c>
      <c r="I28" t="s">
        <v>7</v>
      </c>
      <c r="J28" t="s">
        <v>75</v>
      </c>
      <c r="K28" t="s">
        <v>14</v>
      </c>
      <c r="L28" t="s">
        <v>78</v>
      </c>
      <c r="M28">
        <v>1</v>
      </c>
    </row>
    <row r="29" spans="1:13" x14ac:dyDescent="0.25">
      <c r="A29" s="1">
        <v>46132</v>
      </c>
      <c r="B29" s="1" t="str">
        <f ca="1">IF(Información1[[#This Row],[Fecha]]='Ajuste de fechas'!$A$2,"Día actual","Día anterior")</f>
        <v>Día actual</v>
      </c>
      <c r="C29" t="s">
        <v>38</v>
      </c>
      <c r="D29" t="s">
        <v>40</v>
      </c>
      <c r="E29" t="s">
        <v>282</v>
      </c>
      <c r="F29" t="s">
        <v>23</v>
      </c>
      <c r="G29" t="s">
        <v>283</v>
      </c>
      <c r="H29" t="s">
        <v>11</v>
      </c>
      <c r="I29" t="s">
        <v>7</v>
      </c>
      <c r="J29" t="s">
        <v>80</v>
      </c>
      <c r="K29" t="s">
        <v>67</v>
      </c>
      <c r="L29" t="s">
        <v>76</v>
      </c>
      <c r="M29">
        <v>1</v>
      </c>
    </row>
    <row r="30" spans="1:13" x14ac:dyDescent="0.25">
      <c r="A30" s="1">
        <v>46132</v>
      </c>
      <c r="B30" s="1" t="str">
        <f ca="1">IF(Información1[[#This Row],[Fecha]]='Ajuste de fechas'!$A$2,"Día actual","Día anterior")</f>
        <v>Día actual</v>
      </c>
      <c r="C30" t="s">
        <v>8</v>
      </c>
      <c r="D30" t="s">
        <v>10</v>
      </c>
      <c r="E30" t="s">
        <v>284</v>
      </c>
      <c r="F30" t="s">
        <v>17</v>
      </c>
      <c r="G30" t="s">
        <v>285</v>
      </c>
      <c r="H30" t="s">
        <v>11</v>
      </c>
      <c r="I30" t="s">
        <v>27</v>
      </c>
      <c r="J30" t="s">
        <v>75</v>
      </c>
      <c r="K30" t="s">
        <v>9</v>
      </c>
      <c r="L30" t="s">
        <v>77</v>
      </c>
      <c r="M30">
        <v>1</v>
      </c>
    </row>
    <row r="31" spans="1:13" x14ac:dyDescent="0.25">
      <c r="A31" s="1">
        <v>46132</v>
      </c>
      <c r="B31" s="1" t="str">
        <f ca="1">IF(Información1[[#This Row],[Fecha]]='Ajuste de fechas'!$A$2,"Día actual","Día anterior")</f>
        <v>Día actual</v>
      </c>
      <c r="C31" t="s">
        <v>38</v>
      </c>
      <c r="D31" t="s">
        <v>41</v>
      </c>
      <c r="E31" t="s">
        <v>286</v>
      </c>
      <c r="F31" t="s">
        <v>89</v>
      </c>
      <c r="G31" t="s">
        <v>287</v>
      </c>
      <c r="H31" t="s">
        <v>11</v>
      </c>
      <c r="I31" t="s">
        <v>7</v>
      </c>
      <c r="J31" t="s">
        <v>75</v>
      </c>
      <c r="K31" t="s">
        <v>39</v>
      </c>
      <c r="L31" t="s">
        <v>81</v>
      </c>
      <c r="M31">
        <v>1</v>
      </c>
    </row>
    <row r="32" spans="1:13" x14ac:dyDescent="0.25">
      <c r="A32" s="1">
        <v>46132</v>
      </c>
      <c r="B32" s="1" t="str">
        <f ca="1">IF(Información1[[#This Row],[Fecha]]='Ajuste de fechas'!$A$2,"Día actual","Día anterior")</f>
        <v>Día actual</v>
      </c>
      <c r="C32" t="s">
        <v>38</v>
      </c>
      <c r="D32" t="s">
        <v>40</v>
      </c>
      <c r="E32" t="s">
        <v>288</v>
      </c>
      <c r="F32" t="s">
        <v>19</v>
      </c>
      <c r="G32" t="s">
        <v>213</v>
      </c>
      <c r="H32" t="s">
        <v>11</v>
      </c>
      <c r="I32" t="s">
        <v>7</v>
      </c>
      <c r="J32" t="s">
        <v>79</v>
      </c>
      <c r="K32" t="s">
        <v>67</v>
      </c>
      <c r="L32" t="s">
        <v>76</v>
      </c>
      <c r="M32">
        <v>1</v>
      </c>
    </row>
    <row r="33" spans="1:13" x14ac:dyDescent="0.25">
      <c r="A33" s="1">
        <v>46132</v>
      </c>
      <c r="B33" s="1" t="str">
        <f ca="1">IF(Información1[[#This Row],[Fecha]]='Ajuste de fechas'!$A$2,"Día actual","Día anterior")</f>
        <v>Día actual</v>
      </c>
      <c r="C33" t="s">
        <v>8</v>
      </c>
      <c r="D33" t="s">
        <v>10</v>
      </c>
      <c r="E33" t="s">
        <v>20</v>
      </c>
      <c r="F33" t="s">
        <v>19</v>
      </c>
      <c r="G33" t="s">
        <v>66</v>
      </c>
      <c r="H33" t="s">
        <v>11</v>
      </c>
      <c r="I33" t="s">
        <v>12</v>
      </c>
      <c r="J33" t="s">
        <v>79</v>
      </c>
      <c r="K33" t="s">
        <v>14</v>
      </c>
      <c r="L33" t="s">
        <v>77</v>
      </c>
      <c r="M33">
        <v>1</v>
      </c>
    </row>
    <row r="34" spans="1:13" x14ac:dyDescent="0.25">
      <c r="A34" s="1">
        <v>46132</v>
      </c>
      <c r="B34" s="1" t="str">
        <f ca="1">IF(Información1[[#This Row],[Fecha]]='Ajuste de fechas'!$A$2,"Día actual","Día anterior")</f>
        <v>Día actual</v>
      </c>
      <c r="C34" t="s">
        <v>8</v>
      </c>
      <c r="D34" t="s">
        <v>10</v>
      </c>
      <c r="E34" t="s">
        <v>18</v>
      </c>
      <c r="F34" t="s">
        <v>19</v>
      </c>
      <c r="G34" t="s">
        <v>66</v>
      </c>
      <c r="H34" t="s">
        <v>11</v>
      </c>
      <c r="I34" t="s">
        <v>12</v>
      </c>
      <c r="J34" t="s">
        <v>79</v>
      </c>
      <c r="K34" t="s">
        <v>14</v>
      </c>
      <c r="L34" t="s">
        <v>77</v>
      </c>
      <c r="M34">
        <v>1</v>
      </c>
    </row>
    <row r="35" spans="1:13" x14ac:dyDescent="0.25">
      <c r="A35" s="1">
        <v>46132</v>
      </c>
      <c r="B35" s="1" t="str">
        <f ca="1">IF(Información1[[#This Row],[Fecha]]='Ajuste de fechas'!$A$2,"Día actual","Día anterior")</f>
        <v>Día actual</v>
      </c>
      <c r="C35" t="s">
        <v>8</v>
      </c>
      <c r="D35" t="s">
        <v>10</v>
      </c>
      <c r="E35" t="s">
        <v>62</v>
      </c>
      <c r="F35" t="s">
        <v>22</v>
      </c>
      <c r="G35" t="s">
        <v>66</v>
      </c>
      <c r="H35" t="s">
        <v>11</v>
      </c>
      <c r="I35" t="s">
        <v>12</v>
      </c>
      <c r="J35" t="s">
        <v>26</v>
      </c>
      <c r="K35" t="s">
        <v>14</v>
      </c>
      <c r="L35" t="s">
        <v>77</v>
      </c>
      <c r="M35">
        <v>1</v>
      </c>
    </row>
    <row r="36" spans="1:13" x14ac:dyDescent="0.25">
      <c r="A36" s="1">
        <v>46132</v>
      </c>
      <c r="B36" s="1" t="str">
        <f ca="1">IF(Información1[[#This Row],[Fecha]]='Ajuste de fechas'!$A$2,"Día actual","Día anterior")</f>
        <v>Día actual</v>
      </c>
      <c r="C36" t="s">
        <v>8</v>
      </c>
      <c r="D36" t="s">
        <v>10</v>
      </c>
      <c r="E36" t="s">
        <v>13</v>
      </c>
      <c r="F36" t="s">
        <v>15</v>
      </c>
      <c r="G36" t="s">
        <v>66</v>
      </c>
      <c r="H36" t="s">
        <v>11</v>
      </c>
      <c r="I36" t="s">
        <v>12</v>
      </c>
      <c r="J36" t="s">
        <v>75</v>
      </c>
      <c r="K36" t="s">
        <v>14</v>
      </c>
      <c r="L36" t="s">
        <v>77</v>
      </c>
      <c r="M36">
        <v>1</v>
      </c>
    </row>
    <row r="37" spans="1:13" x14ac:dyDescent="0.25">
      <c r="A37" s="1">
        <v>46132</v>
      </c>
      <c r="B37" s="1" t="str">
        <f ca="1">IF(Información1[[#This Row],[Fecha]]='Ajuste de fechas'!$A$2,"Día actual","Día anterior")</f>
        <v>Día actual</v>
      </c>
      <c r="C37" t="s">
        <v>8</v>
      </c>
      <c r="D37" t="s">
        <v>10</v>
      </c>
      <c r="E37" t="s">
        <v>16</v>
      </c>
      <c r="F37" t="s">
        <v>17</v>
      </c>
      <c r="G37" t="s">
        <v>66</v>
      </c>
      <c r="H37" t="s">
        <v>11</v>
      </c>
      <c r="I37" t="s">
        <v>12</v>
      </c>
      <c r="J37" t="s">
        <v>75</v>
      </c>
      <c r="K37" t="s">
        <v>14</v>
      </c>
      <c r="L37" t="s">
        <v>77</v>
      </c>
      <c r="M37">
        <v>1</v>
      </c>
    </row>
    <row r="38" spans="1:13" x14ac:dyDescent="0.25">
      <c r="A38" s="1">
        <v>46132</v>
      </c>
      <c r="B38" s="1" t="str">
        <f ca="1">IF(Información1[[#This Row],[Fecha]]='Ajuste de fechas'!$A$2,"Día actual","Día anterior")</f>
        <v>Día actual</v>
      </c>
      <c r="C38" t="s">
        <v>8</v>
      </c>
      <c r="D38" t="s">
        <v>10</v>
      </c>
      <c r="E38" t="s">
        <v>68</v>
      </c>
      <c r="F38" t="s">
        <v>6</v>
      </c>
      <c r="G38" t="s">
        <v>66</v>
      </c>
      <c r="H38" t="s">
        <v>11</v>
      </c>
      <c r="I38" t="s">
        <v>12</v>
      </c>
      <c r="J38" t="s">
        <v>75</v>
      </c>
      <c r="K38" t="s">
        <v>14</v>
      </c>
      <c r="L38" t="s">
        <v>77</v>
      </c>
      <c r="M38">
        <v>1</v>
      </c>
    </row>
    <row r="39" spans="1:13" x14ac:dyDescent="0.25">
      <c r="A39" s="1">
        <v>46132</v>
      </c>
      <c r="B39" s="1" t="str">
        <f ca="1">IF(Información1[[#This Row],[Fecha]]='Ajuste de fechas'!$A$2,"Día actual","Día anterior")</f>
        <v>Día actual</v>
      </c>
      <c r="C39" t="s">
        <v>8</v>
      </c>
      <c r="D39" t="s">
        <v>10</v>
      </c>
      <c r="E39" t="s">
        <v>289</v>
      </c>
      <c r="F39" t="s">
        <v>17</v>
      </c>
      <c r="G39" t="s">
        <v>92</v>
      </c>
      <c r="H39" t="s">
        <v>11</v>
      </c>
      <c r="I39" t="s">
        <v>27</v>
      </c>
      <c r="J39" t="s">
        <v>75</v>
      </c>
      <c r="K39" t="s">
        <v>9</v>
      </c>
      <c r="L39" t="s">
        <v>77</v>
      </c>
      <c r="M39">
        <v>1</v>
      </c>
    </row>
    <row r="40" spans="1:13" x14ac:dyDescent="0.25">
      <c r="A40" s="1">
        <v>46132</v>
      </c>
      <c r="B40" s="1" t="str">
        <f ca="1">IF(Información1[[#This Row],[Fecha]]='Ajuste de fechas'!$A$2,"Día actual","Día anterior")</f>
        <v>Día actual</v>
      </c>
      <c r="C40" t="s">
        <v>38</v>
      </c>
      <c r="D40" t="s">
        <v>41</v>
      </c>
      <c r="E40" t="s">
        <v>290</v>
      </c>
      <c r="F40" t="s">
        <v>104</v>
      </c>
      <c r="G40" t="s">
        <v>131</v>
      </c>
      <c r="H40" t="s">
        <v>11</v>
      </c>
      <c r="I40" t="s">
        <v>7</v>
      </c>
      <c r="J40" t="s">
        <v>75</v>
      </c>
      <c r="K40" t="s">
        <v>39</v>
      </c>
      <c r="L40" t="s">
        <v>78</v>
      </c>
      <c r="M40">
        <v>1</v>
      </c>
    </row>
    <row r="41" spans="1:13" x14ac:dyDescent="0.25">
      <c r="A41" s="1">
        <v>46132</v>
      </c>
      <c r="B41" s="1" t="str">
        <f ca="1">IF(Información1[[#This Row],[Fecha]]='Ajuste de fechas'!$A$2,"Día actual","Día anterior")</f>
        <v>Día actual</v>
      </c>
      <c r="C41" t="s">
        <v>38</v>
      </c>
      <c r="D41" t="s">
        <v>41</v>
      </c>
      <c r="E41" t="s">
        <v>256</v>
      </c>
      <c r="F41" t="s">
        <v>24</v>
      </c>
      <c r="G41" t="s">
        <v>257</v>
      </c>
      <c r="H41" t="s">
        <v>11</v>
      </c>
      <c r="I41" t="s">
        <v>7</v>
      </c>
      <c r="J41" t="s">
        <v>75</v>
      </c>
      <c r="K41" t="s">
        <v>39</v>
      </c>
      <c r="L41" t="s">
        <v>78</v>
      </c>
      <c r="M41">
        <v>1</v>
      </c>
    </row>
    <row r="42" spans="1:13" x14ac:dyDescent="0.25">
      <c r="A42" s="1">
        <v>46132</v>
      </c>
      <c r="B42" s="1" t="str">
        <f ca="1">IF(Información1[[#This Row],[Fecha]]='Ajuste de fechas'!$A$2,"Día actual","Día anterior")</f>
        <v>Día actual</v>
      </c>
      <c r="C42" t="s">
        <v>8</v>
      </c>
      <c r="D42" t="s">
        <v>10</v>
      </c>
      <c r="E42" t="s">
        <v>291</v>
      </c>
      <c r="F42" t="s">
        <v>19</v>
      </c>
      <c r="G42" t="s">
        <v>116</v>
      </c>
      <c r="H42" t="s">
        <v>11</v>
      </c>
      <c r="I42" t="s">
        <v>7</v>
      </c>
      <c r="J42" t="s">
        <v>79</v>
      </c>
      <c r="K42" t="s">
        <v>14</v>
      </c>
      <c r="L42" t="s">
        <v>81</v>
      </c>
      <c r="M42">
        <v>1</v>
      </c>
    </row>
    <row r="43" spans="1:13" x14ac:dyDescent="0.25">
      <c r="A43" s="1">
        <v>46132</v>
      </c>
      <c r="B43" s="1" t="str">
        <f ca="1">IF(Información1[[#This Row],[Fecha]]='Ajuste de fechas'!$A$2,"Día actual","Día anterior")</f>
        <v>Día actual</v>
      </c>
      <c r="C43" t="s">
        <v>55</v>
      </c>
      <c r="D43" t="s">
        <v>292</v>
      </c>
      <c r="E43" t="s">
        <v>258</v>
      </c>
      <c r="F43" t="s">
        <v>50</v>
      </c>
      <c r="G43" t="s">
        <v>259</v>
      </c>
      <c r="H43" t="s">
        <v>11</v>
      </c>
      <c r="I43" t="s">
        <v>7</v>
      </c>
      <c r="J43" t="s">
        <v>75</v>
      </c>
      <c r="K43" t="s">
        <v>293</v>
      </c>
      <c r="L43" t="s">
        <v>78</v>
      </c>
      <c r="M43">
        <v>1</v>
      </c>
    </row>
    <row r="44" spans="1:13" x14ac:dyDescent="0.25">
      <c r="A44" s="1">
        <v>46132</v>
      </c>
      <c r="B44" s="1" t="str">
        <f ca="1">IF(Información1[[#This Row],[Fecha]]='Ajuste de fechas'!$A$2,"Día actual","Día anterior")</f>
        <v>Día actual</v>
      </c>
      <c r="C44" t="s">
        <v>38</v>
      </c>
      <c r="D44" t="s">
        <v>41</v>
      </c>
      <c r="E44" t="s">
        <v>294</v>
      </c>
      <c r="F44" t="s">
        <v>47</v>
      </c>
      <c r="G44" t="s">
        <v>261</v>
      </c>
      <c r="H44" t="s">
        <v>11</v>
      </c>
      <c r="I44" t="s">
        <v>7</v>
      </c>
      <c r="J44" t="s">
        <v>75</v>
      </c>
      <c r="K44" t="s">
        <v>39</v>
      </c>
      <c r="L44" t="s">
        <v>78</v>
      </c>
      <c r="M44">
        <v>1</v>
      </c>
    </row>
    <row r="45" spans="1:13" x14ac:dyDescent="0.25">
      <c r="A45" s="1">
        <v>46132</v>
      </c>
      <c r="B45" s="1" t="str">
        <f ca="1">IF(Información1[[#This Row],[Fecha]]='Ajuste de fechas'!$A$2,"Día actual","Día anterior")</f>
        <v>Día actual</v>
      </c>
      <c r="C45" t="s">
        <v>8</v>
      </c>
      <c r="D45" t="s">
        <v>10</v>
      </c>
      <c r="E45" t="s">
        <v>295</v>
      </c>
      <c r="F45" t="s">
        <v>6</v>
      </c>
      <c r="G45" t="s">
        <v>296</v>
      </c>
      <c r="H45" t="s">
        <v>11</v>
      </c>
      <c r="I45" t="s">
        <v>27</v>
      </c>
      <c r="J45" t="s">
        <v>75</v>
      </c>
      <c r="K45" t="s">
        <v>9</v>
      </c>
      <c r="L45" t="s">
        <v>77</v>
      </c>
      <c r="M45">
        <v>1</v>
      </c>
    </row>
    <row r="46" spans="1:13" x14ac:dyDescent="0.25">
      <c r="A46" s="1">
        <v>46132</v>
      </c>
      <c r="B46" s="1" t="str">
        <f ca="1">IF(Información1[[#This Row],[Fecha]]='Ajuste de fechas'!$A$2,"Día actual","Día anterior")</f>
        <v>Día actual</v>
      </c>
      <c r="C46" t="s">
        <v>38</v>
      </c>
      <c r="D46" t="s">
        <v>41</v>
      </c>
      <c r="E46" t="s">
        <v>297</v>
      </c>
      <c r="F46" t="s">
        <v>265</v>
      </c>
      <c r="G46" t="s">
        <v>101</v>
      </c>
      <c r="H46" t="s">
        <v>11</v>
      </c>
      <c r="I46" t="s">
        <v>7</v>
      </c>
      <c r="J46" t="s">
        <v>75</v>
      </c>
      <c r="K46" t="s">
        <v>39</v>
      </c>
      <c r="L46" t="s">
        <v>78</v>
      </c>
      <c r="M46">
        <v>1</v>
      </c>
    </row>
    <row r="47" spans="1:13" x14ac:dyDescent="0.25">
      <c r="A47" s="1">
        <v>46132</v>
      </c>
      <c r="B47" s="1" t="str">
        <f ca="1">IF(Información1[[#This Row],[Fecha]]='Ajuste de fechas'!$A$2,"Día actual","Día anterior")</f>
        <v>Día actual</v>
      </c>
      <c r="C47" t="s">
        <v>38</v>
      </c>
      <c r="D47" t="s">
        <v>41</v>
      </c>
      <c r="E47" t="s">
        <v>298</v>
      </c>
      <c r="F47" t="s">
        <v>21</v>
      </c>
      <c r="G47" t="s">
        <v>299</v>
      </c>
      <c r="H47" t="s">
        <v>11</v>
      </c>
      <c r="I47" t="s">
        <v>7</v>
      </c>
      <c r="J47" t="s">
        <v>75</v>
      </c>
      <c r="K47" t="s">
        <v>39</v>
      </c>
      <c r="L47" t="s">
        <v>76</v>
      </c>
      <c r="M47">
        <v>1</v>
      </c>
    </row>
    <row r="48" spans="1:13" x14ac:dyDescent="0.25">
      <c r="A48" s="1">
        <v>46132</v>
      </c>
      <c r="B48" s="1" t="str">
        <f ca="1">IF(Información1[[#This Row],[Fecha]]='Ajuste de fechas'!$A$2,"Día actual","Día anterior")</f>
        <v>Día actual</v>
      </c>
      <c r="C48" t="s">
        <v>38</v>
      </c>
      <c r="D48" t="s">
        <v>41</v>
      </c>
      <c r="E48" t="s">
        <v>302</v>
      </c>
      <c r="F48" t="s">
        <v>50</v>
      </c>
      <c r="G48" t="s">
        <v>86</v>
      </c>
      <c r="H48" t="s">
        <v>11</v>
      </c>
      <c r="I48" t="s">
        <v>7</v>
      </c>
      <c r="J48" t="s">
        <v>75</v>
      </c>
      <c r="K48" t="s">
        <v>39</v>
      </c>
      <c r="L48" t="s">
        <v>76</v>
      </c>
      <c r="M48">
        <v>1</v>
      </c>
    </row>
    <row r="49" spans="1:13" x14ac:dyDescent="0.25">
      <c r="A49" s="1">
        <v>46132</v>
      </c>
      <c r="B49" s="1" t="str">
        <f ca="1">IF(Información1[[#This Row],[Fecha]]='Ajuste de fechas'!$A$2,"Día actual","Día anterior")</f>
        <v>Día actual</v>
      </c>
      <c r="C49" t="s">
        <v>38</v>
      </c>
      <c r="D49" t="s">
        <v>40</v>
      </c>
      <c r="E49" t="s">
        <v>303</v>
      </c>
      <c r="F49" t="s">
        <v>60</v>
      </c>
      <c r="G49" t="s">
        <v>249</v>
      </c>
      <c r="H49" t="s">
        <v>11</v>
      </c>
      <c r="I49" t="s">
        <v>7</v>
      </c>
      <c r="J49" t="s">
        <v>75</v>
      </c>
      <c r="K49" t="s">
        <v>67</v>
      </c>
      <c r="L49" t="s">
        <v>76</v>
      </c>
      <c r="M49">
        <v>1</v>
      </c>
    </row>
    <row r="50" spans="1:13" x14ac:dyDescent="0.25">
      <c r="A50" s="1">
        <v>46132</v>
      </c>
      <c r="B50" s="1" t="str">
        <f ca="1">IF(Información1[[#This Row],[Fecha]]='Ajuste de fechas'!$A$2,"Día actual","Día anterior")</f>
        <v>Día actual</v>
      </c>
      <c r="C50" t="s">
        <v>38</v>
      </c>
      <c r="D50" t="s">
        <v>40</v>
      </c>
      <c r="E50" t="s">
        <v>304</v>
      </c>
      <c r="F50" t="s">
        <v>15</v>
      </c>
      <c r="G50" t="s">
        <v>249</v>
      </c>
      <c r="H50" t="s">
        <v>11</v>
      </c>
      <c r="I50" t="s">
        <v>7</v>
      </c>
      <c r="J50" t="s">
        <v>75</v>
      </c>
      <c r="K50" t="s">
        <v>67</v>
      </c>
      <c r="L50" t="s">
        <v>76</v>
      </c>
      <c r="M50">
        <v>1</v>
      </c>
    </row>
    <row r="51" spans="1:13" x14ac:dyDescent="0.25">
      <c r="A51" s="1">
        <v>46132</v>
      </c>
      <c r="B51" s="1" t="str">
        <f ca="1">IF(Información1[[#This Row],[Fecha]]='Ajuste de fechas'!$A$2,"Día actual","Día anterior")</f>
        <v>Día actual</v>
      </c>
      <c r="C51" t="s">
        <v>38</v>
      </c>
      <c r="D51" t="s">
        <v>40</v>
      </c>
      <c r="E51" t="s">
        <v>305</v>
      </c>
      <c r="F51" t="s">
        <v>28</v>
      </c>
      <c r="G51" t="s">
        <v>249</v>
      </c>
      <c r="H51" t="s">
        <v>11</v>
      </c>
      <c r="I51" t="s">
        <v>7</v>
      </c>
      <c r="J51" t="s">
        <v>75</v>
      </c>
      <c r="K51" t="s">
        <v>67</v>
      </c>
      <c r="L51" t="s">
        <v>76</v>
      </c>
      <c r="M51">
        <v>1</v>
      </c>
    </row>
    <row r="52" spans="1:13" x14ac:dyDescent="0.25">
      <c r="A52" s="1">
        <v>46132</v>
      </c>
      <c r="B52" s="1" t="str">
        <f ca="1">IF(Información1[[#This Row],[Fecha]]='Ajuste de fechas'!$A$2,"Día actual","Día anterior")</f>
        <v>Día actual</v>
      </c>
      <c r="C52" t="s">
        <v>38</v>
      </c>
      <c r="D52" t="s">
        <v>40</v>
      </c>
      <c r="E52" t="s">
        <v>306</v>
      </c>
      <c r="F52" t="s">
        <v>265</v>
      </c>
      <c r="G52" t="s">
        <v>249</v>
      </c>
      <c r="H52" t="s">
        <v>11</v>
      </c>
      <c r="I52" t="s">
        <v>7</v>
      </c>
      <c r="J52" t="s">
        <v>75</v>
      </c>
      <c r="K52" t="s">
        <v>67</v>
      </c>
      <c r="L52" t="s">
        <v>76</v>
      </c>
      <c r="M52">
        <v>1</v>
      </c>
    </row>
    <row r="53" spans="1:13" x14ac:dyDescent="0.25">
      <c r="A53" s="1">
        <v>46132</v>
      </c>
      <c r="B53" s="1" t="str">
        <f ca="1">IF(Información1[[#This Row],[Fecha]]='Ajuste de fechas'!$A$2,"Día actual","Día anterior")</f>
        <v>Día actual</v>
      </c>
      <c r="C53" t="s">
        <v>38</v>
      </c>
      <c r="D53" t="s">
        <v>40</v>
      </c>
      <c r="E53" t="s">
        <v>307</v>
      </c>
      <c r="F53" t="s">
        <v>23</v>
      </c>
      <c r="G53" t="s">
        <v>276</v>
      </c>
      <c r="H53" t="s">
        <v>11</v>
      </c>
      <c r="I53" t="s">
        <v>27</v>
      </c>
      <c r="J53" t="s">
        <v>80</v>
      </c>
      <c r="K53" t="s">
        <v>67</v>
      </c>
      <c r="L53" t="s">
        <v>76</v>
      </c>
      <c r="M53">
        <v>1</v>
      </c>
    </row>
    <row r="54" spans="1:13" x14ac:dyDescent="0.25">
      <c r="A54" s="1">
        <v>46132</v>
      </c>
      <c r="B54" s="1" t="str">
        <f ca="1">IF(Información1[[#This Row],[Fecha]]='Ajuste de fechas'!$A$2,"Día actual","Día anterior")</f>
        <v>Día actual</v>
      </c>
      <c r="C54" t="s">
        <v>38</v>
      </c>
      <c r="D54" t="s">
        <v>40</v>
      </c>
      <c r="E54" t="s">
        <v>307</v>
      </c>
      <c r="F54" t="s">
        <v>47</v>
      </c>
      <c r="G54" t="s">
        <v>276</v>
      </c>
      <c r="H54" t="s">
        <v>11</v>
      </c>
      <c r="I54" t="s">
        <v>27</v>
      </c>
      <c r="J54" t="s">
        <v>75</v>
      </c>
      <c r="K54" t="s">
        <v>67</v>
      </c>
      <c r="L54" t="s">
        <v>76</v>
      </c>
      <c r="M54">
        <v>1</v>
      </c>
    </row>
    <row r="55" spans="1:13" x14ac:dyDescent="0.25">
      <c r="A55" s="1">
        <v>46132</v>
      </c>
      <c r="B55" s="1" t="str">
        <f ca="1">IF(Información1[[#This Row],[Fecha]]='Ajuste de fechas'!$A$2,"Día actual","Día anterior")</f>
        <v>Día actual</v>
      </c>
      <c r="C55" t="s">
        <v>38</v>
      </c>
      <c r="D55" t="s">
        <v>41</v>
      </c>
      <c r="E55" t="s">
        <v>308</v>
      </c>
      <c r="F55" t="s">
        <v>21</v>
      </c>
      <c r="G55" t="s">
        <v>94</v>
      </c>
      <c r="H55" t="s">
        <v>11</v>
      </c>
      <c r="I55" t="s">
        <v>7</v>
      </c>
      <c r="J55" t="s">
        <v>75</v>
      </c>
      <c r="K55" t="s">
        <v>39</v>
      </c>
      <c r="L55" t="s">
        <v>76</v>
      </c>
      <c r="M55">
        <v>1</v>
      </c>
    </row>
    <row r="56" spans="1:13" x14ac:dyDescent="0.25">
      <c r="A56" s="1">
        <v>46132</v>
      </c>
      <c r="B56" s="1" t="str">
        <f ca="1">IF(Información1[[#This Row],[Fecha]]='Ajuste de fechas'!$A$2,"Día actual","Día anterior")</f>
        <v>Día actual</v>
      </c>
      <c r="C56" t="s">
        <v>38</v>
      </c>
      <c r="D56" t="s">
        <v>41</v>
      </c>
      <c r="E56" t="s">
        <v>266</v>
      </c>
      <c r="F56" t="s">
        <v>265</v>
      </c>
      <c r="G56" t="s">
        <v>267</v>
      </c>
      <c r="H56" t="s">
        <v>11</v>
      </c>
      <c r="I56" t="s">
        <v>7</v>
      </c>
      <c r="J56" t="s">
        <v>75</v>
      </c>
      <c r="K56" t="s">
        <v>39</v>
      </c>
      <c r="L56" t="s">
        <v>78</v>
      </c>
      <c r="M56">
        <v>1</v>
      </c>
    </row>
    <row r="57" spans="1:13" x14ac:dyDescent="0.25">
      <c r="A57" s="1">
        <v>46132</v>
      </c>
      <c r="B57" s="1" t="str">
        <f ca="1">IF(Información1[[#This Row],[Fecha]]='Ajuste de fechas'!$A$2,"Día actual","Día anterior")</f>
        <v>Día actual</v>
      </c>
      <c r="C57" t="s">
        <v>8</v>
      </c>
      <c r="D57" t="s">
        <v>10</v>
      </c>
      <c r="E57" t="s">
        <v>266</v>
      </c>
      <c r="F57" t="s">
        <v>265</v>
      </c>
      <c r="G57" t="s">
        <v>267</v>
      </c>
      <c r="H57" t="s">
        <v>11</v>
      </c>
      <c r="I57" t="s">
        <v>7</v>
      </c>
      <c r="J57" t="s">
        <v>75</v>
      </c>
      <c r="K57" t="s">
        <v>14</v>
      </c>
      <c r="L57" t="s">
        <v>78</v>
      </c>
      <c r="M57">
        <v>1</v>
      </c>
    </row>
    <row r="58" spans="1:13" x14ac:dyDescent="0.25">
      <c r="A58" s="1">
        <v>46132</v>
      </c>
      <c r="B58" s="1" t="str">
        <f ca="1">IF(Información1[[#This Row],[Fecha]]='Ajuste de fechas'!$A$2,"Día actual","Día anterior")</f>
        <v>Día actual</v>
      </c>
      <c r="C58" t="s">
        <v>8</v>
      </c>
      <c r="D58" t="s">
        <v>10</v>
      </c>
      <c r="E58" t="s">
        <v>309</v>
      </c>
      <c r="F58" t="s">
        <v>60</v>
      </c>
      <c r="G58" t="s">
        <v>129</v>
      </c>
      <c r="H58" t="s">
        <v>11</v>
      </c>
      <c r="I58" t="s">
        <v>7</v>
      </c>
      <c r="J58" t="s">
        <v>75</v>
      </c>
      <c r="K58" t="s">
        <v>14</v>
      </c>
      <c r="L58" t="s">
        <v>78</v>
      </c>
      <c r="M58">
        <v>1</v>
      </c>
    </row>
    <row r="59" spans="1:13" x14ac:dyDescent="0.25">
      <c r="A59" s="1">
        <v>46132</v>
      </c>
      <c r="B59" s="1" t="str">
        <f ca="1">IF(Información1[[#This Row],[Fecha]]='Ajuste de fechas'!$A$2,"Día actual","Día anterior")</f>
        <v>Día actual</v>
      </c>
      <c r="C59" t="s">
        <v>8</v>
      </c>
      <c r="D59" t="s">
        <v>10</v>
      </c>
      <c r="E59" t="s">
        <v>310</v>
      </c>
      <c r="F59" t="s">
        <v>23</v>
      </c>
      <c r="G59" t="s">
        <v>311</v>
      </c>
      <c r="H59" t="s">
        <v>11</v>
      </c>
      <c r="I59" t="s">
        <v>7</v>
      </c>
      <c r="J59" t="s">
        <v>80</v>
      </c>
      <c r="K59" t="s">
        <v>14</v>
      </c>
      <c r="L59" t="s">
        <v>76</v>
      </c>
      <c r="M59">
        <v>1</v>
      </c>
    </row>
    <row r="60" spans="1:13" x14ac:dyDescent="0.25">
      <c r="A60" s="1">
        <v>46132</v>
      </c>
      <c r="B60" s="1" t="str">
        <f ca="1">IF(Información1[[#This Row],[Fecha]]='Ajuste de fechas'!$A$2,"Día actual","Día anterior")</f>
        <v>Día actual</v>
      </c>
      <c r="C60" t="s">
        <v>38</v>
      </c>
      <c r="D60" t="s">
        <v>41</v>
      </c>
      <c r="E60" t="s">
        <v>312</v>
      </c>
      <c r="F60" t="s">
        <v>50</v>
      </c>
      <c r="G60" t="s">
        <v>313</v>
      </c>
      <c r="H60" t="s">
        <v>11</v>
      </c>
      <c r="I60" t="s">
        <v>7</v>
      </c>
      <c r="J60" t="s">
        <v>75</v>
      </c>
      <c r="K60" t="s">
        <v>39</v>
      </c>
      <c r="L60" t="s">
        <v>76</v>
      </c>
      <c r="M60">
        <v>1</v>
      </c>
    </row>
    <row r="61" spans="1:13" x14ac:dyDescent="0.25">
      <c r="A61" s="1">
        <v>46132</v>
      </c>
      <c r="B61" s="1" t="str">
        <f ca="1">IF(Información1[[#This Row],[Fecha]]='Ajuste de fechas'!$A$2,"Día actual","Día anterior")</f>
        <v>Día actual</v>
      </c>
      <c r="C61" t="s">
        <v>8</v>
      </c>
      <c r="D61" t="s">
        <v>10</v>
      </c>
      <c r="E61" t="s">
        <v>314</v>
      </c>
      <c r="F61" t="s">
        <v>6</v>
      </c>
      <c r="G61" t="s">
        <v>91</v>
      </c>
      <c r="H61" t="s">
        <v>11</v>
      </c>
      <c r="I61" t="s">
        <v>7</v>
      </c>
      <c r="J61" t="s">
        <v>75</v>
      </c>
      <c r="K61" t="s">
        <v>14</v>
      </c>
      <c r="L61" t="s">
        <v>78</v>
      </c>
      <c r="M61">
        <v>1</v>
      </c>
    </row>
    <row r="62" spans="1:13" x14ac:dyDescent="0.25">
      <c r="A62" s="1">
        <v>46132</v>
      </c>
      <c r="B62" s="1" t="str">
        <f ca="1">IF(Información1[[#This Row],[Fecha]]='Ajuste de fechas'!$A$2,"Día actual","Día anterior")</f>
        <v>Día actual</v>
      </c>
      <c r="C62" t="s">
        <v>38</v>
      </c>
      <c r="D62" t="s">
        <v>40</v>
      </c>
      <c r="E62" t="s">
        <v>315</v>
      </c>
      <c r="F62" t="s">
        <v>21</v>
      </c>
      <c r="G62" t="s">
        <v>316</v>
      </c>
      <c r="H62" t="s">
        <v>11</v>
      </c>
      <c r="I62" t="s">
        <v>7</v>
      </c>
      <c r="J62" t="s">
        <v>75</v>
      </c>
      <c r="K62" t="s">
        <v>67</v>
      </c>
      <c r="L62" t="s">
        <v>78</v>
      </c>
      <c r="M62">
        <v>1</v>
      </c>
    </row>
    <row r="63" spans="1:13" x14ac:dyDescent="0.25">
      <c r="A63" s="1">
        <v>46132</v>
      </c>
      <c r="B63" s="1" t="str">
        <f ca="1">IF(Información1[[#This Row],[Fecha]]='Ajuste de fechas'!$A$2,"Día actual","Día anterior")</f>
        <v>Día actual</v>
      </c>
      <c r="C63" t="s">
        <v>8</v>
      </c>
      <c r="D63" t="s">
        <v>10</v>
      </c>
      <c r="E63" t="s">
        <v>315</v>
      </c>
      <c r="F63" t="s">
        <v>21</v>
      </c>
      <c r="G63" t="s">
        <v>316</v>
      </c>
      <c r="H63" t="s">
        <v>11</v>
      </c>
      <c r="I63" t="s">
        <v>7</v>
      </c>
      <c r="J63" t="s">
        <v>75</v>
      </c>
      <c r="K63" t="s">
        <v>14</v>
      </c>
      <c r="L63" t="s">
        <v>78</v>
      </c>
      <c r="M63">
        <v>1</v>
      </c>
    </row>
    <row r="64" spans="1:13" x14ac:dyDescent="0.25">
      <c r="A64" s="1">
        <v>46132</v>
      </c>
      <c r="B64" s="1" t="str">
        <f ca="1">IF(Información1[[#This Row],[Fecha]]='Ajuste de fechas'!$A$2,"Día actual","Día anterior")</f>
        <v>Día actual</v>
      </c>
      <c r="C64" t="s">
        <v>34</v>
      </c>
      <c r="D64" t="s">
        <v>36</v>
      </c>
      <c r="E64" t="s">
        <v>317</v>
      </c>
      <c r="F64" t="s">
        <v>21</v>
      </c>
      <c r="G64" t="s">
        <v>318</v>
      </c>
      <c r="H64" t="s">
        <v>11</v>
      </c>
      <c r="I64" t="s">
        <v>7</v>
      </c>
      <c r="J64" t="s">
        <v>75</v>
      </c>
      <c r="K64" t="s">
        <v>35</v>
      </c>
      <c r="L64" t="s">
        <v>78</v>
      </c>
      <c r="M64">
        <v>1</v>
      </c>
    </row>
    <row r="65" spans="1:13" x14ac:dyDescent="0.25">
      <c r="A65" s="1">
        <v>46132</v>
      </c>
      <c r="B65" s="1" t="str">
        <f ca="1">IF(Información1[[#This Row],[Fecha]]='Ajuste de fechas'!$A$2,"Día actual","Día anterior")</f>
        <v>Día actual</v>
      </c>
      <c r="C65" t="s">
        <v>34</v>
      </c>
      <c r="D65" t="s">
        <v>36</v>
      </c>
      <c r="E65" t="s">
        <v>319</v>
      </c>
      <c r="F65" t="s">
        <v>28</v>
      </c>
      <c r="G65" t="s">
        <v>320</v>
      </c>
      <c r="H65" t="s">
        <v>11</v>
      </c>
      <c r="I65" t="s">
        <v>7</v>
      </c>
      <c r="J65" t="s">
        <v>75</v>
      </c>
      <c r="K65" t="s">
        <v>35</v>
      </c>
      <c r="L65" t="s">
        <v>78</v>
      </c>
      <c r="M65">
        <v>1</v>
      </c>
    </row>
    <row r="66" spans="1:13" x14ac:dyDescent="0.25">
      <c r="A66" s="1">
        <v>46132</v>
      </c>
      <c r="B66" s="1" t="str">
        <f ca="1">IF(Información1[[#This Row],[Fecha]]='Ajuste de fechas'!$A$2,"Día actual","Día anterior")</f>
        <v>Día actual</v>
      </c>
      <c r="C66" t="s">
        <v>38</v>
      </c>
      <c r="D66" t="s">
        <v>41</v>
      </c>
      <c r="E66" t="s">
        <v>319</v>
      </c>
      <c r="F66" t="s">
        <v>28</v>
      </c>
      <c r="G66" t="s">
        <v>320</v>
      </c>
      <c r="H66" t="s">
        <v>11</v>
      </c>
      <c r="I66" t="s">
        <v>7</v>
      </c>
      <c r="J66" t="s">
        <v>75</v>
      </c>
      <c r="K66" t="s">
        <v>39</v>
      </c>
      <c r="L66" t="s">
        <v>78</v>
      </c>
      <c r="M66">
        <v>1</v>
      </c>
    </row>
    <row r="67" spans="1:13" x14ac:dyDescent="0.25">
      <c r="A67" s="1">
        <v>46132</v>
      </c>
      <c r="B67" s="1" t="str">
        <f ca="1">IF(Información1[[#This Row],[Fecha]]='Ajuste de fechas'!$A$2,"Día actual","Día anterior")</f>
        <v>Día actual</v>
      </c>
      <c r="C67" t="s">
        <v>42</v>
      </c>
      <c r="D67" t="s">
        <v>44</v>
      </c>
      <c r="E67" t="s">
        <v>321</v>
      </c>
      <c r="F67" t="s">
        <v>21</v>
      </c>
      <c r="G67" t="s">
        <v>99</v>
      </c>
      <c r="H67" t="s">
        <v>45</v>
      </c>
      <c r="I67" t="s">
        <v>7</v>
      </c>
      <c r="J67" t="s">
        <v>75</v>
      </c>
      <c r="K67" t="s">
        <v>43</v>
      </c>
      <c r="L67" t="s">
        <v>76</v>
      </c>
      <c r="M67">
        <v>1</v>
      </c>
    </row>
    <row r="68" spans="1:13" x14ac:dyDescent="0.25">
      <c r="A68" s="1">
        <v>46132</v>
      </c>
      <c r="B68" s="1" t="str">
        <f ca="1">IF(Información1[[#This Row],[Fecha]]='Ajuste de fechas'!$A$2,"Día actual","Día anterior")</f>
        <v>Día actual</v>
      </c>
      <c r="C68" t="s">
        <v>42</v>
      </c>
      <c r="D68" t="s">
        <v>44</v>
      </c>
      <c r="E68" t="s">
        <v>201</v>
      </c>
      <c r="F68" t="s">
        <v>24</v>
      </c>
      <c r="G68" t="s">
        <v>90</v>
      </c>
      <c r="H68" t="s">
        <v>45</v>
      </c>
      <c r="I68" t="s">
        <v>7</v>
      </c>
      <c r="J68" t="s">
        <v>75</v>
      </c>
      <c r="K68" t="s">
        <v>43</v>
      </c>
      <c r="L68" t="s">
        <v>78</v>
      </c>
      <c r="M68">
        <v>1</v>
      </c>
    </row>
    <row r="69" spans="1:13" x14ac:dyDescent="0.25">
      <c r="A69" s="1">
        <v>46132</v>
      </c>
      <c r="B69" s="1" t="str">
        <f ca="1">IF(Información1[[#This Row],[Fecha]]='Ajuste de fechas'!$A$2,"Día actual","Día anterior")</f>
        <v>Día actual</v>
      </c>
      <c r="C69" t="s">
        <v>42</v>
      </c>
      <c r="D69" t="s">
        <v>44</v>
      </c>
      <c r="E69" t="s">
        <v>322</v>
      </c>
      <c r="F69" t="s">
        <v>24</v>
      </c>
      <c r="G69" t="s">
        <v>46</v>
      </c>
      <c r="H69" t="s">
        <v>45</v>
      </c>
      <c r="I69" t="s">
        <v>7</v>
      </c>
      <c r="J69" t="s">
        <v>75</v>
      </c>
      <c r="K69" t="s">
        <v>43</v>
      </c>
      <c r="L69" t="s">
        <v>78</v>
      </c>
      <c r="M69">
        <v>1</v>
      </c>
    </row>
    <row r="70" spans="1:13" x14ac:dyDescent="0.25">
      <c r="A70" s="1">
        <v>46132</v>
      </c>
      <c r="B70" s="1" t="str">
        <f ca="1">IF(Información1[[#This Row],[Fecha]]='Ajuste de fechas'!$A$2,"Día actual","Día anterior")</f>
        <v>Día actual</v>
      </c>
      <c r="C70" t="s">
        <v>42</v>
      </c>
      <c r="D70" t="s">
        <v>44</v>
      </c>
      <c r="E70" t="s">
        <v>198</v>
      </c>
      <c r="F70" t="s">
        <v>60</v>
      </c>
      <c r="G70" t="s">
        <v>129</v>
      </c>
      <c r="H70" t="s">
        <v>45</v>
      </c>
      <c r="I70" t="s">
        <v>7</v>
      </c>
      <c r="J70" t="s">
        <v>75</v>
      </c>
      <c r="K70" t="s">
        <v>43</v>
      </c>
      <c r="L70" t="s">
        <v>78</v>
      </c>
      <c r="M70">
        <v>1</v>
      </c>
    </row>
    <row r="71" spans="1:13" x14ac:dyDescent="0.25">
      <c r="A71" s="1">
        <v>46132</v>
      </c>
      <c r="B71" s="1" t="str">
        <f ca="1">IF(Información1[[#This Row],[Fecha]]='Ajuste de fechas'!$A$2,"Día actual","Día anterior")</f>
        <v>Día actual</v>
      </c>
      <c r="C71" t="s">
        <v>42</v>
      </c>
      <c r="D71" t="s">
        <v>44</v>
      </c>
      <c r="E71" t="s">
        <v>323</v>
      </c>
      <c r="F71" t="s">
        <v>104</v>
      </c>
      <c r="G71" t="s">
        <v>165</v>
      </c>
      <c r="H71" t="s">
        <v>45</v>
      </c>
      <c r="I71" t="s">
        <v>7</v>
      </c>
      <c r="J71" t="s">
        <v>75</v>
      </c>
      <c r="K71" t="s">
        <v>43</v>
      </c>
      <c r="L71" t="s">
        <v>78</v>
      </c>
      <c r="M71">
        <v>1</v>
      </c>
    </row>
    <row r="72" spans="1:13" x14ac:dyDescent="0.25">
      <c r="A72" s="1">
        <v>46132</v>
      </c>
      <c r="B72" s="1" t="str">
        <f ca="1">IF(Información1[[#This Row],[Fecha]]='Ajuste de fechas'!$A$2,"Día actual","Día anterior")</f>
        <v>Día actual</v>
      </c>
      <c r="C72" t="s">
        <v>42</v>
      </c>
      <c r="D72" t="s">
        <v>44</v>
      </c>
      <c r="E72" t="s">
        <v>324</v>
      </c>
      <c r="F72" t="s">
        <v>21</v>
      </c>
      <c r="G72" t="s">
        <v>218</v>
      </c>
      <c r="H72" t="s">
        <v>45</v>
      </c>
      <c r="I72" t="s">
        <v>7</v>
      </c>
      <c r="J72" t="s">
        <v>75</v>
      </c>
      <c r="K72" t="s">
        <v>43</v>
      </c>
      <c r="L72" t="s">
        <v>78</v>
      </c>
      <c r="M72">
        <v>1</v>
      </c>
    </row>
    <row r="73" spans="1:13" x14ac:dyDescent="0.25">
      <c r="A73" s="1">
        <v>46132</v>
      </c>
      <c r="B73" s="1" t="str">
        <f ca="1">IF(Información1[[#This Row],[Fecha]]='Ajuste de fechas'!$A$2,"Día actual","Día anterior")</f>
        <v>Día actual</v>
      </c>
      <c r="C73" t="s">
        <v>42</v>
      </c>
      <c r="D73" t="s">
        <v>44</v>
      </c>
      <c r="E73" t="s">
        <v>232</v>
      </c>
      <c r="F73" t="s">
        <v>6</v>
      </c>
      <c r="G73" t="s">
        <v>146</v>
      </c>
      <c r="H73" t="s">
        <v>45</v>
      </c>
      <c r="I73" t="s">
        <v>7</v>
      </c>
      <c r="J73" t="s">
        <v>75</v>
      </c>
      <c r="K73" t="s">
        <v>43</v>
      </c>
      <c r="L73" t="s">
        <v>78</v>
      </c>
      <c r="M73">
        <v>1</v>
      </c>
    </row>
    <row r="74" spans="1:13" x14ac:dyDescent="0.25">
      <c r="A74" s="1">
        <v>46132</v>
      </c>
      <c r="B74" s="1" t="str">
        <f ca="1">IF(Información1[[#This Row],[Fecha]]='Ajuste de fechas'!$A$2,"Día actual","Día anterior")</f>
        <v>Día actual</v>
      </c>
      <c r="C74" t="s">
        <v>42</v>
      </c>
      <c r="D74" t="s">
        <v>44</v>
      </c>
      <c r="E74" t="s">
        <v>325</v>
      </c>
      <c r="F74" t="s">
        <v>26</v>
      </c>
      <c r="G74" t="s">
        <v>326</v>
      </c>
      <c r="H74" t="s">
        <v>45</v>
      </c>
      <c r="I74" t="s">
        <v>7</v>
      </c>
      <c r="J74" t="s">
        <v>26</v>
      </c>
      <c r="K74" t="s">
        <v>43</v>
      </c>
      <c r="L74" t="s">
        <v>327</v>
      </c>
      <c r="M74">
        <v>1</v>
      </c>
    </row>
    <row r="75" spans="1:13" x14ac:dyDescent="0.25">
      <c r="A75" s="1">
        <v>46132</v>
      </c>
      <c r="B75" s="1" t="str">
        <f ca="1">IF(Información1[[#This Row],[Fecha]]='Ajuste de fechas'!$A$2,"Día actual","Día anterior")</f>
        <v>Día actual</v>
      </c>
      <c r="C75" t="s">
        <v>42</v>
      </c>
      <c r="D75" t="s">
        <v>44</v>
      </c>
      <c r="E75" t="s">
        <v>328</v>
      </c>
      <c r="F75" t="s">
        <v>329</v>
      </c>
      <c r="G75" t="s">
        <v>330</v>
      </c>
      <c r="H75" t="s">
        <v>45</v>
      </c>
      <c r="I75" t="s">
        <v>7</v>
      </c>
      <c r="J75" t="s">
        <v>26</v>
      </c>
      <c r="K75" t="s">
        <v>43</v>
      </c>
      <c r="L75" t="s">
        <v>76</v>
      </c>
      <c r="M75">
        <v>1</v>
      </c>
    </row>
    <row r="76" spans="1:13" x14ac:dyDescent="0.25">
      <c r="A76" s="1">
        <v>46132</v>
      </c>
      <c r="B76" s="1" t="str">
        <f ca="1">IF(Información1[[#This Row],[Fecha]]='Ajuste de fechas'!$A$2,"Día actual","Día anterior")</f>
        <v>Día actual</v>
      </c>
      <c r="C76" t="s">
        <v>42</v>
      </c>
      <c r="D76" t="s">
        <v>44</v>
      </c>
      <c r="E76" t="s">
        <v>238</v>
      </c>
      <c r="F76" t="s">
        <v>56</v>
      </c>
      <c r="G76" t="s">
        <v>125</v>
      </c>
      <c r="H76" t="s">
        <v>45</v>
      </c>
      <c r="I76" t="s">
        <v>7</v>
      </c>
      <c r="J76" t="s">
        <v>75</v>
      </c>
      <c r="K76" t="s">
        <v>43</v>
      </c>
      <c r="L76" t="s">
        <v>78</v>
      </c>
      <c r="M76">
        <v>1</v>
      </c>
    </row>
    <row r="77" spans="1:13" x14ac:dyDescent="0.25">
      <c r="A77" s="1">
        <v>46132</v>
      </c>
      <c r="B77" s="1" t="str">
        <f ca="1">IF(Información1[[#This Row],[Fecha]]='Ajuste de fechas'!$A$2,"Día actual","Día anterior")</f>
        <v>Día actual</v>
      </c>
      <c r="C77" t="s">
        <v>42</v>
      </c>
      <c r="D77" t="s">
        <v>44</v>
      </c>
      <c r="E77" t="s">
        <v>331</v>
      </c>
      <c r="F77" t="s">
        <v>104</v>
      </c>
      <c r="G77" t="s">
        <v>131</v>
      </c>
      <c r="H77" t="s">
        <v>45</v>
      </c>
      <c r="I77" t="s">
        <v>7</v>
      </c>
      <c r="J77" t="s">
        <v>75</v>
      </c>
      <c r="K77" t="s">
        <v>43</v>
      </c>
      <c r="L77" t="s">
        <v>78</v>
      </c>
      <c r="M77">
        <v>1</v>
      </c>
    </row>
    <row r="78" spans="1:13" x14ac:dyDescent="0.25">
      <c r="A78" s="1">
        <v>46132</v>
      </c>
      <c r="B78" s="1" t="str">
        <f ca="1">IF(Información1[[#This Row],[Fecha]]='Ajuste de fechas'!$A$2,"Día actual","Día anterior")</f>
        <v>Día actual</v>
      </c>
      <c r="C78" t="s">
        <v>42</v>
      </c>
      <c r="D78" t="s">
        <v>44</v>
      </c>
      <c r="E78" t="s">
        <v>332</v>
      </c>
      <c r="F78" t="s">
        <v>25</v>
      </c>
      <c r="G78" t="s">
        <v>139</v>
      </c>
      <c r="H78" t="s">
        <v>45</v>
      </c>
      <c r="I78" t="s">
        <v>7</v>
      </c>
      <c r="J78" t="s">
        <v>75</v>
      </c>
      <c r="K78" t="s">
        <v>43</v>
      </c>
      <c r="L78" t="s">
        <v>78</v>
      </c>
      <c r="M78">
        <v>1</v>
      </c>
    </row>
    <row r="79" spans="1:13" x14ac:dyDescent="0.25">
      <c r="A79" s="1">
        <v>46132</v>
      </c>
      <c r="B79" s="1" t="str">
        <f ca="1">IF(Información1[[#This Row],[Fecha]]='Ajuste de fechas'!$A$2,"Día actual","Día anterior")</f>
        <v>Día actual</v>
      </c>
      <c r="C79" t="s">
        <v>42</v>
      </c>
      <c r="D79" t="s">
        <v>44</v>
      </c>
      <c r="E79" t="s">
        <v>239</v>
      </c>
      <c r="F79" t="s">
        <v>21</v>
      </c>
      <c r="G79" t="s">
        <v>94</v>
      </c>
      <c r="H79" t="s">
        <v>45</v>
      </c>
      <c r="I79" t="s">
        <v>7</v>
      </c>
      <c r="J79" t="s">
        <v>75</v>
      </c>
      <c r="K79" t="s">
        <v>43</v>
      </c>
      <c r="L79" t="s">
        <v>78</v>
      </c>
      <c r="M79">
        <v>1</v>
      </c>
    </row>
    <row r="80" spans="1:13" x14ac:dyDescent="0.25">
      <c r="A80" s="1">
        <v>46132</v>
      </c>
      <c r="B80" s="1" t="str">
        <f ca="1">IF(Información1[[#This Row],[Fecha]]='Ajuste de fechas'!$A$2,"Día actual","Día anterior")</f>
        <v>Día actual</v>
      </c>
      <c r="C80" t="s">
        <v>42</v>
      </c>
      <c r="D80" t="s">
        <v>44</v>
      </c>
      <c r="E80" t="s">
        <v>333</v>
      </c>
      <c r="F80" t="s">
        <v>37</v>
      </c>
      <c r="G80" t="s">
        <v>334</v>
      </c>
      <c r="H80" t="s">
        <v>45</v>
      </c>
      <c r="I80" t="s">
        <v>7</v>
      </c>
      <c r="J80" t="s">
        <v>75</v>
      </c>
      <c r="K80" t="s">
        <v>43</v>
      </c>
      <c r="L80" t="s">
        <v>76</v>
      </c>
      <c r="M80">
        <v>1</v>
      </c>
    </row>
    <row r="81" spans="1:13" x14ac:dyDescent="0.25">
      <c r="A81" s="1">
        <v>46132</v>
      </c>
      <c r="B81" s="1" t="str">
        <f ca="1">IF(Información1[[#This Row],[Fecha]]='Ajuste de fechas'!$A$2,"Día actual","Día anterior")</f>
        <v>Día actual</v>
      </c>
      <c r="C81" t="s">
        <v>57</v>
      </c>
      <c r="D81" t="s">
        <v>58</v>
      </c>
      <c r="E81" t="s">
        <v>335</v>
      </c>
      <c r="F81" t="s">
        <v>47</v>
      </c>
      <c r="G81" t="s">
        <v>336</v>
      </c>
      <c r="H81" t="s">
        <v>11</v>
      </c>
      <c r="I81" t="s">
        <v>7</v>
      </c>
      <c r="J81" t="s">
        <v>75</v>
      </c>
      <c r="K81" t="s">
        <v>59</v>
      </c>
      <c r="L81" t="s">
        <v>78</v>
      </c>
      <c r="M81">
        <v>1</v>
      </c>
    </row>
    <row r="82" spans="1:13" x14ac:dyDescent="0.25">
      <c r="A82" s="1">
        <v>46132</v>
      </c>
      <c r="B82" s="1" t="str">
        <f ca="1">IF(Información1[[#This Row],[Fecha]]='Ajuste de fechas'!$A$2,"Día actual","Día anterior")</f>
        <v>Día actual</v>
      </c>
      <c r="C82" t="s">
        <v>57</v>
      </c>
      <c r="D82" t="s">
        <v>58</v>
      </c>
      <c r="E82" t="s">
        <v>337</v>
      </c>
      <c r="F82" t="s">
        <v>19</v>
      </c>
      <c r="G82" t="s">
        <v>144</v>
      </c>
      <c r="H82" t="s">
        <v>11</v>
      </c>
      <c r="I82" t="s">
        <v>7</v>
      </c>
      <c r="J82" t="s">
        <v>79</v>
      </c>
      <c r="K82" t="s">
        <v>59</v>
      </c>
      <c r="L82" t="s">
        <v>76</v>
      </c>
      <c r="M82">
        <v>1</v>
      </c>
    </row>
    <row r="83" spans="1:13" x14ac:dyDescent="0.25">
      <c r="A83" s="1">
        <v>46132</v>
      </c>
      <c r="B83" s="1" t="str">
        <f ca="1">IF(Información1[[#This Row],[Fecha]]='Ajuste de fechas'!$A$2,"Día actual","Día anterior")</f>
        <v>Día actual</v>
      </c>
      <c r="C83" t="s">
        <v>57</v>
      </c>
      <c r="D83" t="s">
        <v>58</v>
      </c>
      <c r="E83" t="s">
        <v>338</v>
      </c>
      <c r="F83" t="s">
        <v>19</v>
      </c>
      <c r="G83" t="s">
        <v>46</v>
      </c>
      <c r="H83" t="s">
        <v>11</v>
      </c>
      <c r="I83" t="s">
        <v>7</v>
      </c>
      <c r="J83" t="s">
        <v>79</v>
      </c>
      <c r="K83" t="s">
        <v>59</v>
      </c>
      <c r="L83" t="s">
        <v>76</v>
      </c>
      <c r="M83">
        <v>1</v>
      </c>
    </row>
    <row r="84" spans="1:13" x14ac:dyDescent="0.25">
      <c r="A84" s="1">
        <v>46132</v>
      </c>
      <c r="B84" s="1" t="str">
        <f ca="1">IF(Información1[[#This Row],[Fecha]]='Ajuste de fechas'!$A$2,"Día actual","Día anterior")</f>
        <v>Día actual</v>
      </c>
      <c r="C84" t="s">
        <v>57</v>
      </c>
      <c r="D84" t="s">
        <v>58</v>
      </c>
      <c r="E84" t="s">
        <v>339</v>
      </c>
      <c r="F84" t="s">
        <v>24</v>
      </c>
      <c r="G84" t="s">
        <v>46</v>
      </c>
      <c r="H84" t="s">
        <v>11</v>
      </c>
      <c r="I84" t="s">
        <v>7</v>
      </c>
      <c r="J84" t="s">
        <v>75</v>
      </c>
      <c r="K84" t="s">
        <v>59</v>
      </c>
      <c r="L84" t="s">
        <v>76</v>
      </c>
      <c r="M84">
        <v>1</v>
      </c>
    </row>
    <row r="85" spans="1:13" x14ac:dyDescent="0.25">
      <c r="A85" s="1">
        <v>46132</v>
      </c>
      <c r="B85" s="1" t="str">
        <f ca="1">IF(Información1[[#This Row],[Fecha]]='Ajuste de fechas'!$A$2,"Día actual","Día anterior")</f>
        <v>Día actual</v>
      </c>
      <c r="C85" t="s">
        <v>57</v>
      </c>
      <c r="D85" t="s">
        <v>58</v>
      </c>
      <c r="E85" t="s">
        <v>340</v>
      </c>
      <c r="F85" t="s">
        <v>24</v>
      </c>
      <c r="G85" t="s">
        <v>257</v>
      </c>
      <c r="H85" t="s">
        <v>11</v>
      </c>
      <c r="I85" t="s">
        <v>7</v>
      </c>
      <c r="J85" t="s">
        <v>75</v>
      </c>
      <c r="K85" t="s">
        <v>59</v>
      </c>
      <c r="L85" t="s">
        <v>76</v>
      </c>
      <c r="M85">
        <v>1</v>
      </c>
    </row>
    <row r="86" spans="1:13" x14ac:dyDescent="0.25">
      <c r="A86" s="1">
        <v>46132</v>
      </c>
      <c r="B86" s="1" t="str">
        <f ca="1">IF(Información1[[#This Row],[Fecha]]='Ajuste de fechas'!$A$2,"Día actual","Día anterior")</f>
        <v>Día actual</v>
      </c>
      <c r="C86" t="s">
        <v>57</v>
      </c>
      <c r="D86" t="s">
        <v>58</v>
      </c>
      <c r="E86" t="s">
        <v>341</v>
      </c>
      <c r="F86" t="s">
        <v>19</v>
      </c>
      <c r="G86" t="s">
        <v>46</v>
      </c>
      <c r="H86" t="s">
        <v>11</v>
      </c>
      <c r="I86" t="s">
        <v>7</v>
      </c>
      <c r="J86" t="s">
        <v>79</v>
      </c>
      <c r="K86" t="s">
        <v>59</v>
      </c>
      <c r="L86" t="s">
        <v>76</v>
      </c>
      <c r="M86">
        <v>1</v>
      </c>
    </row>
    <row r="87" spans="1:13" x14ac:dyDescent="0.25">
      <c r="A87" s="1">
        <v>46132</v>
      </c>
      <c r="B87" s="1" t="str">
        <f ca="1">IF(Información1[[#This Row],[Fecha]]='Ajuste de fechas'!$A$2,"Día actual","Día anterior")</f>
        <v>Día actual</v>
      </c>
      <c r="C87" t="s">
        <v>57</v>
      </c>
      <c r="D87" t="s">
        <v>58</v>
      </c>
      <c r="E87" t="s">
        <v>342</v>
      </c>
      <c r="F87" t="s">
        <v>19</v>
      </c>
      <c r="G87" t="s">
        <v>269</v>
      </c>
      <c r="H87" t="s">
        <v>11</v>
      </c>
      <c r="I87" t="s">
        <v>7</v>
      </c>
      <c r="J87" t="s">
        <v>79</v>
      </c>
      <c r="K87" t="s">
        <v>59</v>
      </c>
      <c r="L87" t="s">
        <v>81</v>
      </c>
      <c r="M87">
        <v>1</v>
      </c>
    </row>
    <row r="88" spans="1:13" x14ac:dyDescent="0.25">
      <c r="A88" s="1">
        <v>46132</v>
      </c>
      <c r="B88" s="1" t="str">
        <f ca="1">IF(Información1[[#This Row],[Fecha]]='Ajuste de fechas'!$A$2,"Día actual","Día anterior")</f>
        <v>Día actual</v>
      </c>
      <c r="C88" t="s">
        <v>57</v>
      </c>
      <c r="D88" t="s">
        <v>58</v>
      </c>
      <c r="E88" t="s">
        <v>343</v>
      </c>
      <c r="F88" t="s">
        <v>19</v>
      </c>
      <c r="G88" t="s">
        <v>246</v>
      </c>
      <c r="H88" t="s">
        <v>11</v>
      </c>
      <c r="I88" t="s">
        <v>7</v>
      </c>
      <c r="J88" t="s">
        <v>79</v>
      </c>
      <c r="K88" t="s">
        <v>59</v>
      </c>
      <c r="L88" t="s">
        <v>76</v>
      </c>
      <c r="M88">
        <v>1</v>
      </c>
    </row>
    <row r="89" spans="1:13" x14ac:dyDescent="0.25">
      <c r="A89" s="1">
        <v>46132</v>
      </c>
      <c r="B89" s="1" t="str">
        <f ca="1">IF(Información1[[#This Row],[Fecha]]='Ajuste de fechas'!$A$2,"Día actual","Día anterior")</f>
        <v>Día actual</v>
      </c>
      <c r="C89" t="s">
        <v>57</v>
      </c>
      <c r="D89" t="s">
        <v>58</v>
      </c>
      <c r="E89" t="s">
        <v>344</v>
      </c>
      <c r="F89" t="s">
        <v>21</v>
      </c>
      <c r="G89" t="s">
        <v>345</v>
      </c>
      <c r="H89" t="s">
        <v>11</v>
      </c>
      <c r="I89" t="s">
        <v>7</v>
      </c>
      <c r="J89" t="s">
        <v>75</v>
      </c>
      <c r="K89" t="s">
        <v>59</v>
      </c>
      <c r="L89" t="s">
        <v>76</v>
      </c>
      <c r="M89">
        <v>1</v>
      </c>
    </row>
    <row r="90" spans="1:13" x14ac:dyDescent="0.25">
      <c r="A90" s="1">
        <v>46132</v>
      </c>
      <c r="B90" s="1" t="str">
        <f ca="1">IF(Información1[[#This Row],[Fecha]]='Ajuste de fechas'!$A$2,"Día actual","Día anterior")</f>
        <v>Día actual</v>
      </c>
      <c r="C90" t="s">
        <v>57</v>
      </c>
      <c r="D90" t="s">
        <v>58</v>
      </c>
      <c r="E90" t="s">
        <v>346</v>
      </c>
      <c r="F90" t="s">
        <v>23</v>
      </c>
      <c r="G90" t="s">
        <v>106</v>
      </c>
      <c r="H90" t="s">
        <v>11</v>
      </c>
      <c r="I90" t="s">
        <v>7</v>
      </c>
      <c r="J90" t="s">
        <v>80</v>
      </c>
      <c r="K90" t="s">
        <v>59</v>
      </c>
      <c r="L90" t="s">
        <v>76</v>
      </c>
      <c r="M90">
        <v>1</v>
      </c>
    </row>
    <row r="91" spans="1:13" x14ac:dyDescent="0.25">
      <c r="A91" s="1">
        <v>46132</v>
      </c>
      <c r="B91" s="1" t="str">
        <f ca="1">IF(Información1[[#This Row],[Fecha]]='Ajuste de fechas'!$A$2,"Día actual","Día anterior")</f>
        <v>Día actual</v>
      </c>
      <c r="C91" t="s">
        <v>57</v>
      </c>
      <c r="D91" t="s">
        <v>58</v>
      </c>
      <c r="E91" t="s">
        <v>347</v>
      </c>
      <c r="F91" t="s">
        <v>19</v>
      </c>
      <c r="G91" t="s">
        <v>106</v>
      </c>
      <c r="H91" t="s">
        <v>11</v>
      </c>
      <c r="I91" t="s">
        <v>7</v>
      </c>
      <c r="J91" t="s">
        <v>79</v>
      </c>
      <c r="K91" t="s">
        <v>59</v>
      </c>
      <c r="L91" t="s">
        <v>76</v>
      </c>
      <c r="M91">
        <v>1</v>
      </c>
    </row>
    <row r="92" spans="1:13" x14ac:dyDescent="0.25">
      <c r="A92" s="1">
        <v>46132</v>
      </c>
      <c r="B92" s="1" t="str">
        <f ca="1">IF(Información1[[#This Row],[Fecha]]='Ajuste de fechas'!$A$2,"Día actual","Día anterior")</f>
        <v>Día actual</v>
      </c>
      <c r="C92" t="s">
        <v>57</v>
      </c>
      <c r="D92" t="s">
        <v>58</v>
      </c>
      <c r="E92" t="s">
        <v>348</v>
      </c>
      <c r="F92" t="s">
        <v>265</v>
      </c>
      <c r="G92" t="s">
        <v>267</v>
      </c>
      <c r="H92" t="s">
        <v>11</v>
      </c>
      <c r="I92" t="s">
        <v>27</v>
      </c>
      <c r="J92" t="s">
        <v>75</v>
      </c>
      <c r="K92" t="s">
        <v>59</v>
      </c>
      <c r="L92" t="s">
        <v>77</v>
      </c>
      <c r="M92">
        <v>1</v>
      </c>
    </row>
    <row r="93" spans="1:13" x14ac:dyDescent="0.25">
      <c r="A93" s="1">
        <v>46132</v>
      </c>
      <c r="B93" s="1" t="str">
        <f ca="1">IF(Información1[[#This Row],[Fecha]]='Ajuste de fechas'!$A$2,"Día actual","Día anterior")</f>
        <v>Día actual</v>
      </c>
      <c r="C93" t="s">
        <v>57</v>
      </c>
      <c r="D93" t="s">
        <v>58</v>
      </c>
      <c r="E93" t="s">
        <v>349</v>
      </c>
      <c r="F93" t="s">
        <v>265</v>
      </c>
      <c r="G93" t="s">
        <v>267</v>
      </c>
      <c r="H93" t="s">
        <v>11</v>
      </c>
      <c r="I93" t="s">
        <v>7</v>
      </c>
      <c r="J93" t="s">
        <v>75</v>
      </c>
      <c r="K93" t="s">
        <v>59</v>
      </c>
      <c r="L93" t="s">
        <v>78</v>
      </c>
      <c r="M93">
        <v>1</v>
      </c>
    </row>
    <row r="94" spans="1:13" x14ac:dyDescent="0.25">
      <c r="A94" s="1">
        <v>46132</v>
      </c>
      <c r="B94" s="1" t="str">
        <f ca="1">IF(Información1[[#This Row],[Fecha]]='Ajuste de fechas'!$A$2,"Día actual","Día anterior")</f>
        <v>Día actual</v>
      </c>
      <c r="C94" t="s">
        <v>57</v>
      </c>
      <c r="D94" t="s">
        <v>58</v>
      </c>
      <c r="E94" t="s">
        <v>350</v>
      </c>
      <c r="F94" t="s">
        <v>28</v>
      </c>
      <c r="G94" t="s">
        <v>320</v>
      </c>
      <c r="H94" t="s">
        <v>11</v>
      </c>
      <c r="I94" t="s">
        <v>7</v>
      </c>
      <c r="J94" t="s">
        <v>75</v>
      </c>
      <c r="K94" t="s">
        <v>59</v>
      </c>
      <c r="L94" t="s">
        <v>78</v>
      </c>
      <c r="M94">
        <v>1</v>
      </c>
    </row>
    <row r="95" spans="1:13" x14ac:dyDescent="0.25">
      <c r="A95" s="1">
        <v>46132</v>
      </c>
      <c r="B95" s="1" t="str">
        <f ca="1">IF(Información1[[#This Row],[Fecha]]='Ajuste de fechas'!$A$2,"Día actual","Día anterior")</f>
        <v>Día actual</v>
      </c>
      <c r="C95" t="s">
        <v>57</v>
      </c>
      <c r="D95" t="s">
        <v>58</v>
      </c>
      <c r="E95" t="s">
        <v>351</v>
      </c>
      <c r="F95" t="s">
        <v>24</v>
      </c>
      <c r="G95" t="s">
        <v>352</v>
      </c>
      <c r="H95" t="s">
        <v>11</v>
      </c>
      <c r="I95" t="s">
        <v>27</v>
      </c>
      <c r="J95" t="s">
        <v>75</v>
      </c>
      <c r="K95" t="s">
        <v>59</v>
      </c>
      <c r="L95" t="s">
        <v>77</v>
      </c>
      <c r="M95">
        <v>1</v>
      </c>
    </row>
    <row r="96" spans="1:13" x14ac:dyDescent="0.25">
      <c r="A96" s="1">
        <v>46132</v>
      </c>
      <c r="B96" s="1" t="str">
        <f ca="1">IF(Información1[[#This Row],[Fecha]]='Ajuste de fechas'!$A$2,"Día actual","Día anterior")</f>
        <v>Día actual</v>
      </c>
      <c r="C96" t="s">
        <v>57</v>
      </c>
      <c r="D96" t="s">
        <v>58</v>
      </c>
      <c r="E96" t="s">
        <v>353</v>
      </c>
      <c r="F96" t="s">
        <v>26</v>
      </c>
      <c r="G96" t="s">
        <v>257</v>
      </c>
      <c r="H96" t="s">
        <v>11</v>
      </c>
      <c r="I96" t="s">
        <v>7</v>
      </c>
      <c r="J96" t="s">
        <v>26</v>
      </c>
      <c r="K96" t="s">
        <v>59</v>
      </c>
      <c r="L96" t="s">
        <v>76</v>
      </c>
      <c r="M96">
        <v>1</v>
      </c>
    </row>
    <row r="97" spans="1:13" x14ac:dyDescent="0.25">
      <c r="A97" s="1">
        <v>46132</v>
      </c>
      <c r="B97" s="1" t="str">
        <f ca="1">IF(Información1[[#This Row],[Fecha]]='Ajuste de fechas'!$A$2,"Día actual","Día anterior")</f>
        <v>Día actual</v>
      </c>
      <c r="C97" t="s">
        <v>57</v>
      </c>
      <c r="D97" t="s">
        <v>58</v>
      </c>
      <c r="E97" t="s">
        <v>354</v>
      </c>
      <c r="F97" t="s">
        <v>47</v>
      </c>
      <c r="G97" t="s">
        <v>355</v>
      </c>
      <c r="H97" t="s">
        <v>11</v>
      </c>
      <c r="I97" t="s">
        <v>7</v>
      </c>
      <c r="J97" t="s">
        <v>75</v>
      </c>
      <c r="K97" t="s">
        <v>59</v>
      </c>
      <c r="L97" t="s">
        <v>76</v>
      </c>
      <c r="M97">
        <v>1</v>
      </c>
    </row>
    <row r="98" spans="1:13" x14ac:dyDescent="0.25">
      <c r="A98" s="1">
        <v>46132</v>
      </c>
      <c r="B98" s="1" t="str">
        <f ca="1">IF(Información1[[#This Row],[Fecha]]='Ajuste de fechas'!$A$2,"Día actual","Día anterior")</f>
        <v>Día actual</v>
      </c>
      <c r="C98" t="s">
        <v>57</v>
      </c>
      <c r="D98" t="s">
        <v>58</v>
      </c>
      <c r="E98" t="s">
        <v>102</v>
      </c>
      <c r="F98" t="s">
        <v>19</v>
      </c>
      <c r="G98" t="s">
        <v>46</v>
      </c>
      <c r="H98" t="s">
        <v>11</v>
      </c>
      <c r="I98" t="s">
        <v>7</v>
      </c>
      <c r="J98" t="s">
        <v>79</v>
      </c>
      <c r="K98" t="s">
        <v>59</v>
      </c>
      <c r="L98" t="s">
        <v>76</v>
      </c>
      <c r="M98">
        <v>1</v>
      </c>
    </row>
    <row r="99" spans="1:13" x14ac:dyDescent="0.25">
      <c r="A99" s="1">
        <v>46132</v>
      </c>
      <c r="B99" s="1" t="str">
        <f ca="1">IF(Información1[[#This Row],[Fecha]]='Ajuste de fechas'!$A$2,"Día actual","Día anterior")</f>
        <v>Día actual</v>
      </c>
      <c r="C99" t="s">
        <v>57</v>
      </c>
      <c r="D99" t="s">
        <v>58</v>
      </c>
      <c r="E99" t="s">
        <v>356</v>
      </c>
      <c r="F99" t="s">
        <v>19</v>
      </c>
      <c r="G99" t="s">
        <v>357</v>
      </c>
      <c r="H99" t="s">
        <v>11</v>
      </c>
      <c r="I99" t="s">
        <v>27</v>
      </c>
      <c r="J99" t="s">
        <v>79</v>
      </c>
      <c r="K99" t="s">
        <v>59</v>
      </c>
      <c r="L99" t="s">
        <v>76</v>
      </c>
      <c r="M99">
        <v>1</v>
      </c>
    </row>
    <row r="100" spans="1:13" x14ac:dyDescent="0.25">
      <c r="A100" s="1">
        <v>46132</v>
      </c>
      <c r="B100" s="1" t="str">
        <f ca="1">IF(Información1[[#This Row],[Fecha]]='Ajuste de fechas'!$A$2,"Día actual","Día anterior")</f>
        <v>Día actual</v>
      </c>
      <c r="C100" t="s">
        <v>57</v>
      </c>
      <c r="D100" t="s">
        <v>58</v>
      </c>
      <c r="E100" t="s">
        <v>358</v>
      </c>
      <c r="F100" t="s">
        <v>19</v>
      </c>
      <c r="G100" t="s">
        <v>359</v>
      </c>
      <c r="H100" t="s">
        <v>11</v>
      </c>
      <c r="I100" t="s">
        <v>7</v>
      </c>
      <c r="J100" t="s">
        <v>79</v>
      </c>
      <c r="K100" t="s">
        <v>9</v>
      </c>
      <c r="L100" t="s">
        <v>76</v>
      </c>
      <c r="M100">
        <v>1</v>
      </c>
    </row>
    <row r="101" spans="1:13" x14ac:dyDescent="0.25">
      <c r="A101" s="1">
        <v>46132</v>
      </c>
      <c r="B101" s="1" t="str">
        <f ca="1">IF(Información1[[#This Row],[Fecha]]='Ajuste de fechas'!$A$2,"Día actual","Día anterior")</f>
        <v>Día actual</v>
      </c>
      <c r="C101" t="s">
        <v>57</v>
      </c>
      <c r="D101" t="s">
        <v>58</v>
      </c>
      <c r="E101" t="s">
        <v>360</v>
      </c>
      <c r="F101" t="s">
        <v>21</v>
      </c>
      <c r="G101" t="s">
        <v>316</v>
      </c>
      <c r="H101" t="s">
        <v>11</v>
      </c>
      <c r="I101" t="s">
        <v>7</v>
      </c>
      <c r="J101" t="s">
        <v>75</v>
      </c>
      <c r="K101" t="s">
        <v>59</v>
      </c>
      <c r="L101" t="s">
        <v>76</v>
      </c>
      <c r="M101">
        <v>1</v>
      </c>
    </row>
    <row r="102" spans="1:13" x14ac:dyDescent="0.25">
      <c r="A102" s="1">
        <v>46132</v>
      </c>
      <c r="B102" s="1" t="str">
        <f ca="1">IF(Información1[[#This Row],[Fecha]]='Ajuste de fechas'!$A$2,"Día actual","Día anterior")</f>
        <v>Día actual</v>
      </c>
      <c r="C102" t="s">
        <v>57</v>
      </c>
      <c r="D102" t="s">
        <v>58</v>
      </c>
      <c r="E102" t="s">
        <v>361</v>
      </c>
      <c r="F102" t="s">
        <v>47</v>
      </c>
      <c r="G102" t="s">
        <v>276</v>
      </c>
      <c r="H102" t="s">
        <v>11</v>
      </c>
      <c r="I102" t="s">
        <v>7</v>
      </c>
      <c r="J102" t="s">
        <v>75</v>
      </c>
      <c r="K102" t="s">
        <v>59</v>
      </c>
      <c r="L102" t="s">
        <v>76</v>
      </c>
      <c r="M102">
        <v>1</v>
      </c>
    </row>
    <row r="103" spans="1:13" x14ac:dyDescent="0.25">
      <c r="A103" s="1">
        <v>46132</v>
      </c>
      <c r="B103" s="1" t="str">
        <f ca="1">IF(Información1[[#This Row],[Fecha]]='Ajuste de fechas'!$A$2,"Día actual","Día anterior")</f>
        <v>Día actual</v>
      </c>
      <c r="C103" t="s">
        <v>48</v>
      </c>
      <c r="D103" t="s">
        <v>49</v>
      </c>
      <c r="E103" t="s">
        <v>362</v>
      </c>
      <c r="F103" t="s">
        <v>265</v>
      </c>
      <c r="G103" t="s">
        <v>267</v>
      </c>
      <c r="H103" t="s">
        <v>45</v>
      </c>
      <c r="I103" t="s">
        <v>7</v>
      </c>
      <c r="J103" t="s">
        <v>75</v>
      </c>
      <c r="K103" t="s">
        <v>30</v>
      </c>
      <c r="L103" t="s">
        <v>77</v>
      </c>
      <c r="M103">
        <v>1</v>
      </c>
    </row>
    <row r="104" spans="1:13" x14ac:dyDescent="0.25">
      <c r="A104" s="1">
        <v>46132</v>
      </c>
      <c r="B104" s="1" t="str">
        <f ca="1">IF(Información1[[#This Row],[Fecha]]='Ajuste de fechas'!$A$2,"Día actual","Día anterior")</f>
        <v>Día actual</v>
      </c>
      <c r="C104" t="s">
        <v>48</v>
      </c>
      <c r="D104" t="s">
        <v>49</v>
      </c>
      <c r="E104" t="s">
        <v>363</v>
      </c>
      <c r="F104" t="s">
        <v>15</v>
      </c>
      <c r="G104" t="s">
        <v>364</v>
      </c>
      <c r="H104" t="s">
        <v>45</v>
      </c>
      <c r="I104" t="s">
        <v>27</v>
      </c>
      <c r="J104" t="s">
        <v>75</v>
      </c>
      <c r="K104" t="s">
        <v>30</v>
      </c>
      <c r="L104" t="s">
        <v>77</v>
      </c>
      <c r="M104">
        <v>1</v>
      </c>
    </row>
    <row r="105" spans="1:13" x14ac:dyDescent="0.25">
      <c r="A105" s="1">
        <v>46132</v>
      </c>
      <c r="B105" s="1" t="str">
        <f ca="1">IF(Información1[[#This Row],[Fecha]]='Ajuste de fechas'!$A$2,"Día actual","Día anterior")</f>
        <v>Día actual</v>
      </c>
      <c r="C105" t="s">
        <v>48</v>
      </c>
      <c r="D105" t="s">
        <v>49</v>
      </c>
      <c r="E105" t="s">
        <v>328</v>
      </c>
      <c r="F105" t="s">
        <v>329</v>
      </c>
      <c r="G105" t="s">
        <v>330</v>
      </c>
      <c r="H105" t="s">
        <v>45</v>
      </c>
      <c r="I105" t="s">
        <v>7</v>
      </c>
      <c r="J105" t="s">
        <v>26</v>
      </c>
      <c r="K105" t="s">
        <v>30</v>
      </c>
      <c r="L105" t="s">
        <v>76</v>
      </c>
      <c r="M105">
        <v>1</v>
      </c>
    </row>
    <row r="106" spans="1:13" x14ac:dyDescent="0.25">
      <c r="A106" s="1">
        <v>46132</v>
      </c>
      <c r="B106" s="1" t="str">
        <f ca="1">IF(Información1[[#This Row],[Fecha]]='Ajuste de fechas'!$A$2,"Día actual","Día anterior")</f>
        <v>Día actual</v>
      </c>
      <c r="C106" t="s">
        <v>48</v>
      </c>
      <c r="D106" t="s">
        <v>49</v>
      </c>
      <c r="E106" t="s">
        <v>365</v>
      </c>
      <c r="F106" t="s">
        <v>24</v>
      </c>
      <c r="G106" t="s">
        <v>366</v>
      </c>
      <c r="H106" t="s">
        <v>45</v>
      </c>
      <c r="I106" t="s">
        <v>7</v>
      </c>
      <c r="J106" t="s">
        <v>75</v>
      </c>
      <c r="K106" t="s">
        <v>30</v>
      </c>
      <c r="L106" t="s">
        <v>76</v>
      </c>
      <c r="M106">
        <v>1</v>
      </c>
    </row>
    <row r="107" spans="1:13" x14ac:dyDescent="0.25">
      <c r="A107" s="1">
        <v>46132</v>
      </c>
      <c r="B107" s="1" t="str">
        <f ca="1">IF(Información1[[#This Row],[Fecha]]='Ajuste de fechas'!$A$2,"Día actual","Día anterior")</f>
        <v>Día actual</v>
      </c>
      <c r="C107" t="s">
        <v>48</v>
      </c>
      <c r="D107" t="s">
        <v>49</v>
      </c>
      <c r="E107" t="s">
        <v>367</v>
      </c>
      <c r="F107" t="s">
        <v>28</v>
      </c>
      <c r="G107" t="s">
        <v>368</v>
      </c>
      <c r="H107" t="s">
        <v>45</v>
      </c>
      <c r="I107" t="s">
        <v>7</v>
      </c>
      <c r="J107" t="s">
        <v>75</v>
      </c>
      <c r="K107" t="s">
        <v>9</v>
      </c>
      <c r="L107" t="s">
        <v>76</v>
      </c>
      <c r="M107">
        <v>1</v>
      </c>
    </row>
    <row r="108" spans="1:13" x14ac:dyDescent="0.25">
      <c r="A108" s="1">
        <v>46132</v>
      </c>
      <c r="B108" s="1" t="str">
        <f ca="1">IF(Información1[[#This Row],[Fecha]]='Ajuste de fechas'!$A$2,"Día actual","Día anterior")</f>
        <v>Día actual</v>
      </c>
      <c r="C108" t="s">
        <v>48</v>
      </c>
      <c r="D108" t="s">
        <v>49</v>
      </c>
      <c r="E108" t="s">
        <v>369</v>
      </c>
      <c r="F108" t="s">
        <v>21</v>
      </c>
      <c r="G108" t="s">
        <v>370</v>
      </c>
      <c r="H108" t="s">
        <v>45</v>
      </c>
      <c r="I108" t="s">
        <v>7</v>
      </c>
      <c r="J108" t="s">
        <v>75</v>
      </c>
      <c r="K108" t="s">
        <v>30</v>
      </c>
      <c r="L108" t="s">
        <v>78</v>
      </c>
      <c r="M108">
        <v>1</v>
      </c>
    </row>
    <row r="109" spans="1:13" x14ac:dyDescent="0.25">
      <c r="A109" s="1">
        <v>46132</v>
      </c>
      <c r="B109" s="1" t="str">
        <f ca="1">IF(Información1[[#This Row],[Fecha]]='Ajuste de fechas'!$A$2,"Día actual","Día anterior")</f>
        <v>Día actual</v>
      </c>
      <c r="C109" t="s">
        <v>48</v>
      </c>
      <c r="D109" t="s">
        <v>49</v>
      </c>
      <c r="E109" t="s">
        <v>371</v>
      </c>
      <c r="F109" t="s">
        <v>24</v>
      </c>
      <c r="G109" t="s">
        <v>263</v>
      </c>
      <c r="H109" t="s">
        <v>45</v>
      </c>
      <c r="I109" t="s">
        <v>7</v>
      </c>
      <c r="J109" t="s">
        <v>75</v>
      </c>
      <c r="K109" t="s">
        <v>30</v>
      </c>
      <c r="L109" t="s">
        <v>78</v>
      </c>
      <c r="M109">
        <v>1</v>
      </c>
    </row>
    <row r="110" spans="1:13" x14ac:dyDescent="0.25">
      <c r="A110" s="1">
        <v>46132</v>
      </c>
      <c r="B110" s="1" t="str">
        <f ca="1">IF(Información1[[#This Row],[Fecha]]='Ajuste de fechas'!$A$2,"Día actual","Día anterior")</f>
        <v>Día actual</v>
      </c>
      <c r="C110" t="s">
        <v>48</v>
      </c>
      <c r="D110" t="s">
        <v>49</v>
      </c>
      <c r="E110" t="s">
        <v>372</v>
      </c>
      <c r="F110" t="s">
        <v>28</v>
      </c>
      <c r="G110" t="s">
        <v>373</v>
      </c>
      <c r="H110" t="s">
        <v>45</v>
      </c>
      <c r="I110" t="s">
        <v>7</v>
      </c>
      <c r="J110" t="s">
        <v>75</v>
      </c>
      <c r="K110" t="s">
        <v>30</v>
      </c>
      <c r="L110" t="s">
        <v>76</v>
      </c>
      <c r="M110">
        <v>1</v>
      </c>
    </row>
    <row r="111" spans="1:13" x14ac:dyDescent="0.25">
      <c r="A111" s="1">
        <v>46132</v>
      </c>
      <c r="B111" s="1" t="str">
        <f ca="1">IF(Información1[[#This Row],[Fecha]]='Ajuste de fechas'!$A$2,"Día actual","Día anterior")</f>
        <v>Día actual</v>
      </c>
      <c r="C111" t="s">
        <v>48</v>
      </c>
      <c r="D111" t="s">
        <v>49</v>
      </c>
      <c r="E111" t="s">
        <v>374</v>
      </c>
      <c r="F111" t="s">
        <v>265</v>
      </c>
      <c r="G111" t="s">
        <v>249</v>
      </c>
      <c r="H111" t="s">
        <v>45</v>
      </c>
      <c r="I111" t="s">
        <v>7</v>
      </c>
      <c r="J111" t="s">
        <v>75</v>
      </c>
      <c r="K111" t="s">
        <v>30</v>
      </c>
      <c r="L111" t="s">
        <v>76</v>
      </c>
      <c r="M111">
        <v>1</v>
      </c>
    </row>
    <row r="112" spans="1:13" x14ac:dyDescent="0.25">
      <c r="A112" s="1">
        <v>46132</v>
      </c>
      <c r="B112" s="1" t="str">
        <f ca="1">IF(Información1[[#This Row],[Fecha]]='Ajuste de fechas'!$A$2,"Día actual","Día anterior")</f>
        <v>Día actual</v>
      </c>
      <c r="C112" t="s">
        <v>48</v>
      </c>
      <c r="D112" t="s">
        <v>49</v>
      </c>
      <c r="E112" t="s">
        <v>375</v>
      </c>
      <c r="F112" t="s">
        <v>56</v>
      </c>
      <c r="G112" t="s">
        <v>376</v>
      </c>
      <c r="H112" t="s">
        <v>45</v>
      </c>
      <c r="I112" t="s">
        <v>7</v>
      </c>
      <c r="J112" t="s">
        <v>75</v>
      </c>
      <c r="K112" t="s">
        <v>30</v>
      </c>
      <c r="L112" t="s">
        <v>76</v>
      </c>
      <c r="M112">
        <v>1</v>
      </c>
    </row>
    <row r="113" spans="1:13" x14ac:dyDescent="0.25">
      <c r="A113" s="1">
        <v>46132</v>
      </c>
      <c r="B113" s="1" t="str">
        <f ca="1">IF(Información1[[#This Row],[Fecha]]='Ajuste de fechas'!$A$2,"Día actual","Día anterior")</f>
        <v>Día actual</v>
      </c>
      <c r="C113" t="s">
        <v>48</v>
      </c>
      <c r="D113" t="s">
        <v>49</v>
      </c>
      <c r="E113" t="s">
        <v>377</v>
      </c>
      <c r="F113" t="s">
        <v>6</v>
      </c>
      <c r="G113" t="s">
        <v>91</v>
      </c>
      <c r="H113" t="s">
        <v>45</v>
      </c>
      <c r="I113" t="s">
        <v>7</v>
      </c>
      <c r="J113" t="s">
        <v>75</v>
      </c>
      <c r="K113" t="s">
        <v>30</v>
      </c>
      <c r="L113" t="s">
        <v>76</v>
      </c>
      <c r="M113">
        <v>1</v>
      </c>
    </row>
    <row r="114" spans="1:13" x14ac:dyDescent="0.25">
      <c r="A114" s="1">
        <v>46129</v>
      </c>
      <c r="B114" s="1" t="str">
        <f ca="1">IF(Información1[[#This Row],[Fecha]]='Ajuste de fechas'!$A$2,"Día actual","Día anterior")</f>
        <v>Día anterior</v>
      </c>
      <c r="C114" t="s">
        <v>51</v>
      </c>
      <c r="D114" t="s">
        <v>54</v>
      </c>
      <c r="E114" t="s">
        <v>120</v>
      </c>
      <c r="F114" t="s">
        <v>47</v>
      </c>
      <c r="G114" t="s">
        <v>121</v>
      </c>
      <c r="H114" t="s">
        <v>11</v>
      </c>
      <c r="I114" t="s">
        <v>7</v>
      </c>
      <c r="J114" t="s">
        <v>75</v>
      </c>
      <c r="K114" t="s">
        <v>52</v>
      </c>
      <c r="L114" t="s">
        <v>76</v>
      </c>
      <c r="M114">
        <v>1</v>
      </c>
    </row>
    <row r="115" spans="1:13" x14ac:dyDescent="0.25">
      <c r="A115" s="1">
        <v>46129</v>
      </c>
      <c r="B115" s="1" t="str">
        <f ca="1">IF(Información1[[#This Row],[Fecha]]='Ajuste de fechas'!$A$2,"Día actual","Día anterior")</f>
        <v>Día anterior</v>
      </c>
      <c r="C115" t="s">
        <v>51</v>
      </c>
      <c r="D115" t="s">
        <v>54</v>
      </c>
      <c r="E115" t="s">
        <v>122</v>
      </c>
      <c r="F115" t="s">
        <v>15</v>
      </c>
      <c r="G115" t="s">
        <v>123</v>
      </c>
      <c r="H115" t="s">
        <v>11</v>
      </c>
      <c r="I115" t="s">
        <v>7</v>
      </c>
      <c r="J115" t="s">
        <v>75</v>
      </c>
      <c r="K115" t="s">
        <v>52</v>
      </c>
      <c r="L115" t="s">
        <v>76</v>
      </c>
      <c r="M115">
        <v>1</v>
      </c>
    </row>
    <row r="116" spans="1:13" x14ac:dyDescent="0.25">
      <c r="A116" s="1">
        <v>46129</v>
      </c>
      <c r="B116" s="1" t="str">
        <f ca="1">IF(Información1[[#This Row],[Fecha]]='Ajuste de fechas'!$A$2,"Día actual","Día anterior")</f>
        <v>Día anterior</v>
      </c>
      <c r="C116" t="s">
        <v>31</v>
      </c>
      <c r="D116" t="s">
        <v>33</v>
      </c>
      <c r="E116" t="s">
        <v>124</v>
      </c>
      <c r="F116" t="s">
        <v>56</v>
      </c>
      <c r="G116" t="s">
        <v>125</v>
      </c>
      <c r="H116" t="s">
        <v>11</v>
      </c>
      <c r="I116" t="s">
        <v>7</v>
      </c>
      <c r="J116" t="s">
        <v>75</v>
      </c>
      <c r="K116" t="s">
        <v>32</v>
      </c>
      <c r="L116" t="s">
        <v>78</v>
      </c>
      <c r="M116">
        <v>1</v>
      </c>
    </row>
    <row r="117" spans="1:13" x14ac:dyDescent="0.25">
      <c r="A117" s="1">
        <v>46129</v>
      </c>
      <c r="B117" s="1" t="str">
        <f ca="1">IF(Información1[[#This Row],[Fecha]]='Ajuste de fechas'!$A$2,"Día actual","Día anterior")</f>
        <v>Día anterior</v>
      </c>
      <c r="C117" t="s">
        <v>31</v>
      </c>
      <c r="D117" t="s">
        <v>33</v>
      </c>
      <c r="E117" t="s">
        <v>126</v>
      </c>
      <c r="F117" t="s">
        <v>24</v>
      </c>
      <c r="G117" t="s">
        <v>46</v>
      </c>
      <c r="H117" t="s">
        <v>11</v>
      </c>
      <c r="I117" t="s">
        <v>7</v>
      </c>
      <c r="J117" t="s">
        <v>75</v>
      </c>
      <c r="K117" t="s">
        <v>32</v>
      </c>
      <c r="L117" t="s">
        <v>78</v>
      </c>
      <c r="M117">
        <v>1</v>
      </c>
    </row>
    <row r="118" spans="1:13" x14ac:dyDescent="0.25">
      <c r="A118" s="1">
        <v>46129</v>
      </c>
      <c r="B118" s="1" t="str">
        <f ca="1">IF(Información1[[#This Row],[Fecha]]='Ajuste de fechas'!$A$2,"Día actual","Día anterior")</f>
        <v>Día anterior</v>
      </c>
      <c r="C118" t="s">
        <v>31</v>
      </c>
      <c r="D118" t="s">
        <v>33</v>
      </c>
      <c r="E118" t="s">
        <v>127</v>
      </c>
      <c r="F118" t="s">
        <v>15</v>
      </c>
      <c r="G118" t="s">
        <v>123</v>
      </c>
      <c r="H118" t="s">
        <v>11</v>
      </c>
      <c r="I118" t="s">
        <v>7</v>
      </c>
      <c r="J118" t="s">
        <v>75</v>
      </c>
      <c r="K118" t="s">
        <v>32</v>
      </c>
      <c r="L118" t="s">
        <v>78</v>
      </c>
      <c r="M118">
        <v>1</v>
      </c>
    </row>
    <row r="119" spans="1:13" x14ac:dyDescent="0.25">
      <c r="A119" s="1">
        <v>46129</v>
      </c>
      <c r="B119" s="1" t="str">
        <f ca="1">IF(Información1[[#This Row],[Fecha]]='Ajuste de fechas'!$A$2,"Día actual","Día anterior")</f>
        <v>Día anterior</v>
      </c>
      <c r="C119" t="s">
        <v>31</v>
      </c>
      <c r="D119" t="s">
        <v>33</v>
      </c>
      <c r="E119" t="s">
        <v>114</v>
      </c>
      <c r="F119" t="s">
        <v>56</v>
      </c>
      <c r="G119" t="s">
        <v>61</v>
      </c>
      <c r="H119" t="s">
        <v>11</v>
      </c>
      <c r="I119" t="s">
        <v>7</v>
      </c>
      <c r="J119" t="s">
        <v>75</v>
      </c>
      <c r="K119" t="s">
        <v>32</v>
      </c>
      <c r="L119" t="s">
        <v>78</v>
      </c>
      <c r="M119">
        <v>1</v>
      </c>
    </row>
    <row r="120" spans="1:13" x14ac:dyDescent="0.25">
      <c r="A120" s="1">
        <v>46129</v>
      </c>
      <c r="B120" s="1" t="str">
        <f ca="1">IF(Información1[[#This Row],[Fecha]]='Ajuste de fechas'!$A$2,"Día actual","Día anterior")</f>
        <v>Día anterior</v>
      </c>
      <c r="C120" t="s">
        <v>31</v>
      </c>
      <c r="D120" t="s">
        <v>33</v>
      </c>
      <c r="E120" t="s">
        <v>128</v>
      </c>
      <c r="F120" t="s">
        <v>60</v>
      </c>
      <c r="G120" t="s">
        <v>129</v>
      </c>
      <c r="H120" t="s">
        <v>11</v>
      </c>
      <c r="I120" t="s">
        <v>7</v>
      </c>
      <c r="J120" t="s">
        <v>75</v>
      </c>
      <c r="K120" t="s">
        <v>32</v>
      </c>
      <c r="L120" t="s">
        <v>78</v>
      </c>
      <c r="M120">
        <v>1</v>
      </c>
    </row>
    <row r="121" spans="1:13" x14ac:dyDescent="0.25">
      <c r="A121" s="1">
        <v>46129</v>
      </c>
      <c r="B121" s="1" t="str">
        <f ca="1">IF(Información1[[#This Row],[Fecha]]='Ajuste de fechas'!$A$2,"Día actual","Día anterior")</f>
        <v>Día anterior</v>
      </c>
      <c r="C121" t="s">
        <v>31</v>
      </c>
      <c r="D121" t="s">
        <v>33</v>
      </c>
      <c r="E121" t="s">
        <v>130</v>
      </c>
      <c r="F121" t="s">
        <v>104</v>
      </c>
      <c r="G121" t="s">
        <v>131</v>
      </c>
      <c r="H121" t="s">
        <v>11</v>
      </c>
      <c r="I121" t="s">
        <v>7</v>
      </c>
      <c r="J121" t="s">
        <v>75</v>
      </c>
      <c r="K121" t="s">
        <v>32</v>
      </c>
      <c r="L121" t="s">
        <v>78</v>
      </c>
      <c r="M121">
        <v>1</v>
      </c>
    </row>
    <row r="122" spans="1:13" x14ac:dyDescent="0.25">
      <c r="A122" s="1">
        <v>46129</v>
      </c>
      <c r="B122" s="1" t="str">
        <f ca="1">IF(Información1[[#This Row],[Fecha]]='Ajuste de fechas'!$A$2,"Día actual","Día anterior")</f>
        <v>Día anterior</v>
      </c>
      <c r="C122" t="s">
        <v>31</v>
      </c>
      <c r="D122" t="s">
        <v>33</v>
      </c>
      <c r="E122" t="s">
        <v>132</v>
      </c>
      <c r="F122" t="s">
        <v>15</v>
      </c>
      <c r="G122" t="s">
        <v>117</v>
      </c>
      <c r="H122" t="s">
        <v>11</v>
      </c>
      <c r="I122" t="s">
        <v>7</v>
      </c>
      <c r="J122" t="s">
        <v>75</v>
      </c>
      <c r="K122" t="s">
        <v>32</v>
      </c>
      <c r="L122" t="s">
        <v>78</v>
      </c>
      <c r="M122">
        <v>1</v>
      </c>
    </row>
    <row r="123" spans="1:13" x14ac:dyDescent="0.25">
      <c r="A123" s="1">
        <v>46129</v>
      </c>
      <c r="B123" s="1" t="str">
        <f ca="1">IF(Información1[[#This Row],[Fecha]]='Ajuste de fechas'!$A$2,"Día actual","Día anterior")</f>
        <v>Día anterior</v>
      </c>
      <c r="C123" t="s">
        <v>31</v>
      </c>
      <c r="D123" t="s">
        <v>33</v>
      </c>
      <c r="E123" t="s">
        <v>133</v>
      </c>
      <c r="F123" t="s">
        <v>56</v>
      </c>
      <c r="G123" t="s">
        <v>134</v>
      </c>
      <c r="H123" t="s">
        <v>11</v>
      </c>
      <c r="I123" t="s">
        <v>7</v>
      </c>
      <c r="J123" t="s">
        <v>75</v>
      </c>
      <c r="K123" t="s">
        <v>32</v>
      </c>
      <c r="L123" t="s">
        <v>78</v>
      </c>
      <c r="M123">
        <v>1</v>
      </c>
    </row>
    <row r="124" spans="1:13" x14ac:dyDescent="0.25">
      <c r="A124" s="1">
        <v>46129</v>
      </c>
      <c r="B124" s="1" t="str">
        <f ca="1">IF(Información1[[#This Row],[Fecha]]='Ajuste de fechas'!$A$2,"Día actual","Día anterior")</f>
        <v>Día anterior</v>
      </c>
      <c r="C124" t="s">
        <v>31</v>
      </c>
      <c r="D124" t="s">
        <v>33</v>
      </c>
      <c r="E124" t="s">
        <v>135</v>
      </c>
      <c r="F124" t="s">
        <v>24</v>
      </c>
      <c r="G124" t="s">
        <v>90</v>
      </c>
      <c r="H124" t="s">
        <v>11</v>
      </c>
      <c r="I124" t="s">
        <v>7</v>
      </c>
      <c r="J124" t="s">
        <v>75</v>
      </c>
      <c r="K124" t="s">
        <v>32</v>
      </c>
      <c r="L124" t="s">
        <v>78</v>
      </c>
      <c r="M124">
        <v>1</v>
      </c>
    </row>
    <row r="125" spans="1:13" x14ac:dyDescent="0.25">
      <c r="A125" s="1">
        <v>46129</v>
      </c>
      <c r="B125" s="1" t="str">
        <f ca="1">IF(Información1[[#This Row],[Fecha]]='Ajuste de fechas'!$A$2,"Día actual","Día anterior")</f>
        <v>Día anterior</v>
      </c>
      <c r="C125" t="s">
        <v>31</v>
      </c>
      <c r="D125" t="s">
        <v>33</v>
      </c>
      <c r="E125" t="s">
        <v>136</v>
      </c>
      <c r="F125" t="s">
        <v>25</v>
      </c>
      <c r="G125" t="s">
        <v>137</v>
      </c>
      <c r="H125" t="s">
        <v>11</v>
      </c>
      <c r="I125" t="s">
        <v>7</v>
      </c>
      <c r="J125" t="s">
        <v>75</v>
      </c>
      <c r="K125" t="s">
        <v>32</v>
      </c>
      <c r="L125" t="s">
        <v>78</v>
      </c>
      <c r="M125">
        <v>1</v>
      </c>
    </row>
    <row r="126" spans="1:13" x14ac:dyDescent="0.25">
      <c r="A126" s="1">
        <v>46129</v>
      </c>
      <c r="B126" s="1" t="str">
        <f ca="1">IF(Información1[[#This Row],[Fecha]]='Ajuste de fechas'!$A$2,"Día actual","Día anterior")</f>
        <v>Día anterior</v>
      </c>
      <c r="C126" t="s">
        <v>31</v>
      </c>
      <c r="D126" t="s">
        <v>33</v>
      </c>
      <c r="E126" t="s">
        <v>138</v>
      </c>
      <c r="F126" t="s">
        <v>25</v>
      </c>
      <c r="G126" t="s">
        <v>139</v>
      </c>
      <c r="H126" t="s">
        <v>11</v>
      </c>
      <c r="I126" t="s">
        <v>7</v>
      </c>
      <c r="J126" t="s">
        <v>75</v>
      </c>
      <c r="K126" t="s">
        <v>32</v>
      </c>
      <c r="L126" t="s">
        <v>78</v>
      </c>
      <c r="M126">
        <v>1</v>
      </c>
    </row>
    <row r="127" spans="1:13" x14ac:dyDescent="0.25">
      <c r="A127" s="1">
        <v>46129</v>
      </c>
      <c r="B127" s="1" t="str">
        <f ca="1">IF(Información1[[#This Row],[Fecha]]='Ajuste de fechas'!$A$2,"Día actual","Día anterior")</f>
        <v>Día anterior</v>
      </c>
      <c r="C127" t="s">
        <v>51</v>
      </c>
      <c r="D127" t="s">
        <v>53</v>
      </c>
      <c r="E127" t="s">
        <v>140</v>
      </c>
      <c r="F127" t="s">
        <v>23</v>
      </c>
      <c r="G127" t="s">
        <v>141</v>
      </c>
      <c r="H127" t="s">
        <v>11</v>
      </c>
      <c r="I127" t="s">
        <v>7</v>
      </c>
      <c r="J127" t="s">
        <v>80</v>
      </c>
      <c r="K127" t="s">
        <v>52</v>
      </c>
      <c r="L127" t="s">
        <v>76</v>
      </c>
      <c r="M127">
        <v>1</v>
      </c>
    </row>
    <row r="128" spans="1:13" x14ac:dyDescent="0.25">
      <c r="A128" s="1">
        <v>46129</v>
      </c>
      <c r="B128" s="1" t="str">
        <f ca="1">IF(Información1[[#This Row],[Fecha]]='Ajuste de fechas'!$A$2,"Día actual","Día anterior")</f>
        <v>Día anterior</v>
      </c>
      <c r="C128" t="s">
        <v>51</v>
      </c>
      <c r="D128" t="s">
        <v>53</v>
      </c>
      <c r="E128" t="s">
        <v>142</v>
      </c>
      <c r="F128" t="s">
        <v>19</v>
      </c>
      <c r="G128" t="s">
        <v>96</v>
      </c>
      <c r="H128" t="s">
        <v>11</v>
      </c>
      <c r="I128" t="s">
        <v>7</v>
      </c>
      <c r="J128" t="s">
        <v>79</v>
      </c>
      <c r="K128" t="s">
        <v>52</v>
      </c>
      <c r="L128" t="s">
        <v>76</v>
      </c>
      <c r="M128">
        <v>1</v>
      </c>
    </row>
    <row r="129" spans="1:13" x14ac:dyDescent="0.25">
      <c r="A129" s="1">
        <v>46129</v>
      </c>
      <c r="B129" s="1" t="str">
        <f ca="1">IF(Información1[[#This Row],[Fecha]]='Ajuste de fechas'!$A$2,"Día actual","Día anterior")</f>
        <v>Día anterior</v>
      </c>
      <c r="C129" t="s">
        <v>51</v>
      </c>
      <c r="D129" t="s">
        <v>53</v>
      </c>
      <c r="E129" t="s">
        <v>143</v>
      </c>
      <c r="F129" t="s">
        <v>19</v>
      </c>
      <c r="G129" t="s">
        <v>144</v>
      </c>
      <c r="H129" t="s">
        <v>11</v>
      </c>
      <c r="I129" t="s">
        <v>7</v>
      </c>
      <c r="J129" t="s">
        <v>79</v>
      </c>
      <c r="K129" t="s">
        <v>52</v>
      </c>
      <c r="L129" t="s">
        <v>76</v>
      </c>
      <c r="M129">
        <v>1</v>
      </c>
    </row>
    <row r="130" spans="1:13" x14ac:dyDescent="0.25">
      <c r="A130" s="1">
        <v>46129</v>
      </c>
      <c r="B130" s="1" t="str">
        <f ca="1">IF(Información1[[#This Row],[Fecha]]='Ajuste de fechas'!$A$2,"Día actual","Día anterior")</f>
        <v>Día anterior</v>
      </c>
      <c r="C130" t="s">
        <v>51</v>
      </c>
      <c r="D130" t="s">
        <v>53</v>
      </c>
      <c r="E130" t="s">
        <v>128</v>
      </c>
      <c r="F130" t="s">
        <v>60</v>
      </c>
      <c r="G130" t="s">
        <v>129</v>
      </c>
      <c r="H130" t="s">
        <v>11</v>
      </c>
      <c r="I130" t="s">
        <v>7</v>
      </c>
      <c r="J130" t="s">
        <v>75</v>
      </c>
      <c r="K130" t="s">
        <v>43</v>
      </c>
      <c r="L130" t="s">
        <v>78</v>
      </c>
      <c r="M130">
        <v>1</v>
      </c>
    </row>
    <row r="131" spans="1:13" x14ac:dyDescent="0.25">
      <c r="A131" s="1">
        <v>46129</v>
      </c>
      <c r="B131" s="1" t="str">
        <f ca="1">IF(Información1[[#This Row],[Fecha]]='Ajuste de fechas'!$A$2,"Día actual","Día anterior")</f>
        <v>Día anterior</v>
      </c>
      <c r="C131" t="s">
        <v>51</v>
      </c>
      <c r="D131" t="s">
        <v>53</v>
      </c>
      <c r="E131" t="s">
        <v>138</v>
      </c>
      <c r="F131" t="s">
        <v>25</v>
      </c>
      <c r="G131" t="s">
        <v>139</v>
      </c>
      <c r="H131" t="s">
        <v>11</v>
      </c>
      <c r="I131" t="s">
        <v>7</v>
      </c>
      <c r="J131" t="s">
        <v>75</v>
      </c>
      <c r="K131" t="s">
        <v>43</v>
      </c>
      <c r="L131" t="s">
        <v>78</v>
      </c>
      <c r="M131">
        <v>1</v>
      </c>
    </row>
    <row r="132" spans="1:13" x14ac:dyDescent="0.25">
      <c r="A132" s="1">
        <v>46129</v>
      </c>
      <c r="B132" s="1" t="str">
        <f ca="1">IF(Información1[[#This Row],[Fecha]]='Ajuste de fechas'!$A$2,"Día actual","Día anterior")</f>
        <v>Día anterior</v>
      </c>
      <c r="C132" t="s">
        <v>51</v>
      </c>
      <c r="D132" t="s">
        <v>53</v>
      </c>
      <c r="E132" t="s">
        <v>145</v>
      </c>
      <c r="F132" t="s">
        <v>6</v>
      </c>
      <c r="G132" t="s">
        <v>146</v>
      </c>
      <c r="H132" t="s">
        <v>11</v>
      </c>
      <c r="I132" t="s">
        <v>7</v>
      </c>
      <c r="J132" t="s">
        <v>75</v>
      </c>
      <c r="K132" t="s">
        <v>43</v>
      </c>
      <c r="L132" t="s">
        <v>78</v>
      </c>
      <c r="M132">
        <v>1</v>
      </c>
    </row>
    <row r="133" spans="1:13" x14ac:dyDescent="0.25">
      <c r="A133" s="1">
        <v>46129</v>
      </c>
      <c r="B133" s="1" t="str">
        <f ca="1">IF(Información1[[#This Row],[Fecha]]='Ajuste de fechas'!$A$2,"Día actual","Día anterior")</f>
        <v>Día anterior</v>
      </c>
      <c r="C133" t="s">
        <v>51</v>
      </c>
      <c r="D133" t="s">
        <v>53</v>
      </c>
      <c r="E133" t="s">
        <v>147</v>
      </c>
      <c r="F133" t="s">
        <v>6</v>
      </c>
      <c r="G133" t="s">
        <v>91</v>
      </c>
      <c r="H133" t="s">
        <v>11</v>
      </c>
      <c r="I133" t="s">
        <v>7</v>
      </c>
      <c r="J133" t="s">
        <v>75</v>
      </c>
      <c r="K133" t="s">
        <v>43</v>
      </c>
      <c r="L133" t="s">
        <v>78</v>
      </c>
      <c r="M133">
        <v>1</v>
      </c>
    </row>
    <row r="134" spans="1:13" x14ac:dyDescent="0.25">
      <c r="A134" s="1">
        <v>46129</v>
      </c>
      <c r="B134" s="1" t="str">
        <f ca="1">IF(Información1[[#This Row],[Fecha]]='Ajuste de fechas'!$A$2,"Día actual","Día anterior")</f>
        <v>Día anterior</v>
      </c>
      <c r="C134" t="s">
        <v>51</v>
      </c>
      <c r="D134" t="s">
        <v>53</v>
      </c>
      <c r="E134" t="s">
        <v>126</v>
      </c>
      <c r="F134" t="s">
        <v>24</v>
      </c>
      <c r="G134" t="s">
        <v>46</v>
      </c>
      <c r="H134" t="s">
        <v>11</v>
      </c>
      <c r="I134" t="s">
        <v>7</v>
      </c>
      <c r="J134" t="s">
        <v>75</v>
      </c>
      <c r="K134" t="s">
        <v>43</v>
      </c>
      <c r="L134" t="s">
        <v>78</v>
      </c>
      <c r="M134">
        <v>1</v>
      </c>
    </row>
    <row r="135" spans="1:13" x14ac:dyDescent="0.25">
      <c r="A135" s="1">
        <v>46129</v>
      </c>
      <c r="B135" s="1" t="str">
        <f ca="1">IF(Información1[[#This Row],[Fecha]]='Ajuste de fechas'!$A$2,"Día actual","Día anterior")</f>
        <v>Día anterior</v>
      </c>
      <c r="C135" t="s">
        <v>38</v>
      </c>
      <c r="D135" t="s">
        <v>40</v>
      </c>
      <c r="E135" t="s">
        <v>148</v>
      </c>
      <c r="F135" t="s">
        <v>19</v>
      </c>
      <c r="G135" t="s">
        <v>149</v>
      </c>
      <c r="H135" t="s">
        <v>11</v>
      </c>
      <c r="I135" t="s">
        <v>7</v>
      </c>
      <c r="J135" t="s">
        <v>79</v>
      </c>
      <c r="K135" t="s">
        <v>67</v>
      </c>
      <c r="L135" t="s">
        <v>76</v>
      </c>
      <c r="M135">
        <v>1</v>
      </c>
    </row>
    <row r="136" spans="1:13" x14ac:dyDescent="0.25">
      <c r="A136" s="1">
        <v>46129</v>
      </c>
      <c r="B136" s="1" t="str">
        <f ca="1">IF(Información1[[#This Row],[Fecha]]='Ajuste de fechas'!$A$2,"Día actual","Día anterior")</f>
        <v>Día anterior</v>
      </c>
      <c r="C136" t="s">
        <v>38</v>
      </c>
      <c r="D136" t="s">
        <v>40</v>
      </c>
      <c r="E136" t="s">
        <v>150</v>
      </c>
      <c r="F136" t="s">
        <v>26</v>
      </c>
      <c r="G136" t="s">
        <v>151</v>
      </c>
      <c r="H136" t="s">
        <v>11</v>
      </c>
      <c r="I136" t="s">
        <v>7</v>
      </c>
      <c r="J136" t="s">
        <v>26</v>
      </c>
      <c r="K136" t="s">
        <v>67</v>
      </c>
      <c r="L136" t="s">
        <v>76</v>
      </c>
      <c r="M136">
        <v>1</v>
      </c>
    </row>
    <row r="137" spans="1:13" x14ac:dyDescent="0.25">
      <c r="A137" s="1">
        <v>46129</v>
      </c>
      <c r="B137" s="1" t="str">
        <f ca="1">IF(Información1[[#This Row],[Fecha]]='Ajuste de fechas'!$A$2,"Día actual","Día anterior")</f>
        <v>Día anterior</v>
      </c>
      <c r="C137" t="s">
        <v>38</v>
      </c>
      <c r="D137" t="s">
        <v>40</v>
      </c>
      <c r="E137" t="s">
        <v>152</v>
      </c>
      <c r="F137" t="s">
        <v>26</v>
      </c>
      <c r="G137" t="s">
        <v>153</v>
      </c>
      <c r="H137" t="s">
        <v>11</v>
      </c>
      <c r="I137" t="s">
        <v>7</v>
      </c>
      <c r="J137" t="s">
        <v>26</v>
      </c>
      <c r="K137" t="s">
        <v>67</v>
      </c>
      <c r="L137" t="s">
        <v>76</v>
      </c>
      <c r="M137">
        <v>1</v>
      </c>
    </row>
    <row r="138" spans="1:13" x14ac:dyDescent="0.25">
      <c r="A138" s="1">
        <v>46129</v>
      </c>
      <c r="B138" s="1" t="str">
        <f ca="1">IF(Información1[[#This Row],[Fecha]]='Ajuste de fechas'!$A$2,"Día actual","Día anterior")</f>
        <v>Día anterior</v>
      </c>
      <c r="C138" t="s">
        <v>38</v>
      </c>
      <c r="D138" t="s">
        <v>40</v>
      </c>
      <c r="E138" t="s">
        <v>154</v>
      </c>
      <c r="F138" t="s">
        <v>19</v>
      </c>
      <c r="G138" t="s">
        <v>155</v>
      </c>
      <c r="H138" t="s">
        <v>11</v>
      </c>
      <c r="I138" t="s">
        <v>7</v>
      </c>
      <c r="J138" t="s">
        <v>79</v>
      </c>
      <c r="K138" t="s">
        <v>67</v>
      </c>
      <c r="L138" t="s">
        <v>76</v>
      </c>
      <c r="M138">
        <v>1</v>
      </c>
    </row>
    <row r="139" spans="1:13" x14ac:dyDescent="0.25">
      <c r="A139" s="1">
        <v>46129</v>
      </c>
      <c r="B139" s="1" t="str">
        <f ca="1">IF(Información1[[#This Row],[Fecha]]='Ajuste de fechas'!$A$2,"Día actual","Día anterior")</f>
        <v>Día anterior</v>
      </c>
      <c r="C139" t="s">
        <v>38</v>
      </c>
      <c r="D139" t="s">
        <v>40</v>
      </c>
      <c r="E139" t="s">
        <v>156</v>
      </c>
      <c r="F139" t="s">
        <v>23</v>
      </c>
      <c r="G139" t="s">
        <v>157</v>
      </c>
      <c r="H139" t="s">
        <v>11</v>
      </c>
      <c r="I139" t="s">
        <v>7</v>
      </c>
      <c r="J139" t="s">
        <v>80</v>
      </c>
      <c r="K139" t="s">
        <v>67</v>
      </c>
      <c r="L139" t="s">
        <v>76</v>
      </c>
      <c r="M139">
        <v>1</v>
      </c>
    </row>
    <row r="140" spans="1:13" x14ac:dyDescent="0.25">
      <c r="A140" s="1">
        <v>46129</v>
      </c>
      <c r="B140" s="1" t="str">
        <f ca="1">IF(Información1[[#This Row],[Fecha]]='Ajuste de fechas'!$A$2,"Día actual","Día anterior")</f>
        <v>Día anterior</v>
      </c>
      <c r="C140" t="s">
        <v>38</v>
      </c>
      <c r="D140" t="s">
        <v>40</v>
      </c>
      <c r="E140" t="s">
        <v>158</v>
      </c>
      <c r="F140" t="s">
        <v>19</v>
      </c>
      <c r="G140" t="s">
        <v>94</v>
      </c>
      <c r="H140" t="s">
        <v>11</v>
      </c>
      <c r="I140" t="s">
        <v>7</v>
      </c>
      <c r="J140" t="s">
        <v>79</v>
      </c>
      <c r="K140" t="s">
        <v>67</v>
      </c>
      <c r="L140" t="s">
        <v>76</v>
      </c>
      <c r="M140">
        <v>1</v>
      </c>
    </row>
    <row r="141" spans="1:13" x14ac:dyDescent="0.25">
      <c r="A141" s="1">
        <v>46129</v>
      </c>
      <c r="B141" s="1" t="str">
        <f ca="1">IF(Información1[[#This Row],[Fecha]]='Ajuste de fechas'!$A$2,"Día actual","Día anterior")</f>
        <v>Día anterior</v>
      </c>
      <c r="C141" t="s">
        <v>38</v>
      </c>
      <c r="D141" t="s">
        <v>40</v>
      </c>
      <c r="E141" t="s">
        <v>159</v>
      </c>
      <c r="F141" t="s">
        <v>21</v>
      </c>
      <c r="G141" t="s">
        <v>94</v>
      </c>
      <c r="H141" t="s">
        <v>11</v>
      </c>
      <c r="I141" t="s">
        <v>7</v>
      </c>
      <c r="J141" t="s">
        <v>75</v>
      </c>
      <c r="K141" t="s">
        <v>67</v>
      </c>
      <c r="L141" t="s">
        <v>76</v>
      </c>
      <c r="M141">
        <v>1</v>
      </c>
    </row>
    <row r="142" spans="1:13" x14ac:dyDescent="0.25">
      <c r="A142" s="1">
        <v>46129</v>
      </c>
      <c r="B142" s="1" t="str">
        <f ca="1">IF(Información1[[#This Row],[Fecha]]='Ajuste de fechas'!$A$2,"Día actual","Día anterior")</f>
        <v>Día anterior</v>
      </c>
      <c r="C142" t="s">
        <v>38</v>
      </c>
      <c r="D142" t="s">
        <v>40</v>
      </c>
      <c r="E142" t="s">
        <v>160</v>
      </c>
      <c r="F142" t="s">
        <v>56</v>
      </c>
      <c r="G142" t="s">
        <v>97</v>
      </c>
      <c r="H142" t="s">
        <v>11</v>
      </c>
      <c r="I142" t="s">
        <v>7</v>
      </c>
      <c r="J142" t="s">
        <v>75</v>
      </c>
      <c r="K142" t="s">
        <v>67</v>
      </c>
      <c r="L142" t="s">
        <v>76</v>
      </c>
      <c r="M142">
        <v>1</v>
      </c>
    </row>
    <row r="143" spans="1:13" x14ac:dyDescent="0.25">
      <c r="A143" s="1">
        <v>46129</v>
      </c>
      <c r="B143" s="1" t="str">
        <f ca="1">IF(Información1[[#This Row],[Fecha]]='Ajuste de fechas'!$A$2,"Día actual","Día anterior")</f>
        <v>Día anterior</v>
      </c>
      <c r="C143" t="s">
        <v>38</v>
      </c>
      <c r="D143" t="s">
        <v>40</v>
      </c>
      <c r="E143" t="s">
        <v>161</v>
      </c>
      <c r="F143" t="s">
        <v>26</v>
      </c>
      <c r="G143" t="s">
        <v>162</v>
      </c>
      <c r="H143" t="s">
        <v>11</v>
      </c>
      <c r="I143" t="s">
        <v>7</v>
      </c>
      <c r="J143" t="s">
        <v>26</v>
      </c>
      <c r="K143" t="s">
        <v>67</v>
      </c>
      <c r="L143" t="s">
        <v>76</v>
      </c>
      <c r="M143">
        <v>1</v>
      </c>
    </row>
    <row r="144" spans="1:13" x14ac:dyDescent="0.25">
      <c r="A144" s="1">
        <v>46129</v>
      </c>
      <c r="B144" s="1" t="str">
        <f ca="1">IF(Información1[[#This Row],[Fecha]]='Ajuste de fechas'!$A$2,"Día actual","Día anterior")</f>
        <v>Día anterior</v>
      </c>
      <c r="C144" t="s">
        <v>34</v>
      </c>
      <c r="D144" t="s">
        <v>36</v>
      </c>
      <c r="E144" t="s">
        <v>147</v>
      </c>
      <c r="F144" t="s">
        <v>6</v>
      </c>
      <c r="G144" t="s">
        <v>91</v>
      </c>
      <c r="H144" t="s">
        <v>11</v>
      </c>
      <c r="I144" t="s">
        <v>7</v>
      </c>
      <c r="J144" t="s">
        <v>75</v>
      </c>
      <c r="K144" t="s">
        <v>35</v>
      </c>
      <c r="L144" t="s">
        <v>78</v>
      </c>
      <c r="M144">
        <v>1</v>
      </c>
    </row>
    <row r="145" spans="1:13" x14ac:dyDescent="0.25">
      <c r="A145" s="1">
        <v>46129</v>
      </c>
      <c r="B145" s="1" t="str">
        <f ca="1">IF(Información1[[#This Row],[Fecha]]='Ajuste de fechas'!$A$2,"Día actual","Día anterior")</f>
        <v>Día anterior</v>
      </c>
      <c r="C145" t="s">
        <v>34</v>
      </c>
      <c r="D145" t="s">
        <v>36</v>
      </c>
      <c r="E145" t="s">
        <v>163</v>
      </c>
      <c r="F145" t="s">
        <v>15</v>
      </c>
      <c r="G145" t="s">
        <v>123</v>
      </c>
      <c r="H145" t="s">
        <v>11</v>
      </c>
      <c r="I145" t="s">
        <v>7</v>
      </c>
      <c r="J145" t="s">
        <v>75</v>
      </c>
      <c r="K145" t="s">
        <v>35</v>
      </c>
      <c r="L145" t="s">
        <v>78</v>
      </c>
      <c r="M145">
        <v>1</v>
      </c>
    </row>
    <row r="146" spans="1:13" x14ac:dyDescent="0.25">
      <c r="A146" s="1">
        <v>46129</v>
      </c>
      <c r="B146" s="1" t="str">
        <f ca="1">IF(Información1[[#This Row],[Fecha]]='Ajuste de fechas'!$A$2,"Día actual","Día anterior")</f>
        <v>Día anterior</v>
      </c>
      <c r="C146" t="s">
        <v>34</v>
      </c>
      <c r="D146" t="s">
        <v>36</v>
      </c>
      <c r="E146" t="s">
        <v>164</v>
      </c>
      <c r="F146" t="s">
        <v>104</v>
      </c>
      <c r="G146" t="s">
        <v>165</v>
      </c>
      <c r="H146" t="s">
        <v>11</v>
      </c>
      <c r="I146" t="s">
        <v>7</v>
      </c>
      <c r="J146" t="s">
        <v>75</v>
      </c>
      <c r="K146" t="s">
        <v>35</v>
      </c>
      <c r="L146" t="s">
        <v>78</v>
      </c>
      <c r="M146">
        <v>1</v>
      </c>
    </row>
    <row r="147" spans="1:13" x14ac:dyDescent="0.25">
      <c r="A147" s="1">
        <v>46129</v>
      </c>
      <c r="B147" s="1" t="str">
        <f ca="1">IF(Información1[[#This Row],[Fecha]]='Ajuste de fechas'!$A$2,"Día actual","Día anterior")</f>
        <v>Día anterior</v>
      </c>
      <c r="C147" t="s">
        <v>34</v>
      </c>
      <c r="D147" t="s">
        <v>36</v>
      </c>
      <c r="E147" t="s">
        <v>166</v>
      </c>
      <c r="F147" t="s">
        <v>104</v>
      </c>
      <c r="G147" t="s">
        <v>131</v>
      </c>
      <c r="H147" t="s">
        <v>11</v>
      </c>
      <c r="I147" t="s">
        <v>7</v>
      </c>
      <c r="J147" t="s">
        <v>75</v>
      </c>
      <c r="K147" t="s">
        <v>35</v>
      </c>
      <c r="L147" t="s">
        <v>78</v>
      </c>
      <c r="M147">
        <v>1</v>
      </c>
    </row>
    <row r="148" spans="1:13" x14ac:dyDescent="0.25">
      <c r="A148" s="1">
        <v>46129</v>
      </c>
      <c r="B148" s="1" t="str">
        <f ca="1">IF(Información1[[#This Row],[Fecha]]='Ajuste de fechas'!$A$2,"Día actual","Día anterior")</f>
        <v>Día anterior</v>
      </c>
      <c r="C148" t="s">
        <v>55</v>
      </c>
      <c r="D148" t="s">
        <v>41</v>
      </c>
      <c r="E148" t="s">
        <v>167</v>
      </c>
      <c r="F148" t="s">
        <v>15</v>
      </c>
      <c r="G148" t="s">
        <v>123</v>
      </c>
      <c r="H148" t="s">
        <v>11</v>
      </c>
      <c r="I148" t="s">
        <v>7</v>
      </c>
      <c r="J148" t="s">
        <v>75</v>
      </c>
      <c r="K148" t="s">
        <v>39</v>
      </c>
      <c r="L148" t="s">
        <v>78</v>
      </c>
      <c r="M148">
        <v>1</v>
      </c>
    </row>
    <row r="149" spans="1:13" x14ac:dyDescent="0.25">
      <c r="A149" s="1">
        <v>46129</v>
      </c>
      <c r="B149" s="1" t="str">
        <f ca="1">IF(Información1[[#This Row],[Fecha]]='Ajuste de fechas'!$A$2,"Día actual","Día anterior")</f>
        <v>Día anterior</v>
      </c>
      <c r="C149" t="s">
        <v>38</v>
      </c>
      <c r="D149" t="s">
        <v>41</v>
      </c>
      <c r="E149" t="s">
        <v>168</v>
      </c>
      <c r="F149" t="s">
        <v>19</v>
      </c>
      <c r="G149" t="s">
        <v>149</v>
      </c>
      <c r="H149" t="s">
        <v>11</v>
      </c>
      <c r="I149" t="s">
        <v>27</v>
      </c>
      <c r="J149" t="s">
        <v>79</v>
      </c>
      <c r="K149" t="s">
        <v>39</v>
      </c>
      <c r="L149" t="s">
        <v>76</v>
      </c>
      <c r="M149">
        <v>1</v>
      </c>
    </row>
    <row r="150" spans="1:13" x14ac:dyDescent="0.25">
      <c r="A150" s="1">
        <v>46129</v>
      </c>
      <c r="B150" s="1" t="str">
        <f ca="1">IF(Información1[[#This Row],[Fecha]]='Ajuste de fechas'!$A$2,"Día actual","Día anterior")</f>
        <v>Día anterior</v>
      </c>
      <c r="C150" t="s">
        <v>38</v>
      </c>
      <c r="D150" t="s">
        <v>41</v>
      </c>
      <c r="E150" t="s">
        <v>126</v>
      </c>
      <c r="F150" t="s">
        <v>24</v>
      </c>
      <c r="G150" t="s">
        <v>46</v>
      </c>
      <c r="H150" t="s">
        <v>11</v>
      </c>
      <c r="I150" t="s">
        <v>7</v>
      </c>
      <c r="J150" t="s">
        <v>75</v>
      </c>
      <c r="K150" t="s">
        <v>39</v>
      </c>
      <c r="L150" t="s">
        <v>78</v>
      </c>
      <c r="M150">
        <v>1</v>
      </c>
    </row>
    <row r="151" spans="1:13" x14ac:dyDescent="0.25">
      <c r="A151" s="1">
        <v>46129</v>
      </c>
      <c r="B151" s="1" t="str">
        <f ca="1">IF(Información1[[#This Row],[Fecha]]='Ajuste de fechas'!$A$2,"Día actual","Día anterior")</f>
        <v>Día anterior</v>
      </c>
      <c r="C151" t="s">
        <v>38</v>
      </c>
      <c r="D151" t="s">
        <v>41</v>
      </c>
      <c r="E151" t="s">
        <v>169</v>
      </c>
      <c r="F151" t="s">
        <v>23</v>
      </c>
      <c r="G151" t="s">
        <v>170</v>
      </c>
      <c r="H151" t="s">
        <v>11</v>
      </c>
      <c r="I151" t="s">
        <v>7</v>
      </c>
      <c r="J151" t="s">
        <v>80</v>
      </c>
      <c r="K151" t="s">
        <v>39</v>
      </c>
      <c r="L151" t="s">
        <v>76</v>
      </c>
      <c r="M151">
        <v>1</v>
      </c>
    </row>
    <row r="152" spans="1:13" x14ac:dyDescent="0.25">
      <c r="A152" s="1">
        <v>46129</v>
      </c>
      <c r="B152" s="1" t="str">
        <f ca="1">IF(Información1[[#This Row],[Fecha]]='Ajuste de fechas'!$A$2,"Día actual","Día anterior")</f>
        <v>Día anterior</v>
      </c>
      <c r="C152" t="s">
        <v>38</v>
      </c>
      <c r="D152" t="s">
        <v>41</v>
      </c>
      <c r="E152" t="s">
        <v>171</v>
      </c>
      <c r="F152" t="s">
        <v>19</v>
      </c>
      <c r="G152" t="s">
        <v>137</v>
      </c>
      <c r="H152" t="s">
        <v>11</v>
      </c>
      <c r="I152" t="s">
        <v>7</v>
      </c>
      <c r="J152" t="s">
        <v>79</v>
      </c>
      <c r="K152" t="s">
        <v>39</v>
      </c>
      <c r="L152" t="s">
        <v>81</v>
      </c>
      <c r="M152">
        <v>1</v>
      </c>
    </row>
    <row r="153" spans="1:13" x14ac:dyDescent="0.25">
      <c r="A153" s="1">
        <v>46129</v>
      </c>
      <c r="B153" s="1" t="str">
        <f ca="1">IF(Información1[[#This Row],[Fecha]]='Ajuste de fechas'!$A$2,"Día actual","Día anterior")</f>
        <v>Día anterior</v>
      </c>
      <c r="C153" t="s">
        <v>38</v>
      </c>
      <c r="D153" t="s">
        <v>41</v>
      </c>
      <c r="E153" t="s">
        <v>172</v>
      </c>
      <c r="F153" t="s">
        <v>19</v>
      </c>
      <c r="G153" t="s">
        <v>149</v>
      </c>
      <c r="H153" t="s">
        <v>11</v>
      </c>
      <c r="I153" t="s">
        <v>7</v>
      </c>
      <c r="J153" t="s">
        <v>79</v>
      </c>
      <c r="K153" t="s">
        <v>39</v>
      </c>
      <c r="L153" t="s">
        <v>76</v>
      </c>
      <c r="M153">
        <v>1</v>
      </c>
    </row>
    <row r="154" spans="1:13" x14ac:dyDescent="0.25">
      <c r="A154" s="1">
        <v>46129</v>
      </c>
      <c r="B154" s="1" t="str">
        <f ca="1">IF(Información1[[#This Row],[Fecha]]='Ajuste de fechas'!$A$2,"Día actual","Día anterior")</f>
        <v>Día anterior</v>
      </c>
      <c r="C154" t="s">
        <v>38</v>
      </c>
      <c r="D154" t="s">
        <v>41</v>
      </c>
      <c r="E154" t="s">
        <v>173</v>
      </c>
      <c r="F154" t="s">
        <v>21</v>
      </c>
      <c r="G154" t="s">
        <v>107</v>
      </c>
      <c r="H154" t="s">
        <v>11</v>
      </c>
      <c r="I154" t="s">
        <v>7</v>
      </c>
      <c r="J154" t="s">
        <v>75</v>
      </c>
      <c r="K154" t="s">
        <v>39</v>
      </c>
      <c r="L154" t="s">
        <v>76</v>
      </c>
      <c r="M154">
        <v>1</v>
      </c>
    </row>
    <row r="155" spans="1:13" x14ac:dyDescent="0.25">
      <c r="A155" s="1">
        <v>46129</v>
      </c>
      <c r="B155" s="1" t="str">
        <f ca="1">IF(Información1[[#This Row],[Fecha]]='Ajuste de fechas'!$A$2,"Día actual","Día anterior")</f>
        <v>Día anterior</v>
      </c>
      <c r="C155" t="s">
        <v>38</v>
      </c>
      <c r="D155" t="s">
        <v>41</v>
      </c>
      <c r="E155" t="s">
        <v>135</v>
      </c>
      <c r="F155" t="s">
        <v>24</v>
      </c>
      <c r="G155" t="s">
        <v>90</v>
      </c>
      <c r="H155" t="s">
        <v>11</v>
      </c>
      <c r="I155" t="s">
        <v>7</v>
      </c>
      <c r="J155" t="s">
        <v>75</v>
      </c>
      <c r="K155" t="s">
        <v>39</v>
      </c>
      <c r="L155" t="s">
        <v>78</v>
      </c>
      <c r="M155">
        <v>1</v>
      </c>
    </row>
    <row r="156" spans="1:13" x14ac:dyDescent="0.25">
      <c r="A156" s="1">
        <v>46129</v>
      </c>
      <c r="B156" s="1" t="str">
        <f ca="1">IF(Información1[[#This Row],[Fecha]]='Ajuste de fechas'!$A$2,"Día actual","Día anterior")</f>
        <v>Día anterior</v>
      </c>
      <c r="C156" t="s">
        <v>38</v>
      </c>
      <c r="D156" t="s">
        <v>41</v>
      </c>
      <c r="E156" t="s">
        <v>174</v>
      </c>
      <c r="F156" t="s">
        <v>25</v>
      </c>
      <c r="G156" t="s">
        <v>139</v>
      </c>
      <c r="H156" t="s">
        <v>11</v>
      </c>
      <c r="I156" t="s">
        <v>7</v>
      </c>
      <c r="J156" t="s">
        <v>75</v>
      </c>
      <c r="K156" t="s">
        <v>39</v>
      </c>
      <c r="L156" t="s">
        <v>78</v>
      </c>
      <c r="M156">
        <v>1</v>
      </c>
    </row>
    <row r="157" spans="1:13" x14ac:dyDescent="0.25">
      <c r="A157" s="1">
        <v>46129</v>
      </c>
      <c r="B157" s="1" t="str">
        <f ca="1">IF(Información1[[#This Row],[Fecha]]='Ajuste de fechas'!$A$2,"Día actual","Día anterior")</f>
        <v>Día anterior</v>
      </c>
      <c r="C157" t="s">
        <v>38</v>
      </c>
      <c r="D157" t="s">
        <v>41</v>
      </c>
      <c r="E157" t="s">
        <v>175</v>
      </c>
      <c r="F157" t="s">
        <v>37</v>
      </c>
      <c r="G157" t="s">
        <v>176</v>
      </c>
      <c r="H157" t="s">
        <v>11</v>
      </c>
      <c r="I157" t="s">
        <v>7</v>
      </c>
      <c r="J157" t="s">
        <v>75</v>
      </c>
      <c r="K157" t="s">
        <v>39</v>
      </c>
      <c r="L157" t="s">
        <v>77</v>
      </c>
      <c r="M157">
        <v>1</v>
      </c>
    </row>
    <row r="158" spans="1:13" x14ac:dyDescent="0.25">
      <c r="A158" s="1">
        <v>46129</v>
      </c>
      <c r="B158" s="1" t="str">
        <f ca="1">IF(Información1[[#This Row],[Fecha]]='Ajuste de fechas'!$A$2,"Día actual","Día anterior")</f>
        <v>Día anterior</v>
      </c>
      <c r="C158" t="s">
        <v>38</v>
      </c>
      <c r="D158" t="s">
        <v>41</v>
      </c>
      <c r="E158" t="s">
        <v>177</v>
      </c>
      <c r="F158" t="s">
        <v>37</v>
      </c>
      <c r="G158" t="s">
        <v>178</v>
      </c>
      <c r="H158" t="s">
        <v>11</v>
      </c>
      <c r="I158" t="s">
        <v>7</v>
      </c>
      <c r="J158" t="s">
        <v>75</v>
      </c>
      <c r="K158" t="s">
        <v>39</v>
      </c>
      <c r="L158" t="s">
        <v>76</v>
      </c>
      <c r="M158">
        <v>1</v>
      </c>
    </row>
    <row r="159" spans="1:13" x14ac:dyDescent="0.25">
      <c r="A159" s="1">
        <v>46129</v>
      </c>
      <c r="B159" s="1" t="str">
        <f ca="1">IF(Información1[[#This Row],[Fecha]]='Ajuste de fechas'!$A$2,"Día actual","Día anterior")</f>
        <v>Día anterior</v>
      </c>
      <c r="C159" t="s">
        <v>38</v>
      </c>
      <c r="D159" t="s">
        <v>41</v>
      </c>
      <c r="E159" t="s">
        <v>179</v>
      </c>
      <c r="F159" t="s">
        <v>28</v>
      </c>
      <c r="G159" t="s">
        <v>180</v>
      </c>
      <c r="H159" t="s">
        <v>11</v>
      </c>
      <c r="I159" t="s">
        <v>7</v>
      </c>
      <c r="J159" t="s">
        <v>75</v>
      </c>
      <c r="K159" t="s">
        <v>39</v>
      </c>
      <c r="L159" t="s">
        <v>76</v>
      </c>
      <c r="M159">
        <v>1</v>
      </c>
    </row>
    <row r="160" spans="1:13" x14ac:dyDescent="0.25">
      <c r="A160" s="1">
        <v>46129</v>
      </c>
      <c r="B160" s="1" t="str">
        <f ca="1">IF(Información1[[#This Row],[Fecha]]='Ajuste de fechas'!$A$2,"Día actual","Día anterior")</f>
        <v>Día anterior</v>
      </c>
      <c r="C160" t="s">
        <v>38</v>
      </c>
      <c r="D160" t="s">
        <v>41</v>
      </c>
      <c r="E160" t="s">
        <v>181</v>
      </c>
      <c r="F160" t="s">
        <v>15</v>
      </c>
      <c r="G160" t="s">
        <v>182</v>
      </c>
      <c r="H160" t="s">
        <v>11</v>
      </c>
      <c r="I160" t="s">
        <v>7</v>
      </c>
      <c r="J160" t="s">
        <v>75</v>
      </c>
      <c r="K160" t="s">
        <v>39</v>
      </c>
      <c r="L160" t="s">
        <v>76</v>
      </c>
      <c r="M160">
        <v>1</v>
      </c>
    </row>
    <row r="161" spans="1:13" x14ac:dyDescent="0.25">
      <c r="A161" s="1">
        <v>46129</v>
      </c>
      <c r="B161" s="1" t="str">
        <f ca="1">IF(Información1[[#This Row],[Fecha]]='Ajuste de fechas'!$A$2,"Día actual","Día anterior")</f>
        <v>Día anterior</v>
      </c>
      <c r="C161" t="s">
        <v>38</v>
      </c>
      <c r="D161" t="s">
        <v>41</v>
      </c>
      <c r="E161" t="s">
        <v>183</v>
      </c>
      <c r="F161" t="s">
        <v>28</v>
      </c>
      <c r="G161" t="s">
        <v>184</v>
      </c>
      <c r="H161" t="s">
        <v>11</v>
      </c>
      <c r="I161" t="s">
        <v>7</v>
      </c>
      <c r="J161" t="s">
        <v>75</v>
      </c>
      <c r="K161" t="s">
        <v>39</v>
      </c>
      <c r="L161" t="s">
        <v>76</v>
      </c>
      <c r="M161">
        <v>1</v>
      </c>
    </row>
    <row r="162" spans="1:13" x14ac:dyDescent="0.25">
      <c r="A162" s="1">
        <v>46129</v>
      </c>
      <c r="B162" s="1" t="str">
        <f ca="1">IF(Información1[[#This Row],[Fecha]]='Ajuste de fechas'!$A$2,"Día actual","Día anterior")</f>
        <v>Día anterior</v>
      </c>
      <c r="C162" t="s">
        <v>38</v>
      </c>
      <c r="D162" t="s">
        <v>41</v>
      </c>
      <c r="E162" t="s">
        <v>185</v>
      </c>
      <c r="F162" t="s">
        <v>23</v>
      </c>
      <c r="G162" t="s">
        <v>182</v>
      </c>
      <c r="H162" t="s">
        <v>11</v>
      </c>
      <c r="I162" t="s">
        <v>7</v>
      </c>
      <c r="J162" t="s">
        <v>80</v>
      </c>
      <c r="K162" t="s">
        <v>39</v>
      </c>
      <c r="L162" t="s">
        <v>76</v>
      </c>
      <c r="M162">
        <v>1</v>
      </c>
    </row>
    <row r="163" spans="1:13" x14ac:dyDescent="0.25">
      <c r="A163" s="1">
        <v>46129</v>
      </c>
      <c r="B163" s="1" t="str">
        <f ca="1">IF(Información1[[#This Row],[Fecha]]='Ajuste de fechas'!$A$2,"Día actual","Día anterior")</f>
        <v>Día anterior</v>
      </c>
      <c r="C163" t="s">
        <v>38</v>
      </c>
      <c r="D163" t="s">
        <v>41</v>
      </c>
      <c r="E163" t="s">
        <v>186</v>
      </c>
      <c r="F163" t="s">
        <v>15</v>
      </c>
      <c r="G163" t="s">
        <v>182</v>
      </c>
      <c r="H163" t="s">
        <v>11</v>
      </c>
      <c r="I163" t="s">
        <v>7</v>
      </c>
      <c r="J163" t="s">
        <v>75</v>
      </c>
      <c r="K163" t="s">
        <v>39</v>
      </c>
      <c r="L163" t="s">
        <v>76</v>
      </c>
      <c r="M163">
        <v>1</v>
      </c>
    </row>
    <row r="164" spans="1:13" x14ac:dyDescent="0.25">
      <c r="A164" s="1">
        <v>46129</v>
      </c>
      <c r="B164" s="1" t="str">
        <f ca="1">IF(Información1[[#This Row],[Fecha]]='Ajuste de fechas'!$A$2,"Día actual","Día anterior")</f>
        <v>Día anterior</v>
      </c>
      <c r="C164" t="s">
        <v>8</v>
      </c>
      <c r="D164" t="s">
        <v>10</v>
      </c>
      <c r="E164" t="s">
        <v>187</v>
      </c>
      <c r="F164" t="s">
        <v>6</v>
      </c>
      <c r="G164" t="s">
        <v>65</v>
      </c>
      <c r="H164" t="s">
        <v>11</v>
      </c>
      <c r="I164" t="s">
        <v>27</v>
      </c>
      <c r="J164" t="s">
        <v>75</v>
      </c>
      <c r="K164" t="s">
        <v>9</v>
      </c>
      <c r="L164" t="s">
        <v>77</v>
      </c>
      <c r="M164">
        <v>1</v>
      </c>
    </row>
    <row r="165" spans="1:13" x14ac:dyDescent="0.25">
      <c r="A165" s="1">
        <v>46129</v>
      </c>
      <c r="B165" s="1" t="str">
        <f ca="1">IF(Información1[[#This Row],[Fecha]]='Ajuste de fechas'!$A$2,"Día actual","Día anterior")</f>
        <v>Día anterior</v>
      </c>
      <c r="C165" t="s">
        <v>8</v>
      </c>
      <c r="D165" t="s">
        <v>10</v>
      </c>
      <c r="E165" t="s">
        <v>188</v>
      </c>
      <c r="F165" t="s">
        <v>6</v>
      </c>
      <c r="G165" t="s">
        <v>65</v>
      </c>
      <c r="H165" t="s">
        <v>11</v>
      </c>
      <c r="I165" t="s">
        <v>27</v>
      </c>
      <c r="J165" t="s">
        <v>75</v>
      </c>
      <c r="K165" t="s">
        <v>9</v>
      </c>
      <c r="L165" t="s">
        <v>77</v>
      </c>
      <c r="M165">
        <v>1</v>
      </c>
    </row>
    <row r="166" spans="1:13" x14ac:dyDescent="0.25">
      <c r="A166" s="1">
        <v>46129</v>
      </c>
      <c r="B166" s="1" t="str">
        <f ca="1">IF(Información1[[#This Row],[Fecha]]='Ajuste de fechas'!$A$2,"Día actual","Día anterior")</f>
        <v>Día anterior</v>
      </c>
      <c r="C166" t="s">
        <v>8</v>
      </c>
      <c r="D166" t="s">
        <v>10</v>
      </c>
      <c r="E166" t="s">
        <v>189</v>
      </c>
      <c r="F166" t="s">
        <v>6</v>
      </c>
      <c r="G166" t="s">
        <v>65</v>
      </c>
      <c r="H166" t="s">
        <v>11</v>
      </c>
      <c r="I166" t="s">
        <v>27</v>
      </c>
      <c r="J166" t="s">
        <v>75</v>
      </c>
      <c r="K166" t="s">
        <v>9</v>
      </c>
      <c r="L166" t="s">
        <v>77</v>
      </c>
      <c r="M166">
        <v>1</v>
      </c>
    </row>
    <row r="167" spans="1:13" x14ac:dyDescent="0.25">
      <c r="A167" s="1">
        <v>46129</v>
      </c>
      <c r="B167" s="1" t="str">
        <f ca="1">IF(Información1[[#This Row],[Fecha]]='Ajuste de fechas'!$A$2,"Día actual","Día anterior")</f>
        <v>Día anterior</v>
      </c>
      <c r="C167" t="s">
        <v>8</v>
      </c>
      <c r="D167" t="s">
        <v>10</v>
      </c>
      <c r="E167" t="s">
        <v>190</v>
      </c>
      <c r="F167" t="s">
        <v>19</v>
      </c>
      <c r="G167" t="s">
        <v>106</v>
      </c>
      <c r="H167" t="s">
        <v>11</v>
      </c>
      <c r="I167" t="s">
        <v>7</v>
      </c>
      <c r="J167" t="s">
        <v>79</v>
      </c>
      <c r="K167" t="s">
        <v>9</v>
      </c>
      <c r="L167" t="s">
        <v>77</v>
      </c>
      <c r="M167">
        <v>1</v>
      </c>
    </row>
    <row r="168" spans="1:13" x14ac:dyDescent="0.25">
      <c r="A168" s="1">
        <v>46129</v>
      </c>
      <c r="B168" s="1" t="str">
        <f ca="1">IF(Información1[[#This Row],[Fecha]]='Ajuste de fechas'!$A$2,"Día actual","Día anterior")</f>
        <v>Día anterior</v>
      </c>
      <c r="C168" t="s">
        <v>8</v>
      </c>
      <c r="D168" t="s">
        <v>10</v>
      </c>
      <c r="E168" t="s">
        <v>191</v>
      </c>
      <c r="F168" t="s">
        <v>23</v>
      </c>
      <c r="G168" t="s">
        <v>94</v>
      </c>
      <c r="H168" t="s">
        <v>11</v>
      </c>
      <c r="I168" t="s">
        <v>7</v>
      </c>
      <c r="J168" t="s">
        <v>80</v>
      </c>
      <c r="K168" t="s">
        <v>14</v>
      </c>
      <c r="L168" t="s">
        <v>77</v>
      </c>
      <c r="M168">
        <v>1</v>
      </c>
    </row>
    <row r="169" spans="1:13" x14ac:dyDescent="0.25">
      <c r="A169" s="1">
        <v>46129</v>
      </c>
      <c r="B169" s="1" t="str">
        <f ca="1">IF(Información1[[#This Row],[Fecha]]='Ajuste de fechas'!$A$2,"Día actual","Día anterior")</f>
        <v>Día anterior</v>
      </c>
      <c r="C169" t="s">
        <v>8</v>
      </c>
      <c r="D169" t="s">
        <v>10</v>
      </c>
      <c r="E169" t="s">
        <v>126</v>
      </c>
      <c r="F169" t="s">
        <v>24</v>
      </c>
      <c r="G169" t="s">
        <v>46</v>
      </c>
      <c r="H169" t="s">
        <v>11</v>
      </c>
      <c r="I169" t="s">
        <v>7</v>
      </c>
      <c r="J169" t="s">
        <v>75</v>
      </c>
      <c r="K169" t="s">
        <v>14</v>
      </c>
      <c r="L169" t="s">
        <v>78</v>
      </c>
      <c r="M169">
        <v>1</v>
      </c>
    </row>
    <row r="170" spans="1:13" x14ac:dyDescent="0.25">
      <c r="A170" s="1">
        <v>46129</v>
      </c>
      <c r="B170" s="1" t="str">
        <f ca="1">IF(Información1[[#This Row],[Fecha]]='Ajuste de fechas'!$A$2,"Día actual","Día anterior")</f>
        <v>Día anterior</v>
      </c>
      <c r="C170" t="s">
        <v>8</v>
      </c>
      <c r="D170" t="s">
        <v>10</v>
      </c>
      <c r="E170" t="s">
        <v>192</v>
      </c>
      <c r="F170" t="s">
        <v>19</v>
      </c>
      <c r="G170" t="s">
        <v>29</v>
      </c>
      <c r="H170" t="s">
        <v>11</v>
      </c>
      <c r="I170" t="s">
        <v>7</v>
      </c>
      <c r="J170" t="s">
        <v>79</v>
      </c>
      <c r="K170" t="s">
        <v>14</v>
      </c>
      <c r="L170" t="s">
        <v>76</v>
      </c>
      <c r="M170">
        <v>1</v>
      </c>
    </row>
    <row r="171" spans="1:13" x14ac:dyDescent="0.25">
      <c r="A171" s="1">
        <v>46129</v>
      </c>
      <c r="B171" s="1" t="str">
        <f ca="1">IF(Información1[[#This Row],[Fecha]]='Ajuste de fechas'!$A$2,"Día actual","Día anterior")</f>
        <v>Día anterior</v>
      </c>
      <c r="C171" t="s">
        <v>8</v>
      </c>
      <c r="D171" t="s">
        <v>10</v>
      </c>
      <c r="E171" t="s">
        <v>193</v>
      </c>
      <c r="F171" t="s">
        <v>22</v>
      </c>
      <c r="G171" t="s">
        <v>111</v>
      </c>
      <c r="H171" t="s">
        <v>11</v>
      </c>
      <c r="I171" t="s">
        <v>7</v>
      </c>
      <c r="J171" t="s">
        <v>26</v>
      </c>
      <c r="K171" t="s">
        <v>14</v>
      </c>
      <c r="L171" t="s">
        <v>76</v>
      </c>
      <c r="M171">
        <v>1</v>
      </c>
    </row>
    <row r="172" spans="1:13" x14ac:dyDescent="0.25">
      <c r="A172" s="1">
        <v>46129</v>
      </c>
      <c r="B172" s="1" t="str">
        <f ca="1">IF(Información1[[#This Row],[Fecha]]='Ajuste de fechas'!$A$2,"Día actual","Día anterior")</f>
        <v>Día anterior</v>
      </c>
      <c r="C172" t="s">
        <v>8</v>
      </c>
      <c r="D172" t="s">
        <v>10</v>
      </c>
      <c r="E172" t="s">
        <v>194</v>
      </c>
      <c r="F172" t="s">
        <v>23</v>
      </c>
      <c r="G172" t="s">
        <v>182</v>
      </c>
      <c r="H172" t="s">
        <v>11</v>
      </c>
      <c r="I172" t="s">
        <v>7</v>
      </c>
      <c r="J172" t="s">
        <v>80</v>
      </c>
      <c r="K172" t="s">
        <v>14</v>
      </c>
      <c r="L172" t="s">
        <v>76</v>
      </c>
      <c r="M172">
        <v>1</v>
      </c>
    </row>
    <row r="173" spans="1:13" x14ac:dyDescent="0.25">
      <c r="A173" s="1">
        <v>46129</v>
      </c>
      <c r="B173" s="1" t="str">
        <f ca="1">IF(Información1[[#This Row],[Fecha]]='Ajuste de fechas'!$A$2,"Día actual","Día anterior")</f>
        <v>Día anterior</v>
      </c>
      <c r="C173" t="s">
        <v>8</v>
      </c>
      <c r="D173" t="s">
        <v>10</v>
      </c>
      <c r="E173" t="s">
        <v>115</v>
      </c>
      <c r="F173" t="s">
        <v>15</v>
      </c>
      <c r="G173" t="s">
        <v>182</v>
      </c>
      <c r="H173" t="s">
        <v>11</v>
      </c>
      <c r="I173" t="s">
        <v>7</v>
      </c>
      <c r="J173" t="s">
        <v>75</v>
      </c>
      <c r="K173" t="s">
        <v>14</v>
      </c>
      <c r="L173" t="s">
        <v>76</v>
      </c>
      <c r="M173">
        <v>1</v>
      </c>
    </row>
    <row r="174" spans="1:13" x14ac:dyDescent="0.25">
      <c r="A174" s="1">
        <v>46129</v>
      </c>
      <c r="B174" s="1" t="str">
        <f ca="1">IF(Información1[[#This Row],[Fecha]]='Ajuste de fechas'!$A$2,"Día actual","Día anterior")</f>
        <v>Día anterior</v>
      </c>
      <c r="C174" t="s">
        <v>8</v>
      </c>
      <c r="D174" t="s">
        <v>10</v>
      </c>
      <c r="E174" t="s">
        <v>195</v>
      </c>
      <c r="F174" t="s">
        <v>6</v>
      </c>
      <c r="G174" t="s">
        <v>91</v>
      </c>
      <c r="H174" t="s">
        <v>11</v>
      </c>
      <c r="I174" t="s">
        <v>7</v>
      </c>
      <c r="J174" t="s">
        <v>75</v>
      </c>
      <c r="K174" t="s">
        <v>14</v>
      </c>
      <c r="L174" t="s">
        <v>76</v>
      </c>
      <c r="M174">
        <v>1</v>
      </c>
    </row>
    <row r="175" spans="1:13" x14ac:dyDescent="0.25">
      <c r="A175" s="1">
        <v>46129</v>
      </c>
      <c r="B175" s="1" t="str">
        <f ca="1">IF(Información1[[#This Row],[Fecha]]='Ajuste de fechas'!$A$2,"Día actual","Día anterior")</f>
        <v>Día anterior</v>
      </c>
      <c r="C175" t="s">
        <v>8</v>
      </c>
      <c r="D175" t="s">
        <v>10</v>
      </c>
      <c r="E175" t="s">
        <v>113</v>
      </c>
      <c r="F175" t="s">
        <v>6</v>
      </c>
      <c r="G175" t="s">
        <v>108</v>
      </c>
      <c r="H175" t="s">
        <v>11</v>
      </c>
      <c r="I175" t="s">
        <v>7</v>
      </c>
      <c r="J175" t="s">
        <v>75</v>
      </c>
      <c r="K175" t="s">
        <v>14</v>
      </c>
      <c r="L175" t="s">
        <v>78</v>
      </c>
      <c r="M175">
        <v>1</v>
      </c>
    </row>
    <row r="176" spans="1:13" x14ac:dyDescent="0.25">
      <c r="A176" s="1">
        <v>46129</v>
      </c>
      <c r="B176" s="1" t="str">
        <f ca="1">IF(Información1[[#This Row],[Fecha]]='Ajuste de fechas'!$A$2,"Día actual","Día anterior")</f>
        <v>Día anterior</v>
      </c>
      <c r="C176" t="s">
        <v>8</v>
      </c>
      <c r="D176" t="s">
        <v>10</v>
      </c>
      <c r="E176" t="s">
        <v>20</v>
      </c>
      <c r="F176" t="s">
        <v>19</v>
      </c>
      <c r="G176" t="s">
        <v>66</v>
      </c>
      <c r="H176" t="s">
        <v>11</v>
      </c>
      <c r="I176" t="s">
        <v>12</v>
      </c>
      <c r="J176" t="s">
        <v>79</v>
      </c>
      <c r="K176" t="s">
        <v>14</v>
      </c>
      <c r="L176" t="s">
        <v>77</v>
      </c>
      <c r="M176">
        <v>1</v>
      </c>
    </row>
    <row r="177" spans="1:13" x14ac:dyDescent="0.25">
      <c r="A177" s="1">
        <v>46129</v>
      </c>
      <c r="B177" s="1" t="str">
        <f ca="1">IF(Información1[[#This Row],[Fecha]]='Ajuste de fechas'!$A$2,"Día actual","Día anterior")</f>
        <v>Día anterior</v>
      </c>
      <c r="C177" t="s">
        <v>8</v>
      </c>
      <c r="D177" t="s">
        <v>10</v>
      </c>
      <c r="E177" t="s">
        <v>18</v>
      </c>
      <c r="F177" t="s">
        <v>19</v>
      </c>
      <c r="G177" t="s">
        <v>66</v>
      </c>
      <c r="H177" t="s">
        <v>11</v>
      </c>
      <c r="I177" t="s">
        <v>12</v>
      </c>
      <c r="J177" t="s">
        <v>79</v>
      </c>
      <c r="K177" t="s">
        <v>14</v>
      </c>
      <c r="L177" t="s">
        <v>77</v>
      </c>
      <c r="M177">
        <v>1</v>
      </c>
    </row>
    <row r="178" spans="1:13" x14ac:dyDescent="0.25">
      <c r="A178" s="1">
        <v>46129</v>
      </c>
      <c r="B178" s="1" t="str">
        <f ca="1">IF(Información1[[#This Row],[Fecha]]='Ajuste de fechas'!$A$2,"Día actual","Día anterior")</f>
        <v>Día anterior</v>
      </c>
      <c r="C178" t="s">
        <v>8</v>
      </c>
      <c r="D178" t="s">
        <v>10</v>
      </c>
      <c r="E178" t="s">
        <v>62</v>
      </c>
      <c r="F178" t="s">
        <v>22</v>
      </c>
      <c r="G178" t="s">
        <v>66</v>
      </c>
      <c r="H178" t="s">
        <v>11</v>
      </c>
      <c r="I178" t="s">
        <v>12</v>
      </c>
      <c r="J178" t="s">
        <v>26</v>
      </c>
      <c r="K178" t="s">
        <v>14</v>
      </c>
      <c r="L178" t="s">
        <v>77</v>
      </c>
      <c r="M178">
        <v>1</v>
      </c>
    </row>
    <row r="179" spans="1:13" x14ac:dyDescent="0.25">
      <c r="A179" s="1">
        <v>46129</v>
      </c>
      <c r="B179" s="1" t="str">
        <f ca="1">IF(Información1[[#This Row],[Fecha]]='Ajuste de fechas'!$A$2,"Día actual","Día anterior")</f>
        <v>Día anterior</v>
      </c>
      <c r="C179" t="s">
        <v>8</v>
      </c>
      <c r="D179" t="s">
        <v>10</v>
      </c>
      <c r="E179" t="s">
        <v>85</v>
      </c>
      <c r="F179" t="s">
        <v>21</v>
      </c>
      <c r="G179" t="s">
        <v>66</v>
      </c>
      <c r="H179" t="s">
        <v>11</v>
      </c>
      <c r="I179" t="s">
        <v>12</v>
      </c>
      <c r="J179" t="s">
        <v>75</v>
      </c>
      <c r="K179" t="s">
        <v>14</v>
      </c>
      <c r="L179" t="s">
        <v>77</v>
      </c>
      <c r="M179">
        <v>1</v>
      </c>
    </row>
    <row r="180" spans="1:13" x14ac:dyDescent="0.25">
      <c r="A180" s="1">
        <v>46129</v>
      </c>
      <c r="B180" s="1" t="str">
        <f ca="1">IF(Información1[[#This Row],[Fecha]]='Ajuste de fechas'!$A$2,"Día actual","Día anterior")</f>
        <v>Día anterior</v>
      </c>
      <c r="C180" t="s">
        <v>8</v>
      </c>
      <c r="D180" t="s">
        <v>10</v>
      </c>
      <c r="E180" t="s">
        <v>13</v>
      </c>
      <c r="F180" t="s">
        <v>15</v>
      </c>
      <c r="G180" t="s">
        <v>66</v>
      </c>
      <c r="H180" t="s">
        <v>11</v>
      </c>
      <c r="I180" t="s">
        <v>12</v>
      </c>
      <c r="J180" t="s">
        <v>75</v>
      </c>
      <c r="K180" t="s">
        <v>14</v>
      </c>
      <c r="L180" t="s">
        <v>77</v>
      </c>
      <c r="M180">
        <v>1</v>
      </c>
    </row>
    <row r="181" spans="1:13" x14ac:dyDescent="0.25">
      <c r="A181" s="1">
        <v>46129</v>
      </c>
      <c r="B181" s="1" t="str">
        <f ca="1">IF(Información1[[#This Row],[Fecha]]='Ajuste de fechas'!$A$2,"Día actual","Día anterior")</f>
        <v>Día anterior</v>
      </c>
      <c r="C181" t="s">
        <v>8</v>
      </c>
      <c r="D181" t="s">
        <v>10</v>
      </c>
      <c r="E181" t="s">
        <v>16</v>
      </c>
      <c r="F181" t="s">
        <v>17</v>
      </c>
      <c r="G181" t="s">
        <v>66</v>
      </c>
      <c r="H181" t="s">
        <v>11</v>
      </c>
      <c r="I181" t="s">
        <v>12</v>
      </c>
      <c r="J181" t="s">
        <v>75</v>
      </c>
      <c r="K181" t="s">
        <v>14</v>
      </c>
      <c r="L181" t="s">
        <v>77</v>
      </c>
      <c r="M181">
        <v>1</v>
      </c>
    </row>
    <row r="182" spans="1:13" x14ac:dyDescent="0.25">
      <c r="A182" s="1">
        <v>46129</v>
      </c>
      <c r="B182" s="1" t="str">
        <f ca="1">IF(Información1[[#This Row],[Fecha]]='Ajuste de fechas'!$A$2,"Día actual","Día anterior")</f>
        <v>Día anterior</v>
      </c>
      <c r="C182" t="s">
        <v>8</v>
      </c>
      <c r="D182" t="s">
        <v>10</v>
      </c>
      <c r="E182" t="s">
        <v>68</v>
      </c>
      <c r="F182" t="s">
        <v>6</v>
      </c>
      <c r="G182" t="s">
        <v>66</v>
      </c>
      <c r="H182" t="s">
        <v>11</v>
      </c>
      <c r="I182" t="s">
        <v>12</v>
      </c>
      <c r="J182" t="s">
        <v>75</v>
      </c>
      <c r="K182" t="s">
        <v>14</v>
      </c>
      <c r="L182" t="s">
        <v>77</v>
      </c>
      <c r="M182">
        <v>1</v>
      </c>
    </row>
    <row r="183" spans="1:13" x14ac:dyDescent="0.25">
      <c r="A183" s="1">
        <v>46129</v>
      </c>
      <c r="B183" s="1" t="str">
        <f ca="1">IF(Información1[[#This Row],[Fecha]]='Ajuste de fechas'!$A$2,"Día actual","Día anterior")</f>
        <v>Día anterior</v>
      </c>
      <c r="C183" t="s">
        <v>57</v>
      </c>
      <c r="D183" t="s">
        <v>58</v>
      </c>
      <c r="E183" t="s">
        <v>196</v>
      </c>
      <c r="F183" t="s">
        <v>15</v>
      </c>
      <c r="G183" t="s">
        <v>123</v>
      </c>
      <c r="H183" t="s">
        <v>11</v>
      </c>
      <c r="I183" t="s">
        <v>7</v>
      </c>
      <c r="J183" t="s">
        <v>75</v>
      </c>
      <c r="K183" t="s">
        <v>59</v>
      </c>
      <c r="L183" t="s">
        <v>76</v>
      </c>
      <c r="M183">
        <v>1</v>
      </c>
    </row>
    <row r="184" spans="1:13" x14ac:dyDescent="0.25">
      <c r="A184" s="1">
        <v>46129</v>
      </c>
      <c r="B184" s="1" t="str">
        <f ca="1">IF(Información1[[#This Row],[Fecha]]='Ajuste de fechas'!$A$2,"Día actual","Día anterior")</f>
        <v>Día anterior</v>
      </c>
      <c r="C184" t="s">
        <v>57</v>
      </c>
      <c r="D184" t="s">
        <v>58</v>
      </c>
      <c r="E184" t="s">
        <v>197</v>
      </c>
      <c r="F184" t="s">
        <v>19</v>
      </c>
      <c r="G184" t="s">
        <v>137</v>
      </c>
      <c r="H184" t="s">
        <v>11</v>
      </c>
      <c r="I184" t="s">
        <v>7</v>
      </c>
      <c r="J184" t="s">
        <v>79</v>
      </c>
      <c r="K184" t="s">
        <v>59</v>
      </c>
      <c r="L184" t="s">
        <v>76</v>
      </c>
      <c r="M184">
        <v>1</v>
      </c>
    </row>
    <row r="185" spans="1:13" x14ac:dyDescent="0.25">
      <c r="A185" s="1">
        <v>46129</v>
      </c>
      <c r="B185" s="1" t="str">
        <f ca="1">IF(Información1[[#This Row],[Fecha]]='Ajuste de fechas'!$A$2,"Día actual","Día anterior")</f>
        <v>Día anterior</v>
      </c>
      <c r="C185" t="s">
        <v>57</v>
      </c>
      <c r="D185" t="s">
        <v>58</v>
      </c>
      <c r="E185" t="s">
        <v>198</v>
      </c>
      <c r="F185" t="s">
        <v>60</v>
      </c>
      <c r="G185" t="s">
        <v>129</v>
      </c>
      <c r="H185" t="s">
        <v>11</v>
      </c>
      <c r="I185" t="s">
        <v>7</v>
      </c>
      <c r="J185" t="s">
        <v>75</v>
      </c>
      <c r="K185" t="s">
        <v>59</v>
      </c>
      <c r="L185" t="s">
        <v>78</v>
      </c>
      <c r="M185">
        <v>1</v>
      </c>
    </row>
    <row r="186" spans="1:13" x14ac:dyDescent="0.25">
      <c r="A186" s="1">
        <v>46129</v>
      </c>
      <c r="B186" s="1" t="str">
        <f ca="1">IF(Información1[[#This Row],[Fecha]]='Ajuste de fechas'!$A$2,"Día actual","Día anterior")</f>
        <v>Día anterior</v>
      </c>
      <c r="C186" t="s">
        <v>57</v>
      </c>
      <c r="D186" t="s">
        <v>58</v>
      </c>
      <c r="E186" t="s">
        <v>199</v>
      </c>
      <c r="F186" t="s">
        <v>50</v>
      </c>
      <c r="G186" t="s">
        <v>200</v>
      </c>
      <c r="H186" t="s">
        <v>11</v>
      </c>
      <c r="I186" t="s">
        <v>27</v>
      </c>
      <c r="J186" t="s">
        <v>75</v>
      </c>
      <c r="K186" t="s">
        <v>59</v>
      </c>
      <c r="L186" t="s">
        <v>76</v>
      </c>
      <c r="M186">
        <v>1</v>
      </c>
    </row>
    <row r="187" spans="1:13" x14ac:dyDescent="0.25">
      <c r="A187" s="1">
        <v>46129</v>
      </c>
      <c r="B187" s="1" t="str">
        <f ca="1">IF(Información1[[#This Row],[Fecha]]='Ajuste de fechas'!$A$2,"Día actual","Día anterior")</f>
        <v>Día anterior</v>
      </c>
      <c r="C187" t="s">
        <v>57</v>
      </c>
      <c r="D187" t="s">
        <v>58</v>
      </c>
      <c r="E187" t="s">
        <v>201</v>
      </c>
      <c r="F187" t="s">
        <v>24</v>
      </c>
      <c r="G187" t="s">
        <v>90</v>
      </c>
      <c r="H187" t="s">
        <v>11</v>
      </c>
      <c r="I187" t="s">
        <v>7</v>
      </c>
      <c r="J187" t="s">
        <v>75</v>
      </c>
      <c r="K187" t="s">
        <v>59</v>
      </c>
      <c r="L187" t="s">
        <v>78</v>
      </c>
      <c r="M187">
        <v>1</v>
      </c>
    </row>
    <row r="188" spans="1:13" x14ac:dyDescent="0.25">
      <c r="A188" s="1">
        <v>46129</v>
      </c>
      <c r="B188" s="1" t="str">
        <f ca="1">IF(Información1[[#This Row],[Fecha]]='Ajuste de fechas'!$A$2,"Día actual","Día anterior")</f>
        <v>Día anterior</v>
      </c>
      <c r="C188" t="s">
        <v>57</v>
      </c>
      <c r="D188" t="s">
        <v>58</v>
      </c>
      <c r="E188" t="s">
        <v>109</v>
      </c>
      <c r="F188" t="s">
        <v>19</v>
      </c>
      <c r="G188" t="s">
        <v>110</v>
      </c>
      <c r="H188" t="s">
        <v>11</v>
      </c>
      <c r="I188" t="s">
        <v>7</v>
      </c>
      <c r="J188" t="s">
        <v>79</v>
      </c>
      <c r="K188" t="s">
        <v>59</v>
      </c>
      <c r="L188" t="s">
        <v>76</v>
      </c>
      <c r="M188">
        <v>1</v>
      </c>
    </row>
    <row r="189" spans="1:13" x14ac:dyDescent="0.25">
      <c r="A189" s="1">
        <v>46129</v>
      </c>
      <c r="B189" s="1" t="str">
        <f ca="1">IF(Información1[[#This Row],[Fecha]]='Ajuste de fechas'!$A$2,"Día actual","Día anterior")</f>
        <v>Día anterior</v>
      </c>
      <c r="C189" t="s">
        <v>57</v>
      </c>
      <c r="D189" t="s">
        <v>58</v>
      </c>
      <c r="E189" t="s">
        <v>202</v>
      </c>
      <c r="F189" t="s">
        <v>19</v>
      </c>
      <c r="G189" t="s">
        <v>64</v>
      </c>
      <c r="H189" t="s">
        <v>11</v>
      </c>
      <c r="I189" t="s">
        <v>7</v>
      </c>
      <c r="J189" t="s">
        <v>79</v>
      </c>
      <c r="K189" t="s">
        <v>59</v>
      </c>
      <c r="L189" t="s">
        <v>76</v>
      </c>
      <c r="M189">
        <v>1</v>
      </c>
    </row>
    <row r="190" spans="1:13" x14ac:dyDescent="0.25">
      <c r="A190" s="1">
        <v>46129</v>
      </c>
      <c r="B190" s="1" t="str">
        <f ca="1">IF(Información1[[#This Row],[Fecha]]='Ajuste de fechas'!$A$2,"Día actual","Día anterior")</f>
        <v>Día anterior</v>
      </c>
      <c r="C190" t="s">
        <v>57</v>
      </c>
      <c r="D190" t="s">
        <v>58</v>
      </c>
      <c r="E190" t="s">
        <v>203</v>
      </c>
      <c r="F190" t="s">
        <v>19</v>
      </c>
      <c r="G190" t="s">
        <v>204</v>
      </c>
      <c r="H190" t="s">
        <v>11</v>
      </c>
      <c r="I190" t="s">
        <v>7</v>
      </c>
      <c r="J190" t="s">
        <v>79</v>
      </c>
      <c r="K190" t="s">
        <v>59</v>
      </c>
      <c r="L190" t="s">
        <v>76</v>
      </c>
      <c r="M190">
        <v>1</v>
      </c>
    </row>
    <row r="191" spans="1:13" x14ac:dyDescent="0.25">
      <c r="A191" s="1">
        <v>46129</v>
      </c>
      <c r="B191" s="1" t="str">
        <f ca="1">IF(Información1[[#This Row],[Fecha]]='Ajuste de fechas'!$A$2,"Día actual","Día anterior")</f>
        <v>Día anterior</v>
      </c>
      <c r="C191" t="s">
        <v>57</v>
      </c>
      <c r="D191" t="s">
        <v>58</v>
      </c>
      <c r="E191" t="s">
        <v>205</v>
      </c>
      <c r="F191" t="s">
        <v>47</v>
      </c>
      <c r="G191" t="s">
        <v>119</v>
      </c>
      <c r="H191" t="s">
        <v>11</v>
      </c>
      <c r="I191" t="s">
        <v>7</v>
      </c>
      <c r="J191" t="s">
        <v>75</v>
      </c>
      <c r="K191" t="s">
        <v>59</v>
      </c>
      <c r="L191" t="s">
        <v>76</v>
      </c>
      <c r="M191">
        <v>1</v>
      </c>
    </row>
    <row r="192" spans="1:13" x14ac:dyDescent="0.25">
      <c r="A192" s="1">
        <v>46129</v>
      </c>
      <c r="B192" s="1" t="str">
        <f ca="1">IF(Información1[[#This Row],[Fecha]]='Ajuste de fechas'!$A$2,"Día actual","Día anterior")</f>
        <v>Día anterior</v>
      </c>
      <c r="C192" t="s">
        <v>57</v>
      </c>
      <c r="D192" t="s">
        <v>58</v>
      </c>
      <c r="E192" t="s">
        <v>206</v>
      </c>
      <c r="F192" t="s">
        <v>23</v>
      </c>
      <c r="G192" t="s">
        <v>182</v>
      </c>
      <c r="H192" t="s">
        <v>11</v>
      </c>
      <c r="I192" t="s">
        <v>27</v>
      </c>
      <c r="J192" t="s">
        <v>80</v>
      </c>
      <c r="K192" t="s">
        <v>59</v>
      </c>
      <c r="L192" t="s">
        <v>77</v>
      </c>
      <c r="M192">
        <v>1</v>
      </c>
    </row>
    <row r="193" spans="1:13" x14ac:dyDescent="0.25">
      <c r="A193" s="1">
        <v>46129</v>
      </c>
      <c r="B193" s="1" t="str">
        <f ca="1">IF(Información1[[#This Row],[Fecha]]='Ajuste de fechas'!$A$2,"Día actual","Día anterior")</f>
        <v>Día anterior</v>
      </c>
      <c r="C193" t="s">
        <v>57</v>
      </c>
      <c r="D193" t="s">
        <v>58</v>
      </c>
      <c r="E193" t="s">
        <v>207</v>
      </c>
      <c r="F193" t="s">
        <v>28</v>
      </c>
      <c r="G193" t="s">
        <v>182</v>
      </c>
      <c r="H193" t="s">
        <v>11</v>
      </c>
      <c r="I193" t="s">
        <v>7</v>
      </c>
      <c r="J193" t="s">
        <v>75</v>
      </c>
      <c r="K193" t="s">
        <v>59</v>
      </c>
      <c r="L193" t="s">
        <v>76</v>
      </c>
      <c r="M193">
        <v>1</v>
      </c>
    </row>
    <row r="194" spans="1:13" x14ac:dyDescent="0.25">
      <c r="A194" s="1">
        <v>46129</v>
      </c>
      <c r="B194" s="1" t="str">
        <f ca="1">IF(Información1[[#This Row],[Fecha]]='Ajuste de fechas'!$A$2,"Día actual","Día anterior")</f>
        <v>Día anterior</v>
      </c>
      <c r="C194" t="s">
        <v>57</v>
      </c>
      <c r="D194" t="s">
        <v>58</v>
      </c>
      <c r="E194" t="s">
        <v>208</v>
      </c>
      <c r="F194" t="s">
        <v>22</v>
      </c>
      <c r="G194" t="s">
        <v>87</v>
      </c>
      <c r="H194" t="s">
        <v>11</v>
      </c>
      <c r="I194" t="s">
        <v>7</v>
      </c>
      <c r="J194" t="s">
        <v>26</v>
      </c>
      <c r="K194" t="s">
        <v>59</v>
      </c>
      <c r="L194" t="s">
        <v>76</v>
      </c>
      <c r="M194">
        <v>1</v>
      </c>
    </row>
    <row r="195" spans="1:13" x14ac:dyDescent="0.25">
      <c r="A195" s="1">
        <v>46129</v>
      </c>
      <c r="B195" s="1" t="str">
        <f ca="1">IF(Información1[[#This Row],[Fecha]]='Ajuste de fechas'!$A$2,"Día actual","Día anterior")</f>
        <v>Día anterior</v>
      </c>
      <c r="C195" t="s">
        <v>57</v>
      </c>
      <c r="D195" t="s">
        <v>58</v>
      </c>
      <c r="E195" t="s">
        <v>209</v>
      </c>
      <c r="F195" t="s">
        <v>19</v>
      </c>
      <c r="G195" t="s">
        <v>98</v>
      </c>
      <c r="H195" t="s">
        <v>11</v>
      </c>
      <c r="I195" t="s">
        <v>7</v>
      </c>
      <c r="J195" t="s">
        <v>79</v>
      </c>
      <c r="K195" t="s">
        <v>59</v>
      </c>
      <c r="L195" t="s">
        <v>76</v>
      </c>
      <c r="M195">
        <v>1</v>
      </c>
    </row>
    <row r="196" spans="1:13" x14ac:dyDescent="0.25">
      <c r="A196" s="1">
        <v>46129</v>
      </c>
      <c r="B196" s="1" t="str">
        <f ca="1">IF(Información1[[#This Row],[Fecha]]='Ajuste de fechas'!$A$2,"Día actual","Día anterior")</f>
        <v>Día anterior</v>
      </c>
      <c r="C196" t="s">
        <v>57</v>
      </c>
      <c r="D196" t="s">
        <v>58</v>
      </c>
      <c r="E196" t="s">
        <v>210</v>
      </c>
      <c r="F196" t="s">
        <v>22</v>
      </c>
      <c r="G196" t="s">
        <v>211</v>
      </c>
      <c r="H196" t="s">
        <v>11</v>
      </c>
      <c r="I196" t="s">
        <v>7</v>
      </c>
      <c r="J196" t="s">
        <v>26</v>
      </c>
      <c r="K196" t="s">
        <v>59</v>
      </c>
      <c r="L196" t="s">
        <v>76</v>
      </c>
      <c r="M196">
        <v>1</v>
      </c>
    </row>
    <row r="197" spans="1:13" x14ac:dyDescent="0.25">
      <c r="A197" s="1">
        <v>46129</v>
      </c>
      <c r="B197" s="1" t="str">
        <f ca="1">IF(Información1[[#This Row],[Fecha]]='Ajuste de fechas'!$A$2,"Día actual","Día anterior")</f>
        <v>Día anterior</v>
      </c>
      <c r="C197" t="s">
        <v>57</v>
      </c>
      <c r="D197" t="s">
        <v>58</v>
      </c>
      <c r="E197" t="s">
        <v>212</v>
      </c>
      <c r="F197" t="s">
        <v>24</v>
      </c>
      <c r="G197" t="s">
        <v>213</v>
      </c>
      <c r="H197" t="s">
        <v>11</v>
      </c>
      <c r="I197" t="s">
        <v>7</v>
      </c>
      <c r="J197" t="s">
        <v>75</v>
      </c>
      <c r="K197" t="s">
        <v>59</v>
      </c>
      <c r="L197" t="s">
        <v>76</v>
      </c>
      <c r="M197">
        <v>1</v>
      </c>
    </row>
    <row r="198" spans="1:13" x14ac:dyDescent="0.25">
      <c r="A198" s="1">
        <v>46129</v>
      </c>
      <c r="B198" s="1" t="str">
        <f ca="1">IF(Información1[[#This Row],[Fecha]]='Ajuste de fechas'!$A$2,"Día actual","Día anterior")</f>
        <v>Día anterior</v>
      </c>
      <c r="C198" t="s">
        <v>57</v>
      </c>
      <c r="D198" t="s">
        <v>58</v>
      </c>
      <c r="E198" t="s">
        <v>214</v>
      </c>
      <c r="F198" t="s">
        <v>22</v>
      </c>
      <c r="G198" t="s">
        <v>111</v>
      </c>
      <c r="H198" t="s">
        <v>11</v>
      </c>
      <c r="I198" t="s">
        <v>7</v>
      </c>
      <c r="J198" t="s">
        <v>26</v>
      </c>
      <c r="K198" t="s">
        <v>59</v>
      </c>
      <c r="L198" t="s">
        <v>76</v>
      </c>
      <c r="M198">
        <v>1</v>
      </c>
    </row>
    <row r="199" spans="1:13" x14ac:dyDescent="0.25">
      <c r="A199" s="1">
        <v>46129</v>
      </c>
      <c r="B199" s="1" t="str">
        <f ca="1">IF(Información1[[#This Row],[Fecha]]='Ajuste de fechas'!$A$2,"Día actual","Día anterior")</f>
        <v>Día anterior</v>
      </c>
      <c r="C199" t="s">
        <v>57</v>
      </c>
      <c r="D199" t="s">
        <v>58</v>
      </c>
      <c r="E199" t="s">
        <v>112</v>
      </c>
      <c r="F199" t="s">
        <v>22</v>
      </c>
      <c r="G199" t="s">
        <v>63</v>
      </c>
      <c r="H199" t="s">
        <v>11</v>
      </c>
      <c r="I199" t="s">
        <v>7</v>
      </c>
      <c r="J199" t="s">
        <v>26</v>
      </c>
      <c r="K199" t="s">
        <v>9</v>
      </c>
      <c r="L199" t="s">
        <v>76</v>
      </c>
      <c r="M199">
        <v>1</v>
      </c>
    </row>
    <row r="200" spans="1:13" x14ac:dyDescent="0.25">
      <c r="A200" s="1">
        <v>46129</v>
      </c>
      <c r="B200" s="1" t="str">
        <f ca="1">IF(Información1[[#This Row],[Fecha]]='Ajuste de fechas'!$A$2,"Día actual","Día anterior")</f>
        <v>Día anterior</v>
      </c>
      <c r="C200" t="s">
        <v>57</v>
      </c>
      <c r="D200" t="s">
        <v>58</v>
      </c>
      <c r="E200" t="s">
        <v>215</v>
      </c>
      <c r="F200" t="s">
        <v>50</v>
      </c>
      <c r="G200" t="s">
        <v>216</v>
      </c>
      <c r="H200" t="s">
        <v>11</v>
      </c>
      <c r="I200" t="s">
        <v>7</v>
      </c>
      <c r="J200" t="s">
        <v>75</v>
      </c>
      <c r="K200" t="s">
        <v>9</v>
      </c>
      <c r="L200" t="s">
        <v>77</v>
      </c>
      <c r="M200">
        <v>1</v>
      </c>
    </row>
    <row r="201" spans="1:13" x14ac:dyDescent="0.25">
      <c r="A201" s="1">
        <v>46129</v>
      </c>
      <c r="B201" s="1" t="str">
        <f ca="1">IF(Información1[[#This Row],[Fecha]]='Ajuste de fechas'!$A$2,"Día actual","Día anterior")</f>
        <v>Día anterior</v>
      </c>
      <c r="C201" t="s">
        <v>57</v>
      </c>
      <c r="D201" t="s">
        <v>58</v>
      </c>
      <c r="E201" t="s">
        <v>217</v>
      </c>
      <c r="F201" t="s">
        <v>21</v>
      </c>
      <c r="G201" t="s">
        <v>218</v>
      </c>
      <c r="H201" t="s">
        <v>11</v>
      </c>
      <c r="I201" t="s">
        <v>7</v>
      </c>
      <c r="J201" t="s">
        <v>75</v>
      </c>
      <c r="K201" t="s">
        <v>59</v>
      </c>
      <c r="L201" t="s">
        <v>78</v>
      </c>
      <c r="M201">
        <v>1</v>
      </c>
    </row>
    <row r="202" spans="1:13" x14ac:dyDescent="0.25">
      <c r="A202" s="1">
        <v>46129</v>
      </c>
      <c r="B202" s="1" t="str">
        <f ca="1">IF(Información1[[#This Row],[Fecha]]='Ajuste de fechas'!$A$2,"Día actual","Día anterior")</f>
        <v>Día anterior</v>
      </c>
      <c r="C202" t="s">
        <v>57</v>
      </c>
      <c r="D202" t="s">
        <v>58</v>
      </c>
      <c r="E202" t="s">
        <v>102</v>
      </c>
      <c r="F202" t="s">
        <v>19</v>
      </c>
      <c r="G202" t="s">
        <v>46</v>
      </c>
      <c r="H202" t="s">
        <v>11</v>
      </c>
      <c r="I202" t="s">
        <v>7</v>
      </c>
      <c r="J202" t="s">
        <v>79</v>
      </c>
      <c r="K202" t="s">
        <v>59</v>
      </c>
      <c r="L202" t="s">
        <v>76</v>
      </c>
      <c r="M202">
        <v>1</v>
      </c>
    </row>
    <row r="203" spans="1:13" x14ac:dyDescent="0.25">
      <c r="A203" s="1">
        <v>46129</v>
      </c>
      <c r="B203" s="1" t="str">
        <f ca="1">IF(Información1[[#This Row],[Fecha]]='Ajuste de fechas'!$A$2,"Día actual","Día anterior")</f>
        <v>Día anterior</v>
      </c>
      <c r="C203" t="s">
        <v>57</v>
      </c>
      <c r="D203" t="s">
        <v>58</v>
      </c>
      <c r="E203" t="s">
        <v>219</v>
      </c>
      <c r="F203" t="s">
        <v>22</v>
      </c>
      <c r="G203" t="s">
        <v>220</v>
      </c>
      <c r="H203" t="s">
        <v>11</v>
      </c>
      <c r="I203" t="s">
        <v>7</v>
      </c>
      <c r="J203" t="s">
        <v>26</v>
      </c>
      <c r="K203" t="s">
        <v>59</v>
      </c>
      <c r="L203" t="s">
        <v>76</v>
      </c>
      <c r="M203">
        <v>1</v>
      </c>
    </row>
    <row r="204" spans="1:13" x14ac:dyDescent="0.25">
      <c r="A204" s="1">
        <v>46129</v>
      </c>
      <c r="B204" s="1" t="str">
        <f ca="1">IF(Información1[[#This Row],[Fecha]]='Ajuste de fechas'!$A$2,"Día actual","Día anterior")</f>
        <v>Día anterior</v>
      </c>
      <c r="C204" t="s">
        <v>57</v>
      </c>
      <c r="D204" t="s">
        <v>58</v>
      </c>
      <c r="E204" t="s">
        <v>221</v>
      </c>
      <c r="F204" t="s">
        <v>19</v>
      </c>
      <c r="G204" t="s">
        <v>106</v>
      </c>
      <c r="H204" t="s">
        <v>11</v>
      </c>
      <c r="I204" t="s">
        <v>7</v>
      </c>
      <c r="J204" t="s">
        <v>79</v>
      </c>
      <c r="K204" t="s">
        <v>59</v>
      </c>
      <c r="L204" t="s">
        <v>76</v>
      </c>
      <c r="M204">
        <v>1</v>
      </c>
    </row>
    <row r="205" spans="1:13" x14ac:dyDescent="0.25">
      <c r="A205" s="1">
        <v>46129</v>
      </c>
      <c r="B205" s="1" t="str">
        <f ca="1">IF(Información1[[#This Row],[Fecha]]='Ajuste de fechas'!$A$2,"Día actual","Día anterior")</f>
        <v>Día anterior</v>
      </c>
      <c r="C205" t="s">
        <v>57</v>
      </c>
      <c r="D205" t="s">
        <v>58</v>
      </c>
      <c r="E205" t="s">
        <v>105</v>
      </c>
      <c r="F205" t="s">
        <v>25</v>
      </c>
      <c r="G205" t="s">
        <v>95</v>
      </c>
      <c r="H205" t="s">
        <v>11</v>
      </c>
      <c r="I205" t="s">
        <v>7</v>
      </c>
      <c r="J205" t="s">
        <v>75</v>
      </c>
      <c r="K205" t="s">
        <v>59</v>
      </c>
      <c r="L205" t="s">
        <v>78</v>
      </c>
      <c r="M205">
        <v>1</v>
      </c>
    </row>
    <row r="206" spans="1:13" x14ac:dyDescent="0.25">
      <c r="A206" s="1">
        <v>46129</v>
      </c>
      <c r="B206" s="1" t="str">
        <f ca="1">IF(Información1[[#This Row],[Fecha]]='Ajuste de fechas'!$A$2,"Día actual","Día anterior")</f>
        <v>Día anterior</v>
      </c>
      <c r="C206" t="s">
        <v>57</v>
      </c>
      <c r="D206" t="s">
        <v>58</v>
      </c>
      <c r="E206" t="s">
        <v>222</v>
      </c>
      <c r="F206" t="s">
        <v>19</v>
      </c>
      <c r="G206" t="s">
        <v>88</v>
      </c>
      <c r="H206" t="s">
        <v>11</v>
      </c>
      <c r="I206" t="s">
        <v>7</v>
      </c>
      <c r="J206" t="s">
        <v>79</v>
      </c>
      <c r="K206" t="s">
        <v>59</v>
      </c>
      <c r="L206" t="s">
        <v>76</v>
      </c>
      <c r="M206">
        <v>1</v>
      </c>
    </row>
    <row r="207" spans="1:13" x14ac:dyDescent="0.25">
      <c r="A207" s="1">
        <v>46129</v>
      </c>
      <c r="B207" s="1" t="str">
        <f ca="1">IF(Información1[[#This Row],[Fecha]]='Ajuste de fechas'!$A$2,"Día actual","Día anterior")</f>
        <v>Día anterior</v>
      </c>
      <c r="C207" t="s">
        <v>48</v>
      </c>
      <c r="D207" t="s">
        <v>49</v>
      </c>
      <c r="E207" t="s">
        <v>223</v>
      </c>
      <c r="F207" t="s">
        <v>224</v>
      </c>
      <c r="G207" t="s">
        <v>225</v>
      </c>
      <c r="H207" t="s">
        <v>45</v>
      </c>
      <c r="I207" t="s">
        <v>7</v>
      </c>
      <c r="J207" t="s">
        <v>26</v>
      </c>
      <c r="K207" t="s">
        <v>30</v>
      </c>
      <c r="L207" t="s">
        <v>77</v>
      </c>
      <c r="M207">
        <v>1</v>
      </c>
    </row>
    <row r="208" spans="1:13" x14ac:dyDescent="0.25">
      <c r="A208" s="1">
        <v>46129</v>
      </c>
      <c r="B208" s="1" t="str">
        <f ca="1">IF(Información1[[#This Row],[Fecha]]='Ajuste de fechas'!$A$2,"Día actual","Día anterior")</f>
        <v>Día anterior</v>
      </c>
      <c r="C208" t="s">
        <v>48</v>
      </c>
      <c r="D208" t="s">
        <v>49</v>
      </c>
      <c r="E208" t="s">
        <v>226</v>
      </c>
      <c r="F208" t="s">
        <v>100</v>
      </c>
      <c r="G208" t="s">
        <v>101</v>
      </c>
      <c r="H208" t="s">
        <v>45</v>
      </c>
      <c r="I208" t="s">
        <v>7</v>
      </c>
      <c r="J208" t="s">
        <v>75</v>
      </c>
      <c r="K208" t="s">
        <v>30</v>
      </c>
      <c r="L208" t="s">
        <v>76</v>
      </c>
      <c r="M208">
        <v>1</v>
      </c>
    </row>
    <row r="209" spans="1:13" x14ac:dyDescent="0.25">
      <c r="A209" s="1">
        <v>46129</v>
      </c>
      <c r="B209" s="1" t="str">
        <f ca="1">IF(Información1[[#This Row],[Fecha]]='Ajuste de fechas'!$A$2,"Día actual","Día anterior")</f>
        <v>Día anterior</v>
      </c>
      <c r="C209" t="s">
        <v>48</v>
      </c>
      <c r="D209" t="s">
        <v>49</v>
      </c>
      <c r="E209" t="s">
        <v>227</v>
      </c>
      <c r="F209" t="s">
        <v>25</v>
      </c>
      <c r="G209" t="s">
        <v>228</v>
      </c>
      <c r="H209" t="s">
        <v>45</v>
      </c>
      <c r="I209" t="s">
        <v>7</v>
      </c>
      <c r="J209" t="s">
        <v>75</v>
      </c>
      <c r="K209" t="s">
        <v>30</v>
      </c>
      <c r="L209" t="s">
        <v>78</v>
      </c>
      <c r="M209">
        <v>1</v>
      </c>
    </row>
    <row r="210" spans="1:13" x14ac:dyDescent="0.25">
      <c r="A210" s="1">
        <v>46129</v>
      </c>
      <c r="B210" s="1" t="str">
        <f ca="1">IF(Información1[[#This Row],[Fecha]]='Ajuste de fechas'!$A$2,"Día actual","Día anterior")</f>
        <v>Día anterior</v>
      </c>
      <c r="C210" t="s">
        <v>48</v>
      </c>
      <c r="D210" t="s">
        <v>49</v>
      </c>
      <c r="E210" t="s">
        <v>217</v>
      </c>
      <c r="F210" t="s">
        <v>21</v>
      </c>
      <c r="G210" t="s">
        <v>218</v>
      </c>
      <c r="H210" t="s">
        <v>45</v>
      </c>
      <c r="I210" t="s">
        <v>7</v>
      </c>
      <c r="J210" t="s">
        <v>75</v>
      </c>
      <c r="K210" t="s">
        <v>30</v>
      </c>
      <c r="L210" t="s">
        <v>76</v>
      </c>
      <c r="M210">
        <v>1</v>
      </c>
    </row>
    <row r="211" spans="1:13" x14ac:dyDescent="0.25">
      <c r="A211" s="1">
        <v>46129</v>
      </c>
      <c r="B211" s="1" t="str">
        <f ca="1">IF(Información1[[#This Row],[Fecha]]='Ajuste de fechas'!$A$2,"Día actual","Día anterior")</f>
        <v>Día anterior</v>
      </c>
      <c r="C211" t="s">
        <v>48</v>
      </c>
      <c r="D211" t="s">
        <v>49</v>
      </c>
      <c r="E211" t="s">
        <v>229</v>
      </c>
      <c r="F211" t="s">
        <v>100</v>
      </c>
      <c r="G211" t="s">
        <v>101</v>
      </c>
      <c r="H211" t="s">
        <v>45</v>
      </c>
      <c r="I211" t="s">
        <v>7</v>
      </c>
      <c r="J211" t="s">
        <v>75</v>
      </c>
      <c r="K211" t="s">
        <v>30</v>
      </c>
      <c r="L211" t="s">
        <v>76</v>
      </c>
      <c r="M211">
        <v>1</v>
      </c>
    </row>
    <row r="212" spans="1:13" x14ac:dyDescent="0.25">
      <c r="A212" s="1">
        <v>46129</v>
      </c>
      <c r="B212" s="1" t="str">
        <f ca="1">IF(Información1[[#This Row],[Fecha]]='Ajuste de fechas'!$A$2,"Día actual","Día anterior")</f>
        <v>Día anterior</v>
      </c>
      <c r="C212" t="s">
        <v>48</v>
      </c>
      <c r="D212" t="s">
        <v>49</v>
      </c>
      <c r="E212" t="s">
        <v>230</v>
      </c>
      <c r="F212" t="s">
        <v>47</v>
      </c>
      <c r="G212" t="s">
        <v>118</v>
      </c>
      <c r="H212" t="s">
        <v>45</v>
      </c>
      <c r="I212" t="s">
        <v>7</v>
      </c>
      <c r="J212" t="s">
        <v>75</v>
      </c>
      <c r="K212" t="s">
        <v>30</v>
      </c>
      <c r="L212" t="s">
        <v>76</v>
      </c>
      <c r="M212">
        <v>1</v>
      </c>
    </row>
    <row r="213" spans="1:13" x14ac:dyDescent="0.25">
      <c r="A213" s="1">
        <v>46129</v>
      </c>
      <c r="B213" s="1" t="str">
        <f ca="1">IF(Información1[[#This Row],[Fecha]]='Ajuste de fechas'!$A$2,"Día actual","Día anterior")</f>
        <v>Día anterior</v>
      </c>
      <c r="C213" t="s">
        <v>48</v>
      </c>
      <c r="D213" t="s">
        <v>49</v>
      </c>
      <c r="E213" t="s">
        <v>231</v>
      </c>
      <c r="F213" t="s">
        <v>47</v>
      </c>
      <c r="G213" t="s">
        <v>119</v>
      </c>
      <c r="H213" t="s">
        <v>45</v>
      </c>
      <c r="I213" t="s">
        <v>7</v>
      </c>
      <c r="J213" t="s">
        <v>75</v>
      </c>
      <c r="K213" t="s">
        <v>30</v>
      </c>
      <c r="L213" t="s">
        <v>76</v>
      </c>
      <c r="M213">
        <v>1</v>
      </c>
    </row>
    <row r="214" spans="1:13" x14ac:dyDescent="0.25">
      <c r="A214" s="1">
        <v>46129</v>
      </c>
      <c r="B214" s="1" t="str">
        <f ca="1">IF(Información1[[#This Row],[Fecha]]='Ajuste de fechas'!$A$2,"Día actual","Día anterior")</f>
        <v>Día anterior</v>
      </c>
      <c r="C214" t="s">
        <v>48</v>
      </c>
      <c r="D214" t="s">
        <v>49</v>
      </c>
      <c r="E214" t="s">
        <v>232</v>
      </c>
      <c r="F214" t="s">
        <v>6</v>
      </c>
      <c r="G214" t="s">
        <v>146</v>
      </c>
      <c r="H214" t="s">
        <v>45</v>
      </c>
      <c r="I214" t="s">
        <v>7</v>
      </c>
      <c r="J214" t="s">
        <v>75</v>
      </c>
      <c r="K214" t="s">
        <v>30</v>
      </c>
      <c r="L214" t="s">
        <v>78</v>
      </c>
      <c r="M214">
        <v>1</v>
      </c>
    </row>
    <row r="215" spans="1:13" x14ac:dyDescent="0.25">
      <c r="A215" s="1">
        <v>46129</v>
      </c>
      <c r="B215" s="1" t="str">
        <f ca="1">IF(Información1[[#This Row],[Fecha]]='Ajuste de fechas'!$A$2,"Día actual","Día anterior")</f>
        <v>Día anterior</v>
      </c>
      <c r="C215" t="s">
        <v>48</v>
      </c>
      <c r="D215" t="s">
        <v>49</v>
      </c>
      <c r="E215" t="s">
        <v>233</v>
      </c>
      <c r="F215" t="s">
        <v>47</v>
      </c>
      <c r="G215" t="s">
        <v>234</v>
      </c>
      <c r="H215" t="s">
        <v>45</v>
      </c>
      <c r="I215" t="s">
        <v>7</v>
      </c>
      <c r="J215" t="s">
        <v>75</v>
      </c>
      <c r="K215" t="s">
        <v>30</v>
      </c>
      <c r="L215" t="s">
        <v>76</v>
      </c>
      <c r="M215">
        <v>1</v>
      </c>
    </row>
    <row r="216" spans="1:13" x14ac:dyDescent="0.25">
      <c r="A216" s="1">
        <v>46129</v>
      </c>
      <c r="B216" s="1" t="str">
        <f ca="1">IF(Información1[[#This Row],[Fecha]]='Ajuste de fechas'!$A$2,"Día actual","Día anterior")</f>
        <v>Día anterior</v>
      </c>
      <c r="C216" t="s">
        <v>48</v>
      </c>
      <c r="D216" t="s">
        <v>49</v>
      </c>
      <c r="E216" t="s">
        <v>235</v>
      </c>
      <c r="F216" t="s">
        <v>19</v>
      </c>
      <c r="G216" t="s">
        <v>236</v>
      </c>
      <c r="H216" t="s">
        <v>45</v>
      </c>
      <c r="I216" t="s">
        <v>27</v>
      </c>
      <c r="J216" t="s">
        <v>79</v>
      </c>
      <c r="K216" t="s">
        <v>30</v>
      </c>
      <c r="L216" t="s">
        <v>76</v>
      </c>
      <c r="M216">
        <v>1</v>
      </c>
    </row>
    <row r="217" spans="1:13" x14ac:dyDescent="0.25">
      <c r="A217" s="1">
        <v>46129</v>
      </c>
      <c r="B217" s="1" t="str">
        <f ca="1">IF(Información1[[#This Row],[Fecha]]='Ajuste de fechas'!$A$2,"Día actual","Día anterior")</f>
        <v>Día anterior</v>
      </c>
      <c r="C217" t="s">
        <v>48</v>
      </c>
      <c r="D217" t="s">
        <v>49</v>
      </c>
      <c r="E217" t="s">
        <v>237</v>
      </c>
      <c r="F217" t="s">
        <v>15</v>
      </c>
      <c r="G217" t="s">
        <v>182</v>
      </c>
      <c r="H217" t="s">
        <v>45</v>
      </c>
      <c r="I217" t="s">
        <v>7</v>
      </c>
      <c r="J217" t="s">
        <v>75</v>
      </c>
      <c r="K217" t="s">
        <v>30</v>
      </c>
      <c r="L217" t="s">
        <v>76</v>
      </c>
      <c r="M217">
        <v>1</v>
      </c>
    </row>
    <row r="218" spans="1:13" x14ac:dyDescent="0.25">
      <c r="A218" s="1">
        <v>46129</v>
      </c>
      <c r="B218" s="1" t="str">
        <f ca="1">IF(Información1[[#This Row],[Fecha]]='Ajuste de fechas'!$A$2,"Día actual","Día anterior")</f>
        <v>Día anterior</v>
      </c>
      <c r="C218" t="s">
        <v>48</v>
      </c>
      <c r="D218" t="s">
        <v>49</v>
      </c>
      <c r="E218" t="s">
        <v>238</v>
      </c>
      <c r="F218" t="s">
        <v>56</v>
      </c>
      <c r="G218" t="s">
        <v>125</v>
      </c>
      <c r="H218" t="s">
        <v>45</v>
      </c>
      <c r="I218" t="s">
        <v>7</v>
      </c>
      <c r="J218" t="s">
        <v>75</v>
      </c>
      <c r="K218" t="s">
        <v>30</v>
      </c>
      <c r="L218" t="s">
        <v>78</v>
      </c>
      <c r="M218">
        <v>1</v>
      </c>
    </row>
    <row r="219" spans="1:13" x14ac:dyDescent="0.25">
      <c r="A219" s="1">
        <v>46129</v>
      </c>
      <c r="B219" s="1" t="str">
        <f ca="1">IF(Información1[[#This Row],[Fecha]]='Ajuste de fechas'!$A$2,"Día actual","Día anterior")</f>
        <v>Día anterior</v>
      </c>
      <c r="C219" t="s">
        <v>48</v>
      </c>
      <c r="D219" t="s">
        <v>49</v>
      </c>
      <c r="E219" t="s">
        <v>239</v>
      </c>
      <c r="F219" t="s">
        <v>21</v>
      </c>
      <c r="G219" t="s">
        <v>94</v>
      </c>
      <c r="H219" t="s">
        <v>45</v>
      </c>
      <c r="I219" t="s">
        <v>7</v>
      </c>
      <c r="J219" t="s">
        <v>75</v>
      </c>
      <c r="K219" t="s">
        <v>30</v>
      </c>
      <c r="L219" t="s">
        <v>78</v>
      </c>
      <c r="M219">
        <v>1</v>
      </c>
    </row>
    <row r="220" spans="1:13" x14ac:dyDescent="0.25">
      <c r="A220" s="1">
        <v>46129</v>
      </c>
      <c r="B220" s="1" t="str">
        <f ca="1">IF(Información1[[#This Row],[Fecha]]='Ajuste de fechas'!$A$2,"Día actual","Día anterior")</f>
        <v>Día anterior</v>
      </c>
      <c r="C220" t="s">
        <v>48</v>
      </c>
      <c r="D220" t="s">
        <v>49</v>
      </c>
      <c r="E220" t="s">
        <v>240</v>
      </c>
      <c r="F220" t="s">
        <v>15</v>
      </c>
      <c r="G220" t="s">
        <v>241</v>
      </c>
      <c r="H220" t="s">
        <v>45</v>
      </c>
      <c r="I220" t="s">
        <v>7</v>
      </c>
      <c r="J220" t="s">
        <v>75</v>
      </c>
      <c r="K220" t="s">
        <v>30</v>
      </c>
      <c r="L220" t="s">
        <v>76</v>
      </c>
      <c r="M220">
        <v>1</v>
      </c>
    </row>
    <row r="221" spans="1:13" x14ac:dyDescent="0.25">
      <c r="A221" s="1">
        <v>46129</v>
      </c>
      <c r="B221" s="1" t="str">
        <f ca="1">IF(Información1[[#This Row],[Fecha]]='Ajuste de fechas'!$A$2,"Día actual","Día anterior")</f>
        <v>Día anterior</v>
      </c>
      <c r="C221" t="s">
        <v>48</v>
      </c>
      <c r="D221" t="s">
        <v>49</v>
      </c>
      <c r="E221" t="s">
        <v>242</v>
      </c>
      <c r="F221" t="s">
        <v>19</v>
      </c>
      <c r="G221" t="s">
        <v>103</v>
      </c>
      <c r="H221" t="s">
        <v>45</v>
      </c>
      <c r="I221" t="s">
        <v>7</v>
      </c>
      <c r="J221" t="s">
        <v>79</v>
      </c>
      <c r="K221" t="s">
        <v>30</v>
      </c>
      <c r="L221" t="s">
        <v>76</v>
      </c>
      <c r="M221">
        <v>1</v>
      </c>
    </row>
    <row r="222" spans="1:13" x14ac:dyDescent="0.25">
      <c r="A222" s="1">
        <v>46129</v>
      </c>
      <c r="B222" s="1" t="str">
        <f ca="1">IF(Información1[[#This Row],[Fecha]]='Ajuste de fechas'!$A$2,"Día actual","Día anterior")</f>
        <v>Día anterior</v>
      </c>
      <c r="C222" t="s">
        <v>34</v>
      </c>
      <c r="D222" t="s">
        <v>300</v>
      </c>
      <c r="E222" t="s">
        <v>164</v>
      </c>
      <c r="F222" t="s">
        <v>104</v>
      </c>
      <c r="G222" t="s">
        <v>165</v>
      </c>
      <c r="H222" t="s">
        <v>11</v>
      </c>
      <c r="I222" t="s">
        <v>7</v>
      </c>
      <c r="J222" t="s">
        <v>75</v>
      </c>
      <c r="K222" t="s">
        <v>301</v>
      </c>
      <c r="L222" t="s">
        <v>78</v>
      </c>
      <c r="M222">
        <v>1</v>
      </c>
    </row>
    <row r="223" spans="1:13" x14ac:dyDescent="0.25">
      <c r="A223" s="1">
        <v>46129</v>
      </c>
      <c r="B223" s="1" t="str">
        <f ca="1">IF(Información1[[#This Row],[Fecha]]='Ajuste de fechas'!$A$2,"Día actual","Día anterior")</f>
        <v>Día anterior</v>
      </c>
      <c r="C223" t="s">
        <v>34</v>
      </c>
      <c r="D223" t="s">
        <v>300</v>
      </c>
      <c r="E223" t="s">
        <v>128</v>
      </c>
      <c r="F223" t="s">
        <v>60</v>
      </c>
      <c r="G223" t="s">
        <v>129</v>
      </c>
      <c r="H223" t="s">
        <v>11</v>
      </c>
      <c r="I223" t="s">
        <v>7</v>
      </c>
      <c r="J223" t="s">
        <v>75</v>
      </c>
      <c r="K223" t="s">
        <v>301</v>
      </c>
      <c r="L223" t="s">
        <v>78</v>
      </c>
      <c r="M223">
        <v>1</v>
      </c>
    </row>
    <row r="224" spans="1:13" x14ac:dyDescent="0.25">
      <c r="A224" s="1">
        <v>46129</v>
      </c>
      <c r="B224" s="1" t="str">
        <f ca="1">IF(Información1[[#This Row],[Fecha]]='Ajuste de fechas'!$A$2,"Día actual","Día anterior")</f>
        <v>Día anterior</v>
      </c>
      <c r="C224" t="s">
        <v>34</v>
      </c>
      <c r="D224" t="s">
        <v>300</v>
      </c>
      <c r="E224" t="s">
        <v>174</v>
      </c>
      <c r="F224" t="s">
        <v>25</v>
      </c>
      <c r="G224" t="s">
        <v>139</v>
      </c>
      <c r="H224" t="s">
        <v>11</v>
      </c>
      <c r="I224" t="s">
        <v>7</v>
      </c>
      <c r="J224" t="s">
        <v>75</v>
      </c>
      <c r="K224" t="s">
        <v>301</v>
      </c>
      <c r="L224" t="s">
        <v>78</v>
      </c>
      <c r="M224">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83</v>
      </c>
      <c r="B1" t="s">
        <v>84</v>
      </c>
    </row>
    <row r="2" spans="1:2" x14ac:dyDescent="0.25">
      <c r="A2" s="2">
        <f ca="1">TODAY()</f>
        <v>46132</v>
      </c>
      <c r="B2" s="2">
        <f ca="1">A2-1</f>
        <v>46131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2026-04-21T00:16:28Z</dcterms:modified>
</cp:coreProperties>
</file>