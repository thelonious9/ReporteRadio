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809697E4-4736-4354-BD2F-A5006AC3395B}"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48" i="2"/>
  <c r="B77" i="2"/>
  <c r="B80" i="2"/>
  <c r="B84" i="2"/>
  <c r="B87" i="2"/>
  <c r="B90" i="2"/>
  <c r="B93" i="2"/>
  <c r="B25" i="2"/>
  <c r="B26" i="2"/>
  <c r="B27" i="2"/>
  <c r="B28" i="2"/>
  <c r="B29" i="2"/>
  <c r="B30" i="2"/>
  <c r="B31" i="2"/>
  <c r="B32" i="2"/>
  <c r="B33" i="2"/>
  <c r="B34" i="2"/>
  <c r="B35" i="2"/>
  <c r="B36" i="2"/>
  <c r="B37" i="2"/>
  <c r="B38" i="2"/>
  <c r="B39" i="2"/>
  <c r="B40" i="2"/>
  <c r="B41" i="2"/>
  <c r="B42" i="2"/>
  <c r="B43" i="2"/>
  <c r="B44" i="2"/>
  <c r="B45" i="2"/>
  <c r="B46" i="2"/>
  <c r="B47" i="2"/>
  <c r="B76" i="2"/>
  <c r="B79" i="2"/>
  <c r="B82" i="2"/>
  <c r="B85" i="2"/>
  <c r="B88" i="2"/>
  <c r="B91" i="2"/>
  <c r="B94" i="2"/>
  <c r="B49" i="2"/>
  <c r="B50" i="2"/>
  <c r="B51" i="2"/>
  <c r="B52" i="2"/>
  <c r="B53" i="2"/>
  <c r="B54" i="2"/>
  <c r="B55" i="2"/>
  <c r="B56" i="2"/>
  <c r="B57" i="2"/>
  <c r="B58" i="2"/>
  <c r="B59" i="2"/>
  <c r="B60" i="2"/>
  <c r="B61" i="2"/>
  <c r="B62" i="2"/>
  <c r="B63" i="2"/>
  <c r="B64" i="2"/>
  <c r="B65" i="2"/>
  <c r="B66" i="2"/>
  <c r="B67" i="2"/>
  <c r="B68" i="2"/>
  <c r="B69" i="2"/>
  <c r="B70" i="2"/>
  <c r="B71" i="2"/>
  <c r="B72" i="2"/>
  <c r="B73" i="2"/>
  <c r="B74" i="2"/>
  <c r="B75" i="2"/>
  <c r="B78" i="2"/>
  <c r="B81" i="2"/>
  <c r="B83" i="2"/>
  <c r="B86" i="2"/>
  <c r="B89" i="2"/>
  <c r="B92"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<sst xmlns="http://schemas.openxmlformats.org/spreadsheetml/2006/main" count="945" uniqueCount="209">
  <si>
    <t>Fecha</t>
  </si>
  <si>
    <t>Titular</t>
  </si>
  <si>
    <t>Dependencia</t>
  </si>
  <si>
    <t>Canal</t>
  </si>
  <si>
    <t>Tema</t>
  </si>
  <si>
    <t>Estatus</t>
  </si>
  <si>
    <t>Sipdus</t>
  </si>
  <si>
    <t>Informativa</t>
  </si>
  <si>
    <t>Acir 92.5 FM</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</si>
  <si>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</si>
  <si>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</si>
  <si>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</si>
  <si>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</si>
  <si>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</si>
  <si>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</si>
  <si>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</si>
  <si>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</si>
  <si>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</si>
  <si>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</si>
  <si>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</si>
  <si>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</si>
  <si>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</si>
  <si>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</si>
  <si>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</si>
  <si>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</si>
  <si>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</si>
  <si>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</si>
  <si>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</si>
  <si>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</si>
  <si>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</si>
  <si>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</si>
  <si>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</si>
  <si>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</si>
  <si>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</si>
  <si>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</si>
  <si>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</si>
  <si>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</si>
  <si>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</si>
  <si>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</si>
  <si>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</si>
  <si>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</si>
  <si>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Eulalio Larrieta agradece a Carlos Gamiño por estar al pendiente de temas.</t>
  </si>
  <si>
    <t>Segobh</t>
  </si>
  <si>
    <t>Eulalio Larrieta agradece a Jair Martínez de la SEGOBH, porque esta al pendiente de lo que se necesite y los reportes.</t>
  </si>
  <si>
    <t>Abasto de agua</t>
  </si>
  <si>
    <t>SSH</t>
  </si>
  <si>
    <t>RADIO LOCAL</t>
  </si>
  <si>
    <t>NQ 90.1 FM</t>
  </si>
  <si>
    <t>Enlace Hidalgo1</t>
  </si>
  <si>
    <t>Jesús Riveros</t>
  </si>
  <si>
    <t>Juan Carlos Santamaría</t>
  </si>
  <si>
    <t>Súper Stéreo 100.5 FM</t>
  </si>
  <si>
    <t>Enfoque Regional Matutino</t>
  </si>
  <si>
    <t>Rodolfo López</t>
  </si>
  <si>
    <t>PGJEH</t>
  </si>
  <si>
    <t>Enlace Hidalgo2</t>
  </si>
  <si>
    <t>Turismo</t>
  </si>
  <si>
    <t>Fuga De Agua</t>
  </si>
  <si>
    <t>Cultura</t>
  </si>
  <si>
    <t>La Poderosa Tuxpan 93.1 FM</t>
  </si>
  <si>
    <t>Nn Nuestras Noticias Zona Norte</t>
  </si>
  <si>
    <t>Liz Argüelles</t>
  </si>
  <si>
    <t>Ke Buena 106.7 FM</t>
  </si>
  <si>
    <t>Noticias 106.7</t>
  </si>
  <si>
    <t>David Cárdenas</t>
  </si>
  <si>
    <t>Eulalio Larrieta agradece Paola García y Lic. Sarahi Pineda, por estar atentas a los mensajes de la ciudadanía y por atenderlos.</t>
  </si>
  <si>
    <t>Simulacro Sismo</t>
  </si>
  <si>
    <t>Homicidio de sacerdote</t>
  </si>
  <si>
    <t>Covid 19</t>
  </si>
  <si>
    <t>Informe De Gobierno</t>
  </si>
  <si>
    <t>Radio Lobo 96.7 FM</t>
  </si>
  <si>
    <t>Enlace Noticias</t>
  </si>
  <si>
    <t>Gina Lorenzo</t>
  </si>
  <si>
    <t>Informe Alcalde</t>
  </si>
  <si>
    <t>Radioescucha</t>
  </si>
  <si>
    <t>A partir del martes 3 de noviembre de 2026, el uso de teléfonos celulares y tabletas quedará estrictamente prohibido en las escuelas primarias y secundarias de todo México, tanto en las aulas como durante el recreo. La medida fue anunciada por la presidenta Claudia Sheinbaum y el titular de la Secretaría de Educación Pública (SEP), Mario Delgado, tras alcanzar un acuerdo unánime en el Consejo Nacional de Autoridades Educativas.</t>
  </si>
  <si>
    <t>Regulación de dispositivos digitales</t>
  </si>
  <si>
    <t>Vecinos de la comunidad de La Mesa se manifestaron frente a la presidencia municipal de Acaxochitlán para exigir el cumplimiento de los plazos en la obra de pavimentación del camino La Mesa-Guayapita. Tras una mesa de diálogo con el alcalde Ricardo Perea, se firmó una minuta de acuerdos. Se estipuló la construcción de 1.8 kilómetros de pavimento de concreto hidráulico, de los cuales 1,400 metros serán financiados con recursos estatales y 400 metros con fondos municipales, comprometiéndose a concluir los trabajos a finales del mes de diciembre.</t>
  </si>
  <si>
    <t>Bloqueo Carretero</t>
  </si>
  <si>
    <t>Con la participación de 138 nadadores, la Escuela Técnico Deportiva de Natación de. Tulancingo «Manta Rayas» realizó su primer torneo en la alberca semiolímpica de la Unidad Deportiva Javier Rojo Gómez, con competidores de las categorías infantil, juvenil y libre, en modalidad de novatos. El encuentro permitió a niñas, niños y jóvenes poner en práctica sus habilidades y vivir la experiencia de una competencia, fortaleciendo valores como la disciplina, constancia, esfuerzo y trabajo en equipo.</t>
  </si>
  <si>
    <t>Justa Deportiva</t>
  </si>
  <si>
    <t>La representación legal y familiares de Carla E., estudiante de la Universidad Tecnológica de la Sierra Hidalguense fallecida tras ser atropellada el 21 de mayo de 2026 en la carretera México-Tampico, exigieron la reclasificación de su muerte de homicidio culposo simple a homicidio doloso por dolo eventual. La defensa busca que este cambio procesal evite beneficios como la suspensión condicional de la pena para el responsable, argumentando que el grado de responsabilidad debe ajustarse a las circunstancias del caso.</t>
  </si>
  <si>
    <t>Exigen esclarecer homicidio</t>
  </si>
  <si>
    <t>El Colegio de Bachilleres del Estado de Hidalgo (COBAEH) celebrará su 39° aniversario con la segunda jornada juvenil cultural y académica el próximo 25 de septiembre en la Plaza Aniceto Ortega de Pachuca. El evento contará con la participación de estudiantes de diversos centros educativos, quienes exhibirán propuestas gastronómicas, artesanales, turísticas y culturales mediante tres pabellones temáticos. El director general de la institución, Rubén López Valdés, resaltó la importancia de reconocer a la comunidad escolar y el compromiso del COBAEH con la educación, la cultura y el desarrollo integral bajo las políticas impulsadas por el gobierno estatal y la Secretaría de Educación Pública.</t>
  </si>
  <si>
    <t>Evento académico</t>
  </si>
  <si>
    <t>Habitantes de tres comunidades de Zempoala realizaron un bloqueo de aproximadamente seis horas en la carretera federal Sahagún-Pachuca para exigir mejoras viales. Para destrabar el conflicto, el secretario de gobierno, Guillermo Olivares Reyna, acudió al lugar para dialogar con los manifestantes. Tras una reunión de más de una hora con autoridades estatales, municipales y representantes de la SICT, se firmó una minuta de acuerdos mediante la cual se comprometieron a iniciar de forma inmediata la rehabilitación del puente vehicular y diversos caminos en las comunidades afectadas, logrando así la liberación de la vialidad.</t>
  </si>
  <si>
    <t>Atención A Manifestantes</t>
  </si>
  <si>
    <t>Hidalgo, sede de la tercera Gimnasiada Nacional</t>
  </si>
  <si>
    <t>Gimnasiada Nacional</t>
  </si>
  <si>
    <t>El Instituto Mexicano del Seguro Social (IMSS) en Hidalgo invitó a la población a convertirse en donadora voluntaria de órganos y tejidos, como una acción altruista que puede contribuir a mejorar o preservar la vida de pacientes que requieren un trasplante.</t>
  </si>
  <si>
    <t>Donación De Órganos</t>
  </si>
  <si>
    <t>La presidenta Claudia Sheinbaum encabezó la ceremonia de izamiento de bandera a media asta en el Zócalo de la Ciudad de México, para recordar a las víctimas de los sismos del 19 de septiembre de 1985 y 2017. La mandataria salió de Palacio Nacional en punto de las 07:15 horas, acompañada de la jefa de Gobierno, Clara Brugada; la secretaria de Gobernación, Rosa Icela Rodríguez; Laura Velázquez, coordinadora nacional de Protección Civil, así como los secretarios de Marina y Defensa Nacional, Raymundo Morales y Ricardo Trevilla Trejo.</t>
  </si>
  <si>
    <t>El Consejo de Salud del Estado de Hidalgo acordó reforzar la vigilancia en la calidad del agua y las medidas de prevención contra enfermedades diarreicas agudas, en colaboración con municipios y autoridades sanitarias. Durante su tercera sesión ordinaria, se informó que en 2026 el 94.8% de los casos de estas enfermedades se relacionaron con alimentos contaminados y el 63% con el consumo en el hogar. Por ello, se implementarán capacitaciones sobre manejo de alimentos, vigilancia en establecimientos, campañas de lavado de manos, así como el lavado de tinacos y cisternas en instituciones públicas y unidades de salud.</t>
  </si>
  <si>
    <t>Prevención De Enfermedades</t>
  </si>
  <si>
    <t>La Huasteca está de pie y avanza con el respaldo del gobierno de Hidalgo</t>
  </si>
  <si>
    <t>Contraloría</t>
  </si>
  <si>
    <t>Buenos días, quiero hacer el reporte para Caasim que llevamos ya dos semanas sin servicio en Bosques del Peñar en Pachuca. Ellas nos mencionan en sus comunicados que estará con baja presión, pero no es así, no cae nada, espero y nos escuchen y que ya se restablezca pronto.</t>
  </si>
  <si>
    <t>Por acá nos dicen que en la Telesecundaria 268 de Santa Ana Hueytlalpan les negaron el acceso a los alumnos por llegar tarde. La directora se niega a atender a los padres de familia que piden que sancione con retardos, pero que no se niegue la entrada. La directora nos comparte el nombre, no los quiere recibir y así nos llegó también un par de llamadas que en la Telesecundaria 268 de Santa Ana Hueytlalpan les impiden el acceso a sus hijos y lo y otros alumnos ya no les están permitiendo la entrada si llegan tarde, a pesar de que muchos alumnos van de comunidades alejadas. El viernes hicieron una junta y a quienes no fueron les cobraron 200 pesos, no les indicaron para qué se va a ocupar ese dinero, últimamente son más exigentes. Con todo gusto también compartimos. Muchas gracias.</t>
  </si>
  <si>
    <t>Queja padres de familia</t>
  </si>
  <si>
    <t>El Ayuntamiento de Singuilucan llevó a cabo su segundo informe de gobierno, encabezado por la presidenta municipal Yasmín Dávila López. Durante el acto de rendición de cuentas, al que asistieron autoridades, representantes institucionales y diversos sectores de la sociedad, se dieron a conocer los principales avances, obras y acciones realizadas en este segundo año de administración. La alcaldesa destacó el trabajo conjunto entre gobierno y ciudadanía, resaltando que el municipio continúa avanzando hacia el desarrollo y mayores oportunidades, y refrendó su compromiso de seguir trabajando por el bienestar de Singuilucan.</t>
  </si>
  <si>
    <t>Durante una transmisión oficial, se dieron a conocer los pormenores de la Feria San Francisco Pachuca 2026 presentados por Marco Antonio Aranzábal Juárez, titular de la Operadora de Eventos del Estado de Hidalgo. El acceso general tendrá un costo de 60 pesos, manteniendo tarifas preferenciales de 40 pesos para adultos mayores y personas con menores de estatura menor a 1.20 metros, además de garantizar gratuidad y acompañamiento para personas con discapacidad. La edición contará con un renovado pabellón artesanal, pabellones comerciales y turísticos —este último con más de 40 stands y la presencia del Museo El Rehilete—, un lienzo charro modernizado con el espectáculo sobre hielo "Destino", un circo de talla internacional, una exhibición de esculturas de gran formato de la Secretaría de Cultura de la Ciudad de México, y más de 500 horas de actividades artísticas. Asimismo, se destacó una robusta agenda deportiva que incluye funciones de lucha libre, el Campeonato Mundial de Box Plata WBC, competencias de breaking, el medio maratón, torneos de tochito/fútbol bandera, una rodada nocturna y la Copa Cuna de Tenis. Finalmente, se anunciaron 24 noches en el Megadomo de las Estrellas, 18 magnos conciertos en el palenque y la segunda edición del Festival Cultural San Francisco en colaboración con el Festival Internacional Cervantino.</t>
  </si>
  <si>
    <t>Mañanera de Hidalgo</t>
  </si>
  <si>
    <t>Durante la conferencia matutina semanal del gobierno del estado, efectuada desde la Sala del Pueblo, el secretario de Educación Pública en la entidad, Natividad Castrejón Valdez, informó sobre la implementación del programa "ABC de las Emociones" dirigido a estudiantes de secundarias y preparatorias con el fin de fortalecer la formación integral y emocional de la niñez y la juventud. Asimismo, abordó las nuevas disposiciones sobre el uso de teléfonos celulares y dispositivos tecnológicos en las escuelas, señalando que en educación básica (primarias) su uso estará restringido exclusivamente a actividades académicas justificadas por los docentes, mientras que en educación superior se promoverán acuerdos internos en cada plantel para regular estas herramientas y evitar distracciones o el acceso a contenidos inapropiados para menores.</t>
  </si>
  <si>
    <t>Entrevista en cabina biólogo Rolando Arturo Pérez García, representante del Instituto Nacional Electoral (INE) en el Distrito IV de Tulancingo. Durante la entrevista, se detallaron las rutas y ubicaciones de los módulos móviles itinerantes para la semana: el módulo 130452 se ubicará del 21 al 24 de septiembre en Cuautepec de Hinojosa y los días 25 y 28 de septiembre en Acatlán. Por su parte, el módulo 130453 de la Sierra Otomí-Tepehua presentó un contratiempo mecánico en su vehículo de traslado, por lo que este día la atención programada en San Lorenzo Achiotepec (Huehuetla) se reubicará excepcionalmente en Metepec; posteriormente, el módulo operará en Huehuetla y San Bartolo Tutotepec en las fechas indicadas. Asimismo, se recordó que el módulo fijo opera en el fraccionamiento Los Pinos de lunes a viernes en horario extendido y los sábados mediodía, brindando servicios de inscripción, reincorporación, cambio de domicilio, corrección de datos y reemplazos para credenciales con vigencia 2026 o para jóvenes que cumplirán la mayoría de edad antes del próximo proceso electoral.</t>
  </si>
  <si>
    <t>Credencialización</t>
  </si>
  <si>
    <t>Tenemos más noticias desde el estado de Hidalgo. Bien, la Universidad Pedagógica Nacional eh iniciará construcción de su sede regional en Jacala. La construcción de las instalaciones permitirá ampliar y fortalecer la atención de educación superior en la región. La Universidad Pedagógica Nacional Unidad 131 de Hidalgo fortalece su presencia en Jacala con la construcción de las instalaciones de su sede regional, proyecto que se concretó con la firma del contrato con el Instituto Hidalguense de Infraestructura Física Educativa.</t>
  </si>
  <si>
    <t>Construcción de escuela</t>
  </si>
  <si>
    <t>El Instituto para la Atención de las y los Adultos Mayores del Estado convoca a las personas interesadas en participar en la nueva edición del curso Hidalgo de Envejecimiento Saludable, programa dirigido a personas mayores interesadas en fortalecer sus conocimientos.</t>
  </si>
  <si>
    <t>Bienestar</t>
  </si>
  <si>
    <t>Envejecimiento saludable</t>
  </si>
  <si>
    <t>El secretario de Educación Pública de Hidalgo, Natividad Castrejón Valdés, inauguró la tercera edición de la Gimnasiada Nacional, encuentro que reúne a más de 5,000 atletas de las 32 32 entidades federativas, quienes compiten en nueve disciplinas deportivas con la posibilidad de integrar la selección que representará a México en el Mundial Sub-18 a celebrarse en Brasil.</t>
  </si>
  <si>
    <t>Durante el informe del gobierno de la Presidenta Municipal de Huichapan, Yarely Yadhira, se registró una protesta en la que ciudadanos lanzaron consignas como no mentir, no robar y no traicionar. Vaya, vaya administración la que ha tenido el municipio de Huichapan, con muchos problemas, con muchas inconformidades y también, hay que decirlo, con mucho golpeteo político a lo largo de estos dos años. De acuerdo con señalamientos difundidos en redes sociales, el síndico habría sido retirado de forma violenta. Y falta todavía un año más.</t>
  </si>
  <si>
    <t>Habitantes de los fraccionamientos Tulipanes, Forjadores, El Venado y Cipreses en Pachuca, ya por la zona que va hacia Ciudad Sahagún, pues bloquearon la circulación en la Avenida de los Árboles, en su cruce con la Avenida de los Venados, exigen el suministro de agua potable</t>
  </si>
  <si>
    <t>La Secretaría de Cultura de Hidalgo presentará el 18º Festival Nacional de Guitarra Ramón Noble del 21 al 26 de septiembre con 6 conciertos, clases magistrales y actividades académicas. Participarán intérpretes de Guadalajara, Ciudad de México, Monterrey, Texas e Hidalgo en sedes como Teatros Guillermo Romo de Vivar en Hidalgo, Bartolomé de Medina y el Auditorio Ramón Noble Olivares.</t>
  </si>
  <si>
    <t>Festival Cultural</t>
  </si>
  <si>
    <t>La mañana de este lunes, habitantes de la zona de Santa Cruz, La Trinidad, bloquearon la carretera federal Pachuca-Ciudad Sahagún en ambos sentidos. Impiden el paso de vehículos a la altura del puente vehicular Santa Cruz-La Trinidad. La protesta comenzó desde la madrugada y de acuerdo con la convocatoria difundida por los propios habitantes, está prevista a partir de las 5:30 horas como medida de presión ante lo que consideran falta de atención a sus demandas, falta de atención por parte de las autoridades. Entre las principales exigencias se encuentra la rehabilitación, reconstrucción y nivelación del puente vehicular y del retorno, así como la realización de trabajos de mejoramiento en las vías que comunican a Santa Cruz, La Trinidad y Buena Vista.</t>
  </si>
  <si>
    <t>Exigencia de obra</t>
  </si>
  <si>
    <t>Durante la tercera sesión ordinaria del Consejo de Salud del Estado de Hidalgo, autoridades acordaron fortalecer la cloración y desinfección del agua, así como el monitoreo de cloro residual en los municipios. La Secretaría de Salud informó que durante 2026, el 94.8% de los casos de enfermedades diarréicas agudas se relacionó con alimentos contaminados y 63% ocurrió por consumo de comida en el hogar. Por ello, se reforzará la capacitación a manejadores de alimentos, también el lavado correcto de manos, la vigilancia sanitaria en puestos fijos y semifijos, además de la limpieza de tinacos y cisternas.</t>
  </si>
  <si>
    <t>Dos mujeres fueron detenidas en Tulancingo por una falta administrativa. Sin embargo, al verificar sus datos, policías municipales descubrieron que contaban con órdenes de aprehensión vigentes por el delito de secuestro agravado. Los hechos ocurrieron durante la madrugada de este domingo. Tras confirmar la información con la Procuraduría General de Justicia de Hidalgo, agentes ministeriales acudieron para cumplimentar los mandamientos judiciales y continuar con el proceso legal correspondiente. Hasta el momento no se ha dado a conocer detalles sobre el caso.</t>
  </si>
  <si>
    <t>Detención</t>
  </si>
  <si>
    <t>Tras el vídeo que se viralizó en redes sociales, en el que se observa a un perro siendo arrastrado luego de ser atado a una camioneta en la Trinidad Zempoala, el ayuntamiento emitió un comunicado oficial en el que rechaza cualquier acto de violencia contra los animales. El ayuntamiento indicó que ya se inició una carpeta de investigación por maltrato animal ante la Procuraduría de Hidalgo.</t>
  </si>
  <si>
    <t>Maltrato animal</t>
  </si>
  <si>
    <t>Una estudiante fue golpeada y tirada al piso por varias, por varias jóvenes en un hecho que ha generado indignación entre habitantes de Zempoala. En imágenes que circulan en redes sociales, se observa cómo la joven es agredida por varias mujeres mientras permanece en el suelo. ¿Por qué le quemaste? Lamentablemente este tipo de situaciones casi siempre se quedan en la denuncia pública, en la denuncia en redes sociales, y no se emite alguna denuncia en el ministerio público, y esto se queda así sin hacerse justicia o sin siquiera ser investigado.</t>
  </si>
  <si>
    <t>Agresión</t>
  </si>
  <si>
    <t>Sujetos a bordo de una motocicleta realizaron disparos contra un vehículo Mazda en la calle Miguel Ramos Arizpe, en el centro de Pachuca. En sus primeras declaraciones, los afectados dijeron a la policía que al salir del bar Parián, vieron a una camioneta Terrain y escucharon detonaciones.</t>
  </si>
  <si>
    <t>Ataque Armado</t>
  </si>
  <si>
    <t>El mando coordinado de Tulancingo informó que no existe paro laboral ni alguna situación inusual al interior de la policía municipal, luego de la circulación en redes sociales de imágenes que presuntamente mostrarían una suspensión de labores.</t>
  </si>
  <si>
    <t>Mando Coordinado</t>
  </si>
  <si>
    <t>Canek Vázquez dejó de manera temporal la delegación de Infonavit en Hidalgo por cinco días, mientras enfrenta señalamientos sobre presuntas operaciones inmobiliarias y la congruencia de su patrimonio. Fue suspendido cinco días sin goce de sueldo tras una investigación por presuntos actos de corrupción que involucra a 10 funcionarios más. Su lugar es ocupado temporalmente por Guillermo Polanco.</t>
  </si>
  <si>
    <t>Destitución</t>
  </si>
  <si>
    <t>La Secretaría de Seguridad Pública detuvo en Tula a un hombre armado señalado como presunto líder de un grupo generador de violencia en la región. El sujeto viajaba en una camioneta Dodge Ram azul.</t>
  </si>
  <si>
    <t>Combate a la delincuencia</t>
  </si>
  <si>
    <t>Más de cinco mil atletas de las 32 entidades federativas participan en la tercera edición de la gimnasiada nacional inaugurada por el secretario de educación pública de Hidalgo Natividad Castrejón Valdés. L</t>
  </si>
  <si>
    <t>Radioescucha Lore dice: "Muy buenos días, Lalo Larrieta, excelente inicio de semana para todos ustedes, saludos y éxito. Le comento que el día viernes como a las 13:00 horas una unidad del Tuzobús Exprés 4 chocó en el Bicentenario.</t>
  </si>
  <si>
    <t>Accidente Tuzobús</t>
  </si>
  <si>
    <t>Radioescucha 5560 dice: "Hola, disculpen, ¿me podrían proporcionar algún número telefónico de CAASIM? Que tengo más de media hora tratando de comunicarme para solicitar el apoyo. No tengo servicio de agua desde hace un mes".</t>
  </si>
  <si>
    <t>Radioescucha 9896 dice: "Gracias". Dice: "Muy buenos días, gracias por su apoyo, Dios le bendiga. Fíjese que ayer cerraron los vecinos de la colonia una vialidad para demandar la falta de agua, pues según personal de CAASIM le prometieron que pondrían el suministro de agua y mintieron, solo nos permitieron abrir la vialidad y ya".</t>
  </si>
  <si>
    <t>bas</t>
  </si>
  <si>
    <t>Radioescucha podrían pasar mi reporte? según hablaron de CAASIM que ayer en la tarde iba a haber agua en La Alcantarilla, pero fueron puras mentiras, ya llevamos dos semanas sin agua</t>
  </si>
  <si>
    <t>Radioescucha 9371 dice: "Hola, muy buenos días. Una disculpa por la molestia. ¿Qué posibilidad hay de que nos apoyen para reportar en el fraccionamiento La Colonia la falta de agua?</t>
  </si>
  <si>
    <t>Radioescucha María Dolores Dice: "Buenos días, de manera más respetuosa pedimos, pedimos de favor nos den el servicio de agua en la calle de Cipactli. ¿Cipac...? ¿Dónde es esto? María Dolores, ¿dónde es esto? Si nos echan la mano para pasar el reporte bien"»</t>
  </si>
  <si>
    <t>Radioescucha reporta Diice: "Apreciable Licenciado Larrieta". Dice: "Muy buenos días, espero se encuentren bien. Mire, hoy en el fraccionamiento La Colonia, para ver si por su conducto nos pudieran hacer favor de ayudarnos para reportar la falta de agua</t>
  </si>
  <si>
    <t>Radioescucha dice: "Le envío la foto de que la dueña de esta casa tiene una fuga de agua desde hace mucho tiempo y no quiere arreglarla. El problema está afectando a la casa de al lado. Esto es en Santa Julia, primera sección, en la calle 14, esquina con Canal, junto al terreno baldío"</t>
  </si>
  <si>
    <t>Durante la Mañanera del Pueblo de este 21 de septiembre, el titular de la Secretaría de Educación Pública, Mario Delgado, explicó que el acuerdo establece que en primarias y secundarias no se permitirá el uso de celulares durante las clases ni en el recreo, mientras que en educación media superior cada plantel determinará las reglas para garantizar un uso responsable, seguro y con fines pedagógicos.</t>
  </si>
  <si>
    <t>La última semana se registraron cuatro nuevos casos de COVID; en Hidalgo suman 179 contagios y 15 fallecimientos.</t>
  </si>
  <si>
    <t>La Feria Tradicional de Pachuquilla 2026 concluyó con una asistencia superior a 45 mil personas y una derrama económica estimada en más de 14 millones de pesos, informó el Gobierno de Mineral de la Reforma.De acuerdo con la administración municipal, la cifra de asistentes incluye a quienes participaron en la ceremonia del Grito de Independencia y en las distintas actividades culturales, artísticas, comerciales y de entretenimiento organizadas durante la celebración.Las estimaciones preliminares indican que la actividad económica generada benefició a comerciantes, expositores, artesanos y prestadores de servicios participantes. El cálculo se realizó con base en la afluencia aproximada de visitantes, el gasto promedio por persona y datos recabados entre comerciantes y expositores.El gobierno municipal señaló que la asistencia registrada superó las expectativas planteadas inicialmente para esta edición, a la que acudieron habitantes de Mineral de la Reforma, así como visitantes de otros municipios y entidades vecinas.</t>
  </si>
  <si>
    <t>Feria Patronal</t>
  </si>
  <si>
    <t>El Instituto Mexicano del Seguro Social (IMSS) en Hidalgo exhortó a madres, padres de familia y personas tutoras a mantenerse atentos ante posibles señales de linfoma en niñas, niños y adolescentes, a fin de favorecer una detección y atención oportunas.La doctora Alma Italia Guerrero Martínez, coordinadora del Segundo Nivel de Atención Médica del IMSS en Hidalgo, explicó que el linfoma es una enfermedad hematológica que afecta el sistema inmunitario y se origina por la proliferación maligna de los linfocitos, células encargadas de la defensa del organismo.Detalló que entre los principales tipos de cáncer infantil se encuentran la leucemia linfoblástica aguda, los tumores del sistema nervioso central, el linfoma y los tumores abdominales, como los de hígado y riñón. También señaló la presencia de cáncer óseo en niñas, niños y adolescentes.</t>
  </si>
  <si>
    <t>Prevención de accidentes</t>
  </si>
  <si>
    <t>Debido a trabajos de mantenimiento en la mina El Paraíso, se reducirá la presión del agua en 21 colonias de Pachuca. Diría, en paz descanse, nuestro compañero Ernesto Martín Contreras: "Éramos muchos y la abuela tuvo cuates", pero vamos a escuchar la información</t>
  </si>
  <si>
    <t>Hidalgo se sumó al Segundo Simulacro Nacional de Sismo 2026</t>
  </si>
  <si>
    <t>Locutor Jesús Riveros da lectura a comentario de radioescucha que solicita la intervención de los tres órdenes de gobierno para la urgente reparación de la carretera Tenango-Huehuetla y la carretera Región Laguna. El denunciante advirtió que, de no atenderse las condiciones de las vías, las comunidades podrían quedar incomunicadas ante la llegada de la temporada de lluvias y huracanes.</t>
  </si>
  <si>
    <t>Carretera En Mal Estado</t>
  </si>
  <si>
    <t>Locutor Jesús Riveros da lectura a comentario de radioescucha que reporta, que en la secundaria, en la Escuela Secundaria Técnica número 28 en Cuautepec, les entregaron uniformes de tallas muy chiquitas que ellos no solicitaron y no se los van a cambiar, a nadie, a nadie les van a quedar, están muy chicos los uniformes, solo comentaron que los cambien entre ellos, o sea, entre los alumnos, supongo; Jesús Riveros responde; Bueno, eh, pues se supone que les toman, les preguntan las tallas, se supone que así fue para que precisamente tuvieran conocimiento.</t>
  </si>
  <si>
    <t>Con información de AM Hidalgo: El gobernador Julio Menchaca Salazar confirmó que las plataformas de transporte digital como Uber y Didi continúan operando sin autorización en el estado de Hidalgo, señalando que su posible legalización y entrada formal depende de una modificación a la legislación local por parte del Congreso. Ante cuestionamientos sobre tarifas de taxis y la competencia digital, el mandatario reiteró que existe un impedimento legal vigente y que actualmente se prohíbe este servicio mediante aplicaciones. Por su parte, la Secretaría de Movilidad y Transporte (Semot) detalló que entre mayo y septiembre se retiraron 35 unidades piratas de estas aplicaciones, imponiendo multas de entre 500 y 750 UMAs. Finalmente, el gobernador enfatizó que el debate sobre las aplicaciones debe vincularse con la modernización y mejora del transporte convencional.</t>
  </si>
  <si>
    <t>Apps de transporte</t>
  </si>
  <si>
    <t>Julio Menchaca respalda labor de universidades tecnológicas y politécnicas</t>
  </si>
  <si>
    <t>Conmemoración Aniversario</t>
  </si>
  <si>
    <t>El Festival Internacional del Paste 2026 en su décima octava edición se llevará a cabo del 9 al 11 de octubre en el Pueblo Mágico de Real del Monte, Hidalgo. Durante los tres días de celebración, el evento ofrecerá actividades culturales, música, danza, artesanías, concursos, recorridos mineros y degustaciones gastronómicas dirigidas a públicos de todas las edades. Este festival conmemora el origen del paste como resultado del intercambio cultural entre las costumbres mineras locales y la llegada de trabajadores de Cornwall, Inglaterra, fortaleciendo los lazos históricos entre México y el Reino Unido. La programación conjunta la participación de productores, cocineros, artistas y visitantes nacionales e internacionales para enaltecer este icono de la identidad regional.</t>
  </si>
  <si>
    <t>Festival Del Paste</t>
  </si>
  <si>
    <t>Entrevista vía telefónica licenciada Maricela Marín Jonguitud, titular de la Notaría Pública número 1 en Tulancingo - Habló sobre el "Mes del Testamento" (septiembre y octubre) se destacando que el objetivo principal de esta campaña es reducir el temor de la ciudadanía hacia este trámite y ofrecer orientación legal gratuita durante todo el año. Asimismo, detalló los costos preferenciales vigentes para este periodo: 250 pesos más IVA para adultos mayores de 60 años en casos de herederos universales; 2,500 pesos más IVA para personas menores de 60 años; y un costo especial de 500 pesos más IVA para elementos de seguridad pública, policía y bomberos. La notaria explicó conceptos clave como el de heredero universal —el cual abarca los bienes presentes y futuros sin necesidad de especificar propiedades individuales— y aclaró que es posible testar incluso si existen bienes hipotecados o menores de edad que proteger. Finalmente, recordó que la notaría se encuentra ubicada en el Pasaje Cuauhtémoc número 3, a espaldas de Banamex en el centro de Tulancingo, poniendo a disposición los teléfonos 775-775-314-22 y 775-775-303-91.</t>
  </si>
  <si>
    <t>Testamento</t>
  </si>
  <si>
    <t>Locutor Jesús Riveros da lectura a comentario de radioescucha que reportó un fuerte movimiento nocturno relacionado con un presunto caso de robo de hidrocarburo en las localidades de El Aserradero y Cuatlalcingo, en el municipio de Cuautepec. Ante esta situación, las autoridades correspondientes fueron alertadas y se recordó a la ciudadanía la importancia de utilizar la línea anónima 089 para realizar denuncias de este tipo.</t>
  </si>
  <si>
    <t>Huachicol</t>
  </si>
  <si>
    <t>Abordarán retos del lirio acuático y los humedales en congreso organizado por Citnova</t>
  </si>
  <si>
    <t>Planeación</t>
  </si>
  <si>
    <t>Control lirio acuático</t>
  </si>
  <si>
    <t>El gobernador del estado, Julio Menchaca Salazar, encabezará en el Auditorio Gota de Plata la ceremonia conmemorativa por el 35 aniversario de la creación de las Universidades Tecnológicas y Politécnicas a nivel nacional. Durante la transmisión se destacó que las primeras instituciones de este subsistema en el país fueron la Universidad Tecnológica en el Sabinalcoyotl y la Tecnológica de Tula-Tepeji, mientras que en Hidalgo la primera politécnica establecida hace 24 años fue la de Tulancingo.</t>
  </si>
  <si>
    <t>Agenda gobernador</t>
  </si>
  <si>
    <t>En el marco del 35 aniversario de las Universidades Tecnológicas y Politécnicas y del 24 aniversario de la Universidad Politécnica de Tulancingo (UPT), las profesoras e investigadoras Lucía Gutiérrez Lascano y Almadelia López Hernández anunciaron en entrevista en cabina, el segundo "Desafío Aéreo STEM". El evento está dirigido a niños de 5 a 12 años (categoría infantil) y jóvenes de 13 a 18 años (categoría juvenil), quienes podrán participar pilotando drones a través de un circuito con obstáculos. La institución facilitará el equipo y ofrecerá asesoría previa para los participantes. El concurso se llevará a cabo el 2 de octubre, con un costo de recuperación de 250 pesos, y los registros cierran esta semana a través de un formulario en línea disponible en las redes sociales de la universidad.</t>
  </si>
  <si>
    <t>La Procuraduría General de Justicia del Estado de Hidalgo (PGJEH) y la Diócesis de Huejutla sostuvieron una reunión para informar sobre los avances en las investigaciones del asesinato del padre Román de la Cruz Hernández, hallado sin vida en el municipio de Lolotla con impactos de bala y un mensaje escrito. En un mensaje conjunto, el encargado del despacho de la procuraduría, Francisco Fernández Hasbun, y el obispo José Iraís Acosta Beltrán destacaron que existen líneas de investigación concretas y que se mantiene una estrecha coordinación interinstitucional para esclarecer el caso a la brevedad.</t>
  </si>
  <si>
    <t>El próximo 24 de septiembre continuarán las audiencias en los juzgados de control de Tulancingo por un probable caso de triple feminicidio y aborto forzado ocurrido hace 26 meses en Santiago Tulantepec. Tras concluir el desahogo de pruebas el pasado 10 de septiembre —luego de que la defensa desistiera de presentar a sus últimos testigos—, el tribunal fijó la próxima sesión a las 8:15 horas, fecha en la que se prevé la declaración de al menos uno de los tres imputados y la presentación de alegatos de clausura. Aunque en dicha fecha no se emitirá un fallo definitivo, se espera que el tribunal determine una fecha posterior en el mismo mes para dictar sentencia, la cual podría alcanzar de 25 a 50 años de prisión según el Código Penal del Estado de Hidalgo.</t>
  </si>
  <si>
    <t>TSJEH</t>
  </si>
  <si>
    <t>Proceso Por Feminicidio</t>
  </si>
  <si>
    <t>Familiares de Carla, estudiante de la Universidad Tecnológica de la Sierra Hidalguense fallecida tras ser atropellada el 21 de mayo junto a su compañera Estrella N en el tramo carretero hacia Tianguistengo (municipio de Zacualtipán de Ángeles), ofrecieron una rueda de prensa en compañía de la organización ciudadana por Tianguistengo y su equipo jurídico. Informaron sobre los avances de la causa penal 19/2026, destacando que buscan la reclasificación del delito de homicidio culposo a homicidio cometido con eventual dolo, bajo el argumento de que el conductor manejaba bajo los efectos de una ingesta considerable de alcohol (aproximadamente 18 copas), además de exigir una reparación integral del daño que contemple el perjuicio moral.</t>
  </si>
  <si>
    <t>Juan Carlos Santamaría habló sobre los recientes acontecimientos de alto impacto en la Sierra Alta y la Huasteca hidalguense. Entre ellos, se presentó un fragmento sobre la reunión institucional entre el obispo de la Diócesis de Huejutla, José Iraís Acosta Beltrán, y el encargado del despacho de la Procuraduría General de Justicia del Estado de Hidalgo, Francisco Fernández Hasbun. En dicho encuentro, ambas autoridades destacaron la colaboración conjunta y los avances en las tres líneas de investigación sobre el lamentable fallecimiento del sacerdote Román de la Cruz Hernández en el municipio de Lolotla.</t>
  </si>
  <si>
    <t>Radioescucha pide topes vehiculares en Tuzos, frente al Colegio Adam Smith</t>
  </si>
  <si>
    <t>Topes vehiculares</t>
  </si>
  <si>
    <t>Hablemos del incremento a los taxis: si ya se aprobó con el propósito de brindar mayor certeza a las personas usuarias, ordenar la prestación del servicio y mejorar la calidad, el gobierno del estado de Hidalgo regularizará y actualizará las tarifas del transporte público individual mediante un esquema gradual que contempla los 84 municipios de Hidalgo. Para tratar de homologar y dar una solución a esta circunstancia, se expedirá un acuerdo con el objetivo de regularizar la tarifa del transporte público en su modalidad individual. En el caso concreto, lo haremos en los 84 municipios de manera paulatina, de manera escalonada.Así lo detalló durante la conferencia de prensa semanal la secretaria de Movilidad y Transporte, Lyzbeth Robles Gutiérrez</t>
  </si>
  <si>
    <t>Tarifario de taxis</t>
  </si>
  <si>
    <t>La Secretaría de Movilidad y Transporte (SEMOT) de Hidalgo anunció formalmente la actualización del esquema tarifario para el servicio de taxi en el estado.</t>
  </si>
  <si>
    <t>En operativo coordinado por el Gabinete de Seguridad, detienen a tres personas tras altercado en Pachuca</t>
  </si>
  <si>
    <t>OCSAD</t>
  </si>
  <si>
    <t>Reunión Gabinete De Seguridad</t>
  </si>
  <si>
    <t>El titular de la Secretaría de Educación Pública de Hidalgo, Natividad Castrejón Valdés, confirmó que se reforzará la restricción del uso de teléfonos celulares en escuelas de educación básica en el Estado.</t>
  </si>
  <si>
    <t>Hidalgo se suma a la restricción del uso de celulares en salones de clase de educación básica</t>
  </si>
  <si>
    <t>Radioescucha Pedro Nieto agradece el alumbrado publico ya esta arreglado en el Barrio La Malinche</t>
  </si>
  <si>
    <t>Luminarias</t>
  </si>
  <si>
    <t>Radioescucha Alejandro Ruiz, Dice: "Hola, muy buenos días. Para reportar la deficiencia de CAASIM, llevo varias visitas a sus instalaciones porque por llamadas no, nada más no. La petición es la solicitud de una pipa. Gracias. Al acudir a las instalaciones de CAASIM los ejecutivos solo escuchan, se escudan que ya está atendido".</t>
  </si>
  <si>
    <t>Inatención</t>
  </si>
  <si>
    <t>Sobre la muerte del padre Román de la Cruz, la diócesis de Huejutla y la Procuraduría de Hidalgo confirmaron que el caso continúa bajo investigación y que actualmente se trabajan tres líneas de investigación. El obispo José Iraís Acosta Beltrán y el encargado del despacho de la Procuraduría, Francisco Fernández Hasbun, señalaron que ya hubo intercambio de información.José Iraís Acosta Beltrán (Obispo de la Diócesis de Huejutla): Señor José Iraís Acosta Beltrán, obispo de la diócesis de Huejutla; a mi lado el procurador de justicia del estado de Hidalgo.</t>
  </si>
  <si>
    <t>SEPH fortalece la Educación Inicial con el encuentro "Cada Momento Cuenta"</t>
  </si>
  <si>
    <t>Fortalecimiento educativo</t>
  </si>
  <si>
    <t>Por otro lado, la riqueza artesanal y gastronómica de Hidalgo tendrá un escaparate privilegiado en la Feria de San Francisco 2026. Durante 24 días, por lo que 139 personas artesanas de distintas regiones del estado podrán exhibir y comercializar directamente sus productos ante miles de visitantes locales y provenientes de diferentes entidades del país.</t>
  </si>
  <si>
    <t>Feria Pachuca</t>
  </si>
  <si>
    <t>Fíjese que con actividades culturales, deportivas y de entretenimiento, el próximo 24 de septiembre arrancará la Feria San Francisco Pachuca, Hidalgo 2026. Escuchemos. Del 24 de septiembre al 18 de octubre, la Feria San Francisco Pachuca 2026 abrirá sus puertas para reunir a familias, visitantes y comunidades en una fiesta que conjuga tradición, cultura, deporte y entretenimiento.</t>
  </si>
  <si>
    <t>Justicia y reclasificación del caso de homicidio culposo a doloso es lo que exigen familiares de la estudiante luego de que un ebrio conductor la atropellara y matara y dejara a otra herida sobre la carretera federal México-Tampico en el municipio de Zacualtipán</t>
  </si>
  <si>
    <t>En otras noticias, con una visión centrada en el desarrollo integral de niñas, niños y adolescentes y jóvenes, el gobierno del estado fortalece su estrategia educativa mediante tres acciones: conocer qué y cómo están aprendiendo las y los estudiantes, además de atender su bienestar socioemocional y promover el uso responsable de los dispositivos digitales.”</t>
  </si>
  <si>
    <t>Educación integral</t>
  </si>
  <si>
    <t>En otra información, el secretario de Educación Pública de Hidalgo, Natividad Castrejón Valdés, destacó que Hidalgo amplió los ejercicios integradores del aprendizaje, que permiten conocer las fortalezas y áreas donde se requiere mayor acompañamiento.</t>
  </si>
  <si>
    <t>Radioescucha dice: "Buenos días, una pregunta, ¿sigue funcionando el chatbot de CAASIM?". ¡Ah, caray! Lo vamos a pasar. Está con nosotros en contacto la licenciada Paola García. Está con nosotros en esta mañana de Panorama recibiendo los los mensajes en CAASIM, los vamos pasando también a ella para que le puedan dar la atención, ¿no?, y ver qué es lo que pasa en un momento determinado y le y le puedan ayudar. No sé qué es lo que necesiten, pero con mucho gusto lo estamos compartiendo».</t>
  </si>
  <si>
    <t>Chatbot</t>
  </si>
  <si>
    <t>Conductor Eulalio Larrieta pidió apoyo por parte de la policía municipal de Pachuca por un accidente a un costado del panteón municipal del lado derecho, una persona atropellada, en calle Santa Catalina.</t>
  </si>
  <si>
    <t>Auxilio a la ciudadanía</t>
  </si>
  <si>
    <t>En otras noticias, allá en Hidalgo, con el objetivo de fortalecer las actividades agropecuarias y contribuir al bienestar de las familias rurales, el secretario de Agricultura y Desarrollo Rural, Napoleón González Pérez, encabezó la entrega de apoyos productivos en el municipio de Zacualtipán bajo la instrucción del gobernador Julio Menchaca Salazar. “</t>
  </si>
  <si>
    <t>Saderh</t>
  </si>
  <si>
    <t>Apoyo Al Agro</t>
  </si>
  <si>
    <t>El Sitmah informa que la unidad de número económico 31, del Servicio Parador T05, presentó un frenado de emergencia sobre Santa Julia, en sentido sur, derivado de un corte de circulación realizado por un vehículo particular, cuyo conductor se dio a la fuga.</t>
  </si>
  <si>
    <t>Radioescucha 4259 dice: "Muy buenos días, saludos. Gracias al Lic. por el apoyo. Ya por fin después de tanto tiempo de la falta de agua en La Alcantarilla ya nos cayó. Esperemos que sea sea constante".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</si>
</sst>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94" tableType="queryTable" totalsRowShown="0">
  <autoFilter ref="A1:M94"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94"/>
  <sheetViews>
    <sheetView tabSelected="1" topLeftCell="A59" workbookViewId="0">
      <selection activeCell="A94" sqref="A94"/>
    </sheetView>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15.28515625" bestFit="1" customWidth="1"/>
    <col min="7" max="7" width="33.140625" bestFit="1" customWidth="1"/>
    <col min="8" max="8" width="12.42578125"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24</v>
      </c>
      <c r="C1" t="s">
        <v>25</v>
      </c>
      <c r="D1" t="s">
        <v>26</v>
      </c>
      <c r="E1" t="s">
        <v>1</v>
      </c>
      <c r="F1" t="s">
        <v>2</v>
      </c>
      <c r="G1" t="s">
        <v>4</v>
      </c>
      <c r="H1" t="s">
        <v>3</v>
      </c>
      <c r="I1" t="s">
        <v>5</v>
      </c>
      <c r="J1" t="s">
        <v>27</v>
      </c>
      <c r="K1" t="s">
        <v>28</v>
      </c>
      <c r="L1" t="s">
        <v>29</v>
      </c>
      <c r="M1" t="s">
        <v>36</v>
      </c>
    </row>
    <row r="2" spans="1:13" x14ac:dyDescent="0.25">
      <c r="A2" s="2">
        <v>46286</v>
      </c>
      <c r="B2" s="1" t="str">
        <f ca="1">IF(Información1[[#This Row],[Fecha]]='Ajuste de fechas'!$A$2,"Día actual","Día anterior")</f>
        <v>Día anterior</v>
      </c>
      <c r="C2" t="s">
        <v>47</v>
      </c>
      <c r="D2" t="s">
        <v>55</v>
      </c>
      <c r="E2" t="s">
        <v>75</v>
      </c>
      <c r="F2" t="s">
        <v>18</v>
      </c>
      <c r="G2" t="s">
        <v>76</v>
      </c>
      <c r="H2" t="s">
        <v>46</v>
      </c>
      <c r="I2" t="s">
        <v>7</v>
      </c>
      <c r="J2" t="s">
        <v>35</v>
      </c>
      <c r="K2" t="s">
        <v>49</v>
      </c>
      <c r="L2" t="s">
        <v>31</v>
      </c>
      <c r="M2">
        <v>1</v>
      </c>
    </row>
    <row r="3" spans="1:13" x14ac:dyDescent="0.25">
      <c r="A3" s="2">
        <v>46286</v>
      </c>
      <c r="B3" s="1" t="str">
        <f ca="1">IF(Información1[[#This Row],[Fecha]]='Ajuste de fechas'!$A$2,"Día actual","Día anterior")</f>
        <v>Día anterior</v>
      </c>
      <c r="C3" t="s">
        <v>47</v>
      </c>
      <c r="D3" t="s">
        <v>55</v>
      </c>
      <c r="E3" t="s">
        <v>77</v>
      </c>
      <c r="F3" t="s">
        <v>15</v>
      </c>
      <c r="G3" t="s">
        <v>78</v>
      </c>
      <c r="H3" t="s">
        <v>46</v>
      </c>
      <c r="I3" t="s">
        <v>7</v>
      </c>
      <c r="J3" t="s">
        <v>34</v>
      </c>
      <c r="K3" t="s">
        <v>49</v>
      </c>
      <c r="L3" t="s">
        <v>31</v>
      </c>
      <c r="M3">
        <v>1</v>
      </c>
    </row>
    <row r="4" spans="1:13" x14ac:dyDescent="0.25">
      <c r="A4" s="2">
        <v>46286</v>
      </c>
      <c r="B4" s="1" t="str">
        <f ca="1">IF(Información1[[#This Row],[Fecha]]='Ajuste de fechas'!$A$2,"Día actual","Día anterior")</f>
        <v>Día anterior</v>
      </c>
      <c r="C4" t="s">
        <v>47</v>
      </c>
      <c r="D4" t="s">
        <v>55</v>
      </c>
      <c r="E4" t="s">
        <v>79</v>
      </c>
      <c r="F4" t="s">
        <v>15</v>
      </c>
      <c r="G4" t="s">
        <v>80</v>
      </c>
      <c r="H4" t="s">
        <v>46</v>
      </c>
      <c r="I4" t="s">
        <v>7</v>
      </c>
      <c r="J4" t="s">
        <v>34</v>
      </c>
      <c r="K4" t="s">
        <v>49</v>
      </c>
      <c r="L4" t="s">
        <v>31</v>
      </c>
      <c r="M4">
        <v>1</v>
      </c>
    </row>
    <row r="5" spans="1:13" x14ac:dyDescent="0.25">
      <c r="A5" s="2">
        <v>46286</v>
      </c>
      <c r="B5" s="1" t="str">
        <f ca="1">IF(Información1[[#This Row],[Fecha]]='Ajuste de fechas'!$A$2,"Día actual","Día anterior")</f>
        <v>Día anterior</v>
      </c>
      <c r="C5" t="s">
        <v>47</v>
      </c>
      <c r="D5" t="s">
        <v>55</v>
      </c>
      <c r="E5" t="s">
        <v>81</v>
      </c>
      <c r="F5" t="s">
        <v>54</v>
      </c>
      <c r="G5" t="s">
        <v>82</v>
      </c>
      <c r="H5" t="s">
        <v>46</v>
      </c>
      <c r="I5" t="s">
        <v>7</v>
      </c>
      <c r="J5" t="s">
        <v>30</v>
      </c>
      <c r="K5" t="s">
        <v>49</v>
      </c>
      <c r="L5" t="s">
        <v>31</v>
      </c>
      <c r="M5">
        <v>1</v>
      </c>
    </row>
    <row r="6" spans="1:13" x14ac:dyDescent="0.25">
      <c r="A6" s="2">
        <v>46286</v>
      </c>
      <c r="B6" s="1" t="str">
        <f ca="1">IF(Información1[[#This Row],[Fecha]]='Ajuste de fechas'!$A$2,"Día actual","Día anterior")</f>
        <v>Día anterior</v>
      </c>
      <c r="C6" t="s">
        <v>47</v>
      </c>
      <c r="D6" t="s">
        <v>55</v>
      </c>
      <c r="E6" t="s">
        <v>83</v>
      </c>
      <c r="F6" t="s">
        <v>17</v>
      </c>
      <c r="G6" t="s">
        <v>84</v>
      </c>
      <c r="H6" t="s">
        <v>46</v>
      </c>
      <c r="I6" t="s">
        <v>7</v>
      </c>
      <c r="J6" t="s">
        <v>30</v>
      </c>
      <c r="K6" t="s">
        <v>49</v>
      </c>
      <c r="L6" t="s">
        <v>31</v>
      </c>
      <c r="M6">
        <v>1</v>
      </c>
    </row>
    <row r="7" spans="1:13" x14ac:dyDescent="0.25">
      <c r="A7" s="2">
        <v>46286</v>
      </c>
      <c r="B7" s="1" t="str">
        <f ca="1">IF(Información1[[#This Row],[Fecha]]='Ajuste de fechas'!$A$2,"Día actual","Día anterior")</f>
        <v>Día anterior</v>
      </c>
      <c r="C7" t="s">
        <v>47</v>
      </c>
      <c r="D7" t="s">
        <v>55</v>
      </c>
      <c r="E7" t="s">
        <v>85</v>
      </c>
      <c r="F7" t="s">
        <v>42</v>
      </c>
      <c r="G7" t="s">
        <v>86</v>
      </c>
      <c r="H7" t="s">
        <v>46</v>
      </c>
      <c r="I7" t="s">
        <v>7</v>
      </c>
      <c r="J7" t="s">
        <v>30</v>
      </c>
      <c r="K7" t="s">
        <v>49</v>
      </c>
      <c r="L7" t="s">
        <v>31</v>
      </c>
      <c r="M7">
        <v>1</v>
      </c>
    </row>
    <row r="8" spans="1:13" x14ac:dyDescent="0.25">
      <c r="A8" s="2">
        <v>46286</v>
      </c>
      <c r="B8" s="1" t="str">
        <f ca="1">IF(Información1[[#This Row],[Fecha]]='Ajuste de fechas'!$A$2,"Día actual","Día anterior")</f>
        <v>Día anterior</v>
      </c>
      <c r="C8" t="s">
        <v>47</v>
      </c>
      <c r="D8" t="s">
        <v>55</v>
      </c>
      <c r="E8" t="s">
        <v>87</v>
      </c>
      <c r="F8" t="s">
        <v>17</v>
      </c>
      <c r="G8" t="s">
        <v>88</v>
      </c>
      <c r="H8" t="s">
        <v>46</v>
      </c>
      <c r="I8" t="s">
        <v>7</v>
      </c>
      <c r="J8" t="s">
        <v>30</v>
      </c>
      <c r="K8" t="s">
        <v>49</v>
      </c>
      <c r="L8" t="s">
        <v>33</v>
      </c>
      <c r="M8">
        <v>1</v>
      </c>
    </row>
    <row r="9" spans="1:13" x14ac:dyDescent="0.25">
      <c r="A9" s="2">
        <v>46286</v>
      </c>
      <c r="B9" s="1" t="str">
        <f ca="1">IF(Información1[[#This Row],[Fecha]]='Ajuste de fechas'!$A$2,"Día actual","Día anterior")</f>
        <v>Día anterior</v>
      </c>
      <c r="C9" t="s">
        <v>62</v>
      </c>
      <c r="D9" t="s">
        <v>63</v>
      </c>
      <c r="E9" t="s">
        <v>89</v>
      </c>
      <c r="F9" t="s">
        <v>18</v>
      </c>
      <c r="G9" t="s">
        <v>90</v>
      </c>
      <c r="H9" t="s">
        <v>46</v>
      </c>
      <c r="I9" t="s">
        <v>7</v>
      </c>
      <c r="J9" t="s">
        <v>35</v>
      </c>
      <c r="K9" t="s">
        <v>64</v>
      </c>
      <c r="L9" t="s">
        <v>31</v>
      </c>
      <c r="M9">
        <v>1</v>
      </c>
    </row>
    <row r="10" spans="1:13" x14ac:dyDescent="0.25">
      <c r="A10" s="2">
        <v>46286</v>
      </c>
      <c r="B10" s="1" t="str">
        <f ca="1">IF(Información1[[#This Row],[Fecha]]='Ajuste de fechas'!$A$2,"Día actual","Día anterior")</f>
        <v>Día anterior</v>
      </c>
      <c r="C10" t="s">
        <v>62</v>
      </c>
      <c r="D10" t="s">
        <v>63</v>
      </c>
      <c r="E10" t="s">
        <v>91</v>
      </c>
      <c r="F10" t="s">
        <v>18</v>
      </c>
      <c r="G10" t="s">
        <v>66</v>
      </c>
      <c r="H10" t="s">
        <v>46</v>
      </c>
      <c r="I10" t="s">
        <v>7</v>
      </c>
      <c r="J10" t="s">
        <v>35</v>
      </c>
      <c r="K10" t="s">
        <v>64</v>
      </c>
      <c r="L10" t="s">
        <v>31</v>
      </c>
      <c r="M10">
        <v>1</v>
      </c>
    </row>
    <row r="11" spans="1:13" x14ac:dyDescent="0.25">
      <c r="A11" s="2">
        <v>46286</v>
      </c>
      <c r="B11" s="1" t="str">
        <f ca="1">IF(Información1[[#This Row],[Fecha]]='Ajuste de fechas'!$A$2,"Día actual","Día anterior")</f>
        <v>Día anterior</v>
      </c>
      <c r="C11" t="s">
        <v>62</v>
      </c>
      <c r="D11" t="s">
        <v>63</v>
      </c>
      <c r="E11" t="s">
        <v>75</v>
      </c>
      <c r="F11" t="s">
        <v>18</v>
      </c>
      <c r="G11" t="s">
        <v>76</v>
      </c>
      <c r="H11" t="s">
        <v>46</v>
      </c>
      <c r="I11" t="s">
        <v>7</v>
      </c>
      <c r="J11" t="s">
        <v>35</v>
      </c>
      <c r="K11" t="s">
        <v>64</v>
      </c>
      <c r="L11" t="s">
        <v>31</v>
      </c>
      <c r="M11">
        <v>1</v>
      </c>
    </row>
    <row r="12" spans="1:13" x14ac:dyDescent="0.25">
      <c r="A12" s="2">
        <v>46286</v>
      </c>
      <c r="B12" s="1" t="str">
        <f ca="1">IF(Información1[[#This Row],[Fecha]]='Ajuste de fechas'!$A$2,"Día actual","Día anterior")</f>
        <v>Día anterior</v>
      </c>
      <c r="C12" t="s">
        <v>62</v>
      </c>
      <c r="D12" t="s">
        <v>63</v>
      </c>
      <c r="E12" t="s">
        <v>92</v>
      </c>
      <c r="F12" t="s">
        <v>45</v>
      </c>
      <c r="G12" t="s">
        <v>93</v>
      </c>
      <c r="H12" t="s">
        <v>46</v>
      </c>
      <c r="I12" t="s">
        <v>7</v>
      </c>
      <c r="J12" t="s">
        <v>30</v>
      </c>
      <c r="K12" t="s">
        <v>64</v>
      </c>
      <c r="L12" t="s">
        <v>31</v>
      </c>
      <c r="M12">
        <v>1</v>
      </c>
    </row>
    <row r="13" spans="1:13" x14ac:dyDescent="0.25">
      <c r="A13" s="2">
        <v>46286</v>
      </c>
      <c r="B13" s="1" t="str">
        <f ca="1">IF(Información1[[#This Row],[Fecha]]='Ajuste de fechas'!$A$2,"Día actual","Día anterior")</f>
        <v>Día anterior</v>
      </c>
      <c r="C13" t="s">
        <v>62</v>
      </c>
      <c r="D13" t="s">
        <v>63</v>
      </c>
      <c r="E13" t="s">
        <v>94</v>
      </c>
      <c r="F13" t="s">
        <v>95</v>
      </c>
      <c r="G13" t="s">
        <v>73</v>
      </c>
      <c r="H13" t="s">
        <v>46</v>
      </c>
      <c r="I13" t="s">
        <v>7</v>
      </c>
      <c r="J13" t="s">
        <v>30</v>
      </c>
      <c r="K13" t="s">
        <v>64</v>
      </c>
      <c r="L13" t="s">
        <v>33</v>
      </c>
      <c r="M13">
        <v>1</v>
      </c>
    </row>
    <row r="14" spans="1:13" x14ac:dyDescent="0.25">
      <c r="A14" s="2">
        <v>46286</v>
      </c>
      <c r="B14" s="1" t="str">
        <f ca="1">IF(Información1[[#This Row],[Fecha]]='Ajuste de fechas'!$A$2,"Día actual","Día anterior")</f>
        <v>Día anterior</v>
      </c>
      <c r="C14" t="s">
        <v>62</v>
      </c>
      <c r="D14" t="s">
        <v>63</v>
      </c>
      <c r="E14" t="s">
        <v>87</v>
      </c>
      <c r="F14" t="s">
        <v>17</v>
      </c>
      <c r="G14" t="s">
        <v>88</v>
      </c>
      <c r="H14" t="s">
        <v>46</v>
      </c>
      <c r="I14" t="s">
        <v>7</v>
      </c>
      <c r="J14" t="s">
        <v>30</v>
      </c>
      <c r="K14" t="s">
        <v>64</v>
      </c>
      <c r="L14" t="s">
        <v>33</v>
      </c>
      <c r="M14">
        <v>1</v>
      </c>
    </row>
    <row r="15" spans="1:13" x14ac:dyDescent="0.25">
      <c r="A15" s="2">
        <v>46286</v>
      </c>
      <c r="B15" s="1" t="str">
        <f ca="1">IF(Información1[[#This Row],[Fecha]]='Ajuste de fechas'!$A$2,"Día actual","Día anterior")</f>
        <v>Día anterior</v>
      </c>
      <c r="C15" t="s">
        <v>47</v>
      </c>
      <c r="D15" t="s">
        <v>48</v>
      </c>
      <c r="E15" t="s">
        <v>96</v>
      </c>
      <c r="F15" t="s">
        <v>6</v>
      </c>
      <c r="G15" t="s">
        <v>44</v>
      </c>
      <c r="H15" t="s">
        <v>46</v>
      </c>
      <c r="I15" t="s">
        <v>21</v>
      </c>
      <c r="J15" t="s">
        <v>30</v>
      </c>
      <c r="K15" t="s">
        <v>74</v>
      </c>
      <c r="L15" t="s">
        <v>32</v>
      </c>
      <c r="M15">
        <v>1</v>
      </c>
    </row>
    <row r="16" spans="1:13" x14ac:dyDescent="0.25">
      <c r="A16" s="2">
        <v>46286</v>
      </c>
      <c r="B16" s="1" t="str">
        <f ca="1">IF(Información1[[#This Row],[Fecha]]='Ajuste de fechas'!$A$2,"Día actual","Día anterior")</f>
        <v>Día anterior</v>
      </c>
      <c r="C16" t="s">
        <v>47</v>
      </c>
      <c r="D16" t="s">
        <v>48</v>
      </c>
      <c r="E16" t="s">
        <v>97</v>
      </c>
      <c r="F16" t="s">
        <v>17</v>
      </c>
      <c r="G16" t="s">
        <v>98</v>
      </c>
      <c r="H16" t="s">
        <v>46</v>
      </c>
      <c r="I16" t="s">
        <v>21</v>
      </c>
      <c r="J16" t="s">
        <v>30</v>
      </c>
      <c r="K16" t="s">
        <v>74</v>
      </c>
      <c r="L16" t="s">
        <v>32</v>
      </c>
      <c r="M16">
        <v>1</v>
      </c>
    </row>
    <row r="17" spans="1:13" x14ac:dyDescent="0.25">
      <c r="A17" s="2">
        <v>46286</v>
      </c>
      <c r="B17" s="1" t="str">
        <f ca="1">IF(Información1[[#This Row],[Fecha]]='Ajuste de fechas'!$A$2,"Día actual","Día anterior")</f>
        <v>Día anterior</v>
      </c>
      <c r="C17" t="s">
        <v>47</v>
      </c>
      <c r="D17" t="s">
        <v>48</v>
      </c>
      <c r="E17" t="s">
        <v>99</v>
      </c>
      <c r="F17" t="s">
        <v>15</v>
      </c>
      <c r="G17" t="s">
        <v>69</v>
      </c>
      <c r="H17" t="s">
        <v>46</v>
      </c>
      <c r="I17" t="s">
        <v>7</v>
      </c>
      <c r="J17" t="s">
        <v>34</v>
      </c>
      <c r="K17" t="s">
        <v>49</v>
      </c>
      <c r="L17" t="s">
        <v>31</v>
      </c>
      <c r="M17">
        <v>1</v>
      </c>
    </row>
    <row r="18" spans="1:13" x14ac:dyDescent="0.25">
      <c r="A18" s="2">
        <v>46286</v>
      </c>
      <c r="B18" s="1" t="str">
        <f ca="1">IF(Información1[[#This Row],[Fecha]]='Ajuste de fechas'!$A$2,"Día actual","Día anterior")</f>
        <v>Día anterior</v>
      </c>
      <c r="C18" t="s">
        <v>47</v>
      </c>
      <c r="D18" t="s">
        <v>48</v>
      </c>
      <c r="E18" t="s">
        <v>100</v>
      </c>
      <c r="F18" t="s">
        <v>56</v>
      </c>
      <c r="G18" t="s">
        <v>101</v>
      </c>
      <c r="H18" t="s">
        <v>46</v>
      </c>
      <c r="I18" t="s">
        <v>7</v>
      </c>
      <c r="J18" t="s">
        <v>30</v>
      </c>
      <c r="K18" t="s">
        <v>49</v>
      </c>
      <c r="L18" t="s">
        <v>31</v>
      </c>
      <c r="M18">
        <v>1</v>
      </c>
    </row>
    <row r="19" spans="1:13" x14ac:dyDescent="0.25">
      <c r="A19" s="2">
        <v>46286</v>
      </c>
      <c r="B19" s="1" t="str">
        <f ca="1">IF(Información1[[#This Row],[Fecha]]='Ajuste de fechas'!$A$2,"Día actual","Día anterior")</f>
        <v>Día anterior</v>
      </c>
      <c r="C19" t="s">
        <v>47</v>
      </c>
      <c r="D19" t="s">
        <v>48</v>
      </c>
      <c r="E19" t="s">
        <v>102</v>
      </c>
      <c r="F19" t="s">
        <v>17</v>
      </c>
      <c r="G19" t="s">
        <v>101</v>
      </c>
      <c r="H19" t="s">
        <v>46</v>
      </c>
      <c r="I19" t="s">
        <v>7</v>
      </c>
      <c r="J19" t="s">
        <v>30</v>
      </c>
      <c r="K19" t="s">
        <v>50</v>
      </c>
      <c r="L19" t="s">
        <v>31</v>
      </c>
      <c r="M19">
        <v>1</v>
      </c>
    </row>
    <row r="20" spans="1:13" x14ac:dyDescent="0.25">
      <c r="A20" s="2">
        <v>46286</v>
      </c>
      <c r="B20" s="1" t="str">
        <f ca="1">IF(Información1[[#This Row],[Fecha]]='Ajuste de fechas'!$A$2,"Día actual","Día anterior")</f>
        <v>Día anterior</v>
      </c>
      <c r="C20" t="s">
        <v>47</v>
      </c>
      <c r="D20" t="s">
        <v>48</v>
      </c>
      <c r="E20" t="s">
        <v>103</v>
      </c>
      <c r="F20" t="s">
        <v>20</v>
      </c>
      <c r="G20" t="s">
        <v>104</v>
      </c>
      <c r="H20" t="s">
        <v>46</v>
      </c>
      <c r="I20" t="s">
        <v>7</v>
      </c>
      <c r="J20" t="s">
        <v>20</v>
      </c>
      <c r="K20" t="s">
        <v>49</v>
      </c>
      <c r="L20" t="s">
        <v>40</v>
      </c>
      <c r="M20">
        <v>1</v>
      </c>
    </row>
    <row r="21" spans="1:13" x14ac:dyDescent="0.25">
      <c r="A21" s="2">
        <v>46286</v>
      </c>
      <c r="B21" s="1" t="str">
        <f ca="1">IF(Información1[[#This Row],[Fecha]]='Ajuste de fechas'!$A$2,"Día actual","Día anterior")</f>
        <v>Día anterior</v>
      </c>
      <c r="C21" t="s">
        <v>70</v>
      </c>
      <c r="D21" t="s">
        <v>71</v>
      </c>
      <c r="E21" t="s">
        <v>105</v>
      </c>
      <c r="F21" t="s">
        <v>17</v>
      </c>
      <c r="G21" t="s">
        <v>106</v>
      </c>
      <c r="H21" t="s">
        <v>46</v>
      </c>
      <c r="I21" t="s">
        <v>7</v>
      </c>
      <c r="J21" t="s">
        <v>30</v>
      </c>
      <c r="K21" t="s">
        <v>72</v>
      </c>
      <c r="L21" t="s">
        <v>31</v>
      </c>
      <c r="M21">
        <v>1</v>
      </c>
    </row>
    <row r="22" spans="1:13" x14ac:dyDescent="0.25">
      <c r="A22" s="2">
        <v>46286</v>
      </c>
      <c r="B22" s="1" t="str">
        <f ca="1">IF(Información1[[#This Row],[Fecha]]='Ajuste de fechas'!$A$2,"Día actual","Día anterior")</f>
        <v>Día anterior</v>
      </c>
      <c r="C22" t="s">
        <v>59</v>
      </c>
      <c r="D22" t="s">
        <v>60</v>
      </c>
      <c r="E22" t="s">
        <v>107</v>
      </c>
      <c r="F22" t="s">
        <v>108</v>
      </c>
      <c r="G22" t="s">
        <v>109</v>
      </c>
      <c r="H22" t="s">
        <v>46</v>
      </c>
      <c r="I22" t="s">
        <v>7</v>
      </c>
      <c r="J22" t="s">
        <v>30</v>
      </c>
      <c r="K22" t="s">
        <v>61</v>
      </c>
      <c r="L22" t="s">
        <v>31</v>
      </c>
      <c r="M22">
        <v>1</v>
      </c>
    </row>
    <row r="23" spans="1:13" x14ac:dyDescent="0.25">
      <c r="A23" s="2">
        <v>46286</v>
      </c>
      <c r="B23" s="1" t="str">
        <f ca="1">IF(Información1[[#This Row],[Fecha]]='Ajuste de fechas'!$A$2,"Día actual","Día anterior")</f>
        <v>Día anterior</v>
      </c>
      <c r="C23" t="s">
        <v>59</v>
      </c>
      <c r="D23" t="s">
        <v>60</v>
      </c>
      <c r="E23" t="s">
        <v>110</v>
      </c>
      <c r="F23" t="s">
        <v>17</v>
      </c>
      <c r="G23" t="s">
        <v>88</v>
      </c>
      <c r="H23" t="s">
        <v>46</v>
      </c>
      <c r="I23" t="s">
        <v>7</v>
      </c>
      <c r="J23" t="s">
        <v>30</v>
      </c>
      <c r="K23" t="s">
        <v>61</v>
      </c>
      <c r="L23" t="s">
        <v>31</v>
      </c>
      <c r="M23">
        <v>1</v>
      </c>
    </row>
    <row r="24" spans="1:13" x14ac:dyDescent="0.25">
      <c r="A24" s="2">
        <v>46286</v>
      </c>
      <c r="B24" s="1" t="str">
        <f ca="1">IF(Información1[[#This Row],[Fecha]]='Ajuste de fechas'!$A$2,"Día actual","Día anterior")</f>
        <v>Día anterior</v>
      </c>
      <c r="C24" t="s">
        <v>51</v>
      </c>
      <c r="D24" t="s">
        <v>52</v>
      </c>
      <c r="E24" t="s">
        <v>111</v>
      </c>
      <c r="F24" t="s">
        <v>15</v>
      </c>
      <c r="G24" t="s">
        <v>73</v>
      </c>
      <c r="H24" t="s">
        <v>46</v>
      </c>
      <c r="I24" t="s">
        <v>21</v>
      </c>
      <c r="J24" t="s">
        <v>34</v>
      </c>
      <c r="K24" t="s">
        <v>53</v>
      </c>
      <c r="L24" t="s">
        <v>31</v>
      </c>
      <c r="M24">
        <v>1</v>
      </c>
    </row>
    <row r="25" spans="1:13" x14ac:dyDescent="0.25">
      <c r="A25" s="2">
        <v>46286</v>
      </c>
      <c r="B25" s="1" t="str">
        <f ca="1">IF(Información1[[#This Row],[Fecha]]='Ajuste de fechas'!$A$2,"Día actual","Día anterior")</f>
        <v>Día anterior</v>
      </c>
      <c r="C25" t="s">
        <v>51</v>
      </c>
      <c r="D25" t="s">
        <v>52</v>
      </c>
      <c r="E25" t="s">
        <v>112</v>
      </c>
      <c r="F25" t="s">
        <v>6</v>
      </c>
      <c r="G25" t="s">
        <v>44</v>
      </c>
      <c r="H25" t="s">
        <v>46</v>
      </c>
      <c r="I25" t="s">
        <v>21</v>
      </c>
      <c r="J25" t="s">
        <v>30</v>
      </c>
      <c r="K25" t="s">
        <v>53</v>
      </c>
      <c r="L25" t="s">
        <v>31</v>
      </c>
      <c r="M25">
        <v>1</v>
      </c>
    </row>
    <row r="26" spans="1:13" x14ac:dyDescent="0.25">
      <c r="A26" s="2">
        <v>46286</v>
      </c>
      <c r="B26" s="1" t="str">
        <f ca="1">IF(Información1[[#This Row],[Fecha]]='Ajuste de fechas'!$A$2,"Día actual","Día anterior")</f>
        <v>Día anterior</v>
      </c>
      <c r="C26" t="s">
        <v>51</v>
      </c>
      <c r="D26" t="s">
        <v>52</v>
      </c>
      <c r="E26" t="s">
        <v>113</v>
      </c>
      <c r="F26" t="s">
        <v>58</v>
      </c>
      <c r="G26" t="s">
        <v>114</v>
      </c>
      <c r="H26" t="s">
        <v>46</v>
      </c>
      <c r="I26" t="s">
        <v>7</v>
      </c>
      <c r="J26" t="s">
        <v>30</v>
      </c>
      <c r="K26" t="s">
        <v>53</v>
      </c>
      <c r="L26" t="s">
        <v>31</v>
      </c>
      <c r="M26">
        <v>1</v>
      </c>
    </row>
    <row r="27" spans="1:13" x14ac:dyDescent="0.25">
      <c r="A27" s="2">
        <v>46286</v>
      </c>
      <c r="B27" s="1" t="str">
        <f ca="1">IF(Información1[[#This Row],[Fecha]]='Ajuste de fechas'!$A$2,"Día actual","Día anterior")</f>
        <v>Día anterior</v>
      </c>
      <c r="C27" t="s">
        <v>51</v>
      </c>
      <c r="D27" t="s">
        <v>52</v>
      </c>
      <c r="E27" t="s">
        <v>115</v>
      </c>
      <c r="F27" t="s">
        <v>15</v>
      </c>
      <c r="G27" t="s">
        <v>116</v>
      </c>
      <c r="H27" t="s">
        <v>46</v>
      </c>
      <c r="I27" t="s">
        <v>21</v>
      </c>
      <c r="J27" t="s">
        <v>34</v>
      </c>
      <c r="K27" t="s">
        <v>53</v>
      </c>
      <c r="L27" t="s">
        <v>31</v>
      </c>
      <c r="M27">
        <v>1</v>
      </c>
    </row>
    <row r="28" spans="1:13" x14ac:dyDescent="0.25">
      <c r="A28" s="2">
        <v>46286</v>
      </c>
      <c r="B28" s="1" t="str">
        <f ca="1">IF(Información1[[#This Row],[Fecha]]='Ajuste de fechas'!$A$2,"Día actual","Día anterior")</f>
        <v>Día anterior</v>
      </c>
      <c r="C28" t="s">
        <v>51</v>
      </c>
      <c r="D28" t="s">
        <v>52</v>
      </c>
      <c r="E28" t="s">
        <v>117</v>
      </c>
      <c r="F28" t="s">
        <v>45</v>
      </c>
      <c r="G28" t="s">
        <v>93</v>
      </c>
      <c r="H28" t="s">
        <v>46</v>
      </c>
      <c r="I28" t="s">
        <v>7</v>
      </c>
      <c r="J28" t="s">
        <v>30</v>
      </c>
      <c r="K28" t="s">
        <v>53</v>
      </c>
      <c r="L28" t="s">
        <v>31</v>
      </c>
      <c r="M28">
        <v>1</v>
      </c>
    </row>
    <row r="29" spans="1:13" x14ac:dyDescent="0.25">
      <c r="A29" s="2">
        <v>46286</v>
      </c>
      <c r="B29" s="1" t="str">
        <f ca="1">IF(Información1[[#This Row],[Fecha]]='Ajuste de fechas'!$A$2,"Día actual","Día anterior")</f>
        <v>Día anterior</v>
      </c>
      <c r="C29" t="s">
        <v>51</v>
      </c>
      <c r="D29" t="s">
        <v>52</v>
      </c>
      <c r="E29" t="s">
        <v>118</v>
      </c>
      <c r="F29" t="s">
        <v>15</v>
      </c>
      <c r="G29" t="s">
        <v>119</v>
      </c>
      <c r="H29" t="s">
        <v>46</v>
      </c>
      <c r="I29" t="s">
        <v>7</v>
      </c>
      <c r="J29" t="s">
        <v>34</v>
      </c>
      <c r="K29" t="s">
        <v>53</v>
      </c>
      <c r="L29" t="s">
        <v>31</v>
      </c>
      <c r="M29">
        <v>1</v>
      </c>
    </row>
    <row r="30" spans="1:13" x14ac:dyDescent="0.25">
      <c r="A30" s="2">
        <v>46286</v>
      </c>
      <c r="B30" s="1" t="str">
        <f ca="1">IF(Información1[[#This Row],[Fecha]]='Ajuste de fechas'!$A$2,"Día actual","Día anterior")</f>
        <v>Día anterior</v>
      </c>
      <c r="C30" t="s">
        <v>51</v>
      </c>
      <c r="D30" t="s">
        <v>52</v>
      </c>
      <c r="E30" t="s">
        <v>120</v>
      </c>
      <c r="F30" t="s">
        <v>15</v>
      </c>
      <c r="G30" t="s">
        <v>121</v>
      </c>
      <c r="H30" t="s">
        <v>46</v>
      </c>
      <c r="I30" t="s">
        <v>7</v>
      </c>
      <c r="J30" t="s">
        <v>34</v>
      </c>
      <c r="K30" t="s">
        <v>53</v>
      </c>
      <c r="L30" t="s">
        <v>31</v>
      </c>
      <c r="M30">
        <v>1</v>
      </c>
    </row>
    <row r="31" spans="1:13" x14ac:dyDescent="0.25">
      <c r="A31" s="2">
        <v>46286</v>
      </c>
      <c r="B31" s="1" t="str">
        <f ca="1">IF(Información1[[#This Row],[Fecha]]='Ajuste de fechas'!$A$2,"Día actual","Día anterior")</f>
        <v>Día anterior</v>
      </c>
      <c r="C31" t="s">
        <v>51</v>
      </c>
      <c r="D31" t="s">
        <v>52</v>
      </c>
      <c r="E31" t="s">
        <v>122</v>
      </c>
      <c r="F31" t="s">
        <v>15</v>
      </c>
      <c r="G31" t="s">
        <v>123</v>
      </c>
      <c r="H31" t="s">
        <v>46</v>
      </c>
      <c r="I31" t="s">
        <v>7</v>
      </c>
      <c r="J31" t="s">
        <v>34</v>
      </c>
      <c r="K31" t="s">
        <v>53</v>
      </c>
      <c r="L31" t="s">
        <v>31</v>
      </c>
      <c r="M31">
        <v>1</v>
      </c>
    </row>
    <row r="32" spans="1:13" x14ac:dyDescent="0.25">
      <c r="A32" s="2">
        <v>46286</v>
      </c>
      <c r="B32" s="1" t="str">
        <f ca="1">IF(Información1[[#This Row],[Fecha]]='Ajuste de fechas'!$A$2,"Día actual","Día anterior")</f>
        <v>Día anterior</v>
      </c>
      <c r="C32" t="s">
        <v>51</v>
      </c>
      <c r="D32" t="s">
        <v>52</v>
      </c>
      <c r="E32" t="s">
        <v>124</v>
      </c>
      <c r="F32" t="s">
        <v>19</v>
      </c>
      <c r="G32" t="s">
        <v>125</v>
      </c>
      <c r="H32" t="s">
        <v>46</v>
      </c>
      <c r="I32" t="s">
        <v>7</v>
      </c>
      <c r="J32" t="s">
        <v>30</v>
      </c>
      <c r="K32" t="s">
        <v>53</v>
      </c>
      <c r="L32" t="s">
        <v>31</v>
      </c>
      <c r="M32">
        <v>1</v>
      </c>
    </row>
    <row r="33" spans="1:13" x14ac:dyDescent="0.25">
      <c r="A33" s="2">
        <v>46286</v>
      </c>
      <c r="B33" s="1" t="str">
        <f ca="1">IF(Información1[[#This Row],[Fecha]]='Ajuste de fechas'!$A$2,"Día actual","Día anterior")</f>
        <v>Día anterior</v>
      </c>
      <c r="C33" t="s">
        <v>51</v>
      </c>
      <c r="D33" t="s">
        <v>52</v>
      </c>
      <c r="E33" t="s">
        <v>126</v>
      </c>
      <c r="F33" t="s">
        <v>19</v>
      </c>
      <c r="G33" t="s">
        <v>127</v>
      </c>
      <c r="H33" t="s">
        <v>46</v>
      </c>
      <c r="I33" t="s">
        <v>7</v>
      </c>
      <c r="J33" t="s">
        <v>30</v>
      </c>
      <c r="K33" t="s">
        <v>53</v>
      </c>
      <c r="L33" t="s">
        <v>31</v>
      </c>
      <c r="M33">
        <v>1</v>
      </c>
    </row>
    <row r="34" spans="1:13" x14ac:dyDescent="0.25">
      <c r="A34" s="2">
        <v>46286</v>
      </c>
      <c r="B34" s="1" t="str">
        <f ca="1">IF(Información1[[#This Row],[Fecha]]='Ajuste de fechas'!$A$2,"Día actual","Día anterior")</f>
        <v>Día anterior</v>
      </c>
      <c r="C34" t="s">
        <v>51</v>
      </c>
      <c r="D34" t="s">
        <v>52</v>
      </c>
      <c r="E34" t="s">
        <v>128</v>
      </c>
      <c r="F34" t="s">
        <v>18</v>
      </c>
      <c r="G34" t="s">
        <v>129</v>
      </c>
      <c r="H34" t="s">
        <v>46</v>
      </c>
      <c r="I34" t="s">
        <v>21</v>
      </c>
      <c r="J34" t="s">
        <v>35</v>
      </c>
      <c r="K34" t="s">
        <v>53</v>
      </c>
      <c r="L34" t="s">
        <v>31</v>
      </c>
      <c r="M34">
        <v>1</v>
      </c>
    </row>
    <row r="35" spans="1:13" x14ac:dyDescent="0.25">
      <c r="A35" s="2">
        <v>46286</v>
      </c>
      <c r="B35" s="1" t="str">
        <f ca="1">IF(Información1[[#This Row],[Fecha]]='Ajuste de fechas'!$A$2,"Día actual","Día anterior")</f>
        <v>Día anterior</v>
      </c>
      <c r="C35" t="s">
        <v>51</v>
      </c>
      <c r="D35" t="s">
        <v>52</v>
      </c>
      <c r="E35" t="s">
        <v>130</v>
      </c>
      <c r="F35" t="s">
        <v>19</v>
      </c>
      <c r="G35" t="s">
        <v>131</v>
      </c>
      <c r="H35" t="s">
        <v>46</v>
      </c>
      <c r="I35" t="s">
        <v>7</v>
      </c>
      <c r="J35" t="s">
        <v>30</v>
      </c>
      <c r="K35" t="s">
        <v>53</v>
      </c>
      <c r="L35" t="s">
        <v>31</v>
      </c>
      <c r="M35">
        <v>1</v>
      </c>
    </row>
    <row r="36" spans="1:13" x14ac:dyDescent="0.25">
      <c r="A36" s="2">
        <v>46286</v>
      </c>
      <c r="B36" s="1" t="str">
        <f ca="1">IF(Información1[[#This Row],[Fecha]]='Ajuste de fechas'!$A$2,"Día actual","Día anterior")</f>
        <v>Día anterior</v>
      </c>
      <c r="C36" t="s">
        <v>51</v>
      </c>
      <c r="D36" t="s">
        <v>52</v>
      </c>
      <c r="E36" t="s">
        <v>132</v>
      </c>
      <c r="F36" t="s">
        <v>17</v>
      </c>
      <c r="G36" t="s">
        <v>88</v>
      </c>
      <c r="H36" t="s">
        <v>46</v>
      </c>
      <c r="I36" t="s">
        <v>7</v>
      </c>
      <c r="J36" t="s">
        <v>30</v>
      </c>
      <c r="K36" t="s">
        <v>53</v>
      </c>
      <c r="L36" t="s">
        <v>31</v>
      </c>
      <c r="M36">
        <v>1</v>
      </c>
    </row>
    <row r="37" spans="1:13" x14ac:dyDescent="0.25">
      <c r="A37" s="2">
        <v>46286</v>
      </c>
      <c r="B37" s="1" t="str">
        <f ca="1">IF(Información1[[#This Row],[Fecha]]='Ajuste de fechas'!$A$2,"Día actual","Día anterior")</f>
        <v>Día anterior</v>
      </c>
      <c r="C37" t="s">
        <v>8</v>
      </c>
      <c r="D37" t="s">
        <v>9</v>
      </c>
      <c r="E37" t="s">
        <v>133</v>
      </c>
      <c r="F37" t="s">
        <v>13</v>
      </c>
      <c r="G37" t="s">
        <v>134</v>
      </c>
      <c r="H37" t="s">
        <v>46</v>
      </c>
      <c r="I37" t="s">
        <v>21</v>
      </c>
      <c r="J37" t="s">
        <v>30</v>
      </c>
      <c r="K37" t="s">
        <v>74</v>
      </c>
      <c r="L37" t="s">
        <v>32</v>
      </c>
      <c r="M37">
        <v>1</v>
      </c>
    </row>
    <row r="38" spans="1:13" x14ac:dyDescent="0.25">
      <c r="A38" s="2">
        <v>46286</v>
      </c>
      <c r="B38" s="1" t="str">
        <f ca="1">IF(Información1[[#This Row],[Fecha]]='Ajuste de fechas'!$A$2,"Día actual","Día anterior")</f>
        <v>Día anterior</v>
      </c>
      <c r="C38" t="s">
        <v>8</v>
      </c>
      <c r="D38" t="s">
        <v>9</v>
      </c>
      <c r="E38" t="s">
        <v>135</v>
      </c>
      <c r="F38" t="s">
        <v>6</v>
      </c>
      <c r="G38" t="s">
        <v>44</v>
      </c>
      <c r="H38" t="s">
        <v>46</v>
      </c>
      <c r="I38" t="s">
        <v>21</v>
      </c>
      <c r="J38" t="s">
        <v>30</v>
      </c>
      <c r="K38" t="s">
        <v>74</v>
      </c>
      <c r="L38" t="s">
        <v>32</v>
      </c>
      <c r="M38">
        <v>1</v>
      </c>
    </row>
    <row r="39" spans="1:13" x14ac:dyDescent="0.25">
      <c r="A39" s="2">
        <v>46286</v>
      </c>
      <c r="B39" s="1" t="str">
        <f ca="1">IF(Información1[[#This Row],[Fecha]]='Ajuste de fechas'!$A$2,"Día actual","Día anterior")</f>
        <v>Día anterior</v>
      </c>
      <c r="C39" t="s">
        <v>8</v>
      </c>
      <c r="D39" t="s">
        <v>9</v>
      </c>
      <c r="E39" t="s">
        <v>136</v>
      </c>
      <c r="F39" t="s">
        <v>6</v>
      </c>
      <c r="G39" t="s">
        <v>137</v>
      </c>
      <c r="H39" t="s">
        <v>46</v>
      </c>
      <c r="I39" t="s">
        <v>21</v>
      </c>
      <c r="J39" t="s">
        <v>30</v>
      </c>
      <c r="K39" t="s">
        <v>74</v>
      </c>
      <c r="L39" t="s">
        <v>32</v>
      </c>
      <c r="M39">
        <v>1</v>
      </c>
    </row>
    <row r="40" spans="1:13" x14ac:dyDescent="0.25">
      <c r="A40" s="2">
        <v>46286</v>
      </c>
      <c r="B40" s="1" t="str">
        <f ca="1">IF(Información1[[#This Row],[Fecha]]='Ajuste de fechas'!$A$2,"Día actual","Día anterior")</f>
        <v>Día anterior</v>
      </c>
      <c r="C40" t="s">
        <v>8</v>
      </c>
      <c r="D40" t="s">
        <v>9</v>
      </c>
      <c r="E40" t="s">
        <v>138</v>
      </c>
      <c r="F40" t="s">
        <v>6</v>
      </c>
      <c r="G40" t="s">
        <v>44</v>
      </c>
      <c r="H40" t="s">
        <v>46</v>
      </c>
      <c r="I40" t="s">
        <v>21</v>
      </c>
      <c r="J40" t="s">
        <v>30</v>
      </c>
      <c r="K40" t="s">
        <v>74</v>
      </c>
      <c r="L40" t="s">
        <v>32</v>
      </c>
      <c r="M40">
        <v>1</v>
      </c>
    </row>
    <row r="41" spans="1:13" x14ac:dyDescent="0.25">
      <c r="A41" s="2">
        <v>46286</v>
      </c>
      <c r="B41" s="1" t="str">
        <f ca="1">IF(Información1[[#This Row],[Fecha]]='Ajuste de fechas'!$A$2,"Día actual","Día anterior")</f>
        <v>Día anterior</v>
      </c>
      <c r="C41" t="s">
        <v>8</v>
      </c>
      <c r="D41" t="s">
        <v>9</v>
      </c>
      <c r="E41" t="s">
        <v>139</v>
      </c>
      <c r="F41" t="s">
        <v>6</v>
      </c>
      <c r="G41" t="s">
        <v>44</v>
      </c>
      <c r="H41" t="s">
        <v>46</v>
      </c>
      <c r="I41" t="s">
        <v>21</v>
      </c>
      <c r="J41" t="s">
        <v>30</v>
      </c>
      <c r="K41" t="s">
        <v>74</v>
      </c>
      <c r="L41" t="s">
        <v>32</v>
      </c>
      <c r="M41">
        <v>1</v>
      </c>
    </row>
    <row r="42" spans="1:13" x14ac:dyDescent="0.25">
      <c r="A42" s="2">
        <v>46286</v>
      </c>
      <c r="B42" s="1" t="str">
        <f ca="1">IF(Información1[[#This Row],[Fecha]]='Ajuste de fechas'!$A$2,"Día actual","Día anterior")</f>
        <v>Día anterior</v>
      </c>
      <c r="C42" t="s">
        <v>8</v>
      </c>
      <c r="D42" t="s">
        <v>9</v>
      </c>
      <c r="E42" t="s">
        <v>140</v>
      </c>
      <c r="F42" t="s">
        <v>6</v>
      </c>
      <c r="G42" t="s">
        <v>44</v>
      </c>
      <c r="H42" t="s">
        <v>46</v>
      </c>
      <c r="I42" t="s">
        <v>21</v>
      </c>
      <c r="J42" t="s">
        <v>30</v>
      </c>
      <c r="K42" t="s">
        <v>74</v>
      </c>
      <c r="L42" t="s">
        <v>32</v>
      </c>
      <c r="M42">
        <v>1</v>
      </c>
    </row>
    <row r="43" spans="1:13" x14ac:dyDescent="0.25">
      <c r="A43" s="2">
        <v>46286</v>
      </c>
      <c r="B43" s="1" t="str">
        <f ca="1">IF(Información1[[#This Row],[Fecha]]='Ajuste de fechas'!$A$2,"Día actual","Día anterior")</f>
        <v>Día anterior</v>
      </c>
      <c r="C43" t="s">
        <v>8</v>
      </c>
      <c r="D43" t="s">
        <v>9</v>
      </c>
      <c r="E43" t="s">
        <v>141</v>
      </c>
      <c r="F43" t="s">
        <v>6</v>
      </c>
      <c r="G43" t="s">
        <v>44</v>
      </c>
      <c r="H43" t="s">
        <v>46</v>
      </c>
      <c r="I43" t="s">
        <v>21</v>
      </c>
      <c r="J43" t="s">
        <v>30</v>
      </c>
      <c r="K43" t="s">
        <v>74</v>
      </c>
      <c r="L43" t="s">
        <v>32</v>
      </c>
      <c r="M43">
        <v>1</v>
      </c>
    </row>
    <row r="44" spans="1:13" x14ac:dyDescent="0.25">
      <c r="A44" s="2">
        <v>46286</v>
      </c>
      <c r="B44" s="1" t="str">
        <f ca="1">IF(Información1[[#This Row],[Fecha]]='Ajuste de fechas'!$A$2,"Día actual","Día anterior")</f>
        <v>Día anterior</v>
      </c>
      <c r="C44" t="s">
        <v>8</v>
      </c>
      <c r="D44" t="s">
        <v>9</v>
      </c>
      <c r="E44" t="s">
        <v>142</v>
      </c>
      <c r="F44" t="s">
        <v>6</v>
      </c>
      <c r="G44" t="s">
        <v>57</v>
      </c>
      <c r="H44" t="s">
        <v>46</v>
      </c>
      <c r="I44" t="s">
        <v>7</v>
      </c>
      <c r="J44" t="s">
        <v>30</v>
      </c>
      <c r="K44" t="s">
        <v>74</v>
      </c>
      <c r="L44" t="s">
        <v>32</v>
      </c>
      <c r="M44">
        <v>1</v>
      </c>
    </row>
    <row r="45" spans="1:13" x14ac:dyDescent="0.25">
      <c r="A45" s="2">
        <v>46286</v>
      </c>
      <c r="B45" s="1" t="str">
        <f ca="1">IF(Información1[[#This Row],[Fecha]]='Ajuste de fechas'!$A$2,"Día actual","Día anterior")</f>
        <v>Día anterior</v>
      </c>
      <c r="C45" t="s">
        <v>8</v>
      </c>
      <c r="D45" t="s">
        <v>9</v>
      </c>
      <c r="E45" t="s">
        <v>143</v>
      </c>
      <c r="F45" t="s">
        <v>18</v>
      </c>
      <c r="G45" t="s">
        <v>76</v>
      </c>
      <c r="H45" t="s">
        <v>46</v>
      </c>
      <c r="I45" t="s">
        <v>7</v>
      </c>
      <c r="J45" t="s">
        <v>35</v>
      </c>
      <c r="K45" t="s">
        <v>11</v>
      </c>
      <c r="L45" t="s">
        <v>31</v>
      </c>
      <c r="M45">
        <v>1</v>
      </c>
    </row>
    <row r="46" spans="1:13" x14ac:dyDescent="0.25">
      <c r="A46" s="2">
        <v>46286</v>
      </c>
      <c r="B46" s="1" t="str">
        <f ca="1">IF(Información1[[#This Row],[Fecha]]='Ajuste de fechas'!$A$2,"Día actual","Día anterior")</f>
        <v>Día anterior</v>
      </c>
      <c r="C46" t="s">
        <v>8</v>
      </c>
      <c r="D46" t="s">
        <v>9</v>
      </c>
      <c r="E46" t="s">
        <v>144</v>
      </c>
      <c r="F46" t="s">
        <v>45</v>
      </c>
      <c r="G46" t="s">
        <v>68</v>
      </c>
      <c r="H46" t="s">
        <v>46</v>
      </c>
      <c r="I46" t="s">
        <v>7</v>
      </c>
      <c r="J46" t="s">
        <v>30</v>
      </c>
      <c r="K46" t="s">
        <v>11</v>
      </c>
      <c r="L46" t="s">
        <v>31</v>
      </c>
      <c r="M46">
        <v>1</v>
      </c>
    </row>
    <row r="47" spans="1:13" x14ac:dyDescent="0.25">
      <c r="A47" s="2">
        <v>46286</v>
      </c>
      <c r="B47" s="1" t="str">
        <f ca="1">IF(Información1[[#This Row],[Fecha]]='Ajuste de fechas'!$A$2,"Día actual","Día anterior")</f>
        <v>Día anterior</v>
      </c>
      <c r="C47" t="s">
        <v>8</v>
      </c>
      <c r="D47" t="s">
        <v>9</v>
      </c>
      <c r="E47" t="s">
        <v>145</v>
      </c>
      <c r="F47" t="s">
        <v>15</v>
      </c>
      <c r="G47" t="s">
        <v>146</v>
      </c>
      <c r="H47" t="s">
        <v>46</v>
      </c>
      <c r="I47" t="s">
        <v>7</v>
      </c>
      <c r="J47" t="s">
        <v>34</v>
      </c>
      <c r="K47" t="s">
        <v>11</v>
      </c>
      <c r="L47" t="s">
        <v>31</v>
      </c>
      <c r="M47">
        <v>1</v>
      </c>
    </row>
    <row r="48" spans="1:13" x14ac:dyDescent="0.25">
      <c r="A48" s="2">
        <v>46286</v>
      </c>
      <c r="B48" s="1" t="str">
        <f ca="1">IF(Información1[[#This Row],[Fecha]]='Ajuste de fechas'!$A$2,"Día actual","Día anterior")</f>
        <v>Día anterior</v>
      </c>
      <c r="C48" t="s">
        <v>8</v>
      </c>
      <c r="D48" t="s">
        <v>9</v>
      </c>
      <c r="E48" t="s">
        <v>147</v>
      </c>
      <c r="F48" t="s">
        <v>18</v>
      </c>
      <c r="G48" t="s">
        <v>148</v>
      </c>
      <c r="H48" t="s">
        <v>46</v>
      </c>
      <c r="I48" t="s">
        <v>7</v>
      </c>
      <c r="J48" t="s">
        <v>35</v>
      </c>
      <c r="K48" t="s">
        <v>11</v>
      </c>
      <c r="L48" t="s">
        <v>31</v>
      </c>
      <c r="M48">
        <v>1</v>
      </c>
    </row>
    <row r="49" spans="1:13" x14ac:dyDescent="0.25">
      <c r="A49" s="2">
        <v>46286</v>
      </c>
      <c r="B49" s="1" t="str">
        <f ca="1">IF(Información1[[#This Row],[Fecha]]='Ajuste de fechas'!$A$2,"Día actual","Día anterior")</f>
        <v>Día anterior</v>
      </c>
      <c r="C49" t="s">
        <v>8</v>
      </c>
      <c r="D49" t="s">
        <v>9</v>
      </c>
      <c r="E49" t="s">
        <v>149</v>
      </c>
      <c r="F49" t="s">
        <v>6</v>
      </c>
      <c r="G49" t="s">
        <v>44</v>
      </c>
      <c r="H49" t="s">
        <v>46</v>
      </c>
      <c r="I49" t="s">
        <v>7</v>
      </c>
      <c r="J49" t="s">
        <v>30</v>
      </c>
      <c r="K49" t="s">
        <v>11</v>
      </c>
      <c r="L49" t="s">
        <v>31</v>
      </c>
      <c r="M49">
        <v>1</v>
      </c>
    </row>
    <row r="50" spans="1:13" x14ac:dyDescent="0.25">
      <c r="A50" s="2">
        <v>46286</v>
      </c>
      <c r="B50" s="1" t="str">
        <f ca="1">IF(Información1[[#This Row],[Fecha]]='Ajuste de fechas'!$A$2,"Día actual","Día anterior")</f>
        <v>Día anterior</v>
      </c>
      <c r="C50" t="s">
        <v>8</v>
      </c>
      <c r="D50" t="s">
        <v>9</v>
      </c>
      <c r="E50" t="s">
        <v>150</v>
      </c>
      <c r="F50" t="s">
        <v>42</v>
      </c>
      <c r="G50" t="s">
        <v>66</v>
      </c>
      <c r="H50" t="s">
        <v>46</v>
      </c>
      <c r="I50" t="s">
        <v>7</v>
      </c>
      <c r="J50" t="s">
        <v>30</v>
      </c>
      <c r="K50" t="s">
        <v>11</v>
      </c>
      <c r="L50" t="s">
        <v>31</v>
      </c>
      <c r="M50">
        <v>1</v>
      </c>
    </row>
    <row r="51" spans="1:13" x14ac:dyDescent="0.25">
      <c r="A51" s="2">
        <v>46286</v>
      </c>
      <c r="B51" s="1" t="str">
        <f ca="1">IF(Información1[[#This Row],[Fecha]]='Ajuste de fechas'!$A$2,"Día actual","Día anterior")</f>
        <v>Día anterior</v>
      </c>
      <c r="C51" t="s">
        <v>8</v>
      </c>
      <c r="D51" t="s">
        <v>9</v>
      </c>
      <c r="E51" t="s">
        <v>14</v>
      </c>
      <c r="F51" t="s">
        <v>15</v>
      </c>
      <c r="G51" t="s">
        <v>23</v>
      </c>
      <c r="H51" t="s">
        <v>46</v>
      </c>
      <c r="I51" t="s">
        <v>10</v>
      </c>
      <c r="J51" t="s">
        <v>34</v>
      </c>
      <c r="K51" t="s">
        <v>11</v>
      </c>
      <c r="L51" t="s">
        <v>32</v>
      </c>
      <c r="M51">
        <v>1</v>
      </c>
    </row>
    <row r="52" spans="1:13" x14ac:dyDescent="0.25">
      <c r="A52" s="2">
        <v>46286</v>
      </c>
      <c r="B52" s="1" t="str">
        <f ca="1">IF(Información1[[#This Row],[Fecha]]='Ajuste de fechas'!$A$2,"Día actual","Día anterior")</f>
        <v>Día anterior</v>
      </c>
      <c r="C52" t="s">
        <v>8</v>
      </c>
      <c r="D52" t="s">
        <v>9</v>
      </c>
      <c r="E52" t="s">
        <v>41</v>
      </c>
      <c r="F52" t="s">
        <v>39</v>
      </c>
      <c r="G52" t="s">
        <v>23</v>
      </c>
      <c r="H52" t="s">
        <v>46</v>
      </c>
      <c r="I52" t="s">
        <v>10</v>
      </c>
      <c r="J52" t="s">
        <v>20</v>
      </c>
      <c r="K52" t="s">
        <v>11</v>
      </c>
      <c r="L52" t="s">
        <v>32</v>
      </c>
      <c r="M52">
        <v>1</v>
      </c>
    </row>
    <row r="53" spans="1:13" x14ac:dyDescent="0.25">
      <c r="A53" s="2">
        <v>46286</v>
      </c>
      <c r="B53" s="1" t="str">
        <f ca="1">IF(Información1[[#This Row],[Fecha]]='Ajuste de fechas'!$A$2,"Día actual","Día anterior")</f>
        <v>Día anterior</v>
      </c>
      <c r="C53" t="s">
        <v>8</v>
      </c>
      <c r="D53" t="s">
        <v>9</v>
      </c>
      <c r="E53" t="s">
        <v>12</v>
      </c>
      <c r="F53" t="s">
        <v>13</v>
      </c>
      <c r="G53" t="s">
        <v>23</v>
      </c>
      <c r="H53" t="s">
        <v>46</v>
      </c>
      <c r="I53" t="s">
        <v>10</v>
      </c>
      <c r="J53" t="s">
        <v>30</v>
      </c>
      <c r="K53" t="s">
        <v>11</v>
      </c>
      <c r="L53" t="s">
        <v>32</v>
      </c>
      <c r="M53">
        <v>1</v>
      </c>
    </row>
    <row r="54" spans="1:13" x14ac:dyDescent="0.25">
      <c r="A54" s="2">
        <v>46286</v>
      </c>
      <c r="B54" s="1" t="str">
        <f ca="1">IF(Información1[[#This Row],[Fecha]]='Ajuste de fechas'!$A$2,"Día actual","Día anterior")</f>
        <v>Día anterior</v>
      </c>
      <c r="C54" t="s">
        <v>8</v>
      </c>
      <c r="D54" t="s">
        <v>9</v>
      </c>
      <c r="E54" t="s">
        <v>65</v>
      </c>
      <c r="F54" t="s">
        <v>6</v>
      </c>
      <c r="G54" t="s">
        <v>23</v>
      </c>
      <c r="H54" t="s">
        <v>46</v>
      </c>
      <c r="I54" t="s">
        <v>10</v>
      </c>
      <c r="J54" t="s">
        <v>30</v>
      </c>
      <c r="K54" t="s">
        <v>11</v>
      </c>
      <c r="L54" t="s">
        <v>32</v>
      </c>
      <c r="M54">
        <v>1</v>
      </c>
    </row>
    <row r="55" spans="1:13" x14ac:dyDescent="0.25">
      <c r="A55" s="2">
        <v>46287</v>
      </c>
      <c r="B55" s="1" t="str">
        <f ca="1">IF(Información1[[#This Row],[Fecha]]='Ajuste de fechas'!$A$2,"Día actual","Día anterior")</f>
        <v>Día actual</v>
      </c>
      <c r="C55" t="s">
        <v>47</v>
      </c>
      <c r="D55" t="s">
        <v>55</v>
      </c>
      <c r="E55" t="s">
        <v>151</v>
      </c>
      <c r="F55" t="s">
        <v>17</v>
      </c>
      <c r="G55" t="s">
        <v>152</v>
      </c>
      <c r="H55" t="s">
        <v>46</v>
      </c>
      <c r="I55" t="s">
        <v>21</v>
      </c>
      <c r="J55" t="s">
        <v>30</v>
      </c>
      <c r="K55" t="s">
        <v>74</v>
      </c>
      <c r="L55" t="s">
        <v>32</v>
      </c>
      <c r="M55">
        <v>1</v>
      </c>
    </row>
    <row r="56" spans="1:13" x14ac:dyDescent="0.25">
      <c r="A56" s="2">
        <v>46287</v>
      </c>
      <c r="B56" s="1" t="str">
        <f ca="1">IF(Información1[[#This Row],[Fecha]]='Ajuste de fechas'!$A$2,"Día actual","Día anterior")</f>
        <v>Día actual</v>
      </c>
      <c r="C56" t="s">
        <v>47</v>
      </c>
      <c r="D56" t="s">
        <v>55</v>
      </c>
      <c r="E56" t="s">
        <v>153</v>
      </c>
      <c r="F56" t="s">
        <v>17</v>
      </c>
      <c r="G56" t="s">
        <v>98</v>
      </c>
      <c r="H56" t="s">
        <v>46</v>
      </c>
      <c r="I56" t="s">
        <v>21</v>
      </c>
      <c r="J56" t="s">
        <v>30</v>
      </c>
      <c r="K56" t="s">
        <v>74</v>
      </c>
      <c r="L56" t="s">
        <v>32</v>
      </c>
      <c r="M56">
        <v>1</v>
      </c>
    </row>
    <row r="57" spans="1:13" x14ac:dyDescent="0.25">
      <c r="A57" s="2">
        <v>46287</v>
      </c>
      <c r="B57" s="1" t="str">
        <f ca="1">IF(Información1[[#This Row],[Fecha]]='Ajuste de fechas'!$A$2,"Día actual","Día anterior")</f>
        <v>Día actual</v>
      </c>
      <c r="C57" t="s">
        <v>47</v>
      </c>
      <c r="D57" t="s">
        <v>55</v>
      </c>
      <c r="E57" t="s">
        <v>154</v>
      </c>
      <c r="F57" t="s">
        <v>22</v>
      </c>
      <c r="G57" t="s">
        <v>155</v>
      </c>
      <c r="H57" t="s">
        <v>46</v>
      </c>
      <c r="I57" t="s">
        <v>7</v>
      </c>
      <c r="J57" t="s">
        <v>30</v>
      </c>
      <c r="K57" t="s">
        <v>49</v>
      </c>
      <c r="L57" t="s">
        <v>31</v>
      </c>
      <c r="M57">
        <v>1</v>
      </c>
    </row>
    <row r="58" spans="1:13" x14ac:dyDescent="0.25">
      <c r="A58" s="2">
        <v>46287</v>
      </c>
      <c r="B58" s="1" t="str">
        <f ca="1">IF(Información1[[#This Row],[Fecha]]='Ajuste de fechas'!$A$2,"Día actual","Día anterior")</f>
        <v>Día actual</v>
      </c>
      <c r="C58" t="s">
        <v>47</v>
      </c>
      <c r="D58" t="s">
        <v>55</v>
      </c>
      <c r="E58" t="s">
        <v>156</v>
      </c>
      <c r="F58" t="s">
        <v>22</v>
      </c>
      <c r="G58" t="s">
        <v>157</v>
      </c>
      <c r="H58" t="s">
        <v>46</v>
      </c>
      <c r="I58" t="s">
        <v>10</v>
      </c>
      <c r="J58" t="s">
        <v>30</v>
      </c>
      <c r="K58" t="s">
        <v>49</v>
      </c>
      <c r="L58" t="s">
        <v>33</v>
      </c>
      <c r="M58">
        <v>1</v>
      </c>
    </row>
    <row r="59" spans="1:13" x14ac:dyDescent="0.25">
      <c r="A59" s="2">
        <v>46287</v>
      </c>
      <c r="B59" s="1" t="str">
        <f ca="1">IF(Información1[[#This Row],[Fecha]]='Ajuste de fechas'!$A$2,"Día actual","Día anterior")</f>
        <v>Día actual</v>
      </c>
      <c r="C59" t="s">
        <v>47</v>
      </c>
      <c r="D59" t="s">
        <v>55</v>
      </c>
      <c r="E59" t="s">
        <v>158</v>
      </c>
      <c r="F59" t="s">
        <v>15</v>
      </c>
      <c r="G59" t="s">
        <v>159</v>
      </c>
      <c r="H59" t="s">
        <v>46</v>
      </c>
      <c r="I59" t="s">
        <v>7</v>
      </c>
      <c r="J59" t="s">
        <v>34</v>
      </c>
      <c r="K59" t="s">
        <v>49</v>
      </c>
      <c r="L59" t="s">
        <v>31</v>
      </c>
      <c r="M59">
        <v>1</v>
      </c>
    </row>
    <row r="60" spans="1:13" x14ac:dyDescent="0.25">
      <c r="A60" s="2">
        <v>46287</v>
      </c>
      <c r="B60" s="1" t="str">
        <f ca="1">IF(Información1[[#This Row],[Fecha]]='Ajuste de fechas'!$A$2,"Día actual","Día anterior")</f>
        <v>Día actual</v>
      </c>
      <c r="C60" t="s">
        <v>47</v>
      </c>
      <c r="D60" t="s">
        <v>55</v>
      </c>
      <c r="E60" t="s">
        <v>160</v>
      </c>
      <c r="F60" t="s">
        <v>20</v>
      </c>
      <c r="G60" t="s">
        <v>161</v>
      </c>
      <c r="H60" t="s">
        <v>46</v>
      </c>
      <c r="I60" t="s">
        <v>7</v>
      </c>
      <c r="J60" t="s">
        <v>20</v>
      </c>
      <c r="K60" t="s">
        <v>49</v>
      </c>
      <c r="L60" t="s">
        <v>40</v>
      </c>
      <c r="M60">
        <v>1</v>
      </c>
    </row>
    <row r="61" spans="1:13" x14ac:dyDescent="0.25">
      <c r="A61" s="2">
        <v>46287</v>
      </c>
      <c r="B61" s="1" t="str">
        <f ca="1">IF(Información1[[#This Row],[Fecha]]='Ajuste de fechas'!$A$2,"Día actual","Día anterior")</f>
        <v>Día actual</v>
      </c>
      <c r="C61" t="s">
        <v>47</v>
      </c>
      <c r="D61" t="s">
        <v>48</v>
      </c>
      <c r="E61" t="s">
        <v>162</v>
      </c>
      <c r="F61" t="s">
        <v>19</v>
      </c>
      <c r="G61" t="s">
        <v>163</v>
      </c>
      <c r="H61" t="s">
        <v>46</v>
      </c>
      <c r="I61" t="s">
        <v>7</v>
      </c>
      <c r="J61" t="s">
        <v>30</v>
      </c>
      <c r="K61" t="s">
        <v>74</v>
      </c>
      <c r="L61" t="s">
        <v>32</v>
      </c>
      <c r="M61">
        <v>1</v>
      </c>
    </row>
    <row r="62" spans="1:13" x14ac:dyDescent="0.25">
      <c r="A62" s="2">
        <v>46287</v>
      </c>
      <c r="B62" s="1" t="str">
        <f ca="1">IF(Información1[[#This Row],[Fecha]]='Ajuste de fechas'!$A$2,"Día actual","Día anterior")</f>
        <v>Día actual</v>
      </c>
      <c r="C62" t="s">
        <v>47</v>
      </c>
      <c r="D62" t="s">
        <v>48</v>
      </c>
      <c r="E62" t="s">
        <v>164</v>
      </c>
      <c r="F62" t="s">
        <v>165</v>
      </c>
      <c r="G62" t="s">
        <v>166</v>
      </c>
      <c r="H62" t="s">
        <v>46</v>
      </c>
      <c r="I62" t="s">
        <v>7</v>
      </c>
      <c r="J62" t="s">
        <v>30</v>
      </c>
      <c r="K62" t="s">
        <v>50</v>
      </c>
      <c r="L62" t="s">
        <v>33</v>
      </c>
      <c r="M62">
        <v>1</v>
      </c>
    </row>
    <row r="63" spans="1:13" x14ac:dyDescent="0.25">
      <c r="A63" s="2">
        <v>46287</v>
      </c>
      <c r="B63" s="1" t="str">
        <f ca="1">IF(Información1[[#This Row],[Fecha]]='Ajuste de fechas'!$A$2,"Día actual","Día anterior")</f>
        <v>Día actual</v>
      </c>
      <c r="C63" t="s">
        <v>47</v>
      </c>
      <c r="D63" t="s">
        <v>48</v>
      </c>
      <c r="E63" t="s">
        <v>167</v>
      </c>
      <c r="F63" t="s">
        <v>22</v>
      </c>
      <c r="G63" t="s">
        <v>168</v>
      </c>
      <c r="H63" t="s">
        <v>46</v>
      </c>
      <c r="I63" t="s">
        <v>7</v>
      </c>
      <c r="J63" t="s">
        <v>30</v>
      </c>
      <c r="K63" t="s">
        <v>50</v>
      </c>
      <c r="L63" t="s">
        <v>31</v>
      </c>
      <c r="M63">
        <v>1</v>
      </c>
    </row>
    <row r="64" spans="1:13" x14ac:dyDescent="0.25">
      <c r="A64" s="2">
        <v>46287</v>
      </c>
      <c r="B64" s="1" t="str">
        <f ca="1">IF(Información1[[#This Row],[Fecha]]='Ajuste de fechas'!$A$2,"Día actual","Día anterior")</f>
        <v>Día actual</v>
      </c>
      <c r="C64" t="s">
        <v>47</v>
      </c>
      <c r="D64" t="s">
        <v>48</v>
      </c>
      <c r="E64" t="s">
        <v>169</v>
      </c>
      <c r="F64" t="s">
        <v>17</v>
      </c>
      <c r="G64" t="s">
        <v>157</v>
      </c>
      <c r="H64" t="s">
        <v>46</v>
      </c>
      <c r="I64" t="s">
        <v>7</v>
      </c>
      <c r="J64" t="s">
        <v>30</v>
      </c>
      <c r="K64" t="s">
        <v>50</v>
      </c>
      <c r="L64" t="s">
        <v>40</v>
      </c>
      <c r="M64">
        <v>1</v>
      </c>
    </row>
    <row r="65" spans="1:13" x14ac:dyDescent="0.25">
      <c r="A65" s="2">
        <v>46287</v>
      </c>
      <c r="B65" s="1" t="str">
        <f ca="1">IF(Información1[[#This Row],[Fecha]]='Ajuste de fechas'!$A$2,"Día actual","Día anterior")</f>
        <v>Día actual</v>
      </c>
      <c r="C65" t="s">
        <v>47</v>
      </c>
      <c r="D65" t="s">
        <v>48</v>
      </c>
      <c r="E65" t="s">
        <v>170</v>
      </c>
      <c r="F65" t="s">
        <v>54</v>
      </c>
      <c r="G65" t="s">
        <v>67</v>
      </c>
      <c r="H65" t="s">
        <v>46</v>
      </c>
      <c r="I65" t="s">
        <v>7</v>
      </c>
      <c r="J65" t="s">
        <v>30</v>
      </c>
      <c r="K65" t="s">
        <v>49</v>
      </c>
      <c r="L65" t="s">
        <v>31</v>
      </c>
      <c r="M65">
        <v>1</v>
      </c>
    </row>
    <row r="66" spans="1:13" x14ac:dyDescent="0.25">
      <c r="A66" s="2">
        <v>46287</v>
      </c>
      <c r="B66" s="1" t="str">
        <f ca="1">IF(Información1[[#This Row],[Fecha]]='Ajuste de fechas'!$A$2,"Día actual","Día anterior")</f>
        <v>Día actual</v>
      </c>
      <c r="C66" t="s">
        <v>47</v>
      </c>
      <c r="D66" t="s">
        <v>48</v>
      </c>
      <c r="E66" t="s">
        <v>171</v>
      </c>
      <c r="F66" t="s">
        <v>172</v>
      </c>
      <c r="G66" t="s">
        <v>173</v>
      </c>
      <c r="H66" t="s">
        <v>46</v>
      </c>
      <c r="I66" t="s">
        <v>7</v>
      </c>
      <c r="J66" t="s">
        <v>20</v>
      </c>
      <c r="K66" t="s">
        <v>49</v>
      </c>
      <c r="L66" t="s">
        <v>31</v>
      </c>
      <c r="M66">
        <v>1</v>
      </c>
    </row>
    <row r="67" spans="1:13" x14ac:dyDescent="0.25">
      <c r="A67" s="2">
        <v>46287</v>
      </c>
      <c r="B67" s="1" t="str">
        <f ca="1">IF(Información1[[#This Row],[Fecha]]='Ajuste de fechas'!$A$2,"Día actual","Día anterior")</f>
        <v>Día actual</v>
      </c>
      <c r="C67" t="s">
        <v>47</v>
      </c>
      <c r="D67" t="s">
        <v>48</v>
      </c>
      <c r="E67" t="s">
        <v>174</v>
      </c>
      <c r="F67" t="s">
        <v>54</v>
      </c>
      <c r="G67" t="s">
        <v>82</v>
      </c>
      <c r="H67" t="s">
        <v>46</v>
      </c>
      <c r="I67" t="s">
        <v>7</v>
      </c>
      <c r="J67" t="s">
        <v>30</v>
      </c>
      <c r="K67" t="s">
        <v>50</v>
      </c>
      <c r="L67" t="s">
        <v>31</v>
      </c>
      <c r="M67">
        <v>1</v>
      </c>
    </row>
    <row r="68" spans="1:13" x14ac:dyDescent="0.25">
      <c r="A68" s="2">
        <v>46287</v>
      </c>
      <c r="B68" s="1" t="str">
        <f ca="1">IF(Información1[[#This Row],[Fecha]]='Ajuste de fechas'!$A$2,"Día actual","Día anterior")</f>
        <v>Día actual</v>
      </c>
      <c r="C68" t="s">
        <v>47</v>
      </c>
      <c r="D68" t="s">
        <v>48</v>
      </c>
      <c r="E68" t="s">
        <v>175</v>
      </c>
      <c r="F68" t="s">
        <v>54</v>
      </c>
      <c r="G68" t="s">
        <v>67</v>
      </c>
      <c r="H68" t="s">
        <v>46</v>
      </c>
      <c r="I68" t="s">
        <v>7</v>
      </c>
      <c r="J68" t="s">
        <v>30</v>
      </c>
      <c r="K68" t="s">
        <v>50</v>
      </c>
      <c r="L68" t="s">
        <v>31</v>
      </c>
      <c r="M68">
        <v>1</v>
      </c>
    </row>
    <row r="69" spans="1:13" x14ac:dyDescent="0.25">
      <c r="A69" s="2">
        <v>46287</v>
      </c>
      <c r="B69" s="1" t="str">
        <f ca="1">IF(Información1[[#This Row],[Fecha]]='Ajuste de fechas'!$A$2,"Día actual","Día anterior")</f>
        <v>Día actual</v>
      </c>
      <c r="C69" t="s">
        <v>8</v>
      </c>
      <c r="D69" t="s">
        <v>9</v>
      </c>
      <c r="E69" t="s">
        <v>176</v>
      </c>
      <c r="F69" t="s">
        <v>15</v>
      </c>
      <c r="G69" t="s">
        <v>177</v>
      </c>
      <c r="H69" t="s">
        <v>46</v>
      </c>
      <c r="I69" t="s">
        <v>7</v>
      </c>
      <c r="J69" t="s">
        <v>34</v>
      </c>
      <c r="K69" t="s">
        <v>74</v>
      </c>
      <c r="L69" t="s">
        <v>32</v>
      </c>
      <c r="M69">
        <v>1</v>
      </c>
    </row>
    <row r="70" spans="1:13" x14ac:dyDescent="0.25">
      <c r="A70" s="2">
        <v>46287</v>
      </c>
      <c r="B70" s="1" t="str">
        <f ca="1">IF(Información1[[#This Row],[Fecha]]='Ajuste de fechas'!$A$2,"Día actual","Día anterior")</f>
        <v>Día actual</v>
      </c>
      <c r="C70" t="s">
        <v>51</v>
      </c>
      <c r="D70" t="s">
        <v>52</v>
      </c>
      <c r="E70" t="s">
        <v>178</v>
      </c>
      <c r="F70" t="s">
        <v>13</v>
      </c>
      <c r="G70" t="s">
        <v>179</v>
      </c>
      <c r="H70" t="s">
        <v>46</v>
      </c>
      <c r="I70" t="s">
        <v>7</v>
      </c>
      <c r="J70" t="s">
        <v>30</v>
      </c>
      <c r="K70" t="s">
        <v>53</v>
      </c>
      <c r="L70" t="s">
        <v>31</v>
      </c>
      <c r="M70">
        <v>1</v>
      </c>
    </row>
    <row r="71" spans="1:13" x14ac:dyDescent="0.25">
      <c r="A71" s="2">
        <v>46287</v>
      </c>
      <c r="B71" s="1" t="str">
        <f ca="1">IF(Información1[[#This Row],[Fecha]]='Ajuste de fechas'!$A$2,"Día actual","Día anterior")</f>
        <v>Día actual</v>
      </c>
      <c r="C71" t="s">
        <v>8</v>
      </c>
      <c r="D71" t="s">
        <v>9</v>
      </c>
      <c r="E71" t="s">
        <v>180</v>
      </c>
      <c r="F71" t="s">
        <v>13</v>
      </c>
      <c r="G71" t="s">
        <v>179</v>
      </c>
      <c r="H71" t="s">
        <v>46</v>
      </c>
      <c r="I71" t="s">
        <v>7</v>
      </c>
      <c r="J71" t="s">
        <v>30</v>
      </c>
      <c r="K71" t="s">
        <v>11</v>
      </c>
      <c r="L71" t="s">
        <v>32</v>
      </c>
      <c r="M71">
        <v>1</v>
      </c>
    </row>
    <row r="72" spans="1:13" x14ac:dyDescent="0.25">
      <c r="A72" s="2">
        <v>46287</v>
      </c>
      <c r="B72" s="1" t="str">
        <f ca="1">IF(Información1[[#This Row],[Fecha]]='Ajuste de fechas'!$A$2,"Día actual","Día anterior")</f>
        <v>Día actual</v>
      </c>
      <c r="C72" t="s">
        <v>8</v>
      </c>
      <c r="D72" t="s">
        <v>9</v>
      </c>
      <c r="E72" t="s">
        <v>181</v>
      </c>
      <c r="F72" t="s">
        <v>182</v>
      </c>
      <c r="G72" t="s">
        <v>183</v>
      </c>
      <c r="H72" t="s">
        <v>46</v>
      </c>
      <c r="I72" t="s">
        <v>7</v>
      </c>
      <c r="J72" t="s">
        <v>30</v>
      </c>
      <c r="K72" t="s">
        <v>11</v>
      </c>
      <c r="L72" t="s">
        <v>33</v>
      </c>
      <c r="M72">
        <v>1</v>
      </c>
    </row>
    <row r="73" spans="1:13" x14ac:dyDescent="0.25">
      <c r="A73" s="2">
        <v>46287</v>
      </c>
      <c r="B73" s="1" t="str">
        <f ca="1">IF(Información1[[#This Row],[Fecha]]='Ajuste de fechas'!$A$2,"Día actual","Día anterior")</f>
        <v>Día actual</v>
      </c>
      <c r="C73" t="s">
        <v>51</v>
      </c>
      <c r="D73" t="s">
        <v>52</v>
      </c>
      <c r="E73" t="s">
        <v>184</v>
      </c>
      <c r="F73" t="s">
        <v>17</v>
      </c>
      <c r="G73" t="s">
        <v>76</v>
      </c>
      <c r="H73" t="s">
        <v>46</v>
      </c>
      <c r="I73" t="s">
        <v>7</v>
      </c>
      <c r="J73" t="s">
        <v>30</v>
      </c>
      <c r="K73" t="s">
        <v>53</v>
      </c>
      <c r="L73" t="s">
        <v>31</v>
      </c>
      <c r="M73">
        <v>1</v>
      </c>
    </row>
    <row r="74" spans="1:13" x14ac:dyDescent="0.25">
      <c r="A74" s="2">
        <v>46287</v>
      </c>
      <c r="B74" s="1" t="str">
        <f ca="1">IF(Información1[[#This Row],[Fecha]]='Ajuste de fechas'!$A$2,"Día actual","Día anterior")</f>
        <v>Día actual</v>
      </c>
      <c r="C74" t="s">
        <v>8</v>
      </c>
      <c r="D74" t="s">
        <v>9</v>
      </c>
      <c r="E74" t="s">
        <v>185</v>
      </c>
      <c r="F74" t="s">
        <v>17</v>
      </c>
      <c r="G74" t="s">
        <v>76</v>
      </c>
      <c r="H74" t="s">
        <v>46</v>
      </c>
      <c r="I74" t="s">
        <v>7</v>
      </c>
      <c r="J74" t="s">
        <v>30</v>
      </c>
      <c r="K74" t="s">
        <v>11</v>
      </c>
      <c r="L74" t="s">
        <v>31</v>
      </c>
      <c r="M74">
        <v>1</v>
      </c>
    </row>
    <row r="75" spans="1:13" x14ac:dyDescent="0.25">
      <c r="A75" s="2">
        <v>46287</v>
      </c>
      <c r="B75" s="1" t="str">
        <f ca="1">IF(Información1[[#This Row],[Fecha]]='Ajuste de fechas'!$A$2,"Día actual","Día anterior")</f>
        <v>Día actual</v>
      </c>
      <c r="C75" t="s">
        <v>8</v>
      </c>
      <c r="D75" t="s">
        <v>9</v>
      </c>
      <c r="E75" t="s">
        <v>186</v>
      </c>
      <c r="F75" t="s">
        <v>15</v>
      </c>
      <c r="G75" t="s">
        <v>187</v>
      </c>
      <c r="H75" t="s">
        <v>46</v>
      </c>
      <c r="I75" t="s">
        <v>7</v>
      </c>
      <c r="J75" t="s">
        <v>34</v>
      </c>
      <c r="K75" t="s">
        <v>74</v>
      </c>
      <c r="L75" t="s">
        <v>32</v>
      </c>
      <c r="M75">
        <v>1</v>
      </c>
    </row>
    <row r="76" spans="1:13" x14ac:dyDescent="0.25">
      <c r="A76" s="2">
        <v>46287</v>
      </c>
      <c r="B76" s="1" t="str">
        <f ca="1">IF(Información1[[#This Row],[Fecha]]='Ajuste de fechas'!$A$2,"Día actual","Día anterior")</f>
        <v>Día actual</v>
      </c>
      <c r="C76" t="s">
        <v>8</v>
      </c>
      <c r="D76" t="s">
        <v>9</v>
      </c>
      <c r="E76" t="s">
        <v>188</v>
      </c>
      <c r="F76" t="s">
        <v>6</v>
      </c>
      <c r="G76" t="s">
        <v>189</v>
      </c>
      <c r="H76" t="s">
        <v>46</v>
      </c>
      <c r="I76" t="s">
        <v>21</v>
      </c>
      <c r="J76" t="s">
        <v>30</v>
      </c>
      <c r="K76" t="s">
        <v>74</v>
      </c>
      <c r="L76" t="s">
        <v>32</v>
      </c>
      <c r="M76">
        <v>1</v>
      </c>
    </row>
    <row r="77" spans="1:13" x14ac:dyDescent="0.25">
      <c r="A77" s="2">
        <v>46287</v>
      </c>
      <c r="B77" s="1" t="str">
        <f ca="1">IF(Información1[[#This Row],[Fecha]]='Ajuste de fechas'!$A$2,"Día actual","Día anterior")</f>
        <v>Día actual</v>
      </c>
      <c r="C77" t="s">
        <v>51</v>
      </c>
      <c r="D77" t="s">
        <v>52</v>
      </c>
      <c r="E77" t="s">
        <v>190</v>
      </c>
      <c r="F77" t="s">
        <v>54</v>
      </c>
      <c r="G77" t="s">
        <v>67</v>
      </c>
      <c r="H77" t="s">
        <v>46</v>
      </c>
      <c r="I77" t="s">
        <v>7</v>
      </c>
      <c r="J77" t="s">
        <v>30</v>
      </c>
      <c r="K77" t="s">
        <v>53</v>
      </c>
      <c r="L77" t="s">
        <v>31</v>
      </c>
      <c r="M77">
        <v>1</v>
      </c>
    </row>
    <row r="78" spans="1:13" x14ac:dyDescent="0.25">
      <c r="A78" s="2">
        <v>46287</v>
      </c>
      <c r="B78" s="1" t="str">
        <f ca="1">IF(Información1[[#This Row],[Fecha]]='Ajuste de fechas'!$A$2,"Día actual","Día anterior")</f>
        <v>Día actual</v>
      </c>
      <c r="C78" t="s">
        <v>70</v>
      </c>
      <c r="D78" t="s">
        <v>71</v>
      </c>
      <c r="E78" t="s">
        <v>191</v>
      </c>
      <c r="F78" t="s">
        <v>17</v>
      </c>
      <c r="G78" t="s">
        <v>192</v>
      </c>
      <c r="H78" t="s">
        <v>46</v>
      </c>
      <c r="I78" t="s">
        <v>7</v>
      </c>
      <c r="J78" t="s">
        <v>30</v>
      </c>
      <c r="K78" t="s">
        <v>72</v>
      </c>
      <c r="L78" t="s">
        <v>33</v>
      </c>
      <c r="M78">
        <v>1</v>
      </c>
    </row>
    <row r="79" spans="1:13" x14ac:dyDescent="0.25">
      <c r="A79" s="2">
        <v>46287</v>
      </c>
      <c r="B79" s="1" t="str">
        <f ca="1">IF(Información1[[#This Row],[Fecha]]='Ajuste de fechas'!$A$2,"Día actual","Día anterior")</f>
        <v>Día actual</v>
      </c>
      <c r="C79" t="s">
        <v>59</v>
      </c>
      <c r="D79" t="s">
        <v>60</v>
      </c>
      <c r="E79" t="s">
        <v>193</v>
      </c>
      <c r="F79" t="s">
        <v>182</v>
      </c>
      <c r="G79" t="s">
        <v>194</v>
      </c>
      <c r="H79" t="s">
        <v>46</v>
      </c>
      <c r="I79" t="s">
        <v>7</v>
      </c>
      <c r="J79" t="s">
        <v>30</v>
      </c>
      <c r="K79" t="s">
        <v>61</v>
      </c>
      <c r="L79" t="s">
        <v>33</v>
      </c>
      <c r="M79">
        <v>1</v>
      </c>
    </row>
    <row r="80" spans="1:13" x14ac:dyDescent="0.25">
      <c r="A80" s="2">
        <v>46287</v>
      </c>
      <c r="B80" s="1" t="str">
        <f ca="1">IF(Información1[[#This Row],[Fecha]]='Ajuste de fechas'!$A$2,"Día actual","Día anterior")</f>
        <v>Día actual</v>
      </c>
      <c r="C80" t="s">
        <v>8</v>
      </c>
      <c r="D80" t="s">
        <v>9</v>
      </c>
      <c r="E80" t="s">
        <v>195</v>
      </c>
      <c r="F80" t="s">
        <v>56</v>
      </c>
      <c r="G80" t="s">
        <v>194</v>
      </c>
      <c r="H80" t="s">
        <v>46</v>
      </c>
      <c r="I80" t="s">
        <v>7</v>
      </c>
      <c r="J80" t="s">
        <v>30</v>
      </c>
      <c r="K80" t="s">
        <v>11</v>
      </c>
      <c r="L80" t="s">
        <v>31</v>
      </c>
      <c r="M80">
        <v>1</v>
      </c>
    </row>
    <row r="81" spans="1:13" x14ac:dyDescent="0.25">
      <c r="A81" s="2">
        <v>46287</v>
      </c>
      <c r="B81" s="1" t="str">
        <f ca="1">IF(Información1[[#This Row],[Fecha]]='Ajuste de fechas'!$A$2,"Día actual","Día anterior")</f>
        <v>Día actual</v>
      </c>
      <c r="C81" t="s">
        <v>51</v>
      </c>
      <c r="D81" t="s">
        <v>52</v>
      </c>
      <c r="E81" t="s">
        <v>196</v>
      </c>
      <c r="F81" t="s">
        <v>54</v>
      </c>
      <c r="G81" t="s">
        <v>82</v>
      </c>
      <c r="H81" t="s">
        <v>46</v>
      </c>
      <c r="I81" t="s">
        <v>7</v>
      </c>
      <c r="J81" t="s">
        <v>30</v>
      </c>
      <c r="K81" t="s">
        <v>53</v>
      </c>
      <c r="L81" t="s">
        <v>31</v>
      </c>
      <c r="M81">
        <v>1</v>
      </c>
    </row>
    <row r="82" spans="1:13" x14ac:dyDescent="0.25">
      <c r="A82" s="2">
        <v>46287</v>
      </c>
      <c r="B82" s="1" t="str">
        <f ca="1">IF(Información1[[#This Row],[Fecha]]='Ajuste de fechas'!$A$2,"Día actual","Día anterior")</f>
        <v>Día actual</v>
      </c>
      <c r="C82" t="s">
        <v>59</v>
      </c>
      <c r="D82" t="s">
        <v>60</v>
      </c>
      <c r="E82" t="s">
        <v>197</v>
      </c>
      <c r="F82" t="s">
        <v>182</v>
      </c>
      <c r="G82" t="s">
        <v>198</v>
      </c>
      <c r="H82" t="s">
        <v>46</v>
      </c>
      <c r="I82" t="s">
        <v>7</v>
      </c>
      <c r="J82" t="s">
        <v>30</v>
      </c>
      <c r="K82" t="s">
        <v>61</v>
      </c>
      <c r="L82" t="s">
        <v>33</v>
      </c>
      <c r="M82">
        <v>1</v>
      </c>
    </row>
    <row r="83" spans="1:13" x14ac:dyDescent="0.25">
      <c r="A83" s="2">
        <v>46287</v>
      </c>
      <c r="B83" s="1" t="str">
        <f ca="1">IF(Información1[[#This Row],[Fecha]]='Ajuste de fechas'!$A$2,"Día actual","Día anterior")</f>
        <v>Día actual</v>
      </c>
      <c r="C83" t="s">
        <v>51</v>
      </c>
      <c r="D83" t="s">
        <v>52</v>
      </c>
      <c r="E83" t="s">
        <v>199</v>
      </c>
      <c r="F83" t="s">
        <v>17</v>
      </c>
      <c r="G83" t="s">
        <v>198</v>
      </c>
      <c r="H83" t="s">
        <v>46</v>
      </c>
      <c r="I83" t="s">
        <v>7</v>
      </c>
      <c r="J83" t="s">
        <v>30</v>
      </c>
      <c r="K83" t="s">
        <v>53</v>
      </c>
      <c r="L83" t="s">
        <v>31</v>
      </c>
      <c r="M83">
        <v>1</v>
      </c>
    </row>
    <row r="84" spans="1:13" x14ac:dyDescent="0.25">
      <c r="A84" s="2">
        <v>46287</v>
      </c>
      <c r="B84" s="1" t="str">
        <f ca="1">IF(Información1[[#This Row],[Fecha]]='Ajuste de fechas'!$A$2,"Día actual","Día anterior")</f>
        <v>Día actual</v>
      </c>
      <c r="C84" t="s">
        <v>8</v>
      </c>
      <c r="D84" t="s">
        <v>9</v>
      </c>
      <c r="E84" t="s">
        <v>200</v>
      </c>
      <c r="F84" t="s">
        <v>6</v>
      </c>
      <c r="G84" t="s">
        <v>201</v>
      </c>
      <c r="H84" t="s">
        <v>46</v>
      </c>
      <c r="I84" t="s">
        <v>7</v>
      </c>
      <c r="J84" t="s">
        <v>30</v>
      </c>
      <c r="K84" t="s">
        <v>74</v>
      </c>
      <c r="L84" t="s">
        <v>32</v>
      </c>
      <c r="M84">
        <v>1</v>
      </c>
    </row>
    <row r="85" spans="1:13" x14ac:dyDescent="0.25">
      <c r="A85" s="2">
        <v>46287</v>
      </c>
      <c r="B85" s="1" t="str">
        <f ca="1">IF(Información1[[#This Row],[Fecha]]='Ajuste de fechas'!$A$2,"Día actual","Día anterior")</f>
        <v>Día actual</v>
      </c>
      <c r="C85" t="s">
        <v>8</v>
      </c>
      <c r="D85" t="s">
        <v>9</v>
      </c>
      <c r="E85" t="s">
        <v>202</v>
      </c>
      <c r="F85" t="s">
        <v>15</v>
      </c>
      <c r="G85" t="s">
        <v>203</v>
      </c>
      <c r="H85" t="s">
        <v>46</v>
      </c>
      <c r="I85" t="s">
        <v>7</v>
      </c>
      <c r="J85" t="s">
        <v>34</v>
      </c>
      <c r="K85" t="s">
        <v>11</v>
      </c>
      <c r="L85" t="s">
        <v>32</v>
      </c>
      <c r="M85">
        <v>1</v>
      </c>
    </row>
    <row r="86" spans="1:13" x14ac:dyDescent="0.25">
      <c r="A86" s="2">
        <v>46287</v>
      </c>
      <c r="B86" s="1" t="str">
        <f ca="1">IF(Información1[[#This Row],[Fecha]]='Ajuste de fechas'!$A$2,"Día actual","Día anterior")</f>
        <v>Día actual</v>
      </c>
      <c r="C86" t="s">
        <v>8</v>
      </c>
      <c r="D86" t="s">
        <v>9</v>
      </c>
      <c r="E86" t="s">
        <v>16</v>
      </c>
      <c r="F86" t="s">
        <v>15</v>
      </c>
      <c r="G86" t="s">
        <v>23</v>
      </c>
      <c r="H86" t="s">
        <v>46</v>
      </c>
      <c r="I86" t="s">
        <v>10</v>
      </c>
      <c r="J86" t="s">
        <v>34</v>
      </c>
      <c r="K86" t="s">
        <v>11</v>
      </c>
      <c r="L86" t="s">
        <v>32</v>
      </c>
      <c r="M86">
        <v>1</v>
      </c>
    </row>
    <row r="87" spans="1:13" x14ac:dyDescent="0.25">
      <c r="A87" s="2">
        <v>46287</v>
      </c>
      <c r="B87" s="1" t="str">
        <f ca="1">IF(Información1[[#This Row],[Fecha]]='Ajuste de fechas'!$A$2,"Día actual","Día anterior")</f>
        <v>Día actual</v>
      </c>
      <c r="C87" t="s">
        <v>8</v>
      </c>
      <c r="D87" t="s">
        <v>9</v>
      </c>
      <c r="E87" t="s">
        <v>14</v>
      </c>
      <c r="F87" t="s">
        <v>15</v>
      </c>
      <c r="G87" t="s">
        <v>23</v>
      </c>
      <c r="H87" t="s">
        <v>46</v>
      </c>
      <c r="I87" t="s">
        <v>10</v>
      </c>
      <c r="J87" t="s">
        <v>34</v>
      </c>
      <c r="K87" t="s">
        <v>11</v>
      </c>
      <c r="L87" t="s">
        <v>32</v>
      </c>
      <c r="M87">
        <v>1</v>
      </c>
    </row>
    <row r="88" spans="1:13" x14ac:dyDescent="0.25">
      <c r="A88" s="2">
        <v>46287</v>
      </c>
      <c r="B88" s="1" t="str">
        <f ca="1">IF(Información1[[#This Row],[Fecha]]='Ajuste de fechas'!$A$2,"Día actual","Día anterior")</f>
        <v>Día actual</v>
      </c>
      <c r="C88" t="s">
        <v>8</v>
      </c>
      <c r="D88" t="s">
        <v>9</v>
      </c>
      <c r="E88" t="s">
        <v>41</v>
      </c>
      <c r="F88" t="s">
        <v>39</v>
      </c>
      <c r="G88" t="s">
        <v>23</v>
      </c>
      <c r="H88" t="s">
        <v>46</v>
      </c>
      <c r="I88" t="s">
        <v>10</v>
      </c>
      <c r="J88" t="s">
        <v>20</v>
      </c>
      <c r="K88" t="s">
        <v>11</v>
      </c>
      <c r="L88" t="s">
        <v>32</v>
      </c>
      <c r="M88">
        <v>1</v>
      </c>
    </row>
    <row r="89" spans="1:13" x14ac:dyDescent="0.25">
      <c r="A89" s="2">
        <v>46287</v>
      </c>
      <c r="B89" s="1" t="str">
        <f ca="1">IF(Información1[[#This Row],[Fecha]]='Ajuste de fechas'!$A$2,"Día actual","Día anterior")</f>
        <v>Día actual</v>
      </c>
      <c r="C89" t="s">
        <v>8</v>
      </c>
      <c r="D89" t="s">
        <v>9</v>
      </c>
      <c r="E89" t="s">
        <v>43</v>
      </c>
      <c r="F89" t="s">
        <v>42</v>
      </c>
      <c r="G89" t="s">
        <v>23</v>
      </c>
      <c r="H89" t="s">
        <v>46</v>
      </c>
      <c r="I89" t="s">
        <v>10</v>
      </c>
      <c r="J89" t="s">
        <v>30</v>
      </c>
      <c r="K89" t="s">
        <v>11</v>
      </c>
      <c r="L89" t="s">
        <v>32</v>
      </c>
      <c r="M89">
        <v>1</v>
      </c>
    </row>
    <row r="90" spans="1:13" x14ac:dyDescent="0.25">
      <c r="A90" s="2">
        <v>46287</v>
      </c>
      <c r="B90" s="1" t="str">
        <f ca="1">IF(Información1[[#This Row],[Fecha]]='Ajuste de fechas'!$A$2,"Día actual","Día anterior")</f>
        <v>Día actual</v>
      </c>
      <c r="C90" t="s">
        <v>8</v>
      </c>
      <c r="D90" t="s">
        <v>9</v>
      </c>
      <c r="E90" t="s">
        <v>12</v>
      </c>
      <c r="F90" t="s">
        <v>13</v>
      </c>
      <c r="G90" t="s">
        <v>23</v>
      </c>
      <c r="H90" t="s">
        <v>46</v>
      </c>
      <c r="I90" t="s">
        <v>10</v>
      </c>
      <c r="J90" t="s">
        <v>30</v>
      </c>
      <c r="K90" t="s">
        <v>11</v>
      </c>
      <c r="L90" t="s">
        <v>32</v>
      </c>
      <c r="M90">
        <v>1</v>
      </c>
    </row>
    <row r="91" spans="1:13" x14ac:dyDescent="0.25">
      <c r="A91" s="2">
        <v>46287</v>
      </c>
      <c r="B91" s="1" t="str">
        <f ca="1">IF(Información1[[#This Row],[Fecha]]='Ajuste de fechas'!$A$2,"Día actual","Día anterior")</f>
        <v>Día actual</v>
      </c>
      <c r="C91" t="s">
        <v>8</v>
      </c>
      <c r="D91" t="s">
        <v>9</v>
      </c>
      <c r="E91" t="s">
        <v>65</v>
      </c>
      <c r="F91" t="s">
        <v>6</v>
      </c>
      <c r="G91" t="s">
        <v>23</v>
      </c>
      <c r="H91" t="s">
        <v>46</v>
      </c>
      <c r="I91" t="s">
        <v>10</v>
      </c>
      <c r="J91" t="s">
        <v>30</v>
      </c>
      <c r="K91" t="s">
        <v>11</v>
      </c>
      <c r="L91" t="s">
        <v>32</v>
      </c>
      <c r="M91">
        <v>1</v>
      </c>
    </row>
    <row r="92" spans="1:13" x14ac:dyDescent="0.25">
      <c r="A92" s="2">
        <v>46287</v>
      </c>
      <c r="B92" s="1" t="str">
        <f ca="1">IF(Información1[[#This Row],[Fecha]]='Ajuste de fechas'!$A$2,"Día actual","Día anterior")</f>
        <v>Día actual</v>
      </c>
      <c r="C92" t="s">
        <v>59</v>
      </c>
      <c r="D92" t="s">
        <v>60</v>
      </c>
      <c r="E92" t="s">
        <v>204</v>
      </c>
      <c r="F92" t="s">
        <v>205</v>
      </c>
      <c r="G92" t="s">
        <v>206</v>
      </c>
      <c r="H92" t="s">
        <v>46</v>
      </c>
      <c r="I92" t="s">
        <v>7</v>
      </c>
      <c r="J92" t="s">
        <v>30</v>
      </c>
      <c r="K92" t="s">
        <v>61</v>
      </c>
      <c r="L92" t="s">
        <v>31</v>
      </c>
      <c r="M92">
        <v>1</v>
      </c>
    </row>
    <row r="93" spans="1:13" x14ac:dyDescent="0.25">
      <c r="A93" s="2">
        <v>46287</v>
      </c>
      <c r="B93" s="1" t="str">
        <f ca="1">IF(Información1[[#This Row],[Fecha]]='Ajuste de fechas'!$A$2,"Día actual","Día anterior")</f>
        <v>Día actual</v>
      </c>
      <c r="C93" t="s">
        <v>8</v>
      </c>
      <c r="D93" t="s">
        <v>9</v>
      </c>
      <c r="E93" t="s">
        <v>207</v>
      </c>
      <c r="F93" t="s">
        <v>13</v>
      </c>
      <c r="G93" t="s">
        <v>134</v>
      </c>
      <c r="H93" t="s">
        <v>46</v>
      </c>
      <c r="I93" t="s">
        <v>7</v>
      </c>
      <c r="J93" t="s">
        <v>30</v>
      </c>
      <c r="K93" t="s">
        <v>11</v>
      </c>
      <c r="L93" t="s">
        <v>33</v>
      </c>
      <c r="M93">
        <v>1</v>
      </c>
    </row>
    <row r="94" spans="1:13" x14ac:dyDescent="0.25">
      <c r="A94" s="2">
        <v>46287</v>
      </c>
      <c r="B94" s="1" t="str">
        <f ca="1">IF(Información1[[#This Row],[Fecha]]='Ajuste de fechas'!$A$2,"Día actual","Día anterior")</f>
        <v>Día actual</v>
      </c>
      <c r="C94" t="s">
        <v>8</v>
      </c>
      <c r="D94" t="s">
        <v>9</v>
      </c>
      <c r="E94" t="s">
        <v>208</v>
      </c>
      <c r="F94" t="s">
        <v>6</v>
      </c>
      <c r="G94" t="s">
        <v>44</v>
      </c>
      <c r="H94" t="s">
        <v>46</v>
      </c>
      <c r="I94" t="s">
        <v>10</v>
      </c>
      <c r="J94" t="s">
        <v>30</v>
      </c>
      <c r="K94" t="s">
        <v>74</v>
      </c>
      <c r="L94" t="s">
        <v>32</v>
      </c>
      <c r="M9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37</v>
      </c>
      <c r="B1" t="s">
        <v>38</v>
      </c>
    </row>
    <row r="2" spans="1:2" x14ac:dyDescent="0.25">
      <c r="A2" s="2">
        <f ca="1">TODAY()</f>
        <v>46287</v>
      </c>
      <c r="B2" s="2">
        <f ca="1">A2-1</f>
        <v>46286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2026-09-22T22:15:49Z</dcterms:modified>
</cp:coreProperties>
</file>