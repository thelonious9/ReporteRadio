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714A761B-7705-44B4-A26E-52A100F758AA}"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11" i="2" l="1"/>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2" i="2"/>
  <c r="B154" i="2"/>
  <c r="B157" i="2"/>
  <c r="B159" i="2"/>
  <c r="B161" i="2"/>
  <c r="B16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 i="2"/>
  <c r="B3" i="2"/>
  <c r="B4" i="2"/>
  <c r="B5" i="2"/>
  <c r="B6" i="2"/>
  <c r="B7" i="2"/>
  <c r="B8" i="2"/>
  <c r="B9" i="2"/>
  <c r="B10" i="2"/>
  <c r="B11" i="2"/>
  <c r="B12" i="2"/>
  <c r="B39" i="2"/>
  <c r="B41" i="2"/>
  <c r="B43" i="2"/>
  <c r="B45" i="2"/>
  <c r="B47" i="2"/>
  <c r="B49" i="2"/>
  <c r="B51" i="2"/>
  <c r="B53" i="2"/>
  <c r="B55" i="2"/>
  <c r="B57" i="2"/>
  <c r="B59" i="2"/>
  <c r="B61" i="2"/>
  <c r="B63" i="2"/>
  <c r="B65" i="2"/>
  <c r="B67" i="2"/>
  <c r="B69" i="2"/>
  <c r="B71" i="2"/>
  <c r="B73" i="2"/>
  <c r="B75" i="2"/>
  <c r="B77" i="2"/>
  <c r="B79" i="2"/>
  <c r="B210" i="2"/>
  <c r="B82" i="2"/>
  <c r="B83" i="2"/>
  <c r="B84" i="2"/>
  <c r="B85" i="2"/>
  <c r="B87" i="2"/>
  <c r="B89" i="2"/>
  <c r="B91" i="2"/>
  <c r="B92" i="2"/>
  <c r="B93" i="2"/>
  <c r="B218" i="2"/>
  <c r="B220" i="2"/>
  <c r="B106" i="2"/>
  <c r="B108" i="2"/>
  <c r="B110" i="2"/>
  <c r="B151" i="2"/>
  <c r="B153" i="2"/>
  <c r="B155" i="2"/>
  <c r="B156" i="2"/>
  <c r="B158" i="2"/>
  <c r="B160" i="2"/>
  <c r="B162" i="2"/>
  <c r="B163" i="2"/>
  <c r="B165" i="2"/>
  <c r="B13" i="2"/>
  <c r="B14" i="2"/>
  <c r="B15" i="2"/>
  <c r="B16" i="2"/>
  <c r="B17" i="2"/>
  <c r="B18" i="2"/>
  <c r="B19" i="2"/>
  <c r="B20" i="2"/>
  <c r="B21" i="2"/>
  <c r="B22" i="2"/>
  <c r="B23" i="2"/>
  <c r="B24" i="2"/>
  <c r="B25" i="2"/>
  <c r="B26" i="2"/>
  <c r="B27" i="2"/>
  <c r="B28" i="2"/>
  <c r="B29" i="2"/>
  <c r="B30" i="2"/>
  <c r="B31" i="2"/>
  <c r="B32" i="2"/>
  <c r="B33" i="2"/>
  <c r="B34" i="2"/>
  <c r="B35" i="2"/>
  <c r="B36" i="2"/>
  <c r="B37" i="2"/>
  <c r="B38" i="2"/>
  <c r="B40" i="2"/>
  <c r="B42" i="2"/>
  <c r="B44" i="2"/>
  <c r="B46" i="2"/>
  <c r="B48" i="2"/>
  <c r="B50" i="2"/>
  <c r="B52" i="2"/>
  <c r="B54" i="2"/>
  <c r="B56" i="2"/>
  <c r="B58" i="2"/>
  <c r="B60" i="2"/>
  <c r="B62" i="2"/>
  <c r="B64" i="2"/>
  <c r="B66" i="2"/>
  <c r="B68" i="2"/>
  <c r="B70" i="2"/>
  <c r="B72" i="2"/>
  <c r="B74" i="2"/>
  <c r="B76" i="2"/>
  <c r="B78" i="2"/>
  <c r="B80" i="2"/>
  <c r="B81" i="2"/>
  <c r="B211" i="2"/>
  <c r="B212" i="2"/>
  <c r="B213" i="2"/>
  <c r="B86" i="2"/>
  <c r="B88" i="2"/>
  <c r="B90" i="2"/>
  <c r="B214" i="2"/>
  <c r="B215" i="2"/>
  <c r="B94" i="2"/>
  <c r="B95" i="2"/>
  <c r="B96" i="2"/>
  <c r="B97" i="2"/>
  <c r="B98" i="2"/>
  <c r="B99" i="2"/>
  <c r="B100" i="2"/>
  <c r="B216" i="2"/>
  <c r="B217" i="2"/>
  <c r="B101" i="2"/>
  <c r="B102" i="2"/>
  <c r="B103" i="2"/>
  <c r="B104" i="2"/>
  <c r="B219" i="2"/>
  <c r="B105" i="2"/>
  <c r="B107" i="2"/>
  <c r="B10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<sst xmlns="http://schemas.openxmlformats.org/spreadsheetml/2006/main" count="2205" uniqueCount="353">
  <si>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</si>
  <si>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</si>
  <si>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</si>
  <si>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</si>
  <si>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</si>
  <si>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</si>
  <si>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</si>
  <si>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</si>
  <si>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</si>
  <si>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</si>
  <si>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</si>
  <si>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</si>
  <si>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</si>
  <si>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</si>
  <si>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</si>
  <si>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</si>
  <si>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</si>
  <si>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</si>
  <si>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</si>
  <si>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</si>
  <si>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</si>
  <si>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</si>
  <si>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</si>
  <si>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</si>
  <si>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</si>
  <si>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</si>
  <si>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</si>
  <si>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</si>
  <si>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</si>
  <si>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</si>
  <si>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</si>
  <si>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</si>
  <si>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</si>
  <si>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</si>
  <si>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</si>
  <si>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</si>
  <si>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</si>
  <si>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</si>
  <si>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</si>
  <si>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</si>
  <si>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</si>
  <si>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</si>
  <si>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</si>
  <si>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</si>
  <si>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Canal del Pueblo</t>
  </si>
  <si>
    <t>Vocales Radio</t>
  </si>
  <si>
    <t>Semarnath</t>
  </si>
  <si>
    <t>NQ 90.1 FM</t>
  </si>
  <si>
    <t>Jesús Riveros</t>
  </si>
  <si>
    <t>Enlace Hidalgo1</t>
  </si>
  <si>
    <t>Enlace Hidalgo2</t>
  </si>
  <si>
    <t>Planeación</t>
  </si>
  <si>
    <t>Ultra 102.9 FM</t>
  </si>
  <si>
    <t>Ultra Noticias1</t>
  </si>
  <si>
    <t>Daniel Martínez</t>
  </si>
  <si>
    <t>Eulalio Larrieta agradece a Carlos Gamiño por estar al pendiente de temas</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</si>
  <si>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</si>
  <si>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</si>
  <si>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</si>
  <si>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</si>
  <si>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</si>
  <si>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</si>
  <si>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</si>
  <si>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</si>
  <si>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</si>
  <si>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</si>
  <si>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</si>
  <si>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</si>
  <si>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</si>
  <si>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</si>
  <si>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</si>
  <si>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</si>
  <si>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</si>
  <si>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</si>
  <si>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</si>
  <si>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Prevención De Riesgos</t>
  </si>
  <si>
    <t>Combate Al Narcomenudeo</t>
  </si>
  <si>
    <t>Gusano barrenador</t>
  </si>
  <si>
    <t>Detención</t>
  </si>
  <si>
    <t>Día del Niño</t>
  </si>
  <si>
    <t>Fuga De Agua</t>
  </si>
  <si>
    <t>Huracán Priscilla</t>
  </si>
  <si>
    <t>DIFH</t>
  </si>
  <si>
    <t>Semaforización</t>
  </si>
  <si>
    <t>Saderh</t>
  </si>
  <si>
    <t>Oferta educativa</t>
  </si>
  <si>
    <t>Eulalio Larrieta agradece a Edith Balderas de la Secretaria de Educación Pública.</t>
  </si>
  <si>
    <t>Tauromaquia</t>
  </si>
  <si>
    <t>Modernización Tuzobús</t>
  </si>
  <si>
    <t>Plan Hídrico</t>
  </si>
  <si>
    <t>Tren AIFA</t>
  </si>
  <si>
    <t>Visita Sheinbaum</t>
  </si>
  <si>
    <t>Abasto De Agua</t>
  </si>
  <si>
    <t>Prevención De Enfermedades</t>
  </si>
  <si>
    <t>Nacionales Conade</t>
  </si>
  <si>
    <t>Día de la educadora</t>
  </si>
  <si>
    <t>Fundación Arturo Herrera</t>
  </si>
  <si>
    <t>Rehabilitación carretera</t>
  </si>
  <si>
    <t>Bienestar</t>
  </si>
  <si>
    <t>Amenazas en escuela</t>
  </si>
  <si>
    <t>Prevención del delito</t>
  </si>
  <si>
    <t>Supervisión de obra</t>
  </si>
  <si>
    <t>Entrega De Apoyos</t>
  </si>
  <si>
    <t>Oficialía Mayor</t>
  </si>
  <si>
    <t>Radiodifusoras</t>
  </si>
  <si>
    <t>En atención a los pobladores de Tenango de Doria, Hidalgo, la presidenta Claudia Sheinbaum Pardo supervisó el Centro de Salud del IMSS Bienestar del municipio donde encontró que hay un 80 por ciento de abasto de medicamentos gracias al programa Rutas de la Salud y el 20 por ciento faltante es atendido, ya que se registró una problemática con un proveedor, la cual será resuelta el lunes. “Hay el 80 por ciento de abasto, hay un 20 por ciento que no llegó en las últimas Rutas de la Salud. Pregunté al doctor Svarch (director general del IMSS Bienestar) y me dice que hay un problema con la empresa, que hay un problema con el proveedor de ciertos medicamentos. Entonces ya lo vamos a resolver el lunes”, informó en entrevista con medios luego de su recorrido. Puntualizó que también se trabaja en la contratación de más médicos y médicas especialistas para garantizar la atención en los Centros de Salud.</t>
  </si>
  <si>
    <t>Abasto De Medicamentos</t>
  </si>
  <si>
    <t>En un acto que refrenda la cooperación internacional y el intercambio cultural, la presidenta municipal de Tulancingo, Lorena García Cázares, recibió en Palacio Municipal a la delegación de Pleasanton, encabezada por Jorge y Sylvia Victoria, presidente y primera dama consejera del comité de Ciudades Hermanas.Durante el acto protocolario, la alcaldesa dio la bienvenida a los visitantes y destacó la relevancia de mantener viva esta tradición de intercambio anual, la cual fortalece los lazos de amistad y entendimiento entre ambas comunidades. Subrayó además el legado de Robert Athenour, impulsor de esta alianza que ha perdurado a lo largo del tiempo.</t>
  </si>
  <si>
    <t>Hermanamiento</t>
  </si>
  <si>
    <t>La Secretaría de Educación Pública de Hidalgo (SEPH), informó que hasta el momento se han contabilizado 13 registros de pintas y mensajes anónimos con presuntas amenazas en planteles educativos del estado, principalmente en secundarias y preparatorias. El titular de la dependencia, Natividad Castrejón Valdez, señaló que estos casos se han presentado en distintos municipios y forman parte de una tendencia viral detectada en redes sociales a nivel nacional. Ante esta situación, explicó que ya se activaron protocolos en todos los planteles educativos, los cuales contemplan informar de inmediato a madres y padres de familia, dar aviso a las autoridades municipales y mantener comunicación constante con el alumnado. Asimismo, llamó a las familias a involucrarse desde casa mediante la supervisión y diálogo con sus hijas e hijos, a fin de prevenir cualquier incidente de violencia. Castrejón Valdez subrayó que, si bien estos mensajes han generado inquietud, no se busca provocar alarma social, sino mantener vigilancia permanente en cada escuela para detectar posibles riesgos. En cuanto a los responsables, precisó que no han sido identificados, ya que se trata de pintas anónimas; sin embargo, en caso de detectar a algún estudiante involucrado, se levanta un acta, se cita a los padres y se establece un compromiso de no repetición.</t>
  </si>
  <si>
    <t>Boletín 295: Celebra DIF Hidalgo a la niñez hidalguense</t>
  </si>
  <si>
    <t>Boletín 575: Próxima a cerrar la convocatoria “Transformando Emprendedores 2026”</t>
  </si>
  <si>
    <t>Apoyo a emprendedores</t>
  </si>
  <si>
    <t>Boletín 719: Policía Estatal detiene en San Bartolo Tutotepec a narcomenudistas con más de 700 dosis de presunta droga</t>
  </si>
  <si>
    <t>Boletín 720: ENSU: reporta mejora en percepción de seguridad en Hidalgo</t>
  </si>
  <si>
    <t>Percepción de inseguridad</t>
  </si>
  <si>
    <t>Boletín 265: Hidalgo, invitado de honor en la FAMEX 2027</t>
  </si>
  <si>
    <t>Sedeco</t>
  </si>
  <si>
    <t>Feria Aeroespacial</t>
  </si>
  <si>
    <t>Boletín 1057: Sheinbaum y Menchaca ponen en marcha infraestructura deportiva que fortalece el tejido social en Pachuca</t>
  </si>
  <si>
    <t>Ciudad deportiva</t>
  </si>
  <si>
    <t>Boletín 1060: Julio Menchaca acompaña la inauguración del tren Buenavista–AIFA (AUDIO JMS)</t>
  </si>
  <si>
    <t>Locutor Jesús Riveros informa sobre la conferencia mañanera del Gobierno de Hidalgo y destaca la gira de trabajo de la presidenta Claudia Sheinbaum, uno de los eventos en los que estuvo presente, fue en la inauguración del tren que va a concertar el centro de la Ciudad de México con el AIFA, lo anterior, luego de cuatro años de construcción, en el acto inaugural la mandatario señaló “Misión cumplida, cumplimos con el pueblo de México”. En la ceremonia inaugural estuvieron convocados un selecto grupo de altos funcionarios del gobierno Federal, los gobernadores del Estado de México e Hidalgo, Delfina Gómez y Julio Menchaca respectivamente.</t>
  </si>
  <si>
    <t>Mañanera de Hidalgo</t>
  </si>
  <si>
    <t>Durante el protocolo de inauguración del tren AIFA, hubo personas querido acceder al evento para poder externar algunas situaciones con la presidenta Claudia Sheinbaum como lo hizo un grupo de personas en Tenango de Doria, donde incluso la presidenta cedió el micrófono a un par de asistentes, quienes le extornaron que en los Centros de Salud locales de la Otomí-Tepehua no había medicamentos, a lo que la presidenta se comprometió a atender.</t>
  </si>
  <si>
    <t>El Comando Unificado de la Coordinación Nacional de Protección Civil informó que fue localizado sin vida el cuarto y último trabajador atrapado en la mina Santa Fe, ubicada en el municipio de El Rosario, Sinaloa, tras 33 días de labores ininterrumpidas de búsqueda. El minero fue identificado como Leandro Isidro Beltrán Reséndiz, de 54 años, originario de Zimapán, Hidalgo. Su hallazgo se registró a las 2:15 horas del Pacífico, luego de un operativo sostenido desde el accidente ocurrido el pasado 25 de marzo en el yacimiento. El hallazgo se logró luego de 783 horas continuas de operación en las que participaron 389 elementos de distintas instituciones federales y estatales, así como personal de la propia mina.</t>
  </si>
  <si>
    <t>Localización de cuerpo</t>
  </si>
  <si>
    <t>Durante siete horas ininterrumpidas, la Feria de la Niñez en Tulancingo se desarrolló en un ambiente de sana convivencia familiar, superando la asistencia de más de 10 mil personas. La presidenta municipal, Lorena García, refirió que este evento salió avante gracias a la disposición y compromiso del equipo de trabajo del Gobierno Municipal, quienes, a través de cada secretaría, instalaron stands temáticos llenos de alegría y entusiasmo para las niñas y los niños. «Este acercamiento con la niñez permitió fortalecer la unión familiar como un acto de reconstrucción social; de convivencia y de amor » señaló la alcaldesa. En esta edición, las familias disfrutaron de diversas áreas temáticas como ciencia, medicina canina, dibujo y pintura, inflables, rodeo, juegos clásicos, acuatlón y spa, generando espacios recreativos e interactivos para todas las edades. En un ámbito de acercamiento institucional, elementos de Bomberos y Protección Civil realizaron dinámicas participativas entre padres e hijos, mientras que la Unidad K9 presentó demostraciones de las destrezas de los caninos en materia de seguridad. Durante la jornada, los pequeños y pequeñas recibieron juguetes, y disfrutaron de algodones de azúcar, palomitas y juegos mecánicos de manera gratuita. Asimismo, en la carrera atlética infantil se contó con la participación de 350 personas. Para amenizar el ambiente, se contó con la participación de DJ Armandito, de tan solo 11 años, quien puso ritmo y energía a esta gran celebración. La tarde de festejo concluyó con una función de lucha libre, deporte de gran tradición en el municipio, que llenó de emoción y entusiasmo a las familias asistentes.</t>
  </si>
  <si>
    <t>Integrantes del grupo Fandango Musical informaron que ya fueron liberados tras haber sido retenidos por habitantes de la localidad de Aquetzpalco, en el municipio de Huautla, luego de no llegar a tiempo a una presentación en la comunidad. A través de un mensaje difundido en video, los músicos señalaron que actualmente se encuentran en las instalaciones del Ministerio Público en Huejutla, donde presentaron una denuncia formal en contra del comité organizador del evento ocurrido el pasado 25 de abril. De acuerdo con su testimonio, tras 15 horas de retención salieron de la comunidad en condiciones de cansancio y deshidratación. Indicaron que, aunque ya se encuentran fuera de riesgo, los pobladores mantienen en su poder su unidad de transporte, instrumentos musicales, vestuario y objetos personales. Los integrantes del grupo señalaron que, hasta el momento, la única línea de investigación que se estaría atendiendo es la retención de sus bienes materiales, mientras que otros posibles delitos no habrían sido considerados bajo el argumento de usos y costumbres de la comunidad. Asimismo, expresaron su inconformidad por el proceso legal en curso y solicitaron el apoyo de la ciudadanía para dar visibilidad al caso, al señalar que requieren recuperar su equipo a la brevedad debido a compromisos laborales pendientes.</t>
  </si>
  <si>
    <t>Retención</t>
  </si>
  <si>
    <t>Juan Carlos Santamaría transmite en vivo desde la conferencia mañera, informando que, en su participación Carlos Henkel Escorza, secretario de Desarrollo Económico dio cuenta sobre 125 mil mdp de inversión; 163 mil nuevos empleos a través de 120 proyectos consolidados, el 62 de estos ya en operación con sectores como el ferroviario, textil, aeroespacial, energía limpia, entre otros. También habló sobre el polo de desarrollo en Zapotlán con 910 héctareas dedicadas a la instalación de empresas; en otro sentido, informó sobre la invitación a Hidalgo en la edición 2027 en la “Feria Aeroespacial”.</t>
  </si>
  <si>
    <t>Juan Carlos Santamaría transmite en vivo desde la conferencia mañera, informando que, en su participación el secretario de Bienestar e Inclusión Social, Ricardo Gómez Moreno, habló sobre la conectividad las personas y las familias, así como los avances que se han tenido en la entidad.</t>
  </si>
  <si>
    <t>Locutor Jesús Riveros informa sobre la conferencia mañanera del Gobierno de Hidalgo y destaca la gira de trabajo de la presidenta Claudia Sheinbaum, uno de los eventos en los que estuvo presente, fue en la inauguración del tren que va a conectar el centro de la Ciudad de México con el AIFA, lo anterior, luego de cuatro años de construcción, en el acto inaugural la mandatario señaló “Misión cumplida, cumplimos con el pueblo de México”. En la ceremonia inaugural estuvieron convocados un selecto grupo de altos funcionarios del gobierno Federal, los gobernadores del Estado de México e Hidalgo, Delfina Gómez y Julio Menchaca respectivamente.</t>
  </si>
  <si>
    <t>Juan Carlos Santamaría transmite en vivo desde la conferencia matutina de Gobierno de Hidalgo, el coordinador de Comunicaión Gubernamental, Edmundo Pineda da inicio a la conferencia con la gira de trabajo de la presidenta Claudia Sheinbaum que realizó durante dos días por diferentes regiones del Estado de Hidalgo. El día viernes, arribó al municipio de Villa de Tezontepec, acompañada por el gobernador Julio Menchaca Salazar supervisaron el avance en la construcción del tren Ciudad de México-AIFA-Pachuca; posteriormente, estuvieron en el municipio de Singuilucan. El día sábado, acudieron a la región Otomí-Tepehua, específicamente en el municipio de Tenango de Doria; por la tarde, arribaron al municipio de Acaxochitlán en donde sostuvieron encuentros muy importantes. El domingo por la mañana, el gobernador del Estado, acompañó en calidad de invitado a la presidenta de la república en el primer viaje del tren Ciudad de México-AIFA-Pachuca.</t>
  </si>
  <si>
    <t>CGCG</t>
  </si>
  <si>
    <t>Juan Carlos Santamaría transmite en vivo desde la conferencia matutina de Gobierno de Hidalgo,con la presentación de los participantes, entre ellos, Carlos Henkel Escorza, secretario de Desarrollo Económico; Ricardo Gómez Moreno, secretario de Bienestar e Inclusión Social; Pablo Octavio Sánchez Olvera, titular en el centro de la Secretaría de infraestructura, Comunicaciones y Transportes del Gobierno Federal en Hidalgo y para hablar de ora pública, el secretario de Infraestructura Pública y Desarrollo Urbano Sostenible, Alejandro Sánchez García.</t>
  </si>
  <si>
    <t>La población de Tenango de Doria, dañado en octubre del año pasado por torrenciales lluvias y deslaves, le reclamó a la presidenta de méxico, Claudia Sheinbaum la falta no sólo de caminos, sino de médicos y medicamentos. Los pobladores pidieron el micrófono para acusar falta de medicamentos y doctores.La presidenta llegó hasta la sierra norte de Hidalgo, todavía con caminos tapados de tierra deslavada por la vaguada del 6 al 9 de octubre que dejó 78 personas muertas en el país, 22 en hidalgo.Luego de los reclamos de falta de medicamentos en diversos centros de salud que la hizo cambiar de agenda, la mandataria federal acudió al centro de salud, y constantó que si hay falta de medicamento y acusó un problema con el proveedor.Tras unos 10 minutos adentro del hospital, donde también el personal expresó sus reclamos y pidió ayuda para que los atiendan. Audios de apoyo presidenta y habitantes reclamaron</t>
  </si>
  <si>
    <t>Durante la reciente visita de la presidenta Claudia Sheimbaum a Tenango de Doría, adultos mayores de la zona aprovecharon para alzar la voz con reclamos; denunciaron la falta de médicos y el desabasto de medicamentos en los centros de salud de la entidad. AUDIO APOYO</t>
  </si>
  <si>
    <t>Este lunes 27 de abril se registró un accidente fatal sobre el bulevar Minero, a la altura de la zona de Soriana Tutelar, en Pachuca, un taxi con placas A-399-FVD se impactó contra un árbol, dejando como saldo a una persona sin vida</t>
  </si>
  <si>
    <t>Accidente transporte público</t>
  </si>
  <si>
    <t>Radioescucha reporta que en calle Campo de Tiro en San Antonio, se reportaron 3 coladeras destapadas; arreglaron solo 1 los de Caasim, y las otras 2 pueden causar un accidente.</t>
  </si>
  <si>
    <t>Alcantarillado</t>
  </si>
  <si>
    <t>La Subsecretaría de Protección Civil y Gestión de Riesgos emitió un comunicado desde Pachuca de Soto para advertir que en los próximos días se registrará un ambiente caluroso en diversas regiones del estado, por lo que exhortó a la población a tomar medidas preventivas para evitar afectaciones a la salud. Ante el incremento de temperaturas, autoridades recomiendan evitar la exposición prolongada al sol, mantenerse hidratado y utilizar ropa ligera, así como gorra o sombrero y bloqueador solar. También se sugiere permanecer en lugares frescos y ventilados, evitar actividades físicas intensas bajo el sol y, especialmente, no dejar a niñas, niños, personas adultas mayores ni mascotas dentro de vehículos.</t>
  </si>
  <si>
    <t>Alerta Meteorológica</t>
  </si>
  <si>
    <t>En el marco de la gira de trabajo de la presidenta Claudia Sheinbaum Pardo por el Estado de Hidalgo, junto con el gobernador Julio Menchaca Salazar, se llevó a cabo la inauguración de la denominada ciudad deportiva de alto rendimiento en pachuca, proyecto que representa una inversión social superior a los 518 millones de pesos.Durante esta actividad, correspondiente al segundo día de trabajo en el estado, se constató la calidad de este complejo moderno e incluyente, diseñado para atender a atletas de alto rendimiento, deporte adaptado y a la población en general, con instalaciones especializadas, seguras y accesibles.Al respecto, la presidenta Claudia Sheinbaum calificó las instalaciones de la ciudad deportiva como dignas y extraordinarias, pues el complejo contempla más de 20 espacios deportivos, entre canchas especializadas y áreas multifuncionales, que permitirán la práctica y el desarrollo de más de 35 disciplinas.Por su parte, Menchaca Salazar subrayó que este espacio refleja el compromiso conjunto por impulsar el deporte, el esparcimiento y la recuperación de espacios públicos. Con audios de apoyo</t>
  </si>
  <si>
    <t>Elementos de la policía federal ministerial cumplimentaron una orden de reaprehensión en contra de Nadia "n", señalada por su probable responsabilidad en el delito contra la salud, en su modalidad de posesión simple de clorhidrato de metanfetamina.la detención se llevó a cabo en la colonia centro del municipio de progreso de obregón, por agentes adscritos a la subsede de tula de allende.de acuerdo con información oficial, la mujer contaba con un mandamiento judicial vigente, luego de incumplir con los beneficios sustitutivos de la pena que le habían sido otorgados previamente.tras su aseguramiento, nadia "n" fue puesta a disposición de la autoridad correspondiente, quien determinará su situación jurídica.</t>
  </si>
  <si>
    <t>Las 33 biznagas aseguradas por la profepa en el municipio de San Salvador son atendidas en el parque ecológico de cubitos, en pachuca.los especialistas contribuyen a su conservación por medio de poda de raíz, aplicación de cicatrizante y fertilización que permita su recuperación.enrique rojo garcía, subsecretario de sustentabilidad y cambio climático de semarnat hidalgo, habló al respecto: audio de apoyo</t>
  </si>
  <si>
    <t>Conservación Biodiversidad</t>
  </si>
  <si>
    <t>Boletín 295: Celebra DIF Hidalgo a la niñez hidalguense: Bajo el lema “Únete a la Reta”, el Sistema DIF Hidalgo (DIFH), dirigido por Edda Vite Ramos como presidenta del Patronato, llevó a cabo la 4ª edición de “Festejemos a las Niñas y los Niños de Hidalgo”, como una forma de reconocer a la infancia hidalguense, además de promover la práctica del deporte y la convivencia familiar, AUDIO APOYO</t>
  </si>
  <si>
    <t>Boletín 295: Celebra DIF Hidalgo a la niñez hidalguense: Bajo el lema “Únete a la Reta”, el Sistema DIF Hidalgo (DIFH), dirigido por Edda Vite Ramos como presidenta del Patronato, llevó a cabo la 4ª edición de “Festejemos a las Niñas y los Niños de Hidalgo”, como una forma de reconocer a la infancia hidalguense, además de promover la práctica del deporte y la convivencia familiar.</t>
  </si>
  <si>
    <t>El presidente municipal, Eduardo Medécigo Rubio, encabezó la entrega de maquinaria especializada que contribuirá a los trabajos de nivelación y emparejamiento de caminos y calles que aún se encuentran en condiciones rústicas en Mineral de la Reforma.En un acto enfocado al desarrollo y mantenimiento de los espacios públicos, el alcalde resaltó que, durante muchos años, estos lugares habían sido ignorados y no recibían la atención necesaria, lo que generaba problemas de imagen urbana, acumulación de basura y riesgos sanitarios para la población.</t>
  </si>
  <si>
    <t>Entrega de maquinaria</t>
  </si>
  <si>
    <t>Una explosión, presuntamente originada por una fuga de gas, sacudió este domingo al fraccionamiento Nuevo Tizayuca, dejando como saldo dos personas heridas y múltiples daños materiales. De acuerdo con reportes del cuerpo de Protección Civil y Bomberos, el incidente fue reportado a través de los números de emergencia al arribar al sitio, los cuerpos de rescate confirmaron que el estallido se produjo al interior de un domicilio, afectando de manera colateral a las viviendas vecinas debido a la magnitud de la onda expansiva.</t>
  </si>
  <si>
    <t>Explosión</t>
  </si>
  <si>
    <t>Radioescucha reporta nuevamente que sigue la fuga de agua en la banqueta de la calle Dorado en Valle del Palmar</t>
  </si>
  <si>
    <t>Radioescucha reporta en la calle San Marcos, en fraccionamento San Alfonso se sale el agua del drenaje</t>
  </si>
  <si>
    <t>Fuga De Drenaje</t>
  </si>
  <si>
    <t>El gobernador de Hidalgo, Julio Menchaca, dijo que la recuperación del inmueble que ocupa la fundación Arturo Herrera Cabañas no tiene ninguna relación con el tema de la revocación de mandato."en ningún caso es una cuestión personal, y tuve una plática muy cordial con la presidenta de la fundación, con la doctora irma eugenia, que merece todo mi respeto".el ejecutivo estatal resaltó que desde el inicio de su administración han sido recuperados 385 inmuebles, con un valor superior a los 1,200 millones de pesos.</t>
  </si>
  <si>
    <t>Fundación Herrera Cabañas</t>
  </si>
  <si>
    <t>Autoridades de salud en Hidalgo confirmaron el primer caso de miasis en una persona, provocado por el gusano barrenador. Se trata de un hombre de 57 años, originario del municipio de Tenango de Doria, quien ya recibe atención médica</t>
  </si>
  <si>
    <t>El secretario de Agricultura, Napoleón González, anunció la creación de un Comité Estatal para el combate al gusano barrenador del ganado, ante la llegada de la plaga a la entidad tras 15 meses de contención, AUDIO APOYO</t>
  </si>
  <si>
    <t>Hoy inicio la operaciones el hospital general de zona de Tula, perteneciente al Instituto Mexicano del Seguro Social (IMSS) y que se encuentra en lo que fue el fallido proyecto de refinería de Felipe Calderón, quien dejó una barda perimetral.Así lo adelantó la presidenta de México Claudia Sheinbaum en una pasada gira de trabajo que efectuó el viernes 22 de abril en el estado de Hidalgo, específicamente en lo que son las obras de construcción del tren México-Pachuca, ante lo cual aseveró a los asistentes que se trataba de una buena noticia.</t>
  </si>
  <si>
    <t>Hospital Tula</t>
  </si>
  <si>
    <t>Vía telefónica, Eduardo Medecigo presidente municipal de Mineral de la Reforma, habló de que en estos momentos se encuentra en Chavarría checando los últimos detalles de los nuevos complejos deportivos que se inaugurarán el próximo 30 de abril a partir de la 1 de la tarde y en la explanada principal tendremos un festejo por motivo del Día del Niño. Sobre la repavimentación de diferentes calles en el municipio con concreto hidráulico, pero este año realizaremos inversiones importantes en el Saucillo, Tuzos y otras calles.</t>
  </si>
  <si>
    <t>Obras De Infraestructura</t>
  </si>
  <si>
    <t>Derivado de las quejas de los campesinos, por el retraso en las obras del revestimiento del canal Tlamaco-Juandhó, Efraín Morales López, director general de la Comisión Nacional del Agua (Conagua) se reunió con los labriegos y se comprometió a que los trabajos quedarán listos a más tardar el 15 de mayo.En entrevista con medios de comunicación locales, el director general de la Conagua explicó que su visita derivó de las constantes quejas e inquietudes de los campesinos del distrito de riego 003 Tula, quienes habían solicitado que las obras se terminaran el 31 de marzo, sin embargo, por cuestión de contratos no se cumplió esa fecha. AUDIO APOYO</t>
  </si>
  <si>
    <t>En el marco de la Semana Nacional de Vacunación 2026, la cual se lleva a cabo del 25 de abril al 2 de mayo, con el Lema: “Vacunar es amar”, el Instituto Mexicano del Seguro Social (IMSS) en Hidalgo invita a la población derechohabiente y no derechohabiente a acudir a los módulos de inoculación en las Unidades de Medicina Familiar (UMF), para completar esquemas y prevenir enfermedades.Las acciones de vacunación por parte del Seguro Social en la entidad están dirigidas a niñas y niños desde recién nacidos hasta los 9 años, adolescentes de 10 a 19 años, mujeres y hombres de 20 a 59 años, personas adultas mayores de 60 años y más, niñas y niños de guarderías, además de personas gestantes o en periodo de lactancia, población de escuelas y empresas</t>
  </si>
  <si>
    <t>La Secretaría de Seguridad Pública de Hidalgo informó que mantiene presencia permanente en planteles educativos de todo el estado, a través de recorridos de vigilancia y acciones de prevención.El objetivo es que niñas, niños y jóvenes puedan desarrollar sus actividades académicas en un entorno seguro y con normalidad, como parte de la estrategia del Mando Coordinado.Las autoridades señalaron que, ante cualquier situación de riesgo, la ciudadanía puede acercarse a los elementos desplegados en las escuelas o comunicarse al número de emergencias 911 para recibir atención inmediata.</t>
  </si>
  <si>
    <t>Elementos de seguridad pública aseguraron a un sujeto que circulaba en una motocicleta con reporte de robo vigente desde el pasado 23 de marzo, durante recorridos preventivos en el municipio de Actopan.Al realizar una revisión, los agentes confirmaron en plataformas de seguridad que la unidad contaba con reporte activo, por lo que fue asegurada de inmediato.Además, entre las pertenencias del individuo se localizaron varias bolsas con una sustancia vegetal con características similares a la marihuana.</t>
  </si>
  <si>
    <t>Recuperación De Vehículos Robados</t>
  </si>
  <si>
    <t>Hoy lunes 27 de abril se celebra la votación de la Generación 2026 del Salón de la Fama del Futbol Internacional en el que se eligieron a 18 nuevas leyendas que serán inmortalizados el 10 de noviembre en la capital hidalguense.</t>
  </si>
  <si>
    <t>Salón de la Fama</t>
  </si>
  <si>
    <t>Radioescucha reporta que siguen sin arreglar los semaforos que estan rumbo a Tulipanes por Chedraui, no funcionan</t>
  </si>
  <si>
    <t>Boletín 1060 :Julio Menchaca acompaña la inauguración del tren Buenavista–AIFA, AUDIO APOYO</t>
  </si>
  <si>
    <t>Desde este domingo 26 de abril, inició operaciones el Tren Felipe Ángeles, que conecta la terminal Buenavista, en la Ciudad de México, con el Aeropuerto Internacional Felipe Ángeles, en el municipio de Zumpango, en un recorrido de menos de una hora.La presidenta de México, Claudia Sheinbaum Pardo, encabezó el viaje inaugural, en medio de muestras de apoyo por parte de habitantes de comunidades cercanas al trayecto y dijo que esa base de Zumpango tenga el nombre de Clara Krause.El gobernador de Hidalgo, Julio Menchaca Salazar, calificó esta como una obra estratégica que fortalece la movilidad en la Zona Metropolitana del Valle de México. Como parte de su apertura, se anunció una tarifa promocional: 45 pesos por el recorrido completo y 11.50 pesos para viajes entre estaciones intermedias, en una ruta de 23.7 kilómetros que contempla 14 paradas. (Con audios de apoyo).</t>
  </si>
  <si>
    <t>La presidenta Claudia Sheinbaum Pardo acompañada por el general Ricardo Vallejo, comandante del Agrupamiento de Ingenieros Militares Felipe Ángeles; el gobernador Julio Menchaca y otros integrantes del gobierno federal, la mandataria detalló que éste proyecto es parte de una red de rutas ferroviarias: México-Pachuca, México-Nuevo Laredo, y México-Guadalajara</t>
  </si>
  <si>
    <t>Los integrantes del grupo musical "Fandango Musical" acusaron este fin de semana que se encuentran retenidos por pobladores de la comunidad Aquetzpalco, en Cuautla, Hidalgo, tras haber llegado tarde a una presentación debido a un percance vial. Las nueve víctimas afirmaron que para obtener su libertad les exigen un pago de 250 mil pesos como multa por presunto incumplimiento del contrato, AUDIO APOYO</t>
  </si>
  <si>
    <t>Usos y costumbres</t>
  </si>
  <si>
    <t>La presidenta de méxico, Claudia Sheinbaum Pardo, concluyó su gira de trabajo en hidalgo junto al gobernador Julio Menchaca Salazar, en el municipio de Acaxochitlán, donde se entregaron tarjetas de los programas para el bienestar. Durante el evento, la mandataria federal informó sobre acciones en infraestructura carretera y reiteró la continuidad de los programas sociales impulsados desde la cuarta transformación.En su mensaje, el gobernador aseguró que la presidenta cuenta con aliados en hidalgo y destacó el respaldo del gobierno de méxico tras las afectaciones por la vaguada monzónica, que impactó a miles de familias en 28 municipios.El secretario de infraestructura, Jesús Antonio Esteva Medina, anunció una inversión de más de mil 200 millones de pesos para atender 322 kilómetros de carreteras en hidalgo. Con audios de apoyo</t>
  </si>
  <si>
    <t>Desde la Sierra Otomí-Tepehua, la presidenta de México, Claudia Sheinbaum Pardo, y el gobernador Julio Menchaca Salazar, reafirmaron el compromiso de atender a las familias damnificadas, con una inversión superior a los 8 mil millones de pesos para este 2026.El plan contempla la reconstrucción de infraestructura dañada, luego de las lluvias que impactaron 28 municipios de Hidalgo, así como otras entidades del país, informó el gobernador de Hidalgo. La Secretaría de Infraestructura, Comunicaciones y Transportes informó que, de mayo a diciembre, se rehabilitarán 50 puentes y se ejecutarán mil 295 acciones en más de 2 mil kilómetros de carreteras estatales y federales.Además, se mantienen en marcha proyectos estratégicos como carreteras, caminos artesanales y el Tren AIFA-Pachuca, como parte de una inversión federal total que supera los 41 mil millones de pesos en la entidad. (Con audios de apoyo).</t>
  </si>
  <si>
    <t>El presidente de la Suprema Corte, hugo aguilar, acusó que en méxico se han enquistado la corrupción y la deshonestidad, por lo que —dijo— se requieren tribunales que vigilen a quienes imparten justicia.al encabezar la ceremonia de instalación de la visitaduría regional del órgano de evaluación del desempeño judicial región Centro — Bajío, en Pachuca, Hidalgo, el presidente de la corte planteó que sería ideal que se trabajara sin órganos como el tribunal de disciplina judicial. Audios de apoyo</t>
  </si>
  <si>
    <t>Visitaduría Judicial</t>
  </si>
  <si>
    <t>Un hombre fue detenido en el municipio de Actopan tras ser sorprendido en posesión de una motocicleta con reporte de robo y presuntas sustancias ilícitas. Los hechos ocurrieron sobre la calle Cuauhtémoc, en la colonia Rojo Gómez, donde elementos de Seguridad Pública y Tránsito realizaban un recorrido de vigilancia.</t>
  </si>
  <si>
    <t>Durante la madrugada de este domingo 26 de abril, un vehículo fue reportado como volcado y aparentemente abandonado sobre la autopista México-Pachuca. Conductores que circulaban por la zona, informaron a los números de emergencia. Elementos de la Guardia Nacional División Carreteras se movilizaron hasta el kilómetro 51 de la autopista, en la zona del municipio de Tizayuca, en dirección a la capital hidalguense.</t>
  </si>
  <si>
    <t>Accidente Carretero</t>
  </si>
  <si>
    <t>Un automóvil con daños graves en su carrocería fue localizado a un costado de la carretera federal México – Laredo, a la altura de las curvas de Pastores en el municipio de Ixmiquilpan, sin presencia de personas en su interior. La unidad motora presentaba los principales daños en el cofre, así como signos de golpes y vidrios rotos en otras partes. Al sitio acudieron elementos policiacos a atender reporte al respecto; al momento de revisar la unidad no localizaron a persona alguna en su interior. Se hizo una revisión en los alrededores para verificar si existía alguna persona, incluso lesionada, pero sin ubicar a nadie.</t>
  </si>
  <si>
    <t>La noche de este viernes se registró un accidente sobre la carretera federal México–Laredo, a la altura de la comunidad de Lagunilla en el municipio de San Salvador, donde un camión de transporte público impactó a una motocicleta. De acuerdo con los primeros reportes, en el lugar fueron localizados dos menores lesionados, identificados por sus iniciales como E.S.M., de 16 años, y K.Y.S.C., de 15 años, quienes viajaban a bordo de una motocicleta Italika 250Z color verde con gris, sin placas de circulación.</t>
  </si>
  <si>
    <t>Dos automóviles estuvieron involucrados en un accidente vehicular ocurrido sobre la carretera Mixquiahuala–Tlahuelilpan, a la altura del sitio conocido como Los Hoyos. El accidente se registró durante la madrugada del sábado 25 de abril, estando involucrados un automóvil un Dodge Stratus y un Mazda en el que viajaban dos mujeres. De acuerdo con versiones preliminares, el conductor del Dodge Stratus habría salido sin precaución desde el bulevar que conecta hacia Tezontepec de Aldama, lo que provocó el impacto contra el otro vehículo que circulaba sobre la vía principal.</t>
  </si>
  <si>
    <t>Cinco personas fueron trasladadas para recibir atención médica, luego de que la camioneta donde viajaban chocara contra un árbol sobre el tramo carretero Tula–Tlahuelilpan, a la altura del punto conocido como Los Manantiales. Al sitio acudieron elementos policiacos luego de recibir reporte sobre el accidente, confirmando que la camioneta Toyota, de color rojo y con placas del estado de Chihuahua estaba chocada contra un árbol ubicado a un costado de la vialidad citada.</t>
  </si>
  <si>
    <t>La automovilista entró al Acceso C del parque, donde no está permitido el paso de vehículos automotores, por lo que al intentar salir, terminó volcando en el borde de la fuente citada. Debido a la estructura del sitio, que incluye un desnivel marcado por el cordón cuneta y jardineras, el automóvil quedó parcialmente suspendido, con una de sus llantas delanteras en el aire y el resto del vehículo detenido justo en el borde del agua. Elementos de seguridad acudieron para atender el incidente, realizando maniobras para estabilizar el vehículo y asegurar su posición, con el objetivo de prevenir una caída.</t>
  </si>
  <si>
    <t>Ben Gurión</t>
  </si>
  <si>
    <t>Boletín 1639: Realiza CECyTE Hidalgo concurso estatal de creatividad 2026</t>
  </si>
  <si>
    <t>Justa Académica</t>
  </si>
  <si>
    <t>Estructuras colocadas sobre viviendas en el municipio de Pachuca serán retiradas por el gobierno municipal debido a que representan un riesgo, además que están prohibidas, de acuerdo a lo establecido en la Ley de Imagen Urbana para el Estado de Hidalgo. Lo anterior fue informado por el alcalde Jorge Reyes Hernández, enfatizando que alguna fuerte racha de viento pueden provocar la caída de las estructuras, poniendo en riesgo la integridad de la población. Reyes Hernández señaló que únicamente se permiten estructuras que cumplen con especificaciones técnicas y cuentan con soporte fijo adecuado. Detalló que estas estructuras se han detectado principalmente en vialidades como Felipe Ángeles, bulevar Colosio y Everardo Márquez, donde ya comenzaron las notificaciones para que los propietarios retiren la publicidad.</t>
  </si>
  <si>
    <t>Imagen Urbana</t>
  </si>
  <si>
    <t>El diputado en el Congreso del Estado de Hidalgo, Marco Antonio Mendoza Bustamante, presentó iniciativa para reconocer a las corridas de toros como patrimonio cultural inmaterial, a la cual se sumaron algunos legisladores que anteriormente mostraron respaldo a prohibir dicha actividad. Al respecto, Mendoza Bustamante argumentó que en el transcurso de un año las y los legisladores tuvieron la oportunidad de “reflexionar” su voto. La propuesta busca reformar la Ley de Cultura y Derechos Culturales del Estado en materia de patrimonio inmaterial. El objetivo es incorporar de manera formal ocho expresiones culturales: el pulque, la barbacoa, el zacahuil, el ximbo, la fiesta brava, las peleas de gallos, los tianguis tradicionales y la medicina tradicional. De acuerdo con el planteamiento, la intención es salvaguardar tradiciones y conocimientos frente a procesos de globalización, fortalecer la identidad y cohesión social, así como garantizar la transmisión generacional de saberes.</t>
  </si>
  <si>
    <t>El paciente humano detectado con gusano barrenador en el Estado de Hidalgo ya fue dado de alta, confirmó la titular de la Secretaría de Salud en la entidad, Vanesa Escalante Arroyo. En días anteriores se confirmó el caso, que se presentó en el municipio de Tenango de Doria, ubicado en el Sierra Otomí Tepehua. “Está en seguimiento (el paciente), en atención, se refirió a la institución de IMSS Bienestar donde se dieron todas las atenciones, se le otorgó un tratamiento y donde él mismo solicitó el alta definitiva”, aseguró la funcionaria estatal. El paciente atendido, un hombre de 57 años de edad, contaba con una herida crónica, desde hace tiempo, lo que aprovechó el gusano barrenador para introducirse al cuerpo, provocando el caso.</t>
  </si>
  <si>
    <t>El gobernador de Hidalgo, Julio Menchaca Salazar, señaló que la rescisión del comodato del edificio ocupado por la Fundación Arturo Herrera Cañas (FAHC) no tiene tintes políticos, sino que responde a una obligación de poner orden administrativo. “Ya sea por fundaciones que no cumplieron con el objetivo. Mi obligación como gobernador, y es un compromiso, es ponerle orden precisamente a esto. Este es uno más”. En días recientes, el coordinador general jurídico del gobierno estatal, Raúl Serret Lara, señaló que el proceso de rescisión del comodato hacia la Fundación se inició tras detectar la operación de una cafetería sin permisos por parte del municipio al interior del edificio. Dicho espacio, ubicado en el centro de la ciudad de Pachuca, ha sido ocupado por la FAHC, a partir del comodato que recientemente se le está retirando.</t>
  </si>
  <si>
    <t>Daniel Martínez señala que continúa la molestia por parte de habitantes de la Zona de La Minera, pues no tienen señal telefónica a causa de los bloqueadores de señal que ponen las autoridades para inhibir la salida de llamadas desde el Cereso.</t>
  </si>
  <si>
    <t>Inhibidor de señal</t>
  </si>
  <si>
    <t>Pachuca se colocó entre las ciudades del país que registraron una disminución en la percepción de inseguridad durante el primer trimestre de 2026, de acuerdo con datos de la Encuesta Nacional de Seguridad Pública Urbana del INEGI. Entre diciembre de 2025 y marzo de 2026, la capital hidalguense pasó de 59.9 a 50.0 por ciento en este indicador, lo que representa una reducción cercana a los 10 puntos porcentuales y uno de los avances más notorios a nivel nacional en ese periodo. Con este resultado, la ciudad se ubica dentro del grupo de 15 zonas urbanas de un total de 91 evaluadas que lograron una mejora significativa en la percepción ciudadana sobre seguridad, en un contexto donde la mayoría no reportó cambios o incluso presentó incrementos. Sin embargo, al comparar con marzo de 2025, cuando el indicador se situó en 51.2 por ciento, la variación es mínima, lo que sugiere que la baja reciente podría responder más a un ajuste temporal que a una tendencia sostenida.</t>
  </si>
  <si>
    <t>Boletín 1054: Julio Menchaca acompaña instalación de la Visitaduría Regional del Órgano de Evaluación del Desempeño Judicial en Pachuca</t>
  </si>
  <si>
    <t>Daniel Martínez comenta que durante la visita de la presidenta, Claudia Sheinbaum a hidalgo se le acercó e interrogó si se vislumbran cambios en su gabinete después de la salida de la secretaria de las Mujeres, Citlali Hernández para integrarse a la dirigencia nacional de Morena; la salida de Luis María Alcalde como dirigente de este instituto político para integrarse ala Consejería jurídica y la posible llegada de la actual secretaria del Bienestar Ariadna Montiel a la dirigencia de Morena; pero la presidenta no contestó absolutamente nada y los silencios también hablan.</t>
  </si>
  <si>
    <t>Cambios En El Gabinete</t>
  </si>
  <si>
    <t>La construcción del Tren Ciudad de México-Pachuca registra un avance en su construcción del 30 por ciento, se informó durante la visita de inspección realizada por la Presidenta de México, Claudia Sheinbaum Pardo, al Estado de Hidalgo, este viernes 24 de abril. Recibida por el Gobernador Julio Menchaca Salazar en el municipio de Villa de Tezontepec, la titular del Poder Ejecutivo del Estado de Hidalgo tendrá una extensión de 58 kilómetros. En el recorrido se conectará la capital del Estado de Hidalgo con con el Aeropuerto Internacional Felipe Ángeles (AIFA) y será operado por el Fondo Nacional de Infraestructura, así como sucederá con el tramo que va del AIFA a Buenavista. Andrés Lajous Loaeza, titular de la Agencia de Trenes y Transporte Público Integrado, explicó que el tren de pasajeros atenderá alrededor de 107 mil personas, quienes podrán viajar en los 15 trenes eléctricos que contarán con 281 asientos fijos. Menchaca Salazar recordó que es la décima cuarta ocasión que Sheinbaum Pardo visita el Estado de Hidalgo, “usted está cumpliendo ese compromiso que hizo de saldar la deuda histórica que hay con nuestra entidad, y no solamente con ese sentimiento de solidaridad, sino con inversiones muy importantes”.</t>
  </si>
  <si>
    <t>42 millones de personas que viven en México son beneficiarios de alguno de los programas sociales a cargo del Gobierno de México, enfatizó la Presidenta Claudia Sheinbaum Pardo durante visita al municipio de Singuilucan, este viernes 24 de abril. Acompañada por el Gobernador Julio Menchaca Salazar y la alcaldesa Yazmín Dávila López, la titular del Poder Ejecutivo Federal hizo entrega simbólica de tarjetas de los Programas para el Bienestar para beneficiarios que viven en el municipio. Sheinbaum Pardo recapituló que los Programas del Bienestar a cargo del Gobierno de México benefician a sectores de la población como personas adultas mayores, estudiantes de todos los niveles, personas con discapacidad, productoras y productores del campo, por mencionar algunos de estos. El Gobernador Menchaca Salazar dijo que la administración a su cargo sigue el ejemplo de la Federación y destinará cerca de 5 mil millones de pesos en programas sociales durante el presente año. “En 2022, recibimos una administración que dirigía programas sociales por un poco más de mil millones. Para 2026, presidenta, siguiendo su ejemplo, en Hidalgo, en alrededor de 100 programas, vamos a destinar casi 5 mil millones de pesos para atender a todos los sectores de la entidad”, enfatizó. Menchaca Salazar reconoció además que la mandataria federal desarrolla seis de sus 100 compromisos en territorio hidalguense, a fin de saldar una deuda histórica y equilibrar la lejanía que tenía el estado con el resto del país, impactando la vida de millones de habitantes.</t>
  </si>
  <si>
    <t>Centrado en la protección de la niñez y el fortalecimiento del tejido social, el Gobierno de Tulancingo pondrá en marcha la segunda edición de la campaña “Te veo, te creo, te escucho”, una estrategia integral orientada a prevenir el abuso sexual infantil en el municipio. El arranque se realizará en la primaria Pedro María Anaya, en Napateco, marcando el inicio de una intervención que llegará a diez escuelas de nivel básico, consolidando acciones directas en espacios educativos donde se forman niñas y niños. Este esfuerzo es resultado de la coordinación entre la Secretaría Ejecutiva de SIPINNA Tulancingo y la Fundación CENDES, de la Ciudad de México, alineado a la visión de la presidenta municipal, Lorena García Cázares, de impulsar políticas públicas con enfoque de derechos y atención preventiva.</t>
  </si>
  <si>
    <t>Protección al menor</t>
  </si>
  <si>
    <t>Vía telefónica el reporte de Bombero y Protección Civil con Abner Yáñez informa que se atendieron 5 incendios de llantas, 12 de pasto seco y basura, entre otras emergencias reportadas por la ciudadanía.</t>
  </si>
  <si>
    <t>Debido a que la Comisión Nacional del Agua (Conagua) considera que es una zona de veda, no se ha podido construir y equipar un pozo de agua para servicio habitantes de 21 localidades ubicadas al poniente de Singuilucan. Habitantes de dicha zona se manifestaron durante la visita de la Presidenta de México, Claudia Sheinbaum Pardo, el pasado viernes 24 de abril para exigir que se lleve a cabo la obra hidráulica. La Regidora Elizabeth Ortiz Espinosa, quien acompañaba a los manifestantes, explicó que durante el año 2024, en una visita de trabajo al municipio, el Gobernador de Hidalgo, Julio Menchaca Salazar, comprometió la operación de dos pozos para surtido de agua potable. Uno de los pozos, ubicado en la localidad de Somorriel y que sirve para surtir a habitantes de la cabecera municipal, ya está en funcionamiento. Pero el otro, proyectado para construirse en la localidad de Matías Rodríguez; ya se cuenta con la donación del terreno donde se ubicaría, que de acuerdo a los estudios respectivos, cumple con las normativas para la extracción de agua para consumo humano.</t>
  </si>
  <si>
    <t>El Gobierno de México invertirá mil 233 millones de pesos para realizar el programa Megabachetón, anunció el secretario de Infraestructura, Comunicaciones y Transporte, Jesús Antonio Esteva Medina. Lo anterior durante la visita de trabajo al municipio de Acaxochitlán, encabezada por la Presidenta de México, Claudia Sheinbaum Pardo, este sábado 25 de abril. El funcionario federal afirmó que con la inversión citada serán atendidas entre otras, la carretera Huejutla-Tamazunchale, la autopista Tulancingo-Nueva Necaxa, así como se desarrollará el Programa Nacional de Conservación de Carreteras, junto con el Megabachetón. Esteva Medina indicó que avanza la construcción de la carretera Huejutla-Tamazunchale, que representa 3 mil 779 millones de pesos de inversión en el Estado de Hidalgo. El evento también fue oportunidad para realizar un recuento de las labores realizadas en cuanto al desarrollo de los Programas del Bienestar a cargo del Gobierno de México. Al respecto, Ariadna Montiel Reyes, secretaria de Bienestar del Gobierno Federal, señaló que cerca de mil brigadas con 5 mil Servidores de la Nación se desplegaron en territorio hidalguense durante la emergencia por las lluvias.</t>
  </si>
  <si>
    <t>Previo a la llegada de la Presidenta de México, Claudia Sheinbaum Pardo, a Tenango de Doria, varias personas exhibieron cartulinas solicitando acelerar los trabajos de rehabilitación de infraestructura social y vialidades afectadas por las torrenciales lluvias registradas en la Sierra Otomí Tepehua del Estado de Hidalgo, en octubre del año pasado. También solicitaron llevar a cabo la reubicación de viviendas afectadas por las mismas lluvias, o que se encuentran en zonas de riesgo. Durante el evento, Sheinbaum Pardo comprometió inversión conjunta con el Gobierno de Hidalgo para llevar a cabo tanto las obras de rehabilitación, como la reubicación de viviendas. En este sentido, el Gobernador de Hidalgo, Julio Menchaca Salazar confirmó que ya existen recursos autorizados para las obras de recuperación en las regiones afectadas. Otro reclamo por parte de la población durante el evento en Tenango de Doria, fue la falta de medicamentos suficientes, lo cual fue señalado por una adulta mayor, habitante del municipio de San Bartolo Tutotepec. Sheinbaum contestó que “eso no puede ser” y explicó que el gobierno federal implementó el programa “Rutas de la Salud”, con el objetivo de abastecer medicamentos en todo el país especialmente en las comunidades más alejadas, y dijo, que cada lunes encabeza reuniones para revisar que hospitales y centros de salud cuenten medicinas.</t>
  </si>
  <si>
    <t>Alberto González destaca la gira de la presidenta Claudia Sheinbaum porque se tomó el tiempo de escuchar las quejas la población, lo cual ve muy bien porque esto habla de la cercanía y preocupación e la mandataria con la población. Resalta la queja por desabasto de medicamentos y el actuar de la presidenta. Es necesario que los alcaldes estén a la altura de la presidenta y en concordancia con su discurso.</t>
  </si>
  <si>
    <t>Boletín 1053: Menchaca Salazar refrenda alianza con el magisterio para impulsar la transformación educativa</t>
  </si>
  <si>
    <t>Andrés Torres en respuesta a un radioescucha que pregunta qué día de mayo será cuándo lleguen las nuevas unidades del Tuzobús, señala que aún no se sabe la fecha exacta, pero se dice que podría acudir al presiden te Claudia Sheinbaum para poner en marcha este nuevo grupo de vehículos.</t>
  </si>
  <si>
    <t>Celebra DIF Hidalgo a la niñez hidalguense</t>
  </si>
  <si>
    <t>La Unidad de Rehabilitación de Fauna Silvestre de Pachuca recibió un ejemplar de tigrillo proveniente de la UMA Selva Teenek Ecopark, ubicada en Ciudad Valles, San Luis Potosí, consolidando una acción de colaboración interinstitucional entre centros de rescate del país. El felino, identificado como Itzan, es un macho de 4 meses de edad que nació en dicho centro y fue trasladado a la capital hidalguense para integrarse a un programa especializado de rehabilitación en biosimuladores, donde permanecerá aproximadamente cinco meses antes de ser liberado en su hábitat natural en la Huasteca potosina.</t>
  </si>
  <si>
    <t>Rescate de especies</t>
  </si>
  <si>
    <t>La tarde de este domingo se registró el fallecimiento de un joven en la comunidad de San Miguel Cerezo, luego de que ingresó a la presa conocida como El Jaramillo y ya no logró salir.</t>
  </si>
  <si>
    <t>Rescate de cuerpo</t>
  </si>
  <si>
    <t>Consolidan Sheinbaum y Menchaca obras y programas en Hidalgo. La presidenta de México, Claudia Sheinbaum Pardo, y el gobernador de Hidalgo, Julio Menchaca Salazar, encabezaron una gira de trabajo en la entidad con anuncios en materia de movilidad, programas sociales, deporte e infraestructura, con inversiones millonarias y proyectos de alto impacto regional. Durante el inicio de la gira, ambas autoridades supervisaron la construcción del tren de pasajeros Ciudad de México–Pachuca, que presenta un avance del 30 por ciento. El proyecto contempla un recorrido de más de 58 kilómetros y conectará la capital hidalguense con el Aeropuerto Internacional Felipe Ángeles (AIFA). El sistema contará con 15 trenes eléctricos, capacidad para más de 100 mil usuarios y una velocidad máxima de 130 kilómetros por hora. Autoridades federales informaron que el primer convoy llegará en septiembre. En el municipio de Singuilucan, se realizó la entrega de tarjetas de los Programas para el Bienestar. La presidenta destacó que estos apoyos benefician a millones de personas en todo el país. El gobernador anunció que Hidalgo destinará cerca de 5 mil millones de pesos en 2026 para programas sociales, lo que representa un incremento significativo respecto a años anteriores. Subrayó que el objetivo es atender a todos los sectores y reducir desigualdades (...)</t>
  </si>
  <si>
    <t>Boletín 1060: Hidalgo se conecta al futuro con la inauguración del tren Buenavista–AIFA</t>
  </si>
  <si>
    <t>Un hecho violento se registró este día en el municipio de Apan, donde un hombre perdió la vida tras ser atacado con arma de fuego mientras transitaba por una zona rural. De acuerdo con información emitida por la autoridad local, el incidente ocurrió sobre el camino que conecta las comunidades de Acopinalco y La Laguna. Según el reporte de Seguridad Pública municipal, la víctima fue identificada por sus iniciales como J. G. R., quien regresaba de realizar actividades del campo cuando fue interceptado en el trayecto. En ese punto, habría sido agredido por sujetos que le dispararon en múltiples ocasiones. Los primeros datos indican que el ataque se produjo en un tramo poco transitado, lo que dificultó una reacción inmediata por parte de las autoridades. Tras la agresión, familiares del hombre acudieron en su auxilio y decidieron trasladarlo por sus propios medios al Hospital del Altiplano. Sin embargo, al arribar al hospital, el personal médico confirmó que la persona ya no contaba con signos vitales, por lo que fue declarada sin vida a consecuencia de las lesiones provocadas por los impactos de arma de fuego. De manera preliminar, se ha señalado que el hecho podría estar relacionado con un conflicto por la posesión de tierras, aunque esta línea aún no ha sido confirmada oficialmente. Serán las autoridades ministeriales quienes determinen las causas del ataque, así como la identidad y paradero de los presuntos responsables. Tras el reporte, elementos de seguridad implementaron acciones para recabar información en la zona, mientras que peritos iniciaron las diligencias correspondientes para integrar la carpeta de investigación; hasta ahora, no se ha informado sobre personas detenidas en relación con este caso. Las autoridades continúan con las indagatorias para esclarecer lo ocurrido y deslindar responsabilidades conforme a derecho. El hecho ha generado preocupación entre habitantes de la región, quienes señalan la importancia de reforzar la seguridad en caminos rurales, especialmente en zonas donde las actividades agrícolas forman parte de la vida cotidiana. Autoridades locales reiteraron el llamado a la ciudadanía para reportar cualquier situación sospechosa y colaborar con información que pueda contribuir al esclarecimiento de este caso. Asimismo, destacaron que se mantendrán atentos al desarrollo de las investigaciones y a las condiciones de seguridad en la zona, en tanto se busca brindar certeza a la población.</t>
  </si>
  <si>
    <t>Ataque Armado</t>
  </si>
  <si>
    <t>La fiscalía general de la República (FGR) a través de la Fiscalía Especializada de Control Regional (FECOR) en el estado de Hidalgo, llevó a cabo un evento de incineración de un kilo 142 gramos de narcóticos y la destrucción de objetos relacionados con ilícitos de competencia federal. El evento de incineración se realizó en las instalaciones ubicadas en la colonia Cubitos, pertenecientes a la 18ª Zona Militar, en presencia del representante del Órgano Interno de Control, elementos de la Policía Federal Ministerial (PFM) y peritos de la institución. En la diligencia se incineró marihuana, tetrahidrocannabinol y metanfetamina; también se llevó a cabo la destrucción de 248 objetos como mangueras, contenedores de diversas capacidades, taladros artesanales, rejillas metálicas y un vehículo calcinado, entro otros. Con estas acciones la FGR reafirma el compromiso con la sociedad para la investigación y persecución de los delitos en materia federal, por lo que se invita a la ciudadanía a que denuncie las 24 horas de los 365 días del año, al correo electrónico denunciafgr.hidalgo@fgr.org.mx, o al número 771 71 7 52 00 ext. 27 52 47, 27 52 50 ó 27 52 06, así mismo en las instalaciones de la Fiscalía Federal en el estado de Hidalgo, ubicadas en la carretera México-Pachuca, km. 84.5, colonia Sector Primario, Ciudad Pachuca de Soto C.P. 42080.</t>
  </si>
  <si>
    <t>Locutor Jesús Riveros informa sobre la llegada de medicamentos al Estado de Hidalgo mediante las llamadas “rutas de la salud”, lo anterior, luego de que el pasado fin de semana, la presidenta Claudia Sheinbaum en su visita a Tenango de Doria recibió algunas quejas e inconformidades de personas que aseguraban que no había medicamento en el Hospital Regional ni en loc Centros de Salud. En ese sentido, el IMSS-Bienestar realizó la entrega de 1.5 millones de piezas de medicamentos para Hidalgo, tan sólo para el Hospital Regional Otomí-Tepehua llegaron 2 mil 976 piezas para fortalecer la atención de 473 comunidades.</t>
  </si>
  <si>
    <t>Ruta de la salud</t>
  </si>
  <si>
    <t>Durante la conferencia matutina de la presidenta Claudia Sheinbaum, el día de hoy, el director general del IMSS-Bienestar, Alejandro Svarch Pérez, realizó un enlace con la presidenta Claudia Sheinbaum Pardo desde el Hospital Regional Otomí-Tepehua, ubicado en San Bartolo Tutotepec, informando sobre la supervisión directa del abasto de medicamentos y la operación del hospital.</t>
  </si>
  <si>
    <t>Emotivo, alegre y lleno de esperanza, así fue el evento en el que, gracias al esfuerzo del Gobierno Municipal, el DIF Huejutla, el Voluntariado “Voluntades que Transforman” y la sociedad civil, se entregaron 32 prótesis y 2 órtesis a 29 personas que, a partir de este beneficio, verán un cambio positivo en sus vidas y una nueva oportunidad para salir adelante. El Lic. José Alfredo San Román Duval, presidente Municipal de Huejutla; la Dra. Kristel Rodríguez Flores, presidenta del DIF Huejutla; la Profra. Adela Pérez Espinoza, representante del Voluntariado; la Lic. Cristina Picazo Sánchez y Ashton Stoop, representante y director técnico de la Clínica de Rehabilitación Humana 279 de la Ciudad de México, presidieron el acto protocolario realizado la mañana de este lunes en la Plaza 21 de Mayo, en la zona centro de la ciudad.</t>
  </si>
  <si>
    <t>Boletín 296: Procuraduría del DIF Hidalgo participa en Conferencia Nacional realizada en Morelos</t>
  </si>
  <si>
    <t>Protección del menor</t>
  </si>
  <si>
    <t>Boletín 33: Alerta sobre perfil falso en redes sociales</t>
  </si>
  <si>
    <t>Suplantación de identidad</t>
  </si>
  <si>
    <t>Boletín 32: Este martes, macrojornada de la campaña “A ver… a ver” en Mineral de la Reforma:</t>
  </si>
  <si>
    <t>Salud Visual</t>
  </si>
  <si>
    <t>Al encabezar el evento, el Auditor Superior del Estado, Mtro. Jorge Valverde Islas, destacó que la certificación Great Place to Work se inscribe en una política institucional sostenida de fortalecimiento organizacional impulsada durante su administración. Señaló que los procesos de evaluación y certificación asumidos por la ASEH responden a una visión estratégica orientada a consolidar una institución moderna, profesional y alineada con estándares nacionales e internacionales. Precisó que las certificaciones obtenidas en los últimos años son resultado de un trabajo planificado y sistemático, que ha implicado no solo la revisión de procedimientos y la adopción de buenas prácticas, sino también la profesionalización permanente del personal y el fortalecimiento de la ética pública. Enfatizó que estos reconocimientos no constituyen un fin en sí mismos, sino herramientas para mejorar el desempeño institucional y fortalecer la confianza ciudadana en la labor de fiscalización.</t>
  </si>
  <si>
    <t>Certificación</t>
  </si>
  <si>
    <t>Boletín 575: Próxima a cerrar la convocatoria “Transformando Emprendedores 2026”:</t>
  </si>
  <si>
    <t>Boletín 1061: Gabinete de Seguridad desmantela bodegas con más de 60 mil autopartes robadas</t>
  </si>
  <si>
    <t>Reunión Gabinete De Seguridad</t>
  </si>
  <si>
    <t>Boletín 1060: Julio Menchaca supervisa obras en el centro de Pachuca que mejoran la vida cotidiana de las familias</t>
  </si>
  <si>
    <t>Boletín 090: Inician en Hidalgo las Rutas de la Salud para mejorar el abasto de medicamentos</t>
  </si>
  <si>
    <t>Despacho</t>
  </si>
  <si>
    <t>Boletín 1059: Infraestructura, bienestar y desarrollo económico: ejes de la recuperación en Hidalgo tras la vaguada monzónica</t>
  </si>
  <si>
    <t>Mediante enlace telefónico David Cárdenas habló sobre la conferencia matutina de la presidenta Claudia Sheinbaum, el día de hoy, en donde habló sobre su presencia en el Estado de Hidalgo el pasado fin de semana, donde fue cuestionada en torno al abasto de medicamentos en la región Otomí-Tepehua. En esta coordinación entre el gobierno federal, gobierno estatal se informa que se está llegando con medicamentos a todas las regiones del país, en ese sentido, el director general del IMSS-Bienestar, Alejandro Svarch Pérez, realizó un enlace con la presidenta Claudia Sheinbaum Pardo desde el Hospital Regional Otomí-Tepehua, ubicado en San Bartolo Tutotepec, informando sobre la supervisión directa del abasto de medicamentos y la operación del hospital.</t>
  </si>
  <si>
    <t>A través de sus redes sociales, el presidente municipal de Cuautepec, Jorge Hernández Araus, informó que, el día miércoles 29 de abril se abrirá la circulación en el tramo de construcción de la carretera Cuautepec-Tulancingo.</t>
  </si>
  <si>
    <t>Con el objetivo de proteger la actividad agropecuaria y prevenir riesgos sanitarios, el Gobierno de Tulancingo mantiene acciones de capacitación en comunidades sobre la identificación y prevención del gusano barrenador del ganado. A través de una brigada municipal de respuesta inmediata, se ha brindado orientación en localidades como La Lagunilla, Huapalcalco, Acocules Guadalupe, La Palma, Laguna del Cerrito, San Nicolás Cebolletas, Ejido Tulancingo y Axatempa, acercando información clave a productores y población en general. Estas acciones se realizan con el respaldo del Servicio Nacional de Sanidad, Inocuidad y Calidad Agroalimentaria (SENASICA), con el propósito de que la ciudadanía conozca cómo prevenir, identificar y actuar ante cualquier posible caso. Hugo Flores, secretario del Campo, destacó la importancia de participar en estas capacitaciones gratuitas, ya que permiten detectar a tiempo señales de alerta y evitar afectaciones mayores en el ganado. Como parte de esta estrategia, los días 28 y 29 de abril la brigada de la Secretaría del Campo estará presente en el auditorio ejidal de Santa Ana Hueytlalpan, a partir de las 12:00 horas. El personal capacitado orienta sobre la identificación de la mosca que deposita larvas en heridas de animales de sangre caliente, así como las medidas de control y atención. En caso de detectar alguna afectación, se invita a reportar al teléfono 775 755 8450, extensión 1187, o al 800 751 2100 de SENASICA. Con estas acciones, el Gobierno Municipal respalda a las comunidades rurales en el cuidado de su actividad productiva.</t>
  </si>
  <si>
    <t>Locutor Jesús Riveros da lectura a comentario de radioescucha que reporta una fuga de agua en la calle Cofre de Perote en la colonia San Cayetano, ya la reportaron a la Cassim pero no la han ido a arreglar, hacen el llamado porque se está desperdiciando mucha agua.</t>
  </si>
  <si>
    <t>Entrevista en cabina Mayra Fabiola González Peralta, directora del programa de Tecnologías de la Información e Innovación; Francisco Rafael Trejo, coordinador del posgrado de Mecatrónica; Miguel Ángel Torres González, director del programa Académico de Ingeniería Financiera - Hablaron sobre la oferta educativa en la Universidad Politécnica de Pachuca, las ventajas del modelo educativo con el que trabajan, así como la amplia oferta en licenciaturas y posgrados, así como los programas de becas que se ofrecen en la UPP. Actualmente está abierta la convocatoria para examen de ingreso hasta el próximo 8 de junio.</t>
  </si>
  <si>
    <t>Locutor Juan Carlos Santamaría agradecer a Sarahy Pineda, por atender y dar respuesta a los reportes, en específico al de la fuga de agua en San Cayetano.</t>
  </si>
  <si>
    <t>Atención a la ciudadanía</t>
  </si>
  <si>
    <t>Un hecho violento se registró la noche de este lunes en el municipio de Tlaxcoapan, donde un hombre de 37 años fue asesinado a balazos en la colonia Apapechoca, cuando llegaba a su domicilio acompañado de su familia. De acuerdo con la información preliminar, la víctima, identificada por sus iniciales como R. V., arribaba a su vivienda a bordo de una camioneta cuando ocurrió la agresión. Testimonios recabados en el lugar señalan que el hombre se encontraba con su esposa e hijos al momento del ataque. Habitantes de la zona alertaron a las autoridades tras escuchar múltiples detonaciones de arma de fuego. Este aviso generó la movilización de corporaciones de seguridad hacia el punto señalado. Al llegar, los elementos localizaron la unidad, una camioneta tipo Lincoln Aviator, donde se encontraba la víctima. Tras una revisión, se confirmó que el hombre ya no presentaba signos vitales y que tenía varios impactos de proyectil de arma de fuego. De acuerdo con versiones de testigos, el ataque ocurrió justo cuando la familia se estacionaba frente a su domicilio. En ese momento, sujetos no identificados se aproximaron y abrieron fuego directamente contra el conductor. Tras realizar las detonaciones, los agresores se dieron a la fuga, sin que hasta el momento se tenga información oficial sobre su paradero o características. En el sitio, peritos localizaron al menos cinco casquillos percutidos calibre 9 milímetros, los cuales fueron asegurados como parte de las evidencias para la investigación. Hasta ahora, no se ha informado sobre personas detenidas relacionadas con este hecho, ni tampoco se ha dado a conocer información adicional del ataque, por lo que las autoridades continúan con las indagatorias correspondientes. El área fue acordonada por elementos de seguridad para permitir el trabajo de peritos y agentes ministeriales, quienes realizaron el levantamiento de indicios y el inicio de la carpeta de investigación.</t>
  </si>
  <si>
    <t>Boletín 109: Inicia en Hidalgo la Semana Nacional de Vacunación 2026</t>
  </si>
  <si>
    <t>Semana Nacional de Vacunación</t>
  </si>
  <si>
    <t>Boletín 030: Obtiene PGJEH sentencia condenatoria de 43 años de prisión para responsable de feminicidio</t>
  </si>
  <si>
    <t>Sentencia Feminicida</t>
  </si>
  <si>
    <t>Luego de que habitantes de Tenango de Doria denunciaron la falta de medicamentos en hospitales de la región Otomi -Tepehua durante la gira de trabajo de la presidenta Claudia Sheinbaum, la jefa del Ejecutivo Federal anunció en la “MAÑANERA “que pidió a Birmex distribuir el medicamento faltante en Hidalgo por lo que esta semana se espera cubrir la demanda de medicinas de la población sobre todo en las comunidades más alejadas de la sierra hidalguense, AUDIO APOYO DESDE LA REGIÓN</t>
  </si>
  <si>
    <t>Luego del reclamo por falta de medicamentos en un evento en Hidalgo, la presidenta de México, Claudia Sheinbaum Pardo, reconoció desabasto y señaló que pidió a Birmex enviar esta semana los fármacos faltantes que representan veinte por ciento a centros de salud y hospitales del estado y hoy estará en esa zona Alejandro Svarch, titular federal del IMSS-Bienestar. AUDIO DE APOYO CSP</t>
  </si>
  <si>
    <t>Luego de que habitantes de Tenango de Doria denunciaron la falta de medicamentos en hospitales de la región Otomi -Tepehua durante la gira de trabajo de la presidenta Claudia Sheinbaum, la jefa del Ejecutivo Federal anunció que pidió a Birmex distribuir el medicamento faltante en Hidalgo por lo que esta semana se espera cubrir la demanda de medicinas de la población sobre todo en las comunidades más alejadas de la sierra hidalguense, AUDIO APOYO</t>
  </si>
  <si>
    <t>Un hombre de 27 años fue detenido por elementos de la policía municipal en la colonia Minerva en Mineral de la Reforma, en un hecho que generó señalamientos por presunto uso excesivo de la fuerza. De acuerdo con los reportes, los hechos ocurrieron la tarde del domingo, cuando el individuo salió de su domicilio y fue interceptado por los uniformados quienes procedieron al aseguramiento. Versiones señalan que la detención se habría realizado bajo el argumento de que el hombre se encontraba en estado de ebriedad.Sin embargo, familiares del detenido rechazaron esta versión y cuestionaron la actuación de los agentes</t>
  </si>
  <si>
    <t>Abuso Policiaco</t>
  </si>
  <si>
    <t>Un accidente vial registrado la tarde del domingo en el municipio de El Arenal dejó al menos 10 personas lesionadas y derivó en señalamientos contra un funcionario del Ayuntamiento de San Salvador.De acuerdo con reportes preliminares, el percance habría sido provocado por el conductor de un vehículo que circulaba a exceso de velocidad y presuntamente bajo los efectos del alcohol. Tras lo ocurrido, el Ayuntamiento de San Salvador emitió un comunicado en el que confirmó la participación de un servidor público en este incidente, aunque sin precisar su identidad, se indicó que la persona involucrada se presentó ante las instancias correspondientes para atender su situación legal y asumir los daños derivados.</t>
  </si>
  <si>
    <t>Accidente Vial</t>
  </si>
  <si>
    <t>El Secretario de Educación Pública de Hidalgo Natividad Castrejón confirmó 13 casos de amenazas en secundarias y preparatorias. ¡Se acuerda de esta tendencia que estaba saliendo en redes sociales específicamente en Tik Tok? pues dijo que hasta el momento se han contabilizado 13 registros de pintas y mensajes anónimos con presuntas amenazas en planteles educativos del estado, principalmente en secundarias y preparatorias; las amenazas relacionadas con un posible o supuesto tiroteo, el titular de la dependencia señaló que estos casos se han presentado en distintos municipios y forman parte de una tendencia viral detectada en redes sociales a nivel nacional. AUDIO DE APOYO</t>
  </si>
  <si>
    <t>La Poderosa Tuxpan 93.1 FM</t>
  </si>
  <si>
    <t>"NN Nuestras Noticias ""El Resumen"""</t>
  </si>
  <si>
    <t>Tomás Sosa</t>
  </si>
  <si>
    <t>La cadena comercial Costco evalúa la posibilidad de instalar una tienda en Pachuca de Soto para el 2027 así lo confirmó el titular de la Secretaría de Desarrollo Económico Carlos Henkel Escorza. AUDIO DE APOYO.</t>
  </si>
  <si>
    <t>Atracción De Inversiones</t>
  </si>
  <si>
    <t>Durante su recorrido por calles de Pachuca, el gobernador Julio Menchaca tuvo un acercamiento con medios de comunicación, en donde informó que en los próximos días se realizará un ajuste en la tarifa del transporte público. AUDIO APOYO JMS</t>
  </si>
  <si>
    <t>Aumento Tarifa De Transporte</t>
  </si>
  <si>
    <t>Campesinos del municipio de Jaltocán bloquearon por varias horas la carretera federal de las tres huastecas, Huejutla Tamazunchale, piden el pago en predios por donde se desarrolla la ampliación a cuatro carriles el delegado de la Secretaría de Infraestructura Comunicaciones y Transporte de Hidalgo Pablo Olvera, habló al respecto. AUDIO APOYO</t>
  </si>
  <si>
    <t>Carretera Huejutla</t>
  </si>
  <si>
    <t>Durante su recorrido por calles de Pachuca, el gobernador Julio Menchaca tuvo un acercamiento con medios de comunicación e informó sobre la recién inaugurada Ciudad Deportiva, que busca ser sede de la Olimpiada Nacional 2026. AUDIO APOYO JMS</t>
  </si>
  <si>
    <t>El Tribunal de Disciplina Judicial (TDJ) a través de su Comisión de Disciplina ha suspendido a un total de 43 servidores públicos señalados por conductas contrarias a la ley, las cuales van desde nepotismo, corrupción hasta acoso laboral o sexual. Rufino León Tovar, presidente del Tribunal recordó que el objetivo de este órgano autónomo tiene como propósito ser garante de la justicia recta y combatir la corrupción u otro tipo de actos que puedan afectar a las personas. Recordó que en Hidalgo ya fue suspendido un juez tras considerar que su actuación estaba siendo contraria a la ley luego de haberse investigado y detectado que de una manera incorrecta la persona tenía el propósito de proteger los intereses de una empresa y otorgó suspensiones para descongelar cuentas bancarias aseguradas en un principio.</t>
  </si>
  <si>
    <t>TSJEH</t>
  </si>
  <si>
    <t>Delitos servidores públicos</t>
  </si>
  <si>
    <t>Vía telefónica, Jorge Reyes presidente municipal de Pachuca sobre el tema de la Encuesta Nacional de Seguridad Pública Urbana (ENSU) del INEGI, festejos del Día del Niño y rehabilitación de espacios públicos en Pachuca. Hablo que salió la encuesta del ENSU de INEGI y bajó prácticamente en 10 puntos este primer trimestre la percepción de seguridad, recordando que en diciembre había habido un incremento, ahorita en el primer trimestre de este año 2026 se logra bajar prácticamente 10 puntos, cabe resaltar dos temas muy importantes, una que prácticamente en 90 días se logro disminuir y mejorar esta percepción, lo que indica que crece la confianza de la ciudadanía en cuanto a la seguridad y a nivel nacional apenas la percepción de inseguridad se movió alrededor de 2 puntos, 2.5 y en Pachuca fue 10 lo que hace mención que las estrategias que se estan realizado en seguridad con los drones, con los rondines de seguridad, con el acercamiento, con el nuevo equipamiento de las 38 patrullas, la dignificación que se ha tenido con los policías están dando resultados, es un tema en conjunto de todas las estrategias de seguridad , entonces quiere decir que estamos por buen camino.Sobre la rehabilitación de jardines, se estan arreglando para que queden muy bonitos y en mejores condiciones ,se está haciendo el embellecimiento de la ciudad, también se esta trabajando en el Reloj Monumental de Pachuca dando su manita de gato, metiendo árboles con tal de disfrutar y en Plaza Constitución.Pasado mañana tenemos el festejo del Día del Niño, del Día de la Niña vamos a poner una gran feria todo completamente gratis para que nos como hace un año hay que recoger su pulserita en la Secretaría de Desarrollo Social que está ahí en Parque Hidalgo.</t>
  </si>
  <si>
    <t>Boletín 1643:Egresada de ITESA obtiene segundo lugar en Premio de Excelencia Dual</t>
  </si>
  <si>
    <t>Educación dual</t>
  </si>
  <si>
    <t>Una cruel ejecución se registró en calles de la colonia Apapechoca en Tlaxcoapan.Según la información proporcionada por la esposa del ahora occiso, ellos dos y sus dos hijos arribaron hasta su domicilio a bordo de una camioneta marca Lincon tipo Aviator.Al llegar ella y sus hijos se adelantaron a entrar a la casa, enseguida escucharon una serie de detonaciones por lo que al salir a ver lo que sucedía encontró a su esposo con varios impactos de proyectil de arma de fuego en el asiento del conductor de la camioneta y al intentar bajar, gravemente herido se desplomó en el suelo donde quedó sin vida.</t>
  </si>
  <si>
    <t>Ejecuciones</t>
  </si>
  <si>
    <t>Más de 4 millones de pesos fueron destinados a infraestructura y equipamiento educativo en el municipio de Tecozautla durante una gira de trabajo el secretario de Educación en Hidalgo Natividad Castrejón Valdéz informó que 14 escuelas de nivel básico y un plantel de media superior resultaron beneficiados. El funcionario destacó que estas acciones forman parte del compromiso del gobierno estatal encabezado por Julio Menchaca Salazar para fortalecer la educación en la entidad. AUDIO DE APOYO.</t>
  </si>
  <si>
    <t>Entrega de infraestructura escolar</t>
  </si>
  <si>
    <t>Boletín 265: Hidalgo, invitado de honor en la FAMEX 2027, AUDIO APOYO</t>
  </si>
  <si>
    <t>En el estado la empresa Prodemex encargada de la construcción del Hospital General de Zona 06 del IMSS en Tula hizo entrega de las nuevas instalaciones ubicadas en Teocalco, Tlaxcoapan a los responsables de trabajo institucional del Instituto Mexicano del Seguro Social.Este nuevo hospital incluirá 298 camas, 36 consultorios de especialidades y cuenta con una inversión de más de dos mil doscientos millones de pesos. Aún no hay fecha para la inauguración, pero ya está dando servicio en algunas especialidades informó la presidenta de México Claudia Sheinbaum. AUDIO DE APOYO CSP</t>
  </si>
  <si>
    <t>La Secretaría de Bienestar e Inclusión Social la SEBISO desplegará una estrategia territorial intensiva para pues acercar los programas sociales a las comunidades más alejadas de Hidalgo, el operativo se realizará a partir de hoy martes 28 al 30 de abril con la instalación de mesas de atención en 25 municipios y 57 localidades, principalmente en regiones como la Otomí Tepehua, la Huasteca, la Sierra Alta y la Sierra Gorda. AUDIO DE APOYO.</t>
  </si>
  <si>
    <t>El delegado de la Secretaría de Infraestructura, Comunicaciones y Transportes, Pablo Olvera Sánchez detalló que se invertirán 7 mil millones de pesos en Hidalgo, de los cuales 4 mil 980 millones se destinarán directamente a la reconstrucción por daños ocasionados por las lluvias además de recursos para conservación, modernización y caminos artesanales. ADIO DE APOYO</t>
  </si>
  <si>
    <t>Un operativo de seguridad se activó tras el hallazgo de una persona sin signos vitales en una gasolinera ubicada en el libramiento municipal de Huichapan. De acuerdo con los primeros reportes, el cuerpo fue localizado en el área de acceso a la estación de servicio, por lo que el sitio fue acordonado para el desarrollo de las diligencias correspondientes.En el lugar también se ubicó un vehículo cuyo interior se encontraban dos menores de edad, quienes fueron resguardadas por elementos policíacos para garantizar su integridad. Información preliminar indica que la persona no presentaba huellas de violencia y que el fallecimiento podría estar relacionado con un evento de salud ocurrido mientras se encontraba en compañía de las menores.</t>
  </si>
  <si>
    <t>Radioescucha comenta: “ Sigo esperando que vengan a cambiar las lámparas de Patoní; ya llevo varias ocasiones reportando”</t>
  </si>
  <si>
    <t>La Comisión Nacional del Agua (Conagua), a través de su Dirección Local Hidalgo, informa que, las presas en la región del Valle de México, cuentan con un porcentaje de almacenamiento global de 91.6 por ciento (%).La presa Taxhimay se encuentra a 99.9% de su capacidad con 39.876 millones de metros cúbicos (Mm3); la Requenase encuentra a 99.6% con 51.351 Mm3.Mientras que la Endhó se encuentra a 97.3% con 177.990 Mm3; la presa Rojo Gómez a 70.2% de su capacidad con 28.064 Mm3; finalmente, la Vicente Aguirre se encuentra a 39.4% de su capacidad con 7.008 Mm3.</t>
  </si>
  <si>
    <t>Monitoreo De Presas</t>
  </si>
  <si>
    <t>Percepción de seguridad</t>
  </si>
  <si>
    <t>Boletín 720 : ENSU: reporta mejora en percepción de seguridad en Hidalgo</t>
  </si>
  <si>
    <t>El gobierno del Estado informa que la Subsecretaría de Protección Civil y Gestión de Riesgos informa que derivado de reportes relacionados con olor a combustible a hidrocarburo en municipios de la región del Valle del Mezquital, pues ya se mantiene monitoreo y coordinación para verificar qué es lo que sucede y confirmar o no esta situación. De acuerdo con la información disponible este tema ya ha sido revisado por autoridades de Tlahuelilpan, Ajacuba, Tetepango y Mixquiahuala, así como por personal de Pemex sin que al momento se haya localizado indicios de fuga de hidrocarburos Las instancias de protección civil y emergencias continúan realizando recorridos de inspección y mantienen comunicación permanente para dar seguimiento a cualquier novedad que pudiera presentarse.</t>
  </si>
  <si>
    <t>Vía telefonica María Guadalupe Nájera Gómez directora del Registro del Estado Familiar de Tula con el tema : Invitación este miércoles 29 de abril a la campaña de correcciones administrativas Identidad Legal para el Bienestar aquí en el municipio de Tula de Allende, la cúal inicia a las 10 de la mañana a 3:30 de la tarde, se llevará a cabo en el Teatro al Aire Libre</t>
  </si>
  <si>
    <t>Registro Familiar</t>
  </si>
  <si>
    <t>La Unidad de Rehabilitación de Fauna Silvestre de Pachuca informó que recibió un ejemplar de tigrillo proveniente de la UMA Selva Teenek Ecopark, ubicada en Ciudad Valles, San Luis PotosÍ. El felino, identificado como Itzan, es un macho de 4 meses de edad que nació en dicho centro, estará en un programa especializado de rehabilitación en biosimuladores, donde permanecerá aproximadamente cinco meses antes de ser liberado en su hábitat natural en la Huasteca potosina.</t>
  </si>
  <si>
    <t>Rehabilitación animal</t>
  </si>
  <si>
    <t>Reloj De Pachuca</t>
  </si>
  <si>
    <t>Tras la controversia registrada el fin de semana por la retención de un grupo musical en la comunidad de Aquetzpalco, municipio de Huautla, autoridades estatales informaron que el caso fue encausado mediante un acuerdo institucional que permitió dar por concluido el diferendo</t>
  </si>
  <si>
    <t>Gobierno</t>
  </si>
  <si>
    <t>Pobladores de Huautla literal secuestraron a los integrantes de un grupo musical con el argumento de que llegaron tarde y no les permitían retirarse sin antes un pago muy comunitario para aportar para apoyar a la comunidad. Algo así como 250 mil pesos.Afortunadamente ya fueron liberados después de casi 15 horas tras la intervención de agentes policiales y lograron presentar su denuncia ante el ministerio público en Huejutla pero pues no les entregaron su camioneta su equipo de trabajo ni sus pertenencias AUDIO DE APOYO.</t>
  </si>
  <si>
    <t>Este martes, Mineral de la Reforma será sede de una macrojornada de salud visual como parte de la campaña “¡A ver… a ver!”, impulsada por la Comisión Estatal para el Desarrollo Sostenible de los Pueblos Indígenas (CEDSPI). La actividad se llevará a cabo el 28 de abril en el Módulo PREP ubicado en la colonia Campestre Villas del Álamo, donde personal especializado brindará exámenes de la vista y entregará lentes de manera completamente gratuita.</t>
  </si>
  <si>
    <t>Radioescucha reporta que siguen sin arreglar los semáforos que están rumbo a Tulipanes por Chedraui, no funcionan</t>
  </si>
  <si>
    <t>Radioescucha reporta que los de Caasim fueron a instalar una toma y no van a arreglar la calle; fue en la Plutarco Elías Calles, entre calle 2 esquina con avenida 3</t>
  </si>
  <si>
    <t>Zanjas Caasim</t>
  </si>
  <si>
    <t>En Pachuca un taxi metropolitano impactó la parte trasera de un vehículo particular en el bulevar Felipe Ángeles la altura del estadio dejando 2 personas lesionadas.</t>
  </si>
  <si>
    <t>El operador de un taxi falleció durante la madrugada del lunes 25 de abril en la ciudad de Pachuca, luego de que el vehículo que conducía chocó contra un árbol. El accidente se registró sobre el bulevar Del Minero.</t>
  </si>
  <si>
    <t>El operador de un taxi falleció durante la madrugada del lunes 25 de abril en la ciudad de Pachuca, luego de que el vehículo que conducía chocó contra un árbol. El accidente mortal se registró sobre el bulevar Del Minero, a donde acudieron elementos policiacos tras recibir el reporte correspondiente al accidente vial. De acuerdo con los primeros reportes, la unidad con placas A-399-FVD circulaba a alta velocidad cuando ocurrió el choque, a la altura de la tienda departamental Soriana Tutelar. La zona fue acordonada mientras se esperaba la llegada de peritos de la Procuraduría General de Justicia del Estado de Hidalgo, para iniciar las investigaciones respectivas al caso.</t>
  </si>
  <si>
    <t>La tarde de este domingo se registró el fallecimiento de un joven en la comunidad de San Miguel Cerezo, luego de que ingresó a la presa conocida como El Jaramillo y ya no logró salir. Las autoridades acudieron localizando el cuerpo ya sin vida.</t>
  </si>
  <si>
    <t>Con la meta de aplicar 44 mil 700 dosis de vacunas contra diversas enfermedades, inició la Semana Nacional de Vacunación 2026, donde además se aplicarán reactivos para prevenir virus sincitial respiratorio (VSR) en mujeres embarazadas. La jornada se desarrollará del 25 de abril al 2 de mayo en todo el Estado de Hidalgo, a la par de los esfuerzos a nivel nacional. La secretaria de Salud en Hidalgo, Vanesa Escalante Arroyo, ha señalado que esta campaña representa un esfuerzo prioritario para garantizar el acceso equitativo a la salud, así como para fortalecer la prevención como eje central del bienestar social. Señaló que la vacunación se mantiene como una de las herramientas más efectivas de salud pública para la prevención de diversas enfermedades.</t>
  </si>
  <si>
    <t>Campaña de vacunación</t>
  </si>
  <si>
    <t>En Tlaxcoapan un sujeto de 37 años fue ejecutado cuando llegaba a su domicilio a bordo de su vehículo junto con su familia. Por dicho incidente la Procuraduría General de Justicia inició la carpeta de investigación correspondiente.</t>
  </si>
  <si>
    <t>Con el objetivo de proteger la actividad agropecuaria y prevenir riesgos sanitarios, el Gobierno de Tulancingo mantiene acciones de capacitación en comunidades sobre la identificación y prevención del gusano barrenador del ganado. A través de una brigada municipal de respuesta inmediata, se ha brindado orientación en localidades como La Lagunilla, Huapalcalco, Acocules Guadalupe, La Palma, Laguna del Cerrito, San Nicolás Cebolletas, Ejido Tulancingo y Axatempa, acercando información clave a productores y población en general. Estas acciones se realizan con el respaldo del Servicio Nacional de Sanidad, Inocuidad y Calidad Agroalimentaria (SENASICA), con el propósito de que la ciudadanía conozca cómo prevenir, identificar y actuar ante cualquier posible caso. Hugo Flores, Secretario del Campo, destacó la importancia de participar en estas capacitaciones gratuitas, ya que permiten detectar a tiempo señales de alerta y evitar afectaciones mayores en el ganado.</t>
  </si>
  <si>
    <t>El gusano barrenador del ganado tiene presencia en más de 40 municipios de Hidalgo, informó el titular de la Secretaría de Agricultura y Desarrollo Rural (Sader) en la entidad, Napoleón González Pérez, quien aseguró que la plaga es atendida de manera coordinada y se encuentra contenida en la mayoría de los casos. De acuerdo con el Servicio Nacional de Sanidad, Inocuidad y Calidad Alimentaria (Senasica), en 45 municipios hidalguenses se reporta presencia del gusano barrenador. En el último corte al 24 de abril, se mantienen 87 casos activos en 31 demarcaciones y La Misión concentra la mayor cantidad con 20 registros. En entrevista, el funcionario precisó que, aunque la afectación se ha extendido territorialmente, no se debe a falta de atención, pues aseguró que han implementado campañas de información y apoyos. Detalló que en la entidad se tienen alrededor de 340 casos confirmados, de los cuales el 67 por ciento han sido contenidos, lo que refleja una respuesta oportuna por parte de las autoridades sanitarias y del sector productivo, dijo.</t>
  </si>
  <si>
    <t>El paciente humano detectado con gusano barrenador en el Estado de Hidalgo ya fue dado de alta. En días anteriores se confirmó el caso, que se presentó en el municipio de Tenango de Doria, ubicado en el Sierra Otomí Tepehua.</t>
  </si>
  <si>
    <t>Anoche un sujeto arribó al hospital Regional de Apan con al menos 7 impactos de bala, para horas más tarde perder la vida. De manera extraoficial se dio a conocer que este incidente fue por un conflicto de tierras ejidales y hasta el momento no hay detenidos.</t>
  </si>
  <si>
    <t>Homicidios</t>
  </si>
  <si>
    <t>Autoridades de nivel central de #IMSSBienestar y el subsecretario de Salud, Eduardo Clark, realizaron una supervisión directa en el Centro de Salud de Tenango de Doria para revisar la operación de la unidad y el abasto de medicamentos. Se reviso el estatus de medicamentos, clave por clave, y se escuchó a pacientes y familiares. Se trabaja en las claves donde se han presentado incidencias con el proveedor; sin embargo, estos medicamentos cuentan con alternativas terapéuticas disponibles.</t>
  </si>
  <si>
    <t>IMSS Bienestar</t>
  </si>
  <si>
    <t>Daniel Martínez señala que continúa la molestia por parte de habitantes de la zona de La Minera, La Morena y Polanco pues no tienen señal telefónica a causa de los bloqueadores de señal que ponen las autoridades para inhibir la salida de llamadas desde el Cereso.</t>
  </si>
  <si>
    <t>En conferencia mañanera del Gobierno de Hidalgo se anunciaron las acciones en materia social, infraestructura y desarrollo económico que siguen efectuando derivado de las afectaciones que dejó la pasada vaguada monzónica en la entidad. En materia de bienestar e inclusión social, su titular Ricardo Gómez Moreno, informó que del 28 al 30 de este mes se llevará a cabo la instalación de mesas de atención en 25 municipios, abarcando 57 localidades. Por su parte, el secretario de obras públicas, Alejandro Sánchez García, dio a conocer que con una inversión federal superior a los 5 mil 738 millones de pesos, se llevará a cabo la reconstrucción de carreteras que resultaron afectadas por la vaguada monzónica. En este mismo sentido Pablo Octavio Olvera de la secretaría de infraestructura, comunicaciones y transportes detalló que como parte de las acciones de reconstrucción por este fenómeno climatológico se destinarán cuatro mil quinientos millones de pesos para caminos estatales, rurales y puentes, beneficiando a veinticinco municipios mediante la intervención de 108 caminos.</t>
  </si>
  <si>
    <t>Tras las intensas lluvias que afectaron la entidad por el paso de la vaguada monzónica, en Hidalgo se detectaron diversas fallas geológicas de las cuales ocho han sido atendidas por la Secretaría de Infraestructura, Comunicaciones y Transportes (SICT). Lo anterior fue dado a conocer por el delegado de la SICT en Hidalgo, Pablo Octavio Olvera Sánchez, durante la conferencia mañanera. El funcionario federal detalló que las fallas geológicas se encuentran en la carretera Pachuca-Huejutla, y fueron descubiertas o encontradas después de la vaguada monzónica. Enfatizó que hasta el momento han atendido un total de ocho fallas geológicas, una de ellas de importancia.</t>
  </si>
  <si>
    <t>Infraestructura, bienestar y desarrollo económico: ejes de la recuperación en Hidalgo tras la vaguada monzónica</t>
  </si>
  <si>
    <t>La delegación de Hidalgo culminó su participación en las pruebas de ciclismo de ruta y contrarreloj dentro de la Olimpiada Nacional CONADE 2026, con un destacado total de 10 medallas: 4 de oro, 5 de plata y 1 de bronce. Durante el tercer y último día de competencias, el representativo hidalguense logró coronarse campeón nacional por equipos en las categorías precadete femenil, cadete femenil y junior femenil, conquistando medallas de oro que reflejan el trabajo, la disciplina y la unión del equipo. Asimismo, se obtuvo una medalla de plata por equipos en la categoría cadete varonil, sumando puntos importantes para la entidad en el medallero general.</t>
  </si>
  <si>
    <t>El Polo de Desarrollo Económico para el Bienestar (Podecobi) situado en 910 hectáreas del municipio de Zapotlán de Juárez se llevará a cabo mediante un fideicomiso que administrará Nacional Financiera (Nafin). Así lo informó Carlos Henkel Escorza, secretario de Desarrollo Económico (Sedeco) en Hidalgo, quien agregó que hasta el momento hay tres desarrolladores nacionales que manifestaron su interés de intervenir. La selección del desarrollador se llevará a cabo en mayo por un comité interinstitucional conformado por autoridades estatales. Asimismo, el Gobierno de México emitirá una opinión porque otorgó el decreto de creación de este Podecobi. La primera fase contempla el 16% del predio, es decir, 150 hectáreas para urbanizar e instalar agua, drenaje, alcantarillado, plantas de tratamiento, accesos y energía eléctrica, así como un parque fotovoltaico para los primeros inversionistas. El fiduciario (o administrador) será Nafin, es decir, donde se depositarán los recursos. Asimismo, participará el gobierno de Hidalgo porque aportó el terreno, también intervendrá el desarrollador quien aportará el recurso para la construcción.</t>
  </si>
  <si>
    <t>Polos del Bienestar</t>
  </si>
  <si>
    <t>Protección Civil pide a la población tomar sus precauciones ante al ola de calor que atravesará el estado. Se recomienda mantenerse hidratados y evitar exponerse a los rayos del sol entre las 10 de la mañana y las 5 de la tarde.</t>
  </si>
  <si>
    <t>A partir del 27 de abril y hasta el próximo 3 de mayo, se llevará cabo a nivel nacional el registro a la Pensión para el Bienestar de las Personas Adultas Mayores de 65 años o más y a Pensión Mujeres Bienestar dirigido a mexicanas de 60 a 64 años de edad. Lo anterior fue informado por Ariadna Montiel Reyes, titular de la Secretaría del Bienestar del Gobierno Federal, señalando que todos los trámites se realizan de forma gratuita. “Los Programas de Bienestar son derechos ganados por el pueblo que contribuyeron a que 13.5 millones de personas salieran de la pobreza”, puntualizó la funcionaria.</t>
  </si>
  <si>
    <t>Programas Del Bienestar</t>
  </si>
  <si>
    <t>La Procuraduría de Protección de Niñas, Niños y Adolescentes de Hidalgo participó en la 16ª Conferencia Nacional de Procuradurías de Protección, organizada por el Sistema Nacional para el Desarrollo Integral de la Familia (SNDIF), efectuada en Morelos del 22 al 24 de abril, donde se reunieron representantes de las 32 entidades federativas. La conferencia se consolida como el principal espacio a nivel nacional para colocar al centro la protección y el interés superior de la niñez, afirmó la titular del SNDIF, María del Rocío García Pérez. El encuentro congregó a cerca de 2 mil participantes y se desarrolló durante tres días de trabajo, con el propósito de fortalecer la coordinación interinstitucional y avanzar en la consolidación de una política de Estado en favor de niñas, niños y adolescentes (NNA).</t>
  </si>
  <si>
    <t>Andrés Torres recuerda que El Vocero Huasteco está fuera del aire por problemas técnicos de la estación, pero están trabajando en ello.</t>
  </si>
  <si>
    <t>Boletín 1060: Supervisa J. Menchaca obras que modernizan Pachuca</t>
  </si>
  <si>
    <t>La empresa Feria Toro informó que se vio en la necesidad de aplazar la corrida programada para el sábado 9 de mayo en la Plaza de Toros Monumental “Vicente Segura” de Pachuca, debido al contexto actual en torno a la tauromaquia en el estado de Hidalgo. De acuerdo con los organizadores, la decisión responde a un escenario de discusión pública en el que, señalaron, se busca imponer un punto de vista único sin reconocer que esta práctica cuenta con amplio respaldo social en la entidad, al ser considerada parte de su cultura, tradiciones y del ejercicio de libertades. Indicaron que, de manera paralela, existe una intención legislativa para declarar la tauromaquia como patrimonio cultural del estado dentro de la Ley de Cultura y Derechos Culturales de Hidalgo, lo que —afirmaron— refleja su arraigo e importancia en la vida social, económica y cultural.</t>
  </si>
  <si>
    <t>Boletín 1060: Julio Menchaca acompaña la inauguración del tren Buenavista–AIFA</t>
  </si>
  <si>
    <t>Durante este fin de semana la presidenta de México Claudia Sheinbaum Pardo realizó una gira de trabajo por el estado de Hidalgo, su primera asistencia fue en el parque industrial Plata, en el municipio de Villa de Tezontepec, en donde se desarrolla un paradero de la construcción del tren de pasajeros Ciudad de México- Pachuca. Como mensaje de bienvenida, el mandatario estatal Julio Menchaca, destacó la visita número 14 de la presidenta en Hidalgo y agradeció esté cumpliendo el compromiso de saldar la deuda histórica con inversiones importantes para los hidalguenses. La presidenta Claudia Sheinbaum precisó que el tren de pasajeros recorrerá más de 58 km para conectar a Pachuca con el Aeropuerto Internacional Felipe Ángeles AIFA.</t>
  </si>
  <si>
    <t>La agrupación Fandango Musical, cuyos integrantes fueron despojados de su equipo de audio, un automóvil y retenidos el fin de semana en la localidad de Aquetzpalco, municipio de Huautla, Hidalgo, por un supuesto incumplimiento de contrato por lo que les exigían el pago de 250 mil pesos, ya iniciaron su denuncia ante el Ministerio Público.</t>
  </si>
  <si>
    <t>La regidora Danyeli Cázares Ortega, integrante de la Asamblea Municipal de Cuautepec de Hinojosa, acudió el pasado 22 de abril a la Fiscalía Especializada en Delitos Electorales Hidalgo, para denunciar actos de violencia digital hacia su bebé recién nacido y hacia ella. La asambleísta municipal denunció también dichas agresiones durante la octava sesión ordinaria del cuerpo edilicio, llevada a cabo hace unos días. Incluso señaló que existen indicios de que los ataques provienen de un familiar de uno de los integrantes del Ayuntamiento, sin especificar nombre alguno. ”De ser así estaríamos frente a un escenario sumamente delicado que no solo involucra lo personal, sino también pone en entredicho la ética y la responsabilidad pública”, señaló la integrante del Partido Verde Ecologista de México dentro del cuerpo edilicio.</t>
  </si>
  <si>
    <t>Violencia digital</t>
  </si>
  <si>
    <t>De febrero a marzo, en Hidalgo, las denuncias por violencia familiar aumentaron en un 28.37 por ciento, al pasar de 571 a 733, según cifras del Secretariado Ejecutivo del Sistema de Seguridad Pública de Hidalgo. En enero, el año inició con 592 denuncias; en febrero descendieron a 571 y en marzo repuntaron. Con ello, el total del primer trimestre de 2026 fue de mil 896 casos. En tanto, en 2025, durante el primer trimestre se registraron mil 428 denuncias. En comparación con este año, se observa un incremento del 32.77 por ciento; sin embargo, en el desglose mensual se reportaron 128 casos en enero, 609 en febrero y 691 en marzo. Las llamadas de emergencia relacionadas con incidentes de violencia familiar sumaron 695 en estos tres meses, de acuerdo con el informe de violencia contra la mujer. Por su parte, los incidentes relacionados con violencia de pareja alcanzaron 941 en el mismo periodo; no todos derivan en una denuncia, según los datos del informe que se presenta los días 25 de cada mes.</t>
  </si>
  <si>
    <t>Violencia familiar</t>
  </si>
  <si>
    <t>Hasta la fecha, la Fiscalía Especializada en Delitos Electorales (FEDE) de Hidalgo registra 20 denuncias de violencia política en razón de género en funcionarias que asumieron algún cargo, la mayoría es contra presidentas municipales, informó la titular Diana Jeaneth Rodríguez López. La funcionaria estatal mencionó que ya trabajan en los protocolos de atención a ese delito de cara al proceso electoral federal y local del 2027, lo cual dijo, implica un gran reto principalmente porque la mayoría de casos se presenta por redes sociales. Rodríguez López recordó que durante el proceso electoral pasado 2023-2024, se registraron 60 casos de violencia política en razón de género, de los cuales el 35 por ciento fue vía redes sociales, y la principal dificultad fue el anonimato o la restricción del perfil.</t>
  </si>
  <si>
    <t>Violencia Política De Género</t>
  </si>
  <si>
    <t>La presidenta de México, Claudia Sheinbaum, junto con el gobernador de Hidalgo, Julio Menchaca, concluyeron su gira de trabajo en la entidad con una visita al municipio de Acaxochitlán, donde encabezaron la entrega de tarjetas de los programas para el bienestar, durante este recorrido, ambas autoridades supervisaron acciones en distintas regiones del estado y sostuvieron diálogo con la población, destacando proyectos en materia de infraestructura y programas sociales, en su mensaje, la presidenta señaló que su administración da continuidad a las políticas sociales impulsadas en años anteriores, con el objetivo de atender a la población que más lo necesita, además de informar sobre obras como la repavimentación y construcción de carreteras.</t>
  </si>
  <si>
    <t>Con la visita de la Presidenta de México, Claudia Sheinbaum Pardo, el pasado sábado 25 de abril en el municipio de Tenango de Doria, en la región de la Sierra Otomí Tepehua, se dio a conocer un amplio plan de reconstrucción, con una inversión superior a los 11000 900000000 de pesos, destinado a atender las afectaciones provocadas por las intensas lluvias asociadas con la vaguada monzónica. El anuncio se realizó en presencia del Gobernador de Hidalgo, Julio Menchaca Salazar, junto a integrantes del Gabinete Federal y Estatal, quienes destacaron que los recursos eran enfocados en la rehabilitación de infraestructura esencial, particularmente en caminos, puentes y servicios básicos en comunidades que quedaron incomunicadas.</t>
  </si>
  <si>
    <t>Continuando con su gira por el estado de Hidalgo, la presidenta de México, Claudia Sheinbaum, visitó el municipio de Singuilucan, acompañada del mandatario estatal Menchaca Salazar, donde se hizo entrega de tarjetas de los programas para el bienestar. Al respecto, el titular del ejecutivo estatal agradeció el respaldo que ha recibido por parte de la presidenta, citando el apoyo físico e institucional durante la evacuada monzónica que afectó a 28 municipios del norte del estado.</t>
  </si>
  <si>
    <t>La Secretaría de Bienestar e Inclusión Social (Sebiso) implementará una estrategia territorial intensiva para acercar los programas sociales a las comunidades más alejadas y con mayores condiciones de marginación. Este esfuerzo responde a la instrucción del gobernador Julio Menchaca de atender de manera directa a la población, priorizando su bienestar, salud y condiciones de vida, especialmente en las zonas más vulnerables. El operativo se llevará a cabo del 28 al 30 de abril, con la instalación de mesas de atención en 25 municipios que abarcarán 57 localidades, principalmente en las regiones Otomí-Tepehua, Huasteca, Sierra Alta y Sierra Gorda, donde históricamente la atención ha sido menor debido a la lejanía y a la falta de infraestructura. Como parte de esta estrategia, brigadas conformadas por las y los servidores del pueblo y personal de la Sebiso realizarán recorridos por carretera y trayectos a pie, con el objetivo de estar directamente a las comunidades donde los apoyos no siempre han llegado.</t>
  </si>
  <si>
    <t>En gira de trabajo por el municipio de Tecozautla, el secretario de Educación Pública de Hidalgo, Natividad Castrejón Valdez, entregó infraestructura y equipamiento educativo con una inversión superior a los 4 millones de pesos, en beneficio de 14 escuelas de educación básica y una institución de nivel medio superior. En la telesecundaria 306 de la comunidad de Tzidejhe, inauguró un módulo de sanitarios, la rehabilitación y ampliación de la dirección, así como la construcción de una cisterna y fosa séptica, obras que representaron una inversión de más de 1.7 millones de pesos. Asimismo, se dotó de equipamiento a 13 planteles, entre ellos un Centro de Atención Múltiple, jardines de niños, primarias, secundarias y telesecundarias. Los apoyos incluyeron mobiliario escolar y de oficina, proyectores, pantallas, computadoras, impresoras y reguladores, con una inversión de 1.2 millones de pesos. Durante el recorrido, el secretario destacó que el gobernador Julio Menchaca Salazar mantiene un compromiso firme con la Nueva Escuela Mexicana, al impulsar mejores condiciones de infraestructura para el desarrollo integral de las y los estudiantes. “El gobierno trabaja para que las y los estudiantes cuenten con libros, uniformes y apoyos que les permitan continuar su formación.”, afirmó.</t>
  </si>
  <si>
    <t>Tras reclamos por parte de habitantes de la Sierra Otomí Tepehua, este lunes se pusieron en marcha cinco Rutas de la Salud, una estrategia que llevará medicamentos e insumos médicos a distintas regiones de Hidalgo. Por medio de un comunicado de prensa, se señala que el Gobernador Julio Menchaca Salazar encargó el inicio del reparto “como respuesta a las necesidades de la población y por instrucción de la presidenta de México, Claudia Sheinbaum Pardo”. El pasado fin de semana, habitantes de los municipios de Tenango de Doria y San Bartolo Tutotepec reclamaron la falta de suficientes medicamentos en unidades de atención médica ubicadas en la región. Sheinbaum contestó que “eso no puede ser” y explicó que el gobierno federal implementó el programa Rutas de la Salud, con el objetivo de abastecer medicamentos en todo el país especialmente en las comunidades más alejadas</t>
  </si>
  <si>
    <t>Ruta de la Salud</t>
  </si>
  <si>
    <t>En gira de trabajo por el municipio de Tecozautla, el secretario de Educación Pública de Hidalgo, Natividad Castrejón Valdez, entregó infraestructura y equipamiento educativo con una inversión superior a los 4 millones de pesos, en beneficio de 14 escuelas de educación básica y una institución de nivel medio superior. En la telesecundaria 306 de la comunidad de Tzidejhe, inauguró un módulo de sanitarios, la rehabilitación y ampliación de la dirección, así como la construcción de una cisterna y fosa séptica, obras que representaron una inversión de más de 1.7 millones de pesos. Asimismo, se dotó de equipamiento a 13 planteles, entre ellos un Centro de Atención Múltiple, jardines de niños, primarias, secundarias y telesecundarias. Los apoyos incluyeron mobiliario escolar y de oficina, proyectores, pantallas, computadoras, impresoras y reguladores, con una inversión de 1.2 millones de pesos. Durante el recorrido, el secretario destacó que el gobernador Julio Menchaca Salazar mantiene un compromiso firme con la Nueva Escuela Mexicana, al impulsar mejores condiciones de infraestructura para el desarrollo integral de las y los estudiantes.</t>
  </si>
  <si>
    <t>Vacunación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</si>
</sst>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0" tableType="queryTable" totalsRowShown="0">
  <autoFilter ref="A1:M220" xr:uid="{717AF3FA-E95C-4D17-A1C9-B8D7CBE34EF0}"/>
  <sortState xmlns:xlrd2="http://schemas.microsoft.com/office/spreadsheetml/2017/richdata2" ref="A2:M220">
    <sortCondition ref="B1:B220"/>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0"/>
  <sheetViews>
    <sheetView tabSelected="1" topLeftCell="A190" workbookViewId="0">
      <selection activeCell="B220" sqref="B220"/>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59</v>
      </c>
      <c r="C1" t="s">
        <v>60</v>
      </c>
      <c r="D1" t="s">
        <v>61</v>
      </c>
      <c r="E1" t="s">
        <v>1</v>
      </c>
      <c r="F1" t="s">
        <v>2</v>
      </c>
      <c r="G1" t="s">
        <v>4</v>
      </c>
      <c r="H1" t="s">
        <v>3</v>
      </c>
      <c r="I1" t="s">
        <v>5</v>
      </c>
      <c r="J1" t="s">
        <v>62</v>
      </c>
      <c r="K1" t="s">
        <v>63</v>
      </c>
      <c r="L1" t="s">
        <v>64</v>
      </c>
      <c r="M1" t="s">
        <v>72</v>
      </c>
    </row>
    <row r="2" spans="1:13" x14ac:dyDescent="0.25">
      <c r="A2" s="1">
        <v>46140</v>
      </c>
      <c r="B2" s="1" t="str">
        <f ca="1">IF(Información1[[#This Row],[Fecha]]='Ajuste de fechas'!$A$2,"Día actual","Día anterior")</f>
        <v>Día actual</v>
      </c>
      <c r="C2" s="3" t="s">
        <v>47</v>
      </c>
      <c r="D2" t="s">
        <v>50</v>
      </c>
      <c r="E2" s="3" t="s">
        <v>222</v>
      </c>
      <c r="F2" s="3" t="s">
        <v>19</v>
      </c>
      <c r="G2" s="3" t="s">
        <v>223</v>
      </c>
      <c r="H2" s="3" t="s">
        <v>11</v>
      </c>
      <c r="I2" s="3" t="s">
        <v>7</v>
      </c>
      <c r="J2" s="3" t="s">
        <v>69</v>
      </c>
      <c r="K2" s="3" t="s">
        <v>48</v>
      </c>
      <c r="L2" s="3" t="s">
        <v>66</v>
      </c>
      <c r="M2">
        <v>1</v>
      </c>
    </row>
    <row r="3" spans="1:13" x14ac:dyDescent="0.25">
      <c r="A3" s="1">
        <v>46140</v>
      </c>
      <c r="B3" s="1" t="str">
        <f ca="1">IF(Información1[[#This Row],[Fecha]]='Ajuste de fechas'!$A$2,"Día actual","Día anterior")</f>
        <v>Día actual</v>
      </c>
      <c r="C3" s="3" t="s">
        <v>47</v>
      </c>
      <c r="D3" t="s">
        <v>50</v>
      </c>
      <c r="E3" s="3" t="s">
        <v>224</v>
      </c>
      <c r="F3" s="3" t="s">
        <v>23</v>
      </c>
      <c r="G3" s="3" t="s">
        <v>76</v>
      </c>
      <c r="H3" s="3" t="s">
        <v>11</v>
      </c>
      <c r="I3" s="3" t="s">
        <v>7</v>
      </c>
      <c r="J3" s="3" t="s">
        <v>70</v>
      </c>
      <c r="K3" s="3" t="s">
        <v>48</v>
      </c>
      <c r="L3" s="3" t="s">
        <v>66</v>
      </c>
      <c r="M3">
        <v>1</v>
      </c>
    </row>
    <row r="4" spans="1:13" x14ac:dyDescent="0.25">
      <c r="A4" s="1">
        <v>46140</v>
      </c>
      <c r="B4" s="1" t="str">
        <f ca="1">IF(Información1[[#This Row],[Fecha]]='Ajuste de fechas'!$A$2,"Día actual","Día anterior")</f>
        <v>Día actual</v>
      </c>
      <c r="C4" s="3" t="s">
        <v>47</v>
      </c>
      <c r="D4" t="s">
        <v>50</v>
      </c>
      <c r="E4" s="3" t="s">
        <v>225</v>
      </c>
      <c r="F4" s="3" t="s">
        <v>23</v>
      </c>
      <c r="G4" s="3" t="s">
        <v>226</v>
      </c>
      <c r="H4" s="3" t="s">
        <v>11</v>
      </c>
      <c r="I4" s="3" t="s">
        <v>7</v>
      </c>
      <c r="J4" s="3" t="s">
        <v>70</v>
      </c>
      <c r="K4" s="3" t="s">
        <v>48</v>
      </c>
      <c r="L4" s="3" t="s">
        <v>66</v>
      </c>
      <c r="M4">
        <v>1</v>
      </c>
    </row>
    <row r="5" spans="1:13" x14ac:dyDescent="0.25">
      <c r="A5" s="1">
        <v>46140</v>
      </c>
      <c r="B5" s="1" t="str">
        <f ca="1">IF(Información1[[#This Row],[Fecha]]='Ajuste de fechas'!$A$2,"Día actual","Día anterior")</f>
        <v>Día actual</v>
      </c>
      <c r="C5" s="3" t="s">
        <v>31</v>
      </c>
      <c r="D5" t="s">
        <v>33</v>
      </c>
      <c r="E5" s="3" t="s">
        <v>227</v>
      </c>
      <c r="F5" s="3" t="s">
        <v>23</v>
      </c>
      <c r="G5" s="3" t="s">
        <v>106</v>
      </c>
      <c r="H5" s="3" t="s">
        <v>11</v>
      </c>
      <c r="I5" s="3" t="s">
        <v>7</v>
      </c>
      <c r="J5" s="3" t="s">
        <v>70</v>
      </c>
      <c r="K5" s="3" t="s">
        <v>32</v>
      </c>
      <c r="L5" s="3" t="s">
        <v>66</v>
      </c>
      <c r="M5">
        <v>1</v>
      </c>
    </row>
    <row r="6" spans="1:13" x14ac:dyDescent="0.25">
      <c r="A6" s="1">
        <v>46140</v>
      </c>
      <c r="B6" s="1" t="str">
        <f ca="1">IF(Información1[[#This Row],[Fecha]]='Ajuste de fechas'!$A$2,"Día actual","Día anterior")</f>
        <v>Día actual</v>
      </c>
      <c r="C6" s="3" t="s">
        <v>31</v>
      </c>
      <c r="D6" t="s">
        <v>33</v>
      </c>
      <c r="E6" s="3" t="s">
        <v>228</v>
      </c>
      <c r="F6" s="3" t="s">
        <v>19</v>
      </c>
      <c r="G6" s="3" t="s">
        <v>102</v>
      </c>
      <c r="H6" s="3" t="s">
        <v>11</v>
      </c>
      <c r="I6" s="3" t="s">
        <v>7</v>
      </c>
      <c r="J6" s="3" t="s">
        <v>69</v>
      </c>
      <c r="K6" s="3" t="s">
        <v>32</v>
      </c>
      <c r="L6" s="3" t="s">
        <v>66</v>
      </c>
      <c r="M6">
        <v>1</v>
      </c>
    </row>
    <row r="7" spans="1:13" x14ac:dyDescent="0.25">
      <c r="A7" s="1">
        <v>46140</v>
      </c>
      <c r="B7" s="1" t="str">
        <f ca="1">IF(Información1[[#This Row],[Fecha]]='Ajuste de fechas'!$A$2,"Día actual","Día anterior")</f>
        <v>Día actual</v>
      </c>
      <c r="C7" s="3" t="s">
        <v>31</v>
      </c>
      <c r="D7" t="s">
        <v>33</v>
      </c>
      <c r="E7" s="3" t="s">
        <v>229</v>
      </c>
      <c r="F7" s="3" t="s">
        <v>82</v>
      </c>
      <c r="G7" s="3" t="s">
        <v>230</v>
      </c>
      <c r="H7" s="3" t="s">
        <v>11</v>
      </c>
      <c r="I7" s="3" t="s">
        <v>7</v>
      </c>
      <c r="J7" s="3" t="s">
        <v>65</v>
      </c>
      <c r="K7" s="3" t="s">
        <v>32</v>
      </c>
      <c r="L7" s="3" t="s">
        <v>68</v>
      </c>
      <c r="M7">
        <v>1</v>
      </c>
    </row>
    <row r="8" spans="1:13" x14ac:dyDescent="0.25">
      <c r="A8" s="1">
        <v>46140</v>
      </c>
      <c r="B8" s="1" t="str">
        <f ca="1">IF(Información1[[#This Row],[Fecha]]='Ajuste de fechas'!$A$2,"Día actual","Día anterior")</f>
        <v>Día actual</v>
      </c>
      <c r="C8" s="3" t="s">
        <v>31</v>
      </c>
      <c r="D8" t="s">
        <v>33</v>
      </c>
      <c r="E8" s="3" t="s">
        <v>231</v>
      </c>
      <c r="F8" s="3" t="s">
        <v>51</v>
      </c>
      <c r="G8" s="3" t="s">
        <v>232</v>
      </c>
      <c r="H8" s="3" t="s">
        <v>11</v>
      </c>
      <c r="I8" s="3" t="s">
        <v>7</v>
      </c>
      <c r="J8" s="3" t="s">
        <v>65</v>
      </c>
      <c r="K8" s="3" t="s">
        <v>32</v>
      </c>
      <c r="L8" s="3" t="s">
        <v>68</v>
      </c>
      <c r="M8">
        <v>1</v>
      </c>
    </row>
    <row r="9" spans="1:13" x14ac:dyDescent="0.25">
      <c r="A9" s="1">
        <v>46140</v>
      </c>
      <c r="B9" s="1" t="str">
        <f ca="1">IF(Información1[[#This Row],[Fecha]]='Ajuste de fechas'!$A$2,"Día actual","Día anterior")</f>
        <v>Día actual</v>
      </c>
      <c r="C9" s="3" t="s">
        <v>31</v>
      </c>
      <c r="D9" t="s">
        <v>33</v>
      </c>
      <c r="E9" s="3" t="s">
        <v>233</v>
      </c>
      <c r="F9" s="3" t="s">
        <v>51</v>
      </c>
      <c r="G9" s="3" t="s">
        <v>234</v>
      </c>
      <c r="H9" s="3" t="s">
        <v>11</v>
      </c>
      <c r="I9" s="3" t="s">
        <v>7</v>
      </c>
      <c r="J9" s="3" t="s">
        <v>65</v>
      </c>
      <c r="K9" s="3" t="s">
        <v>32</v>
      </c>
      <c r="L9" s="3" t="s">
        <v>68</v>
      </c>
      <c r="M9">
        <v>1</v>
      </c>
    </row>
    <row r="10" spans="1:13" x14ac:dyDescent="0.25">
      <c r="A10" s="1">
        <v>46140</v>
      </c>
      <c r="B10" s="1" t="str">
        <f ca="1">IF(Información1[[#This Row],[Fecha]]='Ajuste de fechas'!$A$2,"Día actual","Día anterior")</f>
        <v>Día actual</v>
      </c>
      <c r="C10" s="3" t="s">
        <v>31</v>
      </c>
      <c r="D10" t="s">
        <v>33</v>
      </c>
      <c r="E10" s="3" t="s">
        <v>235</v>
      </c>
      <c r="F10" s="3" t="s">
        <v>22</v>
      </c>
      <c r="G10" s="3" t="s">
        <v>236</v>
      </c>
      <c r="H10" s="3" t="s">
        <v>11</v>
      </c>
      <c r="I10" s="3" t="s">
        <v>7</v>
      </c>
      <c r="J10" s="3" t="s">
        <v>26</v>
      </c>
      <c r="K10" s="3" t="s">
        <v>32</v>
      </c>
      <c r="L10" s="3" t="s">
        <v>66</v>
      </c>
      <c r="M10">
        <v>1</v>
      </c>
    </row>
    <row r="11" spans="1:13" x14ac:dyDescent="0.25">
      <c r="A11" s="1">
        <v>46140</v>
      </c>
      <c r="B11" s="1" t="str">
        <f ca="1">IF(Información1[[#This Row],[Fecha]]='Ajuste de fechas'!$A$2,"Día actual","Día anterior")</f>
        <v>Día actual</v>
      </c>
      <c r="C11" s="3" t="s">
        <v>31</v>
      </c>
      <c r="D11" t="s">
        <v>33</v>
      </c>
      <c r="E11" s="3" t="s">
        <v>237</v>
      </c>
      <c r="F11" s="3" t="s">
        <v>98</v>
      </c>
      <c r="G11" s="3" t="s">
        <v>112</v>
      </c>
      <c r="H11" s="3" t="s">
        <v>11</v>
      </c>
      <c r="I11" s="3" t="s">
        <v>7</v>
      </c>
      <c r="J11" s="3" t="s">
        <v>65</v>
      </c>
      <c r="K11" s="3" t="s">
        <v>32</v>
      </c>
      <c r="L11" s="3" t="s">
        <v>68</v>
      </c>
      <c r="M11">
        <v>1</v>
      </c>
    </row>
    <row r="12" spans="1:13" x14ac:dyDescent="0.25">
      <c r="A12" s="1">
        <v>46140</v>
      </c>
      <c r="B12" s="1" t="str">
        <f ca="1">IF(Información1[[#This Row],[Fecha]]='Ajuste de fechas'!$A$2,"Día actual","Día anterior")</f>
        <v>Día actual</v>
      </c>
      <c r="C12" s="3" t="s">
        <v>31</v>
      </c>
      <c r="D12" t="s">
        <v>33</v>
      </c>
      <c r="E12" s="3" t="s">
        <v>238</v>
      </c>
      <c r="F12" s="3" t="s">
        <v>28</v>
      </c>
      <c r="G12" s="3" t="s">
        <v>239</v>
      </c>
      <c r="H12" s="3" t="s">
        <v>11</v>
      </c>
      <c r="I12" s="3" t="s">
        <v>7</v>
      </c>
      <c r="J12" s="3" t="s">
        <v>65</v>
      </c>
      <c r="K12" s="3" t="s">
        <v>32</v>
      </c>
      <c r="L12" s="3" t="s">
        <v>68</v>
      </c>
      <c r="M12">
        <v>1</v>
      </c>
    </row>
    <row r="13" spans="1:13" x14ac:dyDescent="0.25">
      <c r="A13" s="1">
        <v>46140</v>
      </c>
      <c r="B13" s="1" t="str">
        <f ca="1">IF(Información1[[#This Row],[Fecha]]='Ajuste de fechas'!$A$2,"Día actual","Día anterior")</f>
        <v>Día actual</v>
      </c>
      <c r="C13" s="3" t="s">
        <v>31</v>
      </c>
      <c r="D13" t="s">
        <v>33</v>
      </c>
      <c r="E13" s="3" t="s">
        <v>240</v>
      </c>
      <c r="F13" s="3" t="s">
        <v>28</v>
      </c>
      <c r="G13" s="3" t="s">
        <v>101</v>
      </c>
      <c r="H13" s="3" t="s">
        <v>11</v>
      </c>
      <c r="I13" s="3" t="s">
        <v>7</v>
      </c>
      <c r="J13" s="3" t="s">
        <v>65</v>
      </c>
      <c r="K13" s="3" t="s">
        <v>32</v>
      </c>
      <c r="L13" s="3" t="s">
        <v>68</v>
      </c>
      <c r="M13">
        <v>1</v>
      </c>
    </row>
    <row r="14" spans="1:13" x14ac:dyDescent="0.25">
      <c r="A14" s="1">
        <v>46140</v>
      </c>
      <c r="B14" s="1" t="str">
        <f ca="1">IF(Información1[[#This Row],[Fecha]]='Ajuste de fechas'!$A$2,"Día actual","Día anterior")</f>
        <v>Día actual</v>
      </c>
      <c r="C14" s="3" t="s">
        <v>31</v>
      </c>
      <c r="D14" t="s">
        <v>33</v>
      </c>
      <c r="E14" s="3" t="s">
        <v>241</v>
      </c>
      <c r="F14" s="3" t="s">
        <v>242</v>
      </c>
      <c r="G14" s="3" t="s">
        <v>226</v>
      </c>
      <c r="H14" s="3" t="s">
        <v>11</v>
      </c>
      <c r="I14" s="3" t="s">
        <v>7</v>
      </c>
      <c r="J14" s="3" t="s">
        <v>65</v>
      </c>
      <c r="K14" s="3" t="s">
        <v>32</v>
      </c>
      <c r="L14" s="3" t="s">
        <v>68</v>
      </c>
      <c r="M14">
        <v>1</v>
      </c>
    </row>
    <row r="15" spans="1:13" x14ac:dyDescent="0.25">
      <c r="A15" s="1">
        <v>46140</v>
      </c>
      <c r="B15" s="1" t="str">
        <f ca="1">IF(Información1[[#This Row],[Fecha]]='Ajuste de fechas'!$A$2,"Día actual","Día anterior")</f>
        <v>Día actual</v>
      </c>
      <c r="C15" s="3" t="s">
        <v>31</v>
      </c>
      <c r="D15" t="s">
        <v>33</v>
      </c>
      <c r="E15" s="3" t="s">
        <v>243</v>
      </c>
      <c r="F15" s="3" t="s">
        <v>134</v>
      </c>
      <c r="G15" s="3" t="s">
        <v>81</v>
      </c>
      <c r="H15" s="3" t="s">
        <v>11</v>
      </c>
      <c r="I15" s="3" t="s">
        <v>7</v>
      </c>
      <c r="J15" s="3" t="s">
        <v>65</v>
      </c>
      <c r="K15" s="3" t="s">
        <v>32</v>
      </c>
      <c r="L15" s="3" t="s">
        <v>68</v>
      </c>
      <c r="M15">
        <v>1</v>
      </c>
    </row>
    <row r="16" spans="1:13" x14ac:dyDescent="0.25">
      <c r="A16" s="1">
        <v>46140</v>
      </c>
      <c r="B16" s="1" t="str">
        <f ca="1">IF(Información1[[#This Row],[Fecha]]='Ajuste de fechas'!$A$2,"Día actual","Día anterior")</f>
        <v>Día actual</v>
      </c>
      <c r="C16" s="3" t="s">
        <v>47</v>
      </c>
      <c r="D16" t="s">
        <v>49</v>
      </c>
      <c r="E16" s="3" t="s">
        <v>244</v>
      </c>
      <c r="F16" s="3" t="s">
        <v>23</v>
      </c>
      <c r="G16" s="3" t="s">
        <v>106</v>
      </c>
      <c r="H16" s="3" t="s">
        <v>11</v>
      </c>
      <c r="I16" s="3" t="s">
        <v>7</v>
      </c>
      <c r="J16" s="3" t="s">
        <v>70</v>
      </c>
      <c r="K16" s="3" t="s">
        <v>48</v>
      </c>
      <c r="L16" s="3" t="s">
        <v>66</v>
      </c>
      <c r="M16">
        <v>1</v>
      </c>
    </row>
    <row r="17" spans="1:13" x14ac:dyDescent="0.25">
      <c r="A17" s="1">
        <v>46140</v>
      </c>
      <c r="B17" s="1" t="str">
        <f ca="1">IF(Información1[[#This Row],[Fecha]]='Ajuste de fechas'!$A$2,"Día actual","Día anterior")</f>
        <v>Día actual</v>
      </c>
      <c r="C17" s="3" t="s">
        <v>47</v>
      </c>
      <c r="D17" t="s">
        <v>49</v>
      </c>
      <c r="E17" s="3" t="s">
        <v>245</v>
      </c>
      <c r="F17" s="3" t="s">
        <v>19</v>
      </c>
      <c r="G17" s="3" t="s">
        <v>97</v>
      </c>
      <c r="H17" s="3" t="s">
        <v>11</v>
      </c>
      <c r="I17" s="3" t="s">
        <v>7</v>
      </c>
      <c r="J17" s="3" t="s">
        <v>69</v>
      </c>
      <c r="K17" s="3" t="s">
        <v>48</v>
      </c>
      <c r="L17" s="3" t="s">
        <v>66</v>
      </c>
      <c r="M17">
        <v>1</v>
      </c>
    </row>
    <row r="18" spans="1:13" x14ac:dyDescent="0.25">
      <c r="A18" s="1">
        <v>46140</v>
      </c>
      <c r="B18" s="1" t="str">
        <f ca="1">IF(Información1[[#This Row],[Fecha]]='Ajuste de fechas'!$A$2,"Día actual","Día anterior")</f>
        <v>Día actual</v>
      </c>
      <c r="C18" s="3" t="s">
        <v>47</v>
      </c>
      <c r="D18" t="s">
        <v>49</v>
      </c>
      <c r="E18" s="3" t="s">
        <v>246</v>
      </c>
      <c r="F18" s="3" t="s">
        <v>19</v>
      </c>
      <c r="G18" s="3" t="s">
        <v>77</v>
      </c>
      <c r="H18" s="3" t="s">
        <v>11</v>
      </c>
      <c r="I18" s="3" t="s">
        <v>7</v>
      </c>
      <c r="J18" s="3" t="s">
        <v>69</v>
      </c>
      <c r="K18" s="3" t="s">
        <v>48</v>
      </c>
      <c r="L18" s="3" t="s">
        <v>66</v>
      </c>
      <c r="M18">
        <v>1</v>
      </c>
    </row>
    <row r="19" spans="1:13" x14ac:dyDescent="0.25">
      <c r="A19" s="1">
        <v>46140</v>
      </c>
      <c r="B19" s="1" t="str">
        <f ca="1">IF(Información1[[#This Row],[Fecha]]='Ajuste de fechas'!$A$2,"Día actual","Día anterior")</f>
        <v>Día actual</v>
      </c>
      <c r="C19" s="3" t="s">
        <v>47</v>
      </c>
      <c r="D19" t="s">
        <v>49</v>
      </c>
      <c r="E19" s="3" t="s">
        <v>247</v>
      </c>
      <c r="F19" s="3" t="s">
        <v>6</v>
      </c>
      <c r="G19" s="3" t="s">
        <v>80</v>
      </c>
      <c r="H19" s="3" t="s">
        <v>11</v>
      </c>
      <c r="I19" s="3" t="s">
        <v>27</v>
      </c>
      <c r="J19" s="3" t="s">
        <v>65</v>
      </c>
      <c r="K19" s="3" t="s">
        <v>9</v>
      </c>
      <c r="L19" s="3" t="s">
        <v>67</v>
      </c>
      <c r="M19">
        <v>1</v>
      </c>
    </row>
    <row r="20" spans="1:13" x14ac:dyDescent="0.25">
      <c r="A20" s="1">
        <v>46140</v>
      </c>
      <c r="B20" s="1" t="str">
        <f ca="1">IF(Información1[[#This Row],[Fecha]]='Ajuste de fechas'!$A$2,"Día actual","Día anterior")</f>
        <v>Día actual</v>
      </c>
      <c r="C20" s="3" t="s">
        <v>47</v>
      </c>
      <c r="D20" t="s">
        <v>49</v>
      </c>
      <c r="E20" s="3" t="s">
        <v>248</v>
      </c>
      <c r="F20" s="3" t="s">
        <v>21</v>
      </c>
      <c r="G20" s="3" t="s">
        <v>85</v>
      </c>
      <c r="H20" s="3" t="s">
        <v>11</v>
      </c>
      <c r="I20" s="3" t="s">
        <v>7</v>
      </c>
      <c r="J20" s="3" t="s">
        <v>65</v>
      </c>
      <c r="K20" s="3" t="s">
        <v>39</v>
      </c>
      <c r="L20" s="3" t="s">
        <v>71</v>
      </c>
      <c r="M20">
        <v>1</v>
      </c>
    </row>
    <row r="21" spans="1:13" x14ac:dyDescent="0.25">
      <c r="A21" s="1">
        <v>46140</v>
      </c>
      <c r="B21" s="1" t="str">
        <f ca="1">IF(Información1[[#This Row],[Fecha]]='Ajuste de fechas'!$A$2,"Día actual","Día anterior")</f>
        <v>Día actual</v>
      </c>
      <c r="C21" s="3" t="s">
        <v>47</v>
      </c>
      <c r="D21" t="s">
        <v>49</v>
      </c>
      <c r="E21" s="3" t="s">
        <v>249</v>
      </c>
      <c r="F21" s="3" t="s">
        <v>6</v>
      </c>
      <c r="G21" s="3" t="s">
        <v>250</v>
      </c>
      <c r="H21" s="3" t="s">
        <v>11</v>
      </c>
      <c r="I21" s="3" t="s">
        <v>12</v>
      </c>
      <c r="J21" s="3" t="s">
        <v>65</v>
      </c>
      <c r="K21" s="3" t="s">
        <v>39</v>
      </c>
      <c r="L21" s="3" t="s">
        <v>67</v>
      </c>
      <c r="M21">
        <v>1</v>
      </c>
    </row>
    <row r="22" spans="1:13" x14ac:dyDescent="0.25">
      <c r="A22" s="1">
        <v>46140</v>
      </c>
      <c r="B22" s="1" t="str">
        <f ca="1">IF(Información1[[#This Row],[Fecha]]='Ajuste de fechas'!$A$2,"Día actual","Día anterior")</f>
        <v>Día actual</v>
      </c>
      <c r="C22" s="3" t="s">
        <v>47</v>
      </c>
      <c r="D22" t="s">
        <v>49</v>
      </c>
      <c r="E22" s="3" t="s">
        <v>251</v>
      </c>
      <c r="F22" s="3" t="s">
        <v>24</v>
      </c>
      <c r="G22" s="3" t="s">
        <v>223</v>
      </c>
      <c r="H22" s="3" t="s">
        <v>11</v>
      </c>
      <c r="I22" s="3" t="s">
        <v>7</v>
      </c>
      <c r="J22" s="3" t="s">
        <v>65</v>
      </c>
      <c r="K22" s="3" t="s">
        <v>48</v>
      </c>
      <c r="L22" s="3" t="s">
        <v>66</v>
      </c>
      <c r="M22">
        <v>1</v>
      </c>
    </row>
    <row r="23" spans="1:13" x14ac:dyDescent="0.25">
      <c r="A23" s="1">
        <v>46140</v>
      </c>
      <c r="B23" s="1" t="str">
        <f ca="1">IF(Información1[[#This Row],[Fecha]]='Ajuste de fechas'!$A$2,"Día actual","Día anterior")</f>
        <v>Día actual</v>
      </c>
      <c r="C23" s="3" t="s">
        <v>47</v>
      </c>
      <c r="D23" t="s">
        <v>49</v>
      </c>
      <c r="E23" s="3" t="s">
        <v>240</v>
      </c>
      <c r="F23" s="3" t="s">
        <v>28</v>
      </c>
      <c r="G23" s="3" t="s">
        <v>101</v>
      </c>
      <c r="H23" s="3" t="s">
        <v>11</v>
      </c>
      <c r="I23" s="3" t="s">
        <v>7</v>
      </c>
      <c r="J23" s="3" t="s">
        <v>65</v>
      </c>
      <c r="K23" s="3" t="s">
        <v>39</v>
      </c>
      <c r="L23" s="3" t="s">
        <v>68</v>
      </c>
      <c r="M23">
        <v>1</v>
      </c>
    </row>
    <row r="24" spans="1:13" x14ac:dyDescent="0.25">
      <c r="A24" s="1">
        <v>46140</v>
      </c>
      <c r="B24" s="1" t="str">
        <f ca="1">IF(Información1[[#This Row],[Fecha]]='Ajuste de fechas'!$A$2,"Día actual","Día anterior")</f>
        <v>Día actual</v>
      </c>
      <c r="C24" s="3" t="s">
        <v>47</v>
      </c>
      <c r="D24" t="s">
        <v>49</v>
      </c>
      <c r="E24" s="3" t="s">
        <v>252</v>
      </c>
      <c r="F24" s="3" t="s">
        <v>25</v>
      </c>
      <c r="G24" s="3" t="s">
        <v>253</v>
      </c>
      <c r="H24" s="3" t="s">
        <v>11</v>
      </c>
      <c r="I24" s="3" t="s">
        <v>7</v>
      </c>
      <c r="J24" s="3" t="s">
        <v>65</v>
      </c>
      <c r="K24" s="3" t="s">
        <v>39</v>
      </c>
      <c r="L24" s="3" t="s">
        <v>68</v>
      </c>
      <c r="M24">
        <v>1</v>
      </c>
    </row>
    <row r="25" spans="1:13" x14ac:dyDescent="0.25">
      <c r="A25" s="1">
        <v>46140</v>
      </c>
      <c r="B25" s="1" t="str">
        <f ca="1">IF(Información1[[#This Row],[Fecha]]='Ajuste de fechas'!$A$2,"Día actual","Día anterior")</f>
        <v>Día actual</v>
      </c>
      <c r="C25" s="3" t="s">
        <v>47</v>
      </c>
      <c r="D25" t="s">
        <v>49</v>
      </c>
      <c r="E25" s="3" t="s">
        <v>241</v>
      </c>
      <c r="F25" s="3" t="s">
        <v>242</v>
      </c>
      <c r="G25" s="3" t="s">
        <v>226</v>
      </c>
      <c r="H25" s="3" t="s">
        <v>11</v>
      </c>
      <c r="I25" s="3" t="s">
        <v>7</v>
      </c>
      <c r="J25" s="3" t="s">
        <v>65</v>
      </c>
      <c r="K25" s="3" t="s">
        <v>39</v>
      </c>
      <c r="L25" s="3" t="s">
        <v>68</v>
      </c>
      <c r="M25">
        <v>1</v>
      </c>
    </row>
    <row r="26" spans="1:13" x14ac:dyDescent="0.25">
      <c r="A26" s="1">
        <v>46140</v>
      </c>
      <c r="B26" s="1" t="str">
        <f ca="1">IF(Información1[[#This Row],[Fecha]]='Ajuste de fechas'!$A$2,"Día actual","Día anterior")</f>
        <v>Día actual</v>
      </c>
      <c r="C26" s="3" t="s">
        <v>47</v>
      </c>
      <c r="D26" t="s">
        <v>49</v>
      </c>
      <c r="E26" s="3" t="s">
        <v>254</v>
      </c>
      <c r="F26" s="3" t="s">
        <v>43</v>
      </c>
      <c r="G26" s="3" t="s">
        <v>255</v>
      </c>
      <c r="H26" s="3" t="s">
        <v>11</v>
      </c>
      <c r="I26" s="3" t="s">
        <v>7</v>
      </c>
      <c r="J26" s="3" t="s">
        <v>65</v>
      </c>
      <c r="K26" s="3" t="s">
        <v>39</v>
      </c>
      <c r="L26" s="3" t="s">
        <v>68</v>
      </c>
      <c r="M26">
        <v>1</v>
      </c>
    </row>
    <row r="27" spans="1:13" x14ac:dyDescent="0.25">
      <c r="A27" s="1">
        <v>46140</v>
      </c>
      <c r="B27" s="1" t="str">
        <f ca="1">IF(Información1[[#This Row],[Fecha]]='Ajuste de fechas'!$A$2,"Día actual","Día anterior")</f>
        <v>Día actual</v>
      </c>
      <c r="C27" s="3" t="s">
        <v>47</v>
      </c>
      <c r="D27" t="s">
        <v>49</v>
      </c>
      <c r="E27" s="3" t="s">
        <v>238</v>
      </c>
      <c r="F27" s="3" t="s">
        <v>28</v>
      </c>
      <c r="G27" s="3" t="s">
        <v>239</v>
      </c>
      <c r="H27" s="3" t="s">
        <v>11</v>
      </c>
      <c r="I27" s="3" t="s">
        <v>7</v>
      </c>
      <c r="J27" s="3" t="s">
        <v>65</v>
      </c>
      <c r="K27" s="3" t="s">
        <v>39</v>
      </c>
      <c r="L27" s="3" t="s">
        <v>68</v>
      </c>
      <c r="M27">
        <v>1</v>
      </c>
    </row>
    <row r="28" spans="1:13" x14ac:dyDescent="0.25">
      <c r="A28" s="1">
        <v>46140</v>
      </c>
      <c r="B28" s="1" t="str">
        <f ca="1">IF(Información1[[#This Row],[Fecha]]='Ajuste de fechas'!$A$2,"Día actual","Día anterior")</f>
        <v>Día actual</v>
      </c>
      <c r="C28" s="3" t="s">
        <v>34</v>
      </c>
      <c r="D28" t="s">
        <v>36</v>
      </c>
      <c r="E28" s="3" t="s">
        <v>256</v>
      </c>
      <c r="F28" s="3" t="s">
        <v>23</v>
      </c>
      <c r="G28" s="3" t="s">
        <v>106</v>
      </c>
      <c r="H28" s="3" t="s">
        <v>11</v>
      </c>
      <c r="I28" s="3" t="s">
        <v>7</v>
      </c>
      <c r="J28" s="3" t="s">
        <v>70</v>
      </c>
      <c r="K28" s="3" t="s">
        <v>57</v>
      </c>
      <c r="L28" s="3" t="s">
        <v>66</v>
      </c>
      <c r="M28">
        <v>1</v>
      </c>
    </row>
    <row r="29" spans="1:13" x14ac:dyDescent="0.25">
      <c r="A29" s="1">
        <v>46140</v>
      </c>
      <c r="B29" s="1" t="str">
        <f ca="1">IF(Información1[[#This Row],[Fecha]]='Ajuste de fechas'!$A$2,"Día actual","Día anterior")</f>
        <v>Día actual</v>
      </c>
      <c r="C29" s="3" t="s">
        <v>34</v>
      </c>
      <c r="D29" t="s">
        <v>37</v>
      </c>
      <c r="E29" s="3" t="s">
        <v>257</v>
      </c>
      <c r="F29" s="3" t="s">
        <v>23</v>
      </c>
      <c r="G29" s="3" t="s">
        <v>106</v>
      </c>
      <c r="H29" s="3" t="s">
        <v>11</v>
      </c>
      <c r="I29" s="3" t="s">
        <v>7</v>
      </c>
      <c r="J29" s="3" t="s">
        <v>70</v>
      </c>
      <c r="K29" s="3" t="s">
        <v>35</v>
      </c>
      <c r="L29" s="3" t="s">
        <v>66</v>
      </c>
      <c r="M29">
        <v>1</v>
      </c>
    </row>
    <row r="30" spans="1:13" x14ac:dyDescent="0.25">
      <c r="A30" s="1">
        <v>46140</v>
      </c>
      <c r="B30" s="1" t="str">
        <f ca="1">IF(Información1[[#This Row],[Fecha]]='Ajuste de fechas'!$A$2,"Día actual","Día anterior")</f>
        <v>Día actual</v>
      </c>
      <c r="C30" s="3" t="s">
        <v>8</v>
      </c>
      <c r="D30" t="s">
        <v>10</v>
      </c>
      <c r="E30" s="3" t="s">
        <v>258</v>
      </c>
      <c r="F30" s="3" t="s">
        <v>23</v>
      </c>
      <c r="G30" s="3" t="s">
        <v>106</v>
      </c>
      <c r="H30" s="3" t="s">
        <v>11</v>
      </c>
      <c r="I30" s="3" t="s">
        <v>7</v>
      </c>
      <c r="J30" s="3" t="s">
        <v>70</v>
      </c>
      <c r="K30" s="3" t="s">
        <v>14</v>
      </c>
      <c r="L30" s="3" t="s">
        <v>66</v>
      </c>
      <c r="M30">
        <v>1</v>
      </c>
    </row>
    <row r="31" spans="1:13" x14ac:dyDescent="0.25">
      <c r="A31" s="1">
        <v>46140</v>
      </c>
      <c r="B31" s="1" t="str">
        <f ca="1">IF(Información1[[#This Row],[Fecha]]='Ajuste de fechas'!$A$2,"Día actual","Día anterior")</f>
        <v>Día actual</v>
      </c>
      <c r="C31" s="3" t="s">
        <v>34</v>
      </c>
      <c r="D31" t="s">
        <v>36</v>
      </c>
      <c r="E31" s="3" t="s">
        <v>259</v>
      </c>
      <c r="F31" s="3" t="s">
        <v>19</v>
      </c>
      <c r="G31" s="3" t="s">
        <v>260</v>
      </c>
      <c r="H31" s="3" t="s">
        <v>11</v>
      </c>
      <c r="I31" s="3" t="s">
        <v>27</v>
      </c>
      <c r="J31" s="3" t="s">
        <v>69</v>
      </c>
      <c r="K31" s="3" t="s">
        <v>57</v>
      </c>
      <c r="L31" s="3" t="s">
        <v>66</v>
      </c>
      <c r="M31">
        <v>1</v>
      </c>
    </row>
    <row r="32" spans="1:13" x14ac:dyDescent="0.25">
      <c r="A32" s="1">
        <v>46140</v>
      </c>
      <c r="B32" s="1" t="str">
        <f ca="1">IF(Información1[[#This Row],[Fecha]]='Ajuste de fechas'!$A$2,"Día actual","Día anterior")</f>
        <v>Día actual</v>
      </c>
      <c r="C32" s="3" t="s">
        <v>34</v>
      </c>
      <c r="D32" t="s">
        <v>36</v>
      </c>
      <c r="E32" s="3" t="s">
        <v>261</v>
      </c>
      <c r="F32" s="3" t="s">
        <v>19</v>
      </c>
      <c r="G32" s="3" t="s">
        <v>262</v>
      </c>
      <c r="H32" s="3" t="s">
        <v>11</v>
      </c>
      <c r="I32" s="3" t="s">
        <v>7</v>
      </c>
      <c r="J32" s="3" t="s">
        <v>69</v>
      </c>
      <c r="K32" s="3" t="s">
        <v>57</v>
      </c>
      <c r="L32" s="3" t="s">
        <v>66</v>
      </c>
      <c r="M32">
        <v>1</v>
      </c>
    </row>
    <row r="33" spans="1:13" x14ac:dyDescent="0.25">
      <c r="A33" s="1">
        <v>46140</v>
      </c>
      <c r="B33" s="1" t="str">
        <f ca="1">IF(Información1[[#This Row],[Fecha]]='Ajuste de fechas'!$A$2,"Día actual","Día anterior")</f>
        <v>Día actual</v>
      </c>
      <c r="C33" s="3" t="s">
        <v>34</v>
      </c>
      <c r="D33" t="s">
        <v>37</v>
      </c>
      <c r="E33" s="3" t="s">
        <v>263</v>
      </c>
      <c r="F33" s="3" t="s">
        <v>21</v>
      </c>
      <c r="G33" s="3" t="s">
        <v>99</v>
      </c>
      <c r="H33" s="3" t="s">
        <v>11</v>
      </c>
      <c r="I33" s="3" t="s">
        <v>7</v>
      </c>
      <c r="J33" s="3" t="s">
        <v>65</v>
      </c>
      <c r="K33" s="3" t="s">
        <v>35</v>
      </c>
      <c r="L33" s="3" t="s">
        <v>66</v>
      </c>
      <c r="M33">
        <v>1</v>
      </c>
    </row>
    <row r="34" spans="1:13" x14ac:dyDescent="0.25">
      <c r="A34" s="1">
        <v>46140</v>
      </c>
      <c r="B34" s="1" t="str">
        <f ca="1">IF(Información1[[#This Row],[Fecha]]='Ajuste de fechas'!$A$2,"Día actual","Día anterior")</f>
        <v>Día actual</v>
      </c>
      <c r="C34" s="3" t="s">
        <v>264</v>
      </c>
      <c r="D34" t="s">
        <v>265</v>
      </c>
      <c r="E34" s="3" t="s">
        <v>111</v>
      </c>
      <c r="F34" s="3" t="s">
        <v>98</v>
      </c>
      <c r="G34" s="3" t="s">
        <v>112</v>
      </c>
      <c r="H34" s="3" t="s">
        <v>11</v>
      </c>
      <c r="I34" s="3" t="s">
        <v>7</v>
      </c>
      <c r="J34" s="3" t="s">
        <v>65</v>
      </c>
      <c r="K34" s="3" t="s">
        <v>266</v>
      </c>
      <c r="L34" s="3" t="s">
        <v>68</v>
      </c>
      <c r="M34">
        <v>1</v>
      </c>
    </row>
    <row r="35" spans="1:13" x14ac:dyDescent="0.25">
      <c r="A35" s="1">
        <v>46140</v>
      </c>
      <c r="B35" s="1" t="str">
        <f ca="1">IF(Información1[[#This Row],[Fecha]]='Ajuste de fechas'!$A$2,"Día actual","Día anterior")</f>
        <v>Día actual</v>
      </c>
      <c r="C35" s="3" t="s">
        <v>34</v>
      </c>
      <c r="D35" t="s">
        <v>37</v>
      </c>
      <c r="E35" s="3" t="s">
        <v>111</v>
      </c>
      <c r="F35" s="3" t="s">
        <v>98</v>
      </c>
      <c r="G35" s="3" t="s">
        <v>112</v>
      </c>
      <c r="H35" s="3" t="s">
        <v>11</v>
      </c>
      <c r="I35" s="3" t="s">
        <v>7</v>
      </c>
      <c r="J35" s="3" t="s">
        <v>65</v>
      </c>
      <c r="K35" s="3" t="s">
        <v>35</v>
      </c>
      <c r="L35" s="3" t="s">
        <v>68</v>
      </c>
      <c r="M35">
        <v>1</v>
      </c>
    </row>
    <row r="36" spans="1:13" x14ac:dyDescent="0.25">
      <c r="A36" s="1">
        <v>46140</v>
      </c>
      <c r="B36" s="1" t="str">
        <f ca="1">IF(Información1[[#This Row],[Fecha]]='Ajuste de fechas'!$A$2,"Día actual","Día anterior")</f>
        <v>Día actual</v>
      </c>
      <c r="C36" s="3" t="s">
        <v>8</v>
      </c>
      <c r="D36" t="s">
        <v>10</v>
      </c>
      <c r="E36" s="3" t="s">
        <v>20</v>
      </c>
      <c r="F36" s="3" t="s">
        <v>19</v>
      </c>
      <c r="G36" s="3" t="s">
        <v>56</v>
      </c>
      <c r="H36" s="3" t="s">
        <v>11</v>
      </c>
      <c r="I36" s="3" t="s">
        <v>12</v>
      </c>
      <c r="J36" s="3" t="s">
        <v>69</v>
      </c>
      <c r="K36" s="3" t="s">
        <v>14</v>
      </c>
      <c r="L36" s="3" t="s">
        <v>67</v>
      </c>
      <c r="M36">
        <v>1</v>
      </c>
    </row>
    <row r="37" spans="1:13" x14ac:dyDescent="0.25">
      <c r="A37" s="1">
        <v>46140</v>
      </c>
      <c r="B37" s="1" t="str">
        <f ca="1">IF(Información1[[#This Row],[Fecha]]='Ajuste de fechas'!$A$2,"Día actual","Día anterior")</f>
        <v>Día actual</v>
      </c>
      <c r="C37" s="3" t="s">
        <v>8</v>
      </c>
      <c r="D37" t="s">
        <v>10</v>
      </c>
      <c r="E37" s="3" t="s">
        <v>18</v>
      </c>
      <c r="F37" s="3" t="s">
        <v>19</v>
      </c>
      <c r="G37" s="3" t="s">
        <v>56</v>
      </c>
      <c r="H37" s="3" t="s">
        <v>11</v>
      </c>
      <c r="I37" s="3" t="s">
        <v>12</v>
      </c>
      <c r="J37" s="3" t="s">
        <v>69</v>
      </c>
      <c r="K37" s="3" t="s">
        <v>14</v>
      </c>
      <c r="L37" s="3" t="s">
        <v>67</v>
      </c>
      <c r="M37">
        <v>1</v>
      </c>
    </row>
    <row r="38" spans="1:13" x14ac:dyDescent="0.25">
      <c r="A38" s="1">
        <v>46140</v>
      </c>
      <c r="B38" s="1" t="str">
        <f ca="1">IF(Información1[[#This Row],[Fecha]]='Ajuste de fechas'!$A$2,"Día actual","Día anterior")</f>
        <v>Día actual</v>
      </c>
      <c r="C38" s="3" t="s">
        <v>8</v>
      </c>
      <c r="D38" t="s">
        <v>10</v>
      </c>
      <c r="E38" s="3" t="s">
        <v>55</v>
      </c>
      <c r="F38" s="3" t="s">
        <v>22</v>
      </c>
      <c r="G38" s="3" t="s">
        <v>56</v>
      </c>
      <c r="H38" s="3" t="s">
        <v>11</v>
      </c>
      <c r="I38" s="3" t="s">
        <v>12</v>
      </c>
      <c r="J38" s="3" t="s">
        <v>26</v>
      </c>
      <c r="K38" s="3" t="s">
        <v>14</v>
      </c>
      <c r="L38" s="3" t="s">
        <v>67</v>
      </c>
      <c r="M38">
        <v>1</v>
      </c>
    </row>
    <row r="39" spans="1:13" x14ac:dyDescent="0.25">
      <c r="A39" s="1">
        <v>46140</v>
      </c>
      <c r="B39" s="1" t="str">
        <f ca="1">IF(Información1[[#This Row],[Fecha]]='Ajuste de fechas'!$A$2,"Día actual","Día anterior")</f>
        <v>Día actual</v>
      </c>
      <c r="C39" s="3" t="s">
        <v>8</v>
      </c>
      <c r="D39" t="s">
        <v>10</v>
      </c>
      <c r="E39" s="3" t="s">
        <v>86</v>
      </c>
      <c r="F39" s="3" t="s">
        <v>21</v>
      </c>
      <c r="G39" s="3" t="s">
        <v>56</v>
      </c>
      <c r="H39" s="3" t="s">
        <v>11</v>
      </c>
      <c r="I39" s="3" t="s">
        <v>12</v>
      </c>
      <c r="J39" s="3" t="s">
        <v>65</v>
      </c>
      <c r="K39" s="3" t="s">
        <v>14</v>
      </c>
      <c r="L39" s="3" t="s">
        <v>67</v>
      </c>
      <c r="M39">
        <v>1</v>
      </c>
    </row>
    <row r="40" spans="1:13" x14ac:dyDescent="0.25">
      <c r="A40" s="1">
        <v>46140</v>
      </c>
      <c r="B40" s="1" t="str">
        <f ca="1">IF(Información1[[#This Row],[Fecha]]='Ajuste de fechas'!$A$2,"Día actual","Día anterior")</f>
        <v>Día actual</v>
      </c>
      <c r="C40" s="3" t="s">
        <v>8</v>
      </c>
      <c r="D40" t="s">
        <v>10</v>
      </c>
      <c r="E40" s="3" t="s">
        <v>13</v>
      </c>
      <c r="F40" s="3" t="s">
        <v>15</v>
      </c>
      <c r="G40" s="3" t="s">
        <v>56</v>
      </c>
      <c r="H40" s="3" t="s">
        <v>11</v>
      </c>
      <c r="I40" s="3" t="s">
        <v>12</v>
      </c>
      <c r="J40" s="3" t="s">
        <v>65</v>
      </c>
      <c r="K40" s="3" t="s">
        <v>14</v>
      </c>
      <c r="L40" s="3" t="s">
        <v>67</v>
      </c>
      <c r="M40">
        <v>1</v>
      </c>
    </row>
    <row r="41" spans="1:13" x14ac:dyDescent="0.25">
      <c r="A41" s="1">
        <v>46140</v>
      </c>
      <c r="B41" s="1" t="str">
        <f ca="1">IF(Información1[[#This Row],[Fecha]]='Ajuste de fechas'!$A$2,"Día actual","Día anterior")</f>
        <v>Día actual</v>
      </c>
      <c r="C41" s="3" t="s">
        <v>8</v>
      </c>
      <c r="D41" t="s">
        <v>10</v>
      </c>
      <c r="E41" s="3" t="s">
        <v>16</v>
      </c>
      <c r="F41" s="3" t="s">
        <v>17</v>
      </c>
      <c r="G41" s="3" t="s">
        <v>56</v>
      </c>
      <c r="H41" s="3" t="s">
        <v>11</v>
      </c>
      <c r="I41" s="3" t="s">
        <v>12</v>
      </c>
      <c r="J41" s="3" t="s">
        <v>65</v>
      </c>
      <c r="K41" s="3" t="s">
        <v>14</v>
      </c>
      <c r="L41" s="3" t="s">
        <v>67</v>
      </c>
      <c r="M41">
        <v>1</v>
      </c>
    </row>
    <row r="42" spans="1:13" x14ac:dyDescent="0.25">
      <c r="A42" s="1">
        <v>46140</v>
      </c>
      <c r="B42" s="1" t="str">
        <f ca="1">IF(Información1[[#This Row],[Fecha]]='Ajuste de fechas'!$A$2,"Día actual","Día anterior")</f>
        <v>Día actual</v>
      </c>
      <c r="C42" s="3" t="s">
        <v>8</v>
      </c>
      <c r="D42" t="s">
        <v>10</v>
      </c>
      <c r="E42" s="3" t="s">
        <v>58</v>
      </c>
      <c r="F42" s="3" t="s">
        <v>6</v>
      </c>
      <c r="G42" s="3" t="s">
        <v>56</v>
      </c>
      <c r="H42" s="3" t="s">
        <v>11</v>
      </c>
      <c r="I42" s="3" t="s">
        <v>12</v>
      </c>
      <c r="J42" s="3" t="s">
        <v>65</v>
      </c>
      <c r="K42" s="3" t="s">
        <v>14</v>
      </c>
      <c r="L42" s="3" t="s">
        <v>67</v>
      </c>
      <c r="M42">
        <v>1</v>
      </c>
    </row>
    <row r="43" spans="1:13" x14ac:dyDescent="0.25">
      <c r="A43" s="1">
        <v>46140</v>
      </c>
      <c r="B43" s="1" t="str">
        <f ca="1">IF(Información1[[#This Row],[Fecha]]='Ajuste de fechas'!$A$2,"Día actual","Día anterior")</f>
        <v>Día actual</v>
      </c>
      <c r="C43" s="3" t="s">
        <v>34</v>
      </c>
      <c r="D43" t="s">
        <v>37</v>
      </c>
      <c r="E43" s="3" t="s">
        <v>267</v>
      </c>
      <c r="F43" s="3" t="s">
        <v>117</v>
      </c>
      <c r="G43" s="3" t="s">
        <v>268</v>
      </c>
      <c r="H43" s="3" t="s">
        <v>11</v>
      </c>
      <c r="I43" s="3" t="s">
        <v>7</v>
      </c>
      <c r="J43" s="3" t="s">
        <v>65</v>
      </c>
      <c r="K43" s="3" t="s">
        <v>35</v>
      </c>
      <c r="L43" s="3" t="s">
        <v>66</v>
      </c>
      <c r="M43">
        <v>1</v>
      </c>
    </row>
    <row r="44" spans="1:13" x14ac:dyDescent="0.25">
      <c r="A44" s="1">
        <v>46140</v>
      </c>
      <c r="B44" s="1" t="str">
        <f ca="1">IF(Información1[[#This Row],[Fecha]]='Ajuste de fechas'!$A$2,"Día actual","Día anterior")</f>
        <v>Día actual</v>
      </c>
      <c r="C44" s="3" t="s">
        <v>34</v>
      </c>
      <c r="D44" t="s">
        <v>36</v>
      </c>
      <c r="E44" s="3" t="s">
        <v>269</v>
      </c>
      <c r="F44" s="3" t="s">
        <v>28</v>
      </c>
      <c r="G44" s="3" t="s">
        <v>270</v>
      </c>
      <c r="H44" s="3" t="s">
        <v>11</v>
      </c>
      <c r="I44" s="3" t="s">
        <v>7</v>
      </c>
      <c r="J44" s="3" t="s">
        <v>65</v>
      </c>
      <c r="K44" s="3" t="s">
        <v>57</v>
      </c>
      <c r="L44" s="3" t="s">
        <v>66</v>
      </c>
      <c r="M44">
        <v>1</v>
      </c>
    </row>
    <row r="45" spans="1:13" x14ac:dyDescent="0.25">
      <c r="A45" s="1">
        <v>46140</v>
      </c>
      <c r="B45" s="1" t="str">
        <f ca="1">IF(Información1[[#This Row],[Fecha]]='Ajuste de fechas'!$A$2,"Día actual","Día anterior")</f>
        <v>Día actual</v>
      </c>
      <c r="C45" s="3" t="s">
        <v>34</v>
      </c>
      <c r="D45" t="s">
        <v>37</v>
      </c>
      <c r="E45" s="3" t="s">
        <v>271</v>
      </c>
      <c r="F45" s="3" t="s">
        <v>23</v>
      </c>
      <c r="G45" s="3" t="s">
        <v>272</v>
      </c>
      <c r="H45" s="3" t="s">
        <v>11</v>
      </c>
      <c r="I45" s="3" t="s">
        <v>27</v>
      </c>
      <c r="J45" s="3" t="s">
        <v>70</v>
      </c>
      <c r="K45" s="3" t="s">
        <v>35</v>
      </c>
      <c r="L45" s="3" t="s">
        <v>66</v>
      </c>
      <c r="M45">
        <v>1</v>
      </c>
    </row>
    <row r="46" spans="1:13" x14ac:dyDescent="0.25">
      <c r="A46" s="1">
        <v>46140</v>
      </c>
      <c r="B46" s="1" t="str">
        <f ca="1">IF(Información1[[#This Row],[Fecha]]='Ajuste de fechas'!$A$2,"Día actual","Día anterior")</f>
        <v>Día actual</v>
      </c>
      <c r="C46" s="3" t="s">
        <v>34</v>
      </c>
      <c r="D46" t="s">
        <v>36</v>
      </c>
      <c r="E46" s="3" t="s">
        <v>273</v>
      </c>
      <c r="F46" s="3" t="s">
        <v>28</v>
      </c>
      <c r="G46" s="3" t="s">
        <v>120</v>
      </c>
      <c r="H46" s="3" t="s">
        <v>11</v>
      </c>
      <c r="I46" s="3" t="s">
        <v>7</v>
      </c>
      <c r="J46" s="3" t="s">
        <v>65</v>
      </c>
      <c r="K46" s="3" t="s">
        <v>57</v>
      </c>
      <c r="L46" s="3" t="s">
        <v>66</v>
      </c>
      <c r="M46">
        <v>1</v>
      </c>
    </row>
    <row r="47" spans="1:13" x14ac:dyDescent="0.25">
      <c r="A47" s="1">
        <v>46140</v>
      </c>
      <c r="B47" s="1" t="str">
        <f ca="1">IF(Información1[[#This Row],[Fecha]]='Ajuste de fechas'!$A$2,"Día actual","Día anterior")</f>
        <v>Día actual</v>
      </c>
      <c r="C47" s="3" t="s">
        <v>34</v>
      </c>
      <c r="D47" t="s">
        <v>36</v>
      </c>
      <c r="E47" s="3" t="s">
        <v>274</v>
      </c>
      <c r="F47" s="3" t="s">
        <v>275</v>
      </c>
      <c r="G47" s="3" t="s">
        <v>276</v>
      </c>
      <c r="H47" s="3" t="s">
        <v>11</v>
      </c>
      <c r="I47" s="3" t="s">
        <v>27</v>
      </c>
      <c r="J47" s="3" t="s">
        <v>26</v>
      </c>
      <c r="K47" s="3" t="s">
        <v>57</v>
      </c>
      <c r="L47" s="3" t="s">
        <v>66</v>
      </c>
      <c r="M47">
        <v>1</v>
      </c>
    </row>
    <row r="48" spans="1:13" x14ac:dyDescent="0.25">
      <c r="A48" s="1">
        <v>46140</v>
      </c>
      <c r="B48" s="1" t="str">
        <f ca="1">IF(Información1[[#This Row],[Fecha]]='Ajuste de fechas'!$A$2,"Día actual","Día anterior")</f>
        <v>Día actual</v>
      </c>
      <c r="C48" s="3" t="s">
        <v>8</v>
      </c>
      <c r="D48" t="s">
        <v>10</v>
      </c>
      <c r="E48" s="3" t="s">
        <v>277</v>
      </c>
      <c r="F48" s="3" t="s">
        <v>19</v>
      </c>
      <c r="G48" s="3" t="s">
        <v>79</v>
      </c>
      <c r="H48" s="3" t="s">
        <v>11</v>
      </c>
      <c r="I48" s="3" t="s">
        <v>7</v>
      </c>
      <c r="J48" s="3" t="s">
        <v>69</v>
      </c>
      <c r="K48" s="3" t="s">
        <v>14</v>
      </c>
      <c r="L48" s="3" t="s">
        <v>71</v>
      </c>
      <c r="M48">
        <v>1</v>
      </c>
    </row>
    <row r="49" spans="1:13" x14ac:dyDescent="0.25">
      <c r="A49" s="1">
        <v>46140</v>
      </c>
      <c r="B49" s="1" t="str">
        <f ca="1">IF(Información1[[#This Row],[Fecha]]='Ajuste de fechas'!$A$2,"Día actual","Día anterior")</f>
        <v>Día actual</v>
      </c>
      <c r="C49" s="3" t="s">
        <v>264</v>
      </c>
      <c r="D49" t="s">
        <v>265</v>
      </c>
      <c r="E49" s="3" t="s">
        <v>278</v>
      </c>
      <c r="F49" s="3" t="s">
        <v>21</v>
      </c>
      <c r="G49" s="3" t="s">
        <v>279</v>
      </c>
      <c r="H49" s="3" t="s">
        <v>11</v>
      </c>
      <c r="I49" s="3" t="s">
        <v>7</v>
      </c>
      <c r="J49" s="3" t="s">
        <v>65</v>
      </c>
      <c r="K49" s="3" t="s">
        <v>266</v>
      </c>
      <c r="L49" s="3" t="s">
        <v>68</v>
      </c>
      <c r="M49">
        <v>1</v>
      </c>
    </row>
    <row r="50" spans="1:13" x14ac:dyDescent="0.25">
      <c r="A50" s="1">
        <v>46140</v>
      </c>
      <c r="B50" s="1" t="str">
        <f ca="1">IF(Información1[[#This Row],[Fecha]]='Ajuste de fechas'!$A$2,"Día actual","Día anterior")</f>
        <v>Día actual</v>
      </c>
      <c r="C50" s="3" t="s">
        <v>34</v>
      </c>
      <c r="D50" t="s">
        <v>36</v>
      </c>
      <c r="E50" s="3" t="s">
        <v>280</v>
      </c>
      <c r="F50" s="3" t="s">
        <v>24</v>
      </c>
      <c r="G50" s="3" t="s">
        <v>281</v>
      </c>
      <c r="H50" s="3" t="s">
        <v>11</v>
      </c>
      <c r="I50" s="3" t="s">
        <v>27</v>
      </c>
      <c r="J50" s="3" t="s">
        <v>65</v>
      </c>
      <c r="K50" s="3" t="s">
        <v>57</v>
      </c>
      <c r="L50" s="3" t="s">
        <v>66</v>
      </c>
      <c r="M50">
        <v>1</v>
      </c>
    </row>
    <row r="51" spans="1:13" x14ac:dyDescent="0.25">
      <c r="A51" s="1">
        <v>46140</v>
      </c>
      <c r="B51" s="1" t="str">
        <f ca="1">IF(Información1[[#This Row],[Fecha]]='Ajuste de fechas'!$A$2,"Día actual","Día anterior")</f>
        <v>Día actual</v>
      </c>
      <c r="C51" s="3" t="s">
        <v>34</v>
      </c>
      <c r="D51" t="s">
        <v>37</v>
      </c>
      <c r="E51" s="3" t="s">
        <v>282</v>
      </c>
      <c r="F51" s="3" t="s">
        <v>21</v>
      </c>
      <c r="G51" s="3" t="s">
        <v>283</v>
      </c>
      <c r="H51" s="3" t="s">
        <v>11</v>
      </c>
      <c r="I51" s="3" t="s">
        <v>7</v>
      </c>
      <c r="J51" s="3" t="s">
        <v>65</v>
      </c>
      <c r="K51" s="3" t="s">
        <v>35</v>
      </c>
      <c r="L51" s="3" t="s">
        <v>66</v>
      </c>
      <c r="M51">
        <v>1</v>
      </c>
    </row>
    <row r="52" spans="1:13" x14ac:dyDescent="0.25">
      <c r="A52" s="1">
        <v>46140</v>
      </c>
      <c r="B52" s="1" t="str">
        <f ca="1">IF(Información1[[#This Row],[Fecha]]='Ajuste de fechas'!$A$2,"Día actual","Día anterior")</f>
        <v>Día actual</v>
      </c>
      <c r="C52" s="3" t="s">
        <v>264</v>
      </c>
      <c r="D52" t="s">
        <v>265</v>
      </c>
      <c r="E52" s="3" t="s">
        <v>284</v>
      </c>
      <c r="F52" s="3" t="s">
        <v>117</v>
      </c>
      <c r="G52" s="3" t="s">
        <v>118</v>
      </c>
      <c r="H52" s="3" t="s">
        <v>11</v>
      </c>
      <c r="I52" s="3" t="s">
        <v>12</v>
      </c>
      <c r="J52" s="3" t="s">
        <v>65</v>
      </c>
      <c r="K52" s="3" t="s">
        <v>266</v>
      </c>
      <c r="L52" s="3" t="s">
        <v>68</v>
      </c>
      <c r="M52">
        <v>1</v>
      </c>
    </row>
    <row r="53" spans="1:13" x14ac:dyDescent="0.25">
      <c r="A53" s="1">
        <v>46140</v>
      </c>
      <c r="B53" s="1" t="str">
        <f ca="1">IF(Información1[[#This Row],[Fecha]]='Ajuste de fechas'!$A$2,"Día actual","Día anterior")</f>
        <v>Día actual</v>
      </c>
      <c r="C53" s="3" t="s">
        <v>34</v>
      </c>
      <c r="D53" t="s">
        <v>37</v>
      </c>
      <c r="E53" s="3" t="s">
        <v>284</v>
      </c>
      <c r="F53" s="3" t="s">
        <v>117</v>
      </c>
      <c r="G53" s="3" t="s">
        <v>118</v>
      </c>
      <c r="H53" s="3" t="s">
        <v>11</v>
      </c>
      <c r="I53" s="3" t="s">
        <v>7</v>
      </c>
      <c r="J53" s="3" t="s">
        <v>65</v>
      </c>
      <c r="K53" s="3" t="s">
        <v>35</v>
      </c>
      <c r="L53" s="3" t="s">
        <v>68</v>
      </c>
      <c r="M53">
        <v>1</v>
      </c>
    </row>
    <row r="54" spans="1:13" x14ac:dyDescent="0.25">
      <c r="A54" s="1">
        <v>46140</v>
      </c>
      <c r="B54" s="1" t="str">
        <f ca="1">IF(Información1[[#This Row],[Fecha]]='Ajuste de fechas'!$A$2,"Día actual","Día anterior")</f>
        <v>Día actual</v>
      </c>
      <c r="C54" s="3" t="s">
        <v>34</v>
      </c>
      <c r="D54" t="s">
        <v>37</v>
      </c>
      <c r="E54" s="3" t="s">
        <v>285</v>
      </c>
      <c r="F54" s="3" t="s">
        <v>23</v>
      </c>
      <c r="G54" s="3" t="s">
        <v>162</v>
      </c>
      <c r="H54" s="3" t="s">
        <v>11</v>
      </c>
      <c r="I54" s="3" t="s">
        <v>7</v>
      </c>
      <c r="J54" s="3" t="s">
        <v>70</v>
      </c>
      <c r="K54" s="3" t="s">
        <v>35</v>
      </c>
      <c r="L54" s="3" t="s">
        <v>66</v>
      </c>
      <c r="M54">
        <v>1</v>
      </c>
    </row>
    <row r="55" spans="1:13" x14ac:dyDescent="0.25">
      <c r="A55" s="1">
        <v>46140</v>
      </c>
      <c r="B55" s="1" t="str">
        <f ca="1">IF(Información1[[#This Row],[Fecha]]='Ajuste de fechas'!$A$2,"Día actual","Día anterior")</f>
        <v>Día actual</v>
      </c>
      <c r="C55" s="3" t="s">
        <v>34</v>
      </c>
      <c r="D55" t="s">
        <v>37</v>
      </c>
      <c r="E55" s="3" t="s">
        <v>286</v>
      </c>
      <c r="F55" s="3" t="s">
        <v>98</v>
      </c>
      <c r="G55" s="3" t="s">
        <v>81</v>
      </c>
      <c r="H55" s="3" t="s">
        <v>11</v>
      </c>
      <c r="I55" s="3" t="s">
        <v>7</v>
      </c>
      <c r="J55" s="3" t="s">
        <v>65</v>
      </c>
      <c r="K55" s="3" t="s">
        <v>35</v>
      </c>
      <c r="L55" s="3" t="s">
        <v>66</v>
      </c>
      <c r="M55">
        <v>1</v>
      </c>
    </row>
    <row r="56" spans="1:13" x14ac:dyDescent="0.25">
      <c r="A56" s="1">
        <v>46140</v>
      </c>
      <c r="B56" s="1" t="str">
        <f ca="1">IF(Información1[[#This Row],[Fecha]]='Ajuste de fechas'!$A$2,"Día actual","Día anterior")</f>
        <v>Día actual</v>
      </c>
      <c r="C56" s="3" t="s">
        <v>34</v>
      </c>
      <c r="D56" t="s">
        <v>37</v>
      </c>
      <c r="E56" s="3" t="s">
        <v>287</v>
      </c>
      <c r="F56" s="3" t="s">
        <v>23</v>
      </c>
      <c r="G56" s="3" t="s">
        <v>81</v>
      </c>
      <c r="H56" s="3" t="s">
        <v>11</v>
      </c>
      <c r="I56" s="3" t="s">
        <v>7</v>
      </c>
      <c r="J56" s="3" t="s">
        <v>70</v>
      </c>
      <c r="K56" s="3" t="s">
        <v>35</v>
      </c>
      <c r="L56" s="3" t="s">
        <v>66</v>
      </c>
      <c r="M56">
        <v>1</v>
      </c>
    </row>
    <row r="57" spans="1:13" x14ac:dyDescent="0.25">
      <c r="A57" s="1">
        <v>46140</v>
      </c>
      <c r="B57" s="1" t="str">
        <f ca="1">IF(Información1[[#This Row],[Fecha]]='Ajuste de fechas'!$A$2,"Día actual","Día anterior")</f>
        <v>Día actual</v>
      </c>
      <c r="C57" s="3" t="s">
        <v>34</v>
      </c>
      <c r="D57" t="s">
        <v>36</v>
      </c>
      <c r="E57" s="3" t="s">
        <v>288</v>
      </c>
      <c r="F57" s="3" t="s">
        <v>19</v>
      </c>
      <c r="G57" s="3" t="s">
        <v>126</v>
      </c>
      <c r="H57" s="3" t="s">
        <v>11</v>
      </c>
      <c r="I57" s="3" t="s">
        <v>7</v>
      </c>
      <c r="J57" s="3" t="s">
        <v>69</v>
      </c>
      <c r="K57" s="3" t="s">
        <v>57</v>
      </c>
      <c r="L57" s="3" t="s">
        <v>66</v>
      </c>
      <c r="M57">
        <v>1</v>
      </c>
    </row>
    <row r="58" spans="1:13" x14ac:dyDescent="0.25">
      <c r="A58" s="1">
        <v>46140</v>
      </c>
      <c r="B58" s="1" t="str">
        <f ca="1">IF(Información1[[#This Row],[Fecha]]='Ajuste de fechas'!$A$2,"Día actual","Día anterior")</f>
        <v>Día actual</v>
      </c>
      <c r="C58" s="3" t="s">
        <v>8</v>
      </c>
      <c r="D58" t="s">
        <v>10</v>
      </c>
      <c r="E58" s="3" t="s">
        <v>289</v>
      </c>
      <c r="F58" s="3" t="s">
        <v>19</v>
      </c>
      <c r="G58" s="3" t="s">
        <v>29</v>
      </c>
      <c r="H58" s="3" t="s">
        <v>11</v>
      </c>
      <c r="I58" s="3" t="s">
        <v>27</v>
      </c>
      <c r="J58" s="3" t="s">
        <v>69</v>
      </c>
      <c r="K58" s="3" t="s">
        <v>9</v>
      </c>
      <c r="L58" s="3" t="s">
        <v>67</v>
      </c>
      <c r="M58">
        <v>1</v>
      </c>
    </row>
    <row r="59" spans="1:13" x14ac:dyDescent="0.25">
      <c r="A59" s="1">
        <v>46140</v>
      </c>
      <c r="B59" s="1" t="str">
        <f ca="1">IF(Información1[[#This Row],[Fecha]]='Ajuste de fechas'!$A$2,"Día actual","Día anterior")</f>
        <v>Día actual</v>
      </c>
      <c r="C59" s="3" t="s">
        <v>34</v>
      </c>
      <c r="D59" t="s">
        <v>36</v>
      </c>
      <c r="E59" s="3" t="s">
        <v>243</v>
      </c>
      <c r="F59" s="3" t="s">
        <v>134</v>
      </c>
      <c r="G59" s="3" t="s">
        <v>123</v>
      </c>
      <c r="H59" s="3" t="s">
        <v>11</v>
      </c>
      <c r="I59" s="3" t="s">
        <v>7</v>
      </c>
      <c r="J59" s="3" t="s">
        <v>65</v>
      </c>
      <c r="K59" s="3" t="s">
        <v>57</v>
      </c>
      <c r="L59" s="3" t="s">
        <v>68</v>
      </c>
      <c r="M59">
        <v>1</v>
      </c>
    </row>
    <row r="60" spans="1:13" x14ac:dyDescent="0.25">
      <c r="A60" s="1">
        <v>46140</v>
      </c>
      <c r="B60" s="1" t="str">
        <f ca="1">IF(Información1[[#This Row],[Fecha]]='Ajuste de fechas'!$A$2,"Día actual","Día anterior")</f>
        <v>Día actual</v>
      </c>
      <c r="C60" s="3" t="s">
        <v>8</v>
      </c>
      <c r="D60" t="s">
        <v>10</v>
      </c>
      <c r="E60" s="3" t="s">
        <v>290</v>
      </c>
      <c r="F60" s="3" t="s">
        <v>23</v>
      </c>
      <c r="G60" s="3" t="s">
        <v>291</v>
      </c>
      <c r="H60" s="3" t="s">
        <v>11</v>
      </c>
      <c r="I60" s="3" t="s">
        <v>7</v>
      </c>
      <c r="J60" s="3" t="s">
        <v>70</v>
      </c>
      <c r="K60" s="3" t="s">
        <v>14</v>
      </c>
      <c r="L60" s="3" t="s">
        <v>66</v>
      </c>
      <c r="M60">
        <v>1</v>
      </c>
    </row>
    <row r="61" spans="1:13" x14ac:dyDescent="0.25">
      <c r="A61" s="1">
        <v>46140</v>
      </c>
      <c r="B61" s="1" t="str">
        <f ca="1">IF(Información1[[#This Row],[Fecha]]='Ajuste de fechas'!$A$2,"Día actual","Día anterior")</f>
        <v>Día actual</v>
      </c>
      <c r="C61" s="3" t="s">
        <v>8</v>
      </c>
      <c r="D61" t="s">
        <v>10</v>
      </c>
      <c r="E61" s="3" t="s">
        <v>277</v>
      </c>
      <c r="F61" s="3" t="s">
        <v>19</v>
      </c>
      <c r="G61" s="3" t="s">
        <v>292</v>
      </c>
      <c r="H61" s="3" t="s">
        <v>11</v>
      </c>
      <c r="I61" s="3" t="s">
        <v>7</v>
      </c>
      <c r="J61" s="3" t="s">
        <v>69</v>
      </c>
      <c r="K61" s="3" t="s">
        <v>14</v>
      </c>
      <c r="L61" s="3" t="s">
        <v>71</v>
      </c>
      <c r="M61">
        <v>1</v>
      </c>
    </row>
    <row r="62" spans="1:13" x14ac:dyDescent="0.25">
      <c r="A62" s="1">
        <v>46140</v>
      </c>
      <c r="B62" s="1" t="str">
        <f ca="1">IF(Información1[[#This Row],[Fecha]]='Ajuste de fechas'!$A$2,"Día actual","Día anterior")</f>
        <v>Día actual</v>
      </c>
      <c r="C62" s="3" t="s">
        <v>8</v>
      </c>
      <c r="D62" t="s">
        <v>10</v>
      </c>
      <c r="E62" s="3" t="s">
        <v>293</v>
      </c>
      <c r="F62" s="3" t="s">
        <v>24</v>
      </c>
      <c r="G62" s="3" t="s">
        <v>292</v>
      </c>
      <c r="H62" s="3" t="s">
        <v>11</v>
      </c>
      <c r="I62" s="3" t="s">
        <v>7</v>
      </c>
      <c r="J62" s="3" t="s">
        <v>65</v>
      </c>
      <c r="K62" s="3" t="s">
        <v>14</v>
      </c>
      <c r="L62" s="3" t="s">
        <v>68</v>
      </c>
      <c r="M62">
        <v>1</v>
      </c>
    </row>
    <row r="63" spans="1:13" x14ac:dyDescent="0.25">
      <c r="A63" s="1">
        <v>46140</v>
      </c>
      <c r="B63" s="1" t="str">
        <f ca="1">IF(Información1[[#This Row],[Fecha]]='Ajuste de fechas'!$A$2,"Día actual","Día anterior")</f>
        <v>Día actual</v>
      </c>
      <c r="C63" s="3" t="s">
        <v>34</v>
      </c>
      <c r="D63" t="s">
        <v>37</v>
      </c>
      <c r="E63" s="3" t="s">
        <v>294</v>
      </c>
      <c r="F63" s="3" t="s">
        <v>15</v>
      </c>
      <c r="G63" s="3" t="s">
        <v>75</v>
      </c>
      <c r="H63" s="3" t="s">
        <v>11</v>
      </c>
      <c r="I63" s="3" t="s">
        <v>7</v>
      </c>
      <c r="J63" s="3" t="s">
        <v>65</v>
      </c>
      <c r="K63" s="3" t="s">
        <v>35</v>
      </c>
      <c r="L63" s="3" t="s">
        <v>66</v>
      </c>
      <c r="M63">
        <v>1</v>
      </c>
    </row>
    <row r="64" spans="1:13" x14ac:dyDescent="0.25">
      <c r="A64" s="1">
        <v>46140</v>
      </c>
      <c r="B64" s="1" t="str">
        <f ca="1">IF(Información1[[#This Row],[Fecha]]='Ajuste de fechas'!$A$2,"Día actual","Día anterior")</f>
        <v>Día actual</v>
      </c>
      <c r="C64" s="3" t="s">
        <v>34</v>
      </c>
      <c r="D64" t="s">
        <v>37</v>
      </c>
      <c r="E64" s="3" t="s">
        <v>229</v>
      </c>
      <c r="F64" s="3" t="s">
        <v>43</v>
      </c>
      <c r="G64" s="3" t="s">
        <v>230</v>
      </c>
      <c r="H64" s="3" t="s">
        <v>11</v>
      </c>
      <c r="I64" s="3" t="s">
        <v>7</v>
      </c>
      <c r="J64" s="3" t="s">
        <v>65</v>
      </c>
      <c r="K64" s="3" t="s">
        <v>35</v>
      </c>
      <c r="L64" s="3" t="s">
        <v>68</v>
      </c>
      <c r="M64">
        <v>1</v>
      </c>
    </row>
    <row r="65" spans="1:13" x14ac:dyDescent="0.25">
      <c r="A65" s="1">
        <v>46140</v>
      </c>
      <c r="B65" s="1" t="str">
        <f ca="1">IF(Información1[[#This Row],[Fecha]]='Ajuste de fechas'!$A$2,"Día actual","Día anterior")</f>
        <v>Día actual</v>
      </c>
      <c r="C65" s="3" t="s">
        <v>34</v>
      </c>
      <c r="D65" t="s">
        <v>36</v>
      </c>
      <c r="E65" s="3" t="s">
        <v>295</v>
      </c>
      <c r="F65" s="3" t="s">
        <v>19</v>
      </c>
      <c r="G65" s="3" t="s">
        <v>296</v>
      </c>
      <c r="H65" s="3" t="s">
        <v>11</v>
      </c>
      <c r="I65" s="3" t="s">
        <v>7</v>
      </c>
      <c r="J65" s="3" t="s">
        <v>69</v>
      </c>
      <c r="K65" s="3" t="s">
        <v>57</v>
      </c>
      <c r="L65" s="3" t="s">
        <v>71</v>
      </c>
      <c r="M65">
        <v>1</v>
      </c>
    </row>
    <row r="66" spans="1:13" x14ac:dyDescent="0.25">
      <c r="A66" s="1">
        <v>46140</v>
      </c>
      <c r="B66" s="1" t="str">
        <f ca="1">IF(Información1[[#This Row],[Fecha]]='Ajuste de fechas'!$A$2,"Día actual","Día anterior")</f>
        <v>Día actual</v>
      </c>
      <c r="C66" s="3" t="s">
        <v>8</v>
      </c>
      <c r="D66" t="s">
        <v>10</v>
      </c>
      <c r="E66" s="3" t="s">
        <v>297</v>
      </c>
      <c r="F66" s="3" t="s">
        <v>19</v>
      </c>
      <c r="G66" s="3" t="s">
        <v>298</v>
      </c>
      <c r="H66" s="3" t="s">
        <v>11</v>
      </c>
      <c r="I66" s="3" t="s">
        <v>7</v>
      </c>
      <c r="J66" s="3" t="s">
        <v>69</v>
      </c>
      <c r="K66" s="3" t="s">
        <v>14</v>
      </c>
      <c r="L66" s="3" t="s">
        <v>66</v>
      </c>
      <c r="M66">
        <v>1</v>
      </c>
    </row>
    <row r="67" spans="1:13" x14ac:dyDescent="0.25">
      <c r="A67" s="1">
        <v>46140</v>
      </c>
      <c r="B67" s="1" t="str">
        <f ca="1">IF(Información1[[#This Row],[Fecha]]='Ajuste de fechas'!$A$2,"Día actual","Día anterior")</f>
        <v>Día actual</v>
      </c>
      <c r="C67" s="3" t="s">
        <v>8</v>
      </c>
      <c r="D67" t="s">
        <v>10</v>
      </c>
      <c r="E67" s="3" t="s">
        <v>277</v>
      </c>
      <c r="F67" s="3" t="s">
        <v>19</v>
      </c>
      <c r="G67" s="3" t="s">
        <v>299</v>
      </c>
      <c r="H67" s="3" t="s">
        <v>11</v>
      </c>
      <c r="I67" s="3" t="s">
        <v>7</v>
      </c>
      <c r="J67" s="3" t="s">
        <v>69</v>
      </c>
      <c r="K67" s="3" t="s">
        <v>14</v>
      </c>
      <c r="L67" s="3" t="s">
        <v>71</v>
      </c>
      <c r="M67">
        <v>1</v>
      </c>
    </row>
    <row r="68" spans="1:13" x14ac:dyDescent="0.25">
      <c r="A68" s="1">
        <v>46140</v>
      </c>
      <c r="B68" s="1" t="str">
        <f ca="1">IF(Información1[[#This Row],[Fecha]]='Ajuste de fechas'!$A$2,"Día actual","Día anterior")</f>
        <v>Día actual</v>
      </c>
      <c r="C68" s="3" t="s">
        <v>34</v>
      </c>
      <c r="D68" t="s">
        <v>36</v>
      </c>
      <c r="E68" s="3" t="s">
        <v>300</v>
      </c>
      <c r="F68" s="3" t="s">
        <v>301</v>
      </c>
      <c r="G68" s="3" t="s">
        <v>129</v>
      </c>
      <c r="H68" s="3" t="s">
        <v>11</v>
      </c>
      <c r="I68" s="3" t="s">
        <v>7</v>
      </c>
      <c r="J68" s="3" t="s">
        <v>65</v>
      </c>
      <c r="K68" s="3" t="s">
        <v>57</v>
      </c>
      <c r="L68" s="3" t="s">
        <v>66</v>
      </c>
      <c r="M68">
        <v>1</v>
      </c>
    </row>
    <row r="69" spans="1:13" x14ac:dyDescent="0.25">
      <c r="A69" s="1">
        <v>46140</v>
      </c>
      <c r="B69" s="1" t="str">
        <f ca="1">IF(Información1[[#This Row],[Fecha]]='Ajuste de fechas'!$A$2,"Día actual","Día anterior")</f>
        <v>Día actual</v>
      </c>
      <c r="C69" s="3" t="s">
        <v>34</v>
      </c>
      <c r="D69" t="s">
        <v>37</v>
      </c>
      <c r="E69" s="3" t="s">
        <v>302</v>
      </c>
      <c r="F69" s="3" t="s">
        <v>19</v>
      </c>
      <c r="G69" s="3" t="s">
        <v>129</v>
      </c>
      <c r="H69" s="3" t="s">
        <v>11</v>
      </c>
      <c r="I69" s="3" t="s">
        <v>27</v>
      </c>
      <c r="J69" s="3" t="s">
        <v>69</v>
      </c>
      <c r="K69" s="3" t="s">
        <v>35</v>
      </c>
      <c r="L69" s="3" t="s">
        <v>66</v>
      </c>
      <c r="M69">
        <v>1</v>
      </c>
    </row>
    <row r="70" spans="1:13" x14ac:dyDescent="0.25">
      <c r="A70" s="1">
        <v>46140</v>
      </c>
      <c r="B70" s="1" t="str">
        <f ca="1">IF(Información1[[#This Row],[Fecha]]='Ajuste de fechas'!$A$2,"Día actual","Día anterior")</f>
        <v>Día actual</v>
      </c>
      <c r="C70" s="3" t="s">
        <v>34</v>
      </c>
      <c r="D70" t="s">
        <v>36</v>
      </c>
      <c r="E70" s="3" t="s">
        <v>238</v>
      </c>
      <c r="F70" s="3" t="s">
        <v>28</v>
      </c>
      <c r="G70" s="3" t="s">
        <v>239</v>
      </c>
      <c r="H70" s="3" t="s">
        <v>11</v>
      </c>
      <c r="I70" s="3" t="s">
        <v>7</v>
      </c>
      <c r="J70" s="3" t="s">
        <v>65</v>
      </c>
      <c r="K70" s="3" t="s">
        <v>57</v>
      </c>
      <c r="L70" s="3" t="s">
        <v>68</v>
      </c>
      <c r="M70">
        <v>1</v>
      </c>
    </row>
    <row r="71" spans="1:13" x14ac:dyDescent="0.25">
      <c r="A71" s="1">
        <v>46140</v>
      </c>
      <c r="B71" s="1" t="str">
        <f ca="1">IF(Información1[[#This Row],[Fecha]]='Ajuste de fechas'!$A$2,"Día actual","Día anterior")</f>
        <v>Día actual</v>
      </c>
      <c r="C71" s="3" t="s">
        <v>34</v>
      </c>
      <c r="D71" t="s">
        <v>37</v>
      </c>
      <c r="E71" s="3" t="s">
        <v>238</v>
      </c>
      <c r="F71" s="3" t="s">
        <v>28</v>
      </c>
      <c r="G71" s="3" t="s">
        <v>239</v>
      </c>
      <c r="H71" s="3" t="s">
        <v>11</v>
      </c>
      <c r="I71" s="3" t="s">
        <v>7</v>
      </c>
      <c r="J71" s="3" t="s">
        <v>65</v>
      </c>
      <c r="K71" s="3" t="s">
        <v>35</v>
      </c>
      <c r="L71" s="3" t="s">
        <v>68</v>
      </c>
      <c r="M71">
        <v>1</v>
      </c>
    </row>
    <row r="72" spans="1:13" x14ac:dyDescent="0.25">
      <c r="A72" s="1">
        <v>46140</v>
      </c>
      <c r="B72" s="1" t="str">
        <f ca="1">IF(Información1[[#This Row],[Fecha]]='Ajuste de fechas'!$A$2,"Día actual","Día anterior")</f>
        <v>Día actual</v>
      </c>
      <c r="C72" s="3" t="s">
        <v>8</v>
      </c>
      <c r="D72" t="s">
        <v>10</v>
      </c>
      <c r="E72" s="3" t="s">
        <v>303</v>
      </c>
      <c r="F72" s="3" t="s">
        <v>51</v>
      </c>
      <c r="G72" s="3" t="s">
        <v>234</v>
      </c>
      <c r="H72" s="3" t="s">
        <v>11</v>
      </c>
      <c r="I72" s="3" t="s">
        <v>7</v>
      </c>
      <c r="J72" s="3" t="s">
        <v>65</v>
      </c>
      <c r="K72" s="3" t="s">
        <v>14</v>
      </c>
      <c r="L72" s="3" t="s">
        <v>66</v>
      </c>
      <c r="M72">
        <v>1</v>
      </c>
    </row>
    <row r="73" spans="1:13" x14ac:dyDescent="0.25">
      <c r="A73" s="1">
        <v>46140</v>
      </c>
      <c r="B73" s="1" t="str">
        <f ca="1">IF(Información1[[#This Row],[Fecha]]='Ajuste de fechas'!$A$2,"Día actual","Día anterior")</f>
        <v>Día actual</v>
      </c>
      <c r="C73" s="3" t="s">
        <v>8</v>
      </c>
      <c r="D73" t="s">
        <v>10</v>
      </c>
      <c r="E73" s="3" t="s">
        <v>304</v>
      </c>
      <c r="F73" s="3" t="s">
        <v>19</v>
      </c>
      <c r="G73" s="3" t="s">
        <v>83</v>
      </c>
      <c r="H73" s="3" t="s">
        <v>11</v>
      </c>
      <c r="I73" s="3" t="s">
        <v>27</v>
      </c>
      <c r="J73" s="3" t="s">
        <v>69</v>
      </c>
      <c r="K73" s="3" t="s">
        <v>9</v>
      </c>
      <c r="L73" s="3" t="s">
        <v>67</v>
      </c>
      <c r="M73">
        <v>1</v>
      </c>
    </row>
    <row r="74" spans="1:13" x14ac:dyDescent="0.25">
      <c r="A74" s="1">
        <v>46140</v>
      </c>
      <c r="B74" s="1" t="str">
        <f ca="1">IF(Información1[[#This Row],[Fecha]]='Ajuste de fechas'!$A$2,"Día actual","Día anterior")</f>
        <v>Día actual</v>
      </c>
      <c r="C74" s="3" t="s">
        <v>34</v>
      </c>
      <c r="D74" t="s">
        <v>36</v>
      </c>
      <c r="E74" s="3" t="s">
        <v>252</v>
      </c>
      <c r="F74" s="3" t="s">
        <v>25</v>
      </c>
      <c r="G74" s="3" t="s">
        <v>253</v>
      </c>
      <c r="H74" s="3" t="s">
        <v>11</v>
      </c>
      <c r="I74" s="3" t="s">
        <v>7</v>
      </c>
      <c r="J74" s="3" t="s">
        <v>65</v>
      </c>
      <c r="K74" s="3" t="s">
        <v>57</v>
      </c>
      <c r="L74" s="3" t="s">
        <v>68</v>
      </c>
      <c r="M74">
        <v>1</v>
      </c>
    </row>
    <row r="75" spans="1:13" x14ac:dyDescent="0.25">
      <c r="A75" s="1">
        <v>46140</v>
      </c>
      <c r="B75" s="1" t="str">
        <f ca="1">IF(Información1[[#This Row],[Fecha]]='Ajuste de fechas'!$A$2,"Día actual","Día anterior")</f>
        <v>Día actual</v>
      </c>
      <c r="C75" s="3" t="s">
        <v>34</v>
      </c>
      <c r="D75" t="s">
        <v>37</v>
      </c>
      <c r="E75" s="3" t="s">
        <v>252</v>
      </c>
      <c r="F75" s="3" t="s">
        <v>25</v>
      </c>
      <c r="G75" s="3" t="s">
        <v>253</v>
      </c>
      <c r="H75" s="3" t="s">
        <v>11</v>
      </c>
      <c r="I75" s="3" t="s">
        <v>7</v>
      </c>
      <c r="J75" s="3" t="s">
        <v>65</v>
      </c>
      <c r="K75" s="3" t="s">
        <v>35</v>
      </c>
      <c r="L75" s="3" t="s">
        <v>68</v>
      </c>
      <c r="M75">
        <v>1</v>
      </c>
    </row>
    <row r="76" spans="1:13" x14ac:dyDescent="0.25">
      <c r="A76" s="1">
        <v>46140</v>
      </c>
      <c r="B76" s="1" t="str">
        <f ca="1">IF(Información1[[#This Row],[Fecha]]='Ajuste de fechas'!$A$2,"Día actual","Día anterior")</f>
        <v>Día actual</v>
      </c>
      <c r="C76" s="3" t="s">
        <v>34</v>
      </c>
      <c r="D76" t="s">
        <v>36</v>
      </c>
      <c r="E76" s="3" t="s">
        <v>254</v>
      </c>
      <c r="F76" s="3" t="s">
        <v>43</v>
      </c>
      <c r="G76" s="3" t="s">
        <v>255</v>
      </c>
      <c r="H76" s="3" t="s">
        <v>11</v>
      </c>
      <c r="I76" s="3" t="s">
        <v>7</v>
      </c>
      <c r="J76" s="3" t="s">
        <v>65</v>
      </c>
      <c r="K76" s="3" t="s">
        <v>57</v>
      </c>
      <c r="L76" s="3" t="s">
        <v>68</v>
      </c>
      <c r="M76">
        <v>1</v>
      </c>
    </row>
    <row r="77" spans="1:13" x14ac:dyDescent="0.25">
      <c r="A77" s="1">
        <v>46140</v>
      </c>
      <c r="B77" s="1" t="str">
        <f ca="1">IF(Información1[[#This Row],[Fecha]]='Ajuste de fechas'!$A$2,"Día actual","Día anterior")</f>
        <v>Día actual</v>
      </c>
      <c r="C77" s="3" t="s">
        <v>34</v>
      </c>
      <c r="D77" t="s">
        <v>37</v>
      </c>
      <c r="E77" s="3" t="s">
        <v>254</v>
      </c>
      <c r="F77" s="3" t="s">
        <v>43</v>
      </c>
      <c r="G77" s="3" t="s">
        <v>255</v>
      </c>
      <c r="H77" s="3" t="s">
        <v>11</v>
      </c>
      <c r="I77" s="3" t="s">
        <v>7</v>
      </c>
      <c r="J77" s="3" t="s">
        <v>65</v>
      </c>
      <c r="K77" s="3" t="s">
        <v>35</v>
      </c>
      <c r="L77" s="3" t="s">
        <v>68</v>
      </c>
      <c r="M77">
        <v>1</v>
      </c>
    </row>
    <row r="78" spans="1:13" x14ac:dyDescent="0.25">
      <c r="A78" s="1">
        <v>46140</v>
      </c>
      <c r="B78" s="1" t="str">
        <f ca="1">IF(Información1[[#This Row],[Fecha]]='Ajuste de fechas'!$A$2,"Día actual","Día anterior")</f>
        <v>Día actual</v>
      </c>
      <c r="C78" s="3" t="s">
        <v>34</v>
      </c>
      <c r="D78" t="s">
        <v>36</v>
      </c>
      <c r="E78" s="3" t="s">
        <v>240</v>
      </c>
      <c r="F78" s="3" t="s">
        <v>28</v>
      </c>
      <c r="G78" s="3" t="s">
        <v>101</v>
      </c>
      <c r="H78" s="3" t="s">
        <v>11</v>
      </c>
      <c r="I78" s="3" t="s">
        <v>7</v>
      </c>
      <c r="J78" s="3" t="s">
        <v>65</v>
      </c>
      <c r="K78" s="3" t="s">
        <v>57</v>
      </c>
      <c r="L78" s="3" t="s">
        <v>68</v>
      </c>
      <c r="M78">
        <v>1</v>
      </c>
    </row>
    <row r="79" spans="1:13" x14ac:dyDescent="0.25">
      <c r="A79" s="1">
        <v>46140</v>
      </c>
      <c r="B79" s="1" t="str">
        <f ca="1">IF(Información1[[#This Row],[Fecha]]='Ajuste de fechas'!$A$2,"Día actual","Día anterior")</f>
        <v>Día actual</v>
      </c>
      <c r="C79" s="3" t="s">
        <v>34</v>
      </c>
      <c r="D79" t="s">
        <v>37</v>
      </c>
      <c r="E79" s="3" t="s">
        <v>240</v>
      </c>
      <c r="F79" s="3" t="s">
        <v>28</v>
      </c>
      <c r="G79" s="3" t="s">
        <v>101</v>
      </c>
      <c r="H79" s="3" t="s">
        <v>11</v>
      </c>
      <c r="I79" s="3" t="s">
        <v>7</v>
      </c>
      <c r="J79" s="3" t="s">
        <v>65</v>
      </c>
      <c r="K79" s="3" t="s">
        <v>35</v>
      </c>
      <c r="L79" s="3" t="s">
        <v>68</v>
      </c>
      <c r="M79">
        <v>1</v>
      </c>
    </row>
    <row r="80" spans="1:13" x14ac:dyDescent="0.25">
      <c r="A80" s="1">
        <v>46140</v>
      </c>
      <c r="B80" s="1" t="str">
        <f ca="1">IF(Información1[[#This Row],[Fecha]]='Ajuste de fechas'!$A$2,"Día actual","Día anterior")</f>
        <v>Día actual</v>
      </c>
      <c r="C80" s="3" t="s">
        <v>34</v>
      </c>
      <c r="D80" t="s">
        <v>37</v>
      </c>
      <c r="E80" s="3" t="s">
        <v>231</v>
      </c>
      <c r="F80" s="3" t="s">
        <v>51</v>
      </c>
      <c r="G80" s="3" t="s">
        <v>232</v>
      </c>
      <c r="H80" s="3" t="s">
        <v>11</v>
      </c>
      <c r="I80" s="3" t="s">
        <v>7</v>
      </c>
      <c r="J80" s="3" t="s">
        <v>65</v>
      </c>
      <c r="K80" s="3" t="s">
        <v>35</v>
      </c>
      <c r="L80" s="3" t="s">
        <v>68</v>
      </c>
      <c r="M80">
        <v>1</v>
      </c>
    </row>
    <row r="81" spans="1:13" x14ac:dyDescent="0.25">
      <c r="A81" s="1">
        <v>46140</v>
      </c>
      <c r="B81" s="1" t="str">
        <f ca="1">IF(Información1[[#This Row],[Fecha]]='Ajuste de fechas'!$A$2,"Día actual","Día anterior")</f>
        <v>Día actual</v>
      </c>
      <c r="C81" s="3" t="s">
        <v>8</v>
      </c>
      <c r="D81" t="s">
        <v>10</v>
      </c>
      <c r="E81" s="3" t="s">
        <v>305</v>
      </c>
      <c r="F81" s="3" t="s">
        <v>6</v>
      </c>
      <c r="G81" s="3" t="s">
        <v>306</v>
      </c>
      <c r="H81" s="3" t="s">
        <v>11</v>
      </c>
      <c r="I81" s="3" t="s">
        <v>27</v>
      </c>
      <c r="J81" s="3" t="s">
        <v>65</v>
      </c>
      <c r="K81" s="3" t="s">
        <v>9</v>
      </c>
      <c r="L81" s="3" t="s">
        <v>67</v>
      </c>
      <c r="M81">
        <v>1</v>
      </c>
    </row>
    <row r="82" spans="1:13" x14ac:dyDescent="0.25">
      <c r="A82" s="1">
        <v>46140</v>
      </c>
      <c r="B82" s="1" t="str">
        <f ca="1">IF(Información1[[#This Row],[Fecha]]='Ajuste de fechas'!$A$2,"Día actual","Día anterior")</f>
        <v>Día actual</v>
      </c>
      <c r="C82" s="3" t="s">
        <v>44</v>
      </c>
      <c r="D82" t="s">
        <v>45</v>
      </c>
      <c r="E82" s="3" t="s">
        <v>307</v>
      </c>
      <c r="F82" s="3" t="s">
        <v>17</v>
      </c>
      <c r="G82" s="3" t="s">
        <v>139</v>
      </c>
      <c r="H82" s="3" t="s">
        <v>41</v>
      </c>
      <c r="I82" s="3" t="s">
        <v>7</v>
      </c>
      <c r="J82" s="3" t="s">
        <v>65</v>
      </c>
      <c r="K82" s="3" t="s">
        <v>30</v>
      </c>
      <c r="L82" s="3" t="s">
        <v>66</v>
      </c>
      <c r="M82">
        <v>1</v>
      </c>
    </row>
    <row r="83" spans="1:13" x14ac:dyDescent="0.25">
      <c r="A83" s="1">
        <v>46140</v>
      </c>
      <c r="B83" s="1" t="str">
        <f ca="1">IF(Información1[[#This Row],[Fecha]]='Ajuste de fechas'!$A$2,"Día actual","Día anterior")</f>
        <v>Día actual</v>
      </c>
      <c r="C83" s="3" t="s">
        <v>52</v>
      </c>
      <c r="D83" t="s">
        <v>53</v>
      </c>
      <c r="E83" s="3" t="s">
        <v>309</v>
      </c>
      <c r="F83" s="3" t="s">
        <v>43</v>
      </c>
      <c r="G83" s="3" t="s">
        <v>262</v>
      </c>
      <c r="H83" s="3" t="s">
        <v>11</v>
      </c>
      <c r="I83" s="3" t="s">
        <v>7</v>
      </c>
      <c r="J83" s="3" t="s">
        <v>65</v>
      </c>
      <c r="K83" s="3" t="s">
        <v>54</v>
      </c>
      <c r="L83" s="3" t="s">
        <v>66</v>
      </c>
      <c r="M83">
        <v>1</v>
      </c>
    </row>
    <row r="84" spans="1:13" x14ac:dyDescent="0.25">
      <c r="A84" s="1">
        <v>46140</v>
      </c>
      <c r="B84" s="1" t="str">
        <f ca="1">IF(Información1[[#This Row],[Fecha]]='Ajuste de fechas'!$A$2,"Día actual","Día anterior")</f>
        <v>Día actual</v>
      </c>
      <c r="C84" s="3" t="s">
        <v>52</v>
      </c>
      <c r="D84" t="s">
        <v>53</v>
      </c>
      <c r="E84" s="3" t="s">
        <v>311</v>
      </c>
      <c r="F84" s="3" t="s">
        <v>25</v>
      </c>
      <c r="G84" s="3" t="s">
        <v>312</v>
      </c>
      <c r="H84" s="3" t="s">
        <v>11</v>
      </c>
      <c r="I84" s="3" t="s">
        <v>7</v>
      </c>
      <c r="J84" s="3" t="s">
        <v>65</v>
      </c>
      <c r="K84" s="3" t="s">
        <v>54</v>
      </c>
      <c r="L84" s="3" t="s">
        <v>66</v>
      </c>
      <c r="M84">
        <v>1</v>
      </c>
    </row>
    <row r="85" spans="1:13" x14ac:dyDescent="0.25">
      <c r="A85" s="1">
        <v>46140</v>
      </c>
      <c r="B85" s="1" t="str">
        <f ca="1">IF(Información1[[#This Row],[Fecha]]='Ajuste de fechas'!$A$2,"Día actual","Día anterior")</f>
        <v>Día actual</v>
      </c>
      <c r="C85" s="3" t="s">
        <v>44</v>
      </c>
      <c r="D85" t="s">
        <v>45</v>
      </c>
      <c r="E85" s="3" t="s">
        <v>313</v>
      </c>
      <c r="F85" s="3" t="s">
        <v>43</v>
      </c>
      <c r="G85" s="3" t="s">
        <v>281</v>
      </c>
      <c r="H85" s="3" t="s">
        <v>41</v>
      </c>
      <c r="I85" s="3" t="s">
        <v>7</v>
      </c>
      <c r="J85" s="3" t="s">
        <v>65</v>
      </c>
      <c r="K85" s="3" t="s">
        <v>30</v>
      </c>
      <c r="L85" s="3" t="s">
        <v>66</v>
      </c>
      <c r="M85">
        <v>1</v>
      </c>
    </row>
    <row r="86" spans="1:13" x14ac:dyDescent="0.25">
      <c r="A86" s="1">
        <v>46140</v>
      </c>
      <c r="B86" s="1" t="str">
        <f ca="1">IF(Información1[[#This Row],[Fecha]]='Ajuste de fechas'!$A$2,"Día actual","Día anterior")</f>
        <v>Día actual</v>
      </c>
      <c r="C86" s="3" t="s">
        <v>52</v>
      </c>
      <c r="D86" t="s">
        <v>53</v>
      </c>
      <c r="E86" s="3" t="s">
        <v>314</v>
      </c>
      <c r="F86" s="3" t="s">
        <v>19</v>
      </c>
      <c r="G86" s="3" t="s">
        <v>77</v>
      </c>
      <c r="H86" s="3" t="s">
        <v>11</v>
      </c>
      <c r="I86" s="3" t="s">
        <v>7</v>
      </c>
      <c r="J86" s="3" t="s">
        <v>69</v>
      </c>
      <c r="K86" s="3" t="s">
        <v>54</v>
      </c>
      <c r="L86" s="3" t="s">
        <v>66</v>
      </c>
      <c r="M86">
        <v>1</v>
      </c>
    </row>
    <row r="87" spans="1:13" x14ac:dyDescent="0.25">
      <c r="A87" s="1">
        <v>46140</v>
      </c>
      <c r="B87" s="1" t="str">
        <f ca="1">IF(Información1[[#This Row],[Fecha]]='Ajuste de fechas'!$A$2,"Día actual","Día anterior")</f>
        <v>Día actual</v>
      </c>
      <c r="C87" s="3" t="s">
        <v>52</v>
      </c>
      <c r="D87" t="s">
        <v>53</v>
      </c>
      <c r="E87" s="3" t="s">
        <v>315</v>
      </c>
      <c r="F87" s="3" t="s">
        <v>84</v>
      </c>
      <c r="G87" s="3" t="s">
        <v>77</v>
      </c>
      <c r="H87" s="3" t="s">
        <v>11</v>
      </c>
      <c r="I87" s="3" t="s">
        <v>7</v>
      </c>
      <c r="J87" s="3" t="s">
        <v>65</v>
      </c>
      <c r="K87" s="3" t="s">
        <v>54</v>
      </c>
      <c r="L87" s="3" t="s">
        <v>66</v>
      </c>
      <c r="M87">
        <v>1</v>
      </c>
    </row>
    <row r="88" spans="1:13" x14ac:dyDescent="0.25">
      <c r="A88" s="1">
        <v>46140</v>
      </c>
      <c r="B88" s="1" t="str">
        <f ca="1">IF(Información1[[#This Row],[Fecha]]='Ajuste de fechas'!$A$2,"Día actual","Día anterior")</f>
        <v>Día actual</v>
      </c>
      <c r="C88" s="3" t="s">
        <v>44</v>
      </c>
      <c r="D88" t="s">
        <v>45</v>
      </c>
      <c r="E88" s="3" t="s">
        <v>316</v>
      </c>
      <c r="F88" s="3" t="s">
        <v>25</v>
      </c>
      <c r="G88" s="3" t="s">
        <v>77</v>
      </c>
      <c r="H88" s="3" t="s">
        <v>41</v>
      </c>
      <c r="I88" s="3" t="s">
        <v>7</v>
      </c>
      <c r="J88" s="3" t="s">
        <v>65</v>
      </c>
      <c r="K88" s="3" t="s">
        <v>30</v>
      </c>
      <c r="L88" s="3" t="s">
        <v>66</v>
      </c>
      <c r="M88">
        <v>1</v>
      </c>
    </row>
    <row r="89" spans="1:13" x14ac:dyDescent="0.25">
      <c r="A89" s="1">
        <v>46140</v>
      </c>
      <c r="B89" s="1" t="str">
        <f ca="1">IF(Información1[[#This Row],[Fecha]]='Ajuste de fechas'!$A$2,"Día actual","Día anterior")</f>
        <v>Día actual</v>
      </c>
      <c r="C89" s="3" t="s">
        <v>44</v>
      </c>
      <c r="D89" t="s">
        <v>45</v>
      </c>
      <c r="E89" s="3" t="s">
        <v>317</v>
      </c>
      <c r="F89" s="3" t="s">
        <v>19</v>
      </c>
      <c r="G89" s="3" t="s">
        <v>318</v>
      </c>
      <c r="H89" s="3" t="s">
        <v>41</v>
      </c>
      <c r="I89" s="3" t="s">
        <v>7</v>
      </c>
      <c r="J89" s="3" t="s">
        <v>69</v>
      </c>
      <c r="K89" s="3" t="s">
        <v>30</v>
      </c>
      <c r="L89" s="3" t="s">
        <v>66</v>
      </c>
      <c r="M89">
        <v>1</v>
      </c>
    </row>
    <row r="90" spans="1:13" x14ac:dyDescent="0.25">
      <c r="A90" s="1">
        <v>46140</v>
      </c>
      <c r="B90" s="1" t="str">
        <f ca="1">IF(Información1[[#This Row],[Fecha]]='Ajuste de fechas'!$A$2,"Día actual","Día anterior")</f>
        <v>Día actual</v>
      </c>
      <c r="C90" s="3" t="s">
        <v>44</v>
      </c>
      <c r="D90" t="s">
        <v>45</v>
      </c>
      <c r="E90" s="3" t="s">
        <v>319</v>
      </c>
      <c r="F90" s="3" t="s">
        <v>23</v>
      </c>
      <c r="G90" s="3" t="s">
        <v>320</v>
      </c>
      <c r="H90" s="3" t="s">
        <v>41</v>
      </c>
      <c r="I90" s="3" t="s">
        <v>7</v>
      </c>
      <c r="J90" s="3" t="s">
        <v>70</v>
      </c>
      <c r="K90" s="3" t="s">
        <v>30</v>
      </c>
      <c r="L90" s="3" t="s">
        <v>66</v>
      </c>
      <c r="M90">
        <v>1</v>
      </c>
    </row>
    <row r="91" spans="1:13" x14ac:dyDescent="0.25">
      <c r="A91" s="1">
        <v>46140</v>
      </c>
      <c r="B91" s="1" t="str">
        <f ca="1">IF(Información1[[#This Row],[Fecha]]='Ajuste de fechas'!$A$2,"Día actual","Día anterior")</f>
        <v>Día actual</v>
      </c>
      <c r="C91" s="3" t="s">
        <v>52</v>
      </c>
      <c r="D91" t="s">
        <v>53</v>
      </c>
      <c r="E91" s="3" t="s">
        <v>321</v>
      </c>
      <c r="F91" s="3" t="s">
        <v>24</v>
      </c>
      <c r="G91" s="3" t="s">
        <v>199</v>
      </c>
      <c r="H91" s="3" t="s">
        <v>11</v>
      </c>
      <c r="I91" s="3" t="s">
        <v>27</v>
      </c>
      <c r="J91" s="3" t="s">
        <v>65</v>
      </c>
      <c r="K91" s="3" t="s">
        <v>54</v>
      </c>
      <c r="L91" s="3" t="s">
        <v>66</v>
      </c>
      <c r="M91">
        <v>1</v>
      </c>
    </row>
    <row r="92" spans="1:13" x14ac:dyDescent="0.25">
      <c r="A92" s="1">
        <v>46140</v>
      </c>
      <c r="B92" s="1" t="str">
        <f ca="1">IF(Información1[[#This Row],[Fecha]]='Ajuste de fechas'!$A$2,"Día actual","Día anterior")</f>
        <v>Día actual</v>
      </c>
      <c r="C92" s="3" t="s">
        <v>52</v>
      </c>
      <c r="D92" t="s">
        <v>53</v>
      </c>
      <c r="E92" s="3" t="s">
        <v>323</v>
      </c>
      <c r="F92" s="3" t="s">
        <v>23</v>
      </c>
      <c r="G92" s="3" t="s">
        <v>123</v>
      </c>
      <c r="H92" s="3" t="s">
        <v>11</v>
      </c>
      <c r="I92" s="3" t="s">
        <v>7</v>
      </c>
      <c r="J92" s="3" t="s">
        <v>70</v>
      </c>
      <c r="K92" s="3" t="s">
        <v>54</v>
      </c>
      <c r="L92" s="3" t="s">
        <v>66</v>
      </c>
      <c r="M92">
        <v>1</v>
      </c>
    </row>
    <row r="93" spans="1:13" x14ac:dyDescent="0.25">
      <c r="A93" s="1">
        <v>46140</v>
      </c>
      <c r="B93" s="1" t="str">
        <f ca="1">IF(Información1[[#This Row],[Fecha]]='Ajuste de fechas'!$A$2,"Día actual","Día anterior")</f>
        <v>Día actual</v>
      </c>
      <c r="C93" s="3" t="s">
        <v>44</v>
      </c>
      <c r="D93" t="s">
        <v>45</v>
      </c>
      <c r="E93" s="3" t="s">
        <v>324</v>
      </c>
      <c r="F93" s="3" t="s">
        <v>134</v>
      </c>
      <c r="G93" s="3" t="s">
        <v>123</v>
      </c>
      <c r="H93" s="3" t="s">
        <v>41</v>
      </c>
      <c r="I93" s="3" t="s">
        <v>7</v>
      </c>
      <c r="J93" s="3" t="s">
        <v>65</v>
      </c>
      <c r="K93" s="3" t="s">
        <v>30</v>
      </c>
      <c r="L93" s="3" t="s">
        <v>68</v>
      </c>
      <c r="M93">
        <v>1</v>
      </c>
    </row>
    <row r="94" spans="1:13" x14ac:dyDescent="0.25">
      <c r="A94" s="1">
        <v>46140</v>
      </c>
      <c r="B94" s="1" t="str">
        <f ca="1">IF(Información1[[#This Row],[Fecha]]='Ajuste de fechas'!$A$2,"Día actual","Día anterior")</f>
        <v>Día actual</v>
      </c>
      <c r="C94" s="3" t="s">
        <v>52</v>
      </c>
      <c r="D94" t="s">
        <v>53</v>
      </c>
      <c r="E94" s="3" t="s">
        <v>326</v>
      </c>
      <c r="F94" s="3" t="s">
        <v>117</v>
      </c>
      <c r="G94" s="3" t="s">
        <v>327</v>
      </c>
      <c r="H94" s="3" t="s">
        <v>11</v>
      </c>
      <c r="I94" s="3" t="s">
        <v>7</v>
      </c>
      <c r="J94" s="3" t="s">
        <v>65</v>
      </c>
      <c r="K94" s="3" t="s">
        <v>54</v>
      </c>
      <c r="L94" s="3" t="s">
        <v>66</v>
      </c>
      <c r="M94">
        <v>1</v>
      </c>
    </row>
    <row r="95" spans="1:13" x14ac:dyDescent="0.25">
      <c r="A95" s="1">
        <v>46140</v>
      </c>
      <c r="B95" s="1" t="str">
        <f ca="1">IF(Información1[[#This Row],[Fecha]]='Ajuste de fechas'!$A$2,"Día actual","Día anterior")</f>
        <v>Día actual</v>
      </c>
      <c r="C95" s="3" t="s">
        <v>44</v>
      </c>
      <c r="D95" t="s">
        <v>45</v>
      </c>
      <c r="E95" s="3" t="s">
        <v>328</v>
      </c>
      <c r="F95" s="3" t="s">
        <v>15</v>
      </c>
      <c r="G95" s="3" t="s">
        <v>75</v>
      </c>
      <c r="H95" s="3" t="s">
        <v>41</v>
      </c>
      <c r="I95" s="3" t="s">
        <v>7</v>
      </c>
      <c r="J95" s="3" t="s">
        <v>65</v>
      </c>
      <c r="K95" s="3" t="s">
        <v>30</v>
      </c>
      <c r="L95" s="3" t="s">
        <v>66</v>
      </c>
      <c r="M95">
        <v>1</v>
      </c>
    </row>
    <row r="96" spans="1:13" x14ac:dyDescent="0.25">
      <c r="A96" s="1">
        <v>46140</v>
      </c>
      <c r="B96" s="1" t="str">
        <f ca="1">IF(Información1[[#This Row],[Fecha]]='Ajuste de fechas'!$A$2,"Día actual","Día anterior")</f>
        <v>Día actual</v>
      </c>
      <c r="C96" s="3" t="s">
        <v>52</v>
      </c>
      <c r="D96" t="s">
        <v>53</v>
      </c>
      <c r="E96" s="3" t="s">
        <v>329</v>
      </c>
      <c r="F96" s="3" t="s">
        <v>23</v>
      </c>
      <c r="G96" s="3" t="s">
        <v>330</v>
      </c>
      <c r="H96" s="3" t="s">
        <v>11</v>
      </c>
      <c r="I96" s="3" t="s">
        <v>7</v>
      </c>
      <c r="J96" s="3" t="s">
        <v>70</v>
      </c>
      <c r="K96" s="3" t="s">
        <v>54</v>
      </c>
      <c r="L96" s="3" t="s">
        <v>66</v>
      </c>
      <c r="M96">
        <v>1</v>
      </c>
    </row>
    <row r="97" spans="1:13" x14ac:dyDescent="0.25">
      <c r="A97" s="1">
        <v>46140</v>
      </c>
      <c r="B97" s="1" t="str">
        <f ca="1">IF(Información1[[#This Row],[Fecha]]='Ajuste de fechas'!$A$2,"Día actual","Día anterior")</f>
        <v>Día actual</v>
      </c>
      <c r="C97" s="3" t="s">
        <v>44</v>
      </c>
      <c r="D97" t="s">
        <v>45</v>
      </c>
      <c r="E97" s="3" t="s">
        <v>331</v>
      </c>
      <c r="F97" s="3" t="s">
        <v>82</v>
      </c>
      <c r="G97" s="3" t="s">
        <v>230</v>
      </c>
      <c r="H97" s="3" t="s">
        <v>41</v>
      </c>
      <c r="I97" s="3" t="s">
        <v>7</v>
      </c>
      <c r="J97" s="3" t="s">
        <v>65</v>
      </c>
      <c r="K97" s="3" t="s">
        <v>30</v>
      </c>
      <c r="L97" s="3" t="s">
        <v>66</v>
      </c>
      <c r="M97">
        <v>1</v>
      </c>
    </row>
    <row r="98" spans="1:13" x14ac:dyDescent="0.25">
      <c r="A98" s="1">
        <v>46140</v>
      </c>
      <c r="B98" s="1" t="str">
        <f ca="1">IF(Información1[[#This Row],[Fecha]]='Ajuste de fechas'!$A$2,"Día actual","Día anterior")</f>
        <v>Día actual</v>
      </c>
      <c r="C98" s="3" t="s">
        <v>44</v>
      </c>
      <c r="D98" t="s">
        <v>45</v>
      </c>
      <c r="E98" s="3" t="s">
        <v>332</v>
      </c>
      <c r="F98" s="3" t="s">
        <v>15</v>
      </c>
      <c r="G98" s="3" t="s">
        <v>104</v>
      </c>
      <c r="H98" s="3" t="s">
        <v>41</v>
      </c>
      <c r="I98" s="3" t="s">
        <v>7</v>
      </c>
      <c r="J98" s="3" t="s">
        <v>65</v>
      </c>
      <c r="K98" s="3" t="s">
        <v>30</v>
      </c>
      <c r="L98" s="3" t="s">
        <v>66</v>
      </c>
      <c r="M98">
        <v>1</v>
      </c>
    </row>
    <row r="99" spans="1:13" x14ac:dyDescent="0.25">
      <c r="A99" s="1">
        <v>46140</v>
      </c>
      <c r="B99" s="1" t="str">
        <f ca="1">IF(Información1[[#This Row],[Fecha]]='Ajuste de fechas'!$A$2,"Día actual","Día anterior")</f>
        <v>Día actual</v>
      </c>
      <c r="C99" s="3" t="s">
        <v>44</v>
      </c>
      <c r="D99" t="s">
        <v>45</v>
      </c>
      <c r="E99" s="3" t="s">
        <v>333</v>
      </c>
      <c r="F99" s="3" t="s">
        <v>28</v>
      </c>
      <c r="G99" s="3" t="s">
        <v>101</v>
      </c>
      <c r="H99" s="3" t="s">
        <v>41</v>
      </c>
      <c r="I99" s="3" t="s">
        <v>7</v>
      </c>
      <c r="J99" s="3" t="s">
        <v>65</v>
      </c>
      <c r="K99" s="3" t="s">
        <v>30</v>
      </c>
      <c r="L99" s="3" t="s">
        <v>68</v>
      </c>
      <c r="M99">
        <v>1</v>
      </c>
    </row>
    <row r="100" spans="1:13" x14ac:dyDescent="0.25">
      <c r="A100" s="1">
        <v>46140</v>
      </c>
      <c r="B100" s="1" t="str">
        <f ca="1">IF(Información1[[#This Row],[Fecha]]='Ajuste de fechas'!$A$2,"Día actual","Día anterior")</f>
        <v>Día actual</v>
      </c>
      <c r="C100" s="3" t="s">
        <v>52</v>
      </c>
      <c r="D100" t="s">
        <v>53</v>
      </c>
      <c r="E100" s="3" t="s">
        <v>334</v>
      </c>
      <c r="F100" s="3" t="s">
        <v>26</v>
      </c>
      <c r="G100" s="3" t="s">
        <v>87</v>
      </c>
      <c r="H100" s="3" t="s">
        <v>11</v>
      </c>
      <c r="I100" s="3" t="s">
        <v>7</v>
      </c>
      <c r="J100" s="3" t="s">
        <v>26</v>
      </c>
      <c r="K100" s="3" t="s">
        <v>54</v>
      </c>
      <c r="L100" s="3" t="s">
        <v>66</v>
      </c>
      <c r="M100">
        <v>1</v>
      </c>
    </row>
    <row r="101" spans="1:13" x14ac:dyDescent="0.25">
      <c r="A101" s="1">
        <v>46140</v>
      </c>
      <c r="B101" s="1" t="str">
        <f ca="1">IF(Información1[[#This Row],[Fecha]]='Ajuste de fechas'!$A$2,"Día actual","Día anterior")</f>
        <v>Día actual</v>
      </c>
      <c r="C101" s="3" t="s">
        <v>52</v>
      </c>
      <c r="D101" t="s">
        <v>53</v>
      </c>
      <c r="E101" s="3" t="s">
        <v>337</v>
      </c>
      <c r="F101" s="3" t="s">
        <v>43</v>
      </c>
      <c r="G101" s="3" t="s">
        <v>177</v>
      </c>
      <c r="H101" s="3" t="s">
        <v>11</v>
      </c>
      <c r="I101" s="3" t="s">
        <v>7</v>
      </c>
      <c r="J101" s="3" t="s">
        <v>65</v>
      </c>
      <c r="K101" s="3" t="s">
        <v>54</v>
      </c>
      <c r="L101" s="3" t="s">
        <v>66</v>
      </c>
      <c r="M101">
        <v>1</v>
      </c>
    </row>
    <row r="102" spans="1:13" x14ac:dyDescent="0.25">
      <c r="A102" s="1">
        <v>46140</v>
      </c>
      <c r="B102" s="1" t="str">
        <f ca="1">IF(Información1[[#This Row],[Fecha]]='Ajuste de fechas'!$A$2,"Día actual","Día anterior")</f>
        <v>Día actual</v>
      </c>
      <c r="C102" s="3" t="s">
        <v>52</v>
      </c>
      <c r="D102" t="s">
        <v>53</v>
      </c>
      <c r="E102" s="3" t="s">
        <v>338</v>
      </c>
      <c r="F102" s="3" t="s">
        <v>19</v>
      </c>
      <c r="G102" s="3" t="s">
        <v>339</v>
      </c>
      <c r="H102" s="3" t="s">
        <v>11</v>
      </c>
      <c r="I102" s="3" t="s">
        <v>7</v>
      </c>
      <c r="J102" s="3" t="s">
        <v>69</v>
      </c>
      <c r="K102" s="3" t="s">
        <v>54</v>
      </c>
      <c r="L102" s="3" t="s">
        <v>66</v>
      </c>
      <c r="M102">
        <v>1</v>
      </c>
    </row>
    <row r="103" spans="1:13" x14ac:dyDescent="0.25">
      <c r="A103" s="1">
        <v>46140</v>
      </c>
      <c r="B103" s="1" t="str">
        <f ca="1">IF(Información1[[#This Row],[Fecha]]='Ajuste de fechas'!$A$2,"Día actual","Día anterior")</f>
        <v>Día actual</v>
      </c>
      <c r="C103" s="3" t="s">
        <v>52</v>
      </c>
      <c r="D103" t="s">
        <v>53</v>
      </c>
      <c r="E103" s="3" t="s">
        <v>340</v>
      </c>
      <c r="F103" s="3" t="s">
        <v>43</v>
      </c>
      <c r="G103" s="3" t="s">
        <v>341</v>
      </c>
      <c r="H103" s="3" t="s">
        <v>11</v>
      </c>
      <c r="I103" s="3" t="s">
        <v>7</v>
      </c>
      <c r="J103" s="3" t="s">
        <v>65</v>
      </c>
      <c r="K103" s="3" t="s">
        <v>54</v>
      </c>
      <c r="L103" s="3" t="s">
        <v>66</v>
      </c>
      <c r="M103">
        <v>1</v>
      </c>
    </row>
    <row r="104" spans="1:13" x14ac:dyDescent="0.25">
      <c r="A104" s="1">
        <v>46140</v>
      </c>
      <c r="B104" s="1" t="str">
        <f ca="1">IF(Información1[[#This Row],[Fecha]]='Ajuste de fechas'!$A$2,"Día actual","Día anterior")</f>
        <v>Día actual</v>
      </c>
      <c r="C104" s="3" t="s">
        <v>52</v>
      </c>
      <c r="D104" t="s">
        <v>53</v>
      </c>
      <c r="E104" s="3" t="s">
        <v>342</v>
      </c>
      <c r="F104" s="3" t="s">
        <v>43</v>
      </c>
      <c r="G104" s="3" t="s">
        <v>343</v>
      </c>
      <c r="H104" s="3" t="s">
        <v>11</v>
      </c>
      <c r="I104" s="3" t="s">
        <v>7</v>
      </c>
      <c r="J104" s="3" t="s">
        <v>65</v>
      </c>
      <c r="K104" s="3" t="s">
        <v>54</v>
      </c>
      <c r="L104" s="3" t="s">
        <v>66</v>
      </c>
      <c r="M104">
        <v>1</v>
      </c>
    </row>
    <row r="105" spans="1:13" x14ac:dyDescent="0.25">
      <c r="A105" s="1">
        <v>46140</v>
      </c>
      <c r="B105" s="1" t="str">
        <f ca="1">IF(Información1[[#This Row],[Fecha]]='Ajuste de fechas'!$A$2,"Día actual","Día anterior")</f>
        <v>Día actual</v>
      </c>
      <c r="C105" s="3" t="s">
        <v>52</v>
      </c>
      <c r="D105" t="s">
        <v>53</v>
      </c>
      <c r="E105" s="3" t="s">
        <v>347</v>
      </c>
      <c r="F105" s="3" t="s">
        <v>98</v>
      </c>
      <c r="G105" s="3" t="s">
        <v>250</v>
      </c>
      <c r="H105" s="3" t="s">
        <v>11</v>
      </c>
      <c r="I105" s="3" t="s">
        <v>7</v>
      </c>
      <c r="J105" s="3" t="s">
        <v>65</v>
      </c>
      <c r="K105" s="3" t="s">
        <v>54</v>
      </c>
      <c r="L105" s="3" t="s">
        <v>66</v>
      </c>
      <c r="M105">
        <v>1</v>
      </c>
    </row>
    <row r="106" spans="1:13" x14ac:dyDescent="0.25">
      <c r="A106" s="1">
        <v>46140</v>
      </c>
      <c r="B106" s="1" t="str">
        <f ca="1">IF(Información1[[#This Row],[Fecha]]='Ajuste de fechas'!$A$2,"Día actual","Día anterior")</f>
        <v>Día actual</v>
      </c>
      <c r="C106" s="3" t="s">
        <v>52</v>
      </c>
      <c r="D106" t="s">
        <v>53</v>
      </c>
      <c r="E106" s="3" t="s">
        <v>348</v>
      </c>
      <c r="F106" s="3" t="s">
        <v>21</v>
      </c>
      <c r="G106" s="3" t="s">
        <v>283</v>
      </c>
      <c r="H106" s="3" t="s">
        <v>11</v>
      </c>
      <c r="I106" s="3" t="s">
        <v>7</v>
      </c>
      <c r="J106" s="3" t="s">
        <v>65</v>
      </c>
      <c r="K106" s="3" t="s">
        <v>54</v>
      </c>
      <c r="L106" s="3" t="s">
        <v>66</v>
      </c>
      <c r="M106">
        <v>1</v>
      </c>
    </row>
    <row r="107" spans="1:13" x14ac:dyDescent="0.25">
      <c r="A107" s="1">
        <v>46140</v>
      </c>
      <c r="B107" s="1" t="str">
        <f ca="1">IF(Información1[[#This Row],[Fecha]]='Ajuste de fechas'!$A$2,"Día actual","Día anterior")</f>
        <v>Día actual</v>
      </c>
      <c r="C107" s="3" t="s">
        <v>52</v>
      </c>
      <c r="D107" t="s">
        <v>53</v>
      </c>
      <c r="E107" s="3" t="s">
        <v>349</v>
      </c>
      <c r="F107" s="3" t="s">
        <v>242</v>
      </c>
      <c r="G107" s="3" t="s">
        <v>350</v>
      </c>
      <c r="H107" s="3" t="s">
        <v>11</v>
      </c>
      <c r="I107" s="3" t="s">
        <v>7</v>
      </c>
      <c r="J107" s="3" t="s">
        <v>65</v>
      </c>
      <c r="K107" s="3" t="s">
        <v>54</v>
      </c>
      <c r="L107" s="3" t="s">
        <v>66</v>
      </c>
      <c r="M107">
        <v>1</v>
      </c>
    </row>
    <row r="108" spans="1:13" x14ac:dyDescent="0.25">
      <c r="A108" s="1">
        <v>46140</v>
      </c>
      <c r="B108" s="1" t="str">
        <f ca="1">IF(Información1[[#This Row],[Fecha]]='Ajuste de fechas'!$A$2,"Día actual","Día anterior")</f>
        <v>Día actual</v>
      </c>
      <c r="C108" s="3" t="s">
        <v>44</v>
      </c>
      <c r="D108" t="s">
        <v>45</v>
      </c>
      <c r="E108" s="3" t="s">
        <v>351</v>
      </c>
      <c r="F108" s="3" t="s">
        <v>21</v>
      </c>
      <c r="G108" s="3" t="s">
        <v>283</v>
      </c>
      <c r="H108" s="3" t="s">
        <v>41</v>
      </c>
      <c r="I108" s="3" t="s">
        <v>7</v>
      </c>
      <c r="J108" s="3" t="s">
        <v>65</v>
      </c>
      <c r="K108" s="3" t="s">
        <v>30</v>
      </c>
      <c r="L108" s="3" t="s">
        <v>68</v>
      </c>
      <c r="M108">
        <v>1</v>
      </c>
    </row>
    <row r="109" spans="1:13" x14ac:dyDescent="0.25">
      <c r="A109" s="1">
        <v>46140</v>
      </c>
      <c r="B109" s="1" t="str">
        <f ca="1">IF(Información1[[#This Row],[Fecha]]='Ajuste de fechas'!$A$2,"Día actual","Día anterior")</f>
        <v>Día actual</v>
      </c>
      <c r="C109" s="3" t="s">
        <v>44</v>
      </c>
      <c r="D109" t="s">
        <v>45</v>
      </c>
      <c r="E109" s="3" t="s">
        <v>252</v>
      </c>
      <c r="F109" s="3" t="s">
        <v>25</v>
      </c>
      <c r="G109" s="3" t="s">
        <v>352</v>
      </c>
      <c r="H109" s="3" t="s">
        <v>41</v>
      </c>
      <c r="I109" s="3" t="s">
        <v>7</v>
      </c>
      <c r="J109" s="3" t="s">
        <v>65</v>
      </c>
      <c r="K109" s="3" t="s">
        <v>30</v>
      </c>
      <c r="L109" s="3" t="s">
        <v>68</v>
      </c>
      <c r="M109">
        <v>1</v>
      </c>
    </row>
    <row r="110" spans="1:13" x14ac:dyDescent="0.25">
      <c r="A110" s="1">
        <v>46140</v>
      </c>
      <c r="B110" s="1" t="str">
        <f ca="1">IF(Información1[[#This Row],[Fecha]]='Ajuste de fechas'!$A$2,"Día actual","Día anterior")</f>
        <v>Día actual</v>
      </c>
      <c r="C110" s="3" t="s">
        <v>44</v>
      </c>
      <c r="D110" t="s">
        <v>45</v>
      </c>
      <c r="E110" s="3" t="s">
        <v>241</v>
      </c>
      <c r="F110" s="3" t="s">
        <v>28</v>
      </c>
      <c r="G110" s="3" t="s">
        <v>350</v>
      </c>
      <c r="H110" s="3" t="s">
        <v>41</v>
      </c>
      <c r="I110" s="3" t="s">
        <v>7</v>
      </c>
      <c r="J110" s="3" t="s">
        <v>65</v>
      </c>
      <c r="K110" s="3" t="s">
        <v>30</v>
      </c>
      <c r="L110" s="3" t="s">
        <v>68</v>
      </c>
      <c r="M110">
        <v>1</v>
      </c>
    </row>
    <row r="111" spans="1:13" x14ac:dyDescent="0.25">
      <c r="A111" s="1">
        <v>46139</v>
      </c>
      <c r="B111" s="1" t="str">
        <f ca="1">IF(Información1[[#This Row],[Fecha]]='Ajuste de fechas'!$A$2,"Día actual","Día anterior")</f>
        <v>Día anterior</v>
      </c>
      <c r="C111" s="3" t="s">
        <v>47</v>
      </c>
      <c r="D111" t="s">
        <v>50</v>
      </c>
      <c r="E111" s="3" t="s">
        <v>105</v>
      </c>
      <c r="F111" s="3" t="s">
        <v>23</v>
      </c>
      <c r="G111" s="3" t="s">
        <v>106</v>
      </c>
      <c r="H111" s="3" t="s">
        <v>11</v>
      </c>
      <c r="I111" s="3" t="s">
        <v>7</v>
      </c>
      <c r="J111" s="3" t="s">
        <v>70</v>
      </c>
      <c r="K111" s="3" t="s">
        <v>48</v>
      </c>
      <c r="L111" s="3" t="s">
        <v>66</v>
      </c>
      <c r="M111">
        <v>1</v>
      </c>
    </row>
    <row r="112" spans="1:13" x14ac:dyDescent="0.25">
      <c r="A112" s="1">
        <v>46139</v>
      </c>
      <c r="B112" s="1" t="str">
        <f ca="1">IF(Información1[[#This Row],[Fecha]]='Ajuste de fechas'!$A$2,"Día actual","Día anterior")</f>
        <v>Día anterior</v>
      </c>
      <c r="C112" s="3" t="s">
        <v>47</v>
      </c>
      <c r="D112" t="s">
        <v>50</v>
      </c>
      <c r="E112" s="3" t="s">
        <v>107</v>
      </c>
      <c r="F112" s="3" t="s">
        <v>19</v>
      </c>
      <c r="G112" s="3" t="s">
        <v>108</v>
      </c>
      <c r="H112" s="3" t="s">
        <v>11</v>
      </c>
      <c r="I112" s="3" t="s">
        <v>7</v>
      </c>
      <c r="J112" s="3" t="s">
        <v>69</v>
      </c>
      <c r="K112" s="3" t="s">
        <v>48</v>
      </c>
      <c r="L112" s="3" t="s">
        <v>66</v>
      </c>
      <c r="M112">
        <v>1</v>
      </c>
    </row>
    <row r="113" spans="1:13" x14ac:dyDescent="0.25">
      <c r="A113" s="1">
        <v>46139</v>
      </c>
      <c r="B113" s="1" t="str">
        <f ca="1">IF(Información1[[#This Row],[Fecha]]='Ajuste de fechas'!$A$2,"Día actual","Día anterior")</f>
        <v>Día anterior</v>
      </c>
      <c r="C113" s="3" t="s">
        <v>47</v>
      </c>
      <c r="D113" t="s">
        <v>50</v>
      </c>
      <c r="E113" s="3" t="s">
        <v>109</v>
      </c>
      <c r="F113" s="3" t="s">
        <v>21</v>
      </c>
      <c r="G113" s="3" t="s">
        <v>99</v>
      </c>
      <c r="H113" s="3" t="s">
        <v>11</v>
      </c>
      <c r="I113" s="3" t="s">
        <v>7</v>
      </c>
      <c r="J113" s="3" t="s">
        <v>65</v>
      </c>
      <c r="K113" s="3" t="s">
        <v>48</v>
      </c>
      <c r="L113" s="3" t="s">
        <v>66</v>
      </c>
      <c r="M113">
        <v>1</v>
      </c>
    </row>
    <row r="114" spans="1:13" x14ac:dyDescent="0.25">
      <c r="A114" s="1">
        <v>46139</v>
      </c>
      <c r="B114" s="1" t="str">
        <f ca="1">IF(Información1[[#This Row],[Fecha]]='Ajuste de fechas'!$A$2,"Día actual","Día anterior")</f>
        <v>Día anterior</v>
      </c>
      <c r="C114" s="3" t="s">
        <v>31</v>
      </c>
      <c r="D114" t="s">
        <v>33</v>
      </c>
      <c r="E114" s="3" t="s">
        <v>110</v>
      </c>
      <c r="F114" s="3" t="s">
        <v>82</v>
      </c>
      <c r="G114" s="3" t="s">
        <v>79</v>
      </c>
      <c r="H114" s="3" t="s">
        <v>11</v>
      </c>
      <c r="I114" s="3" t="s">
        <v>7</v>
      </c>
      <c r="J114" s="3" t="s">
        <v>65</v>
      </c>
      <c r="K114" s="3" t="s">
        <v>32</v>
      </c>
      <c r="L114" s="3" t="s">
        <v>68</v>
      </c>
      <c r="M114">
        <v>1</v>
      </c>
    </row>
    <row r="115" spans="1:13" x14ac:dyDescent="0.25">
      <c r="A115" s="1">
        <v>46139</v>
      </c>
      <c r="B115" s="1" t="str">
        <f ca="1">IF(Información1[[#This Row],[Fecha]]='Ajuste de fechas'!$A$2,"Día actual","Día anterior")</f>
        <v>Día anterior</v>
      </c>
      <c r="C115" s="3" t="s">
        <v>31</v>
      </c>
      <c r="D115" t="s">
        <v>33</v>
      </c>
      <c r="E115" s="3" t="s">
        <v>111</v>
      </c>
      <c r="F115" s="3" t="s">
        <v>98</v>
      </c>
      <c r="G115" s="3" t="s">
        <v>112</v>
      </c>
      <c r="H115" s="3" t="s">
        <v>11</v>
      </c>
      <c r="I115" s="3" t="s">
        <v>7</v>
      </c>
      <c r="J115" s="3" t="s">
        <v>65</v>
      </c>
      <c r="K115" s="3" t="s">
        <v>32</v>
      </c>
      <c r="L115" s="3" t="s">
        <v>68</v>
      </c>
      <c r="M115">
        <v>1</v>
      </c>
    </row>
    <row r="116" spans="1:13" x14ac:dyDescent="0.25">
      <c r="A116" s="1">
        <v>46139</v>
      </c>
      <c r="B116" s="1" t="str">
        <f ca="1">IF(Información1[[#This Row],[Fecha]]='Ajuste de fechas'!$A$2,"Día actual","Día anterior")</f>
        <v>Día anterior</v>
      </c>
      <c r="C116" s="3" t="s">
        <v>31</v>
      </c>
      <c r="D116" t="s">
        <v>33</v>
      </c>
      <c r="E116" s="3" t="s">
        <v>113</v>
      </c>
      <c r="F116" s="3" t="s">
        <v>24</v>
      </c>
      <c r="G116" s="3" t="s">
        <v>76</v>
      </c>
      <c r="H116" s="3" t="s">
        <v>11</v>
      </c>
      <c r="I116" s="3" t="s">
        <v>7</v>
      </c>
      <c r="J116" s="3" t="s">
        <v>65</v>
      </c>
      <c r="K116" s="3" t="s">
        <v>32</v>
      </c>
      <c r="L116" s="3" t="s">
        <v>68</v>
      </c>
      <c r="M116">
        <v>1</v>
      </c>
    </row>
    <row r="117" spans="1:13" x14ac:dyDescent="0.25">
      <c r="A117" s="1">
        <v>46139</v>
      </c>
      <c r="B117" s="1" t="str">
        <f ca="1">IF(Información1[[#This Row],[Fecha]]='Ajuste de fechas'!$A$2,"Día actual","Día anterior")</f>
        <v>Día anterior</v>
      </c>
      <c r="C117" s="3" t="s">
        <v>31</v>
      </c>
      <c r="D117" t="s">
        <v>33</v>
      </c>
      <c r="E117" s="3" t="s">
        <v>114</v>
      </c>
      <c r="F117" s="3" t="s">
        <v>24</v>
      </c>
      <c r="G117" s="3" t="s">
        <v>115</v>
      </c>
      <c r="H117" s="3" t="s">
        <v>11</v>
      </c>
      <c r="I117" s="3" t="s">
        <v>7</v>
      </c>
      <c r="J117" s="3" t="s">
        <v>65</v>
      </c>
      <c r="K117" s="3" t="s">
        <v>32</v>
      </c>
      <c r="L117" s="3" t="s">
        <v>68</v>
      </c>
      <c r="M117">
        <v>1</v>
      </c>
    </row>
    <row r="118" spans="1:13" x14ac:dyDescent="0.25">
      <c r="A118" s="1">
        <v>46139</v>
      </c>
      <c r="B118" s="1" t="str">
        <f ca="1">IF(Información1[[#This Row],[Fecha]]='Ajuste de fechas'!$A$2,"Día actual","Día anterior")</f>
        <v>Día anterior</v>
      </c>
      <c r="C118" s="3" t="s">
        <v>31</v>
      </c>
      <c r="D118" t="s">
        <v>33</v>
      </c>
      <c r="E118" s="3" t="s">
        <v>116</v>
      </c>
      <c r="F118" s="3" t="s">
        <v>117</v>
      </c>
      <c r="G118" s="3" t="s">
        <v>118</v>
      </c>
      <c r="H118" s="3" t="s">
        <v>11</v>
      </c>
      <c r="I118" s="3" t="s">
        <v>7</v>
      </c>
      <c r="J118" s="3" t="s">
        <v>65</v>
      </c>
      <c r="K118" s="3" t="s">
        <v>32</v>
      </c>
      <c r="L118" s="3" t="s">
        <v>68</v>
      </c>
      <c r="M118">
        <v>1</v>
      </c>
    </row>
    <row r="119" spans="1:13" x14ac:dyDescent="0.25">
      <c r="A119" s="1">
        <v>46139</v>
      </c>
      <c r="B119" s="1" t="str">
        <f ca="1">IF(Información1[[#This Row],[Fecha]]='Ajuste de fechas'!$A$2,"Día actual","Día anterior")</f>
        <v>Día anterior</v>
      </c>
      <c r="C119" s="3" t="s">
        <v>31</v>
      </c>
      <c r="D119" t="s">
        <v>33</v>
      </c>
      <c r="E119" s="3" t="s">
        <v>119</v>
      </c>
      <c r="F119" s="3" t="s">
        <v>28</v>
      </c>
      <c r="G119" s="3" t="s">
        <v>120</v>
      </c>
      <c r="H119" s="3" t="s">
        <v>11</v>
      </c>
      <c r="I119" s="3" t="s">
        <v>7</v>
      </c>
      <c r="J119" s="3" t="s">
        <v>65</v>
      </c>
      <c r="K119" s="3" t="s">
        <v>32</v>
      </c>
      <c r="L119" s="3" t="s">
        <v>68</v>
      </c>
      <c r="M119">
        <v>1</v>
      </c>
    </row>
    <row r="120" spans="1:13" x14ac:dyDescent="0.25">
      <c r="A120" s="1">
        <v>46139</v>
      </c>
      <c r="B120" s="1" t="str">
        <f ca="1">IF(Información1[[#This Row],[Fecha]]='Ajuste de fechas'!$A$2,"Día actual","Día anterior")</f>
        <v>Día anterior</v>
      </c>
      <c r="C120" s="3" t="s">
        <v>31</v>
      </c>
      <c r="D120" t="s">
        <v>33</v>
      </c>
      <c r="E120" s="3" t="s">
        <v>121</v>
      </c>
      <c r="F120" s="3" t="s">
        <v>28</v>
      </c>
      <c r="G120" s="3" t="s">
        <v>90</v>
      </c>
      <c r="H120" s="3" t="s">
        <v>11</v>
      </c>
      <c r="I120" s="3" t="s">
        <v>7</v>
      </c>
      <c r="J120" s="3" t="s">
        <v>65</v>
      </c>
      <c r="K120" s="3" t="s">
        <v>32</v>
      </c>
      <c r="L120" s="3" t="s">
        <v>68</v>
      </c>
      <c r="M120">
        <v>1</v>
      </c>
    </row>
    <row r="121" spans="1:13" x14ac:dyDescent="0.25">
      <c r="A121" s="1">
        <v>46139</v>
      </c>
      <c r="B121" s="1" t="str">
        <f ca="1">IF(Información1[[#This Row],[Fecha]]='Ajuste de fechas'!$A$2,"Día actual","Día anterior")</f>
        <v>Día anterior</v>
      </c>
      <c r="C121" s="3" t="s">
        <v>47</v>
      </c>
      <c r="D121" t="s">
        <v>49</v>
      </c>
      <c r="E121" s="3" t="s">
        <v>122</v>
      </c>
      <c r="F121" s="3" t="s">
        <v>23</v>
      </c>
      <c r="G121" s="3" t="s">
        <v>123</v>
      </c>
      <c r="H121" s="3" t="s">
        <v>11</v>
      </c>
      <c r="I121" s="3" t="s">
        <v>7</v>
      </c>
      <c r="J121" s="3" t="s">
        <v>70</v>
      </c>
      <c r="K121" s="3" t="s">
        <v>48</v>
      </c>
      <c r="L121" s="3" t="s">
        <v>66</v>
      </c>
      <c r="M121">
        <v>1</v>
      </c>
    </row>
    <row r="122" spans="1:13" x14ac:dyDescent="0.25">
      <c r="A122" s="1">
        <v>46139</v>
      </c>
      <c r="B122" s="1" t="str">
        <f ca="1">IF(Información1[[#This Row],[Fecha]]='Ajuste de fechas'!$A$2,"Día actual","Día anterior")</f>
        <v>Día anterior</v>
      </c>
      <c r="C122" s="3" t="s">
        <v>47</v>
      </c>
      <c r="D122" t="s">
        <v>49</v>
      </c>
      <c r="E122" s="3" t="s">
        <v>124</v>
      </c>
      <c r="F122" s="3" t="s">
        <v>23</v>
      </c>
      <c r="G122" s="3" t="s">
        <v>106</v>
      </c>
      <c r="H122" s="3" t="s">
        <v>11</v>
      </c>
      <c r="I122" s="3" t="s">
        <v>27</v>
      </c>
      <c r="J122" s="3" t="s">
        <v>70</v>
      </c>
      <c r="K122" s="3" t="s">
        <v>48</v>
      </c>
      <c r="L122" s="3" t="s">
        <v>66</v>
      </c>
      <c r="M122">
        <v>1</v>
      </c>
    </row>
    <row r="123" spans="1:13" x14ac:dyDescent="0.25">
      <c r="A123" s="1">
        <v>46139</v>
      </c>
      <c r="B123" s="1" t="str">
        <f ca="1">IF(Información1[[#This Row],[Fecha]]='Ajuste de fechas'!$A$2,"Día actual","Día anterior")</f>
        <v>Día anterior</v>
      </c>
      <c r="C123" s="3" t="s">
        <v>47</v>
      </c>
      <c r="D123" t="s">
        <v>49</v>
      </c>
      <c r="E123" s="3" t="s">
        <v>125</v>
      </c>
      <c r="F123" s="3" t="s">
        <v>26</v>
      </c>
      <c r="G123" s="3" t="s">
        <v>126</v>
      </c>
      <c r="H123" s="3" t="s">
        <v>11</v>
      </c>
      <c r="I123" s="3" t="s">
        <v>7</v>
      </c>
      <c r="J123" s="3" t="s">
        <v>26</v>
      </c>
      <c r="K123" s="3" t="s">
        <v>48</v>
      </c>
      <c r="L123" s="3" t="s">
        <v>66</v>
      </c>
      <c r="M123">
        <v>1</v>
      </c>
    </row>
    <row r="124" spans="1:13" x14ac:dyDescent="0.25">
      <c r="A124" s="1">
        <v>46139</v>
      </c>
      <c r="B124" s="1" t="str">
        <f ca="1">IF(Información1[[#This Row],[Fecha]]='Ajuste de fechas'!$A$2,"Día actual","Día anterior")</f>
        <v>Día anterior</v>
      </c>
      <c r="C124" s="3" t="s">
        <v>47</v>
      </c>
      <c r="D124" t="s">
        <v>49</v>
      </c>
      <c r="E124" s="3" t="s">
        <v>127</v>
      </c>
      <c r="F124" s="3" t="s">
        <v>19</v>
      </c>
      <c r="G124" s="3" t="s">
        <v>79</v>
      </c>
      <c r="H124" s="3" t="s">
        <v>11</v>
      </c>
      <c r="I124" s="3" t="s">
        <v>7</v>
      </c>
      <c r="J124" s="3" t="s">
        <v>69</v>
      </c>
      <c r="K124" s="3" t="s">
        <v>48</v>
      </c>
      <c r="L124" s="3" t="s">
        <v>66</v>
      </c>
      <c r="M124">
        <v>1</v>
      </c>
    </row>
    <row r="125" spans="1:13" x14ac:dyDescent="0.25">
      <c r="A125" s="1">
        <v>46139</v>
      </c>
      <c r="B125" s="1" t="str">
        <f ca="1">IF(Información1[[#This Row],[Fecha]]='Ajuste de fechas'!$A$2,"Día actual","Día anterior")</f>
        <v>Día anterior</v>
      </c>
      <c r="C125" s="3" t="s">
        <v>47</v>
      </c>
      <c r="D125" t="s">
        <v>49</v>
      </c>
      <c r="E125" s="3" t="s">
        <v>128</v>
      </c>
      <c r="F125" s="3" t="s">
        <v>19</v>
      </c>
      <c r="G125" s="3" t="s">
        <v>129</v>
      </c>
      <c r="H125" s="3" t="s">
        <v>11</v>
      </c>
      <c r="I125" s="3" t="s">
        <v>27</v>
      </c>
      <c r="J125" s="3" t="s">
        <v>69</v>
      </c>
      <c r="K125" s="3" t="s">
        <v>48</v>
      </c>
      <c r="L125" s="3" t="s">
        <v>66</v>
      </c>
      <c r="M125">
        <v>1</v>
      </c>
    </row>
    <row r="126" spans="1:13" x14ac:dyDescent="0.25">
      <c r="A126" s="1">
        <v>46139</v>
      </c>
      <c r="B126" s="1" t="str">
        <f ca="1">IF(Información1[[#This Row],[Fecha]]='Ajuste de fechas'!$A$2,"Día actual","Día anterior")</f>
        <v>Día anterior</v>
      </c>
      <c r="C126" s="3" t="s">
        <v>47</v>
      </c>
      <c r="D126" t="s">
        <v>49</v>
      </c>
      <c r="E126" s="3" t="s">
        <v>130</v>
      </c>
      <c r="F126" s="3" t="s">
        <v>117</v>
      </c>
      <c r="G126" s="3" t="s">
        <v>123</v>
      </c>
      <c r="H126" s="3" t="s">
        <v>11</v>
      </c>
      <c r="I126" s="3" t="s">
        <v>7</v>
      </c>
      <c r="J126" s="3" t="s">
        <v>65</v>
      </c>
      <c r="K126" s="3" t="s">
        <v>39</v>
      </c>
      <c r="L126" s="3" t="s">
        <v>66</v>
      </c>
      <c r="M126">
        <v>1</v>
      </c>
    </row>
    <row r="127" spans="1:13" x14ac:dyDescent="0.25">
      <c r="A127" s="1">
        <v>46139</v>
      </c>
      <c r="B127" s="1" t="str">
        <f ca="1">IF(Información1[[#This Row],[Fecha]]='Ajuste de fechas'!$A$2,"Día actual","Día anterior")</f>
        <v>Día anterior</v>
      </c>
      <c r="C127" s="3" t="s">
        <v>47</v>
      </c>
      <c r="D127" t="s">
        <v>49</v>
      </c>
      <c r="E127" s="3" t="s">
        <v>131</v>
      </c>
      <c r="F127" s="3" t="s">
        <v>98</v>
      </c>
      <c r="G127" s="3" t="s">
        <v>123</v>
      </c>
      <c r="H127" s="3" t="s">
        <v>11</v>
      </c>
      <c r="I127" s="3" t="s">
        <v>7</v>
      </c>
      <c r="J127" s="3" t="s">
        <v>65</v>
      </c>
      <c r="K127" s="3" t="s">
        <v>39</v>
      </c>
      <c r="L127" s="3" t="s">
        <v>66</v>
      </c>
      <c r="M127">
        <v>1</v>
      </c>
    </row>
    <row r="128" spans="1:13" x14ac:dyDescent="0.25">
      <c r="A128" s="1">
        <v>46139</v>
      </c>
      <c r="B128" s="1" t="str">
        <f ca="1">IF(Información1[[#This Row],[Fecha]]='Ajuste de fechas'!$A$2,"Día actual","Día anterior")</f>
        <v>Día anterior</v>
      </c>
      <c r="C128" s="3" t="s">
        <v>47</v>
      </c>
      <c r="D128" t="s">
        <v>49</v>
      </c>
      <c r="E128" s="3" t="s">
        <v>132</v>
      </c>
      <c r="F128" s="3" t="s">
        <v>28</v>
      </c>
      <c r="G128" s="3" t="s">
        <v>123</v>
      </c>
      <c r="H128" s="3" t="s">
        <v>11</v>
      </c>
      <c r="I128" s="3" t="s">
        <v>7</v>
      </c>
      <c r="J128" s="3" t="s">
        <v>65</v>
      </c>
      <c r="K128" s="3" t="s">
        <v>39</v>
      </c>
      <c r="L128" s="3" t="s">
        <v>66</v>
      </c>
      <c r="M128">
        <v>1</v>
      </c>
    </row>
    <row r="129" spans="1:13" x14ac:dyDescent="0.25">
      <c r="A129" s="1">
        <v>46139</v>
      </c>
      <c r="B129" s="1" t="str">
        <f ca="1">IF(Información1[[#This Row],[Fecha]]='Ajuste de fechas'!$A$2,"Día actual","Día anterior")</f>
        <v>Día anterior</v>
      </c>
      <c r="C129" s="3" t="s">
        <v>47</v>
      </c>
      <c r="D129" t="s">
        <v>49</v>
      </c>
      <c r="E129" s="3" t="s">
        <v>133</v>
      </c>
      <c r="F129" s="3" t="s">
        <v>134</v>
      </c>
      <c r="G129" s="3" t="s">
        <v>123</v>
      </c>
      <c r="H129" s="3" t="s">
        <v>11</v>
      </c>
      <c r="I129" s="3" t="s">
        <v>7</v>
      </c>
      <c r="J129" s="3" t="s">
        <v>65</v>
      </c>
      <c r="K129" s="3" t="s">
        <v>39</v>
      </c>
      <c r="L129" s="3" t="s">
        <v>66</v>
      </c>
      <c r="M129">
        <v>1</v>
      </c>
    </row>
    <row r="130" spans="1:13" x14ac:dyDescent="0.25">
      <c r="A130" s="1">
        <v>46139</v>
      </c>
      <c r="B130" s="1" t="str">
        <f ca="1">IF(Información1[[#This Row],[Fecha]]='Ajuste de fechas'!$A$2,"Día actual","Día anterior")</f>
        <v>Día anterior</v>
      </c>
      <c r="C130" s="3" t="s">
        <v>47</v>
      </c>
      <c r="D130" t="s">
        <v>49</v>
      </c>
      <c r="E130" s="3" t="s">
        <v>135</v>
      </c>
      <c r="F130" s="3" t="s">
        <v>134</v>
      </c>
      <c r="G130" s="3" t="s">
        <v>123</v>
      </c>
      <c r="H130" s="3" t="s">
        <v>11</v>
      </c>
      <c r="I130" s="3" t="s">
        <v>7</v>
      </c>
      <c r="J130" s="3" t="s">
        <v>65</v>
      </c>
      <c r="K130" s="3" t="s">
        <v>39</v>
      </c>
      <c r="L130" s="3" t="s">
        <v>66</v>
      </c>
      <c r="M130">
        <v>1</v>
      </c>
    </row>
    <row r="131" spans="1:13" x14ac:dyDescent="0.25">
      <c r="A131" s="1">
        <v>46139</v>
      </c>
      <c r="B131" s="1" t="str">
        <f ca="1">IF(Información1[[#This Row],[Fecha]]='Ajuste de fechas'!$A$2,"Día actual","Día anterior")</f>
        <v>Día anterior</v>
      </c>
      <c r="C131" s="3" t="s">
        <v>47</v>
      </c>
      <c r="D131" t="s">
        <v>49</v>
      </c>
      <c r="E131" s="3" t="s">
        <v>114</v>
      </c>
      <c r="F131" s="3" t="s">
        <v>24</v>
      </c>
      <c r="G131" s="3" t="s">
        <v>115</v>
      </c>
      <c r="H131" s="3" t="s">
        <v>11</v>
      </c>
      <c r="I131" s="3" t="s">
        <v>7</v>
      </c>
      <c r="J131" s="3" t="s">
        <v>65</v>
      </c>
      <c r="K131" s="3" t="s">
        <v>39</v>
      </c>
      <c r="L131" s="3" t="s">
        <v>68</v>
      </c>
      <c r="M131">
        <v>1</v>
      </c>
    </row>
    <row r="132" spans="1:13" x14ac:dyDescent="0.25">
      <c r="A132" s="1">
        <v>46139</v>
      </c>
      <c r="B132" s="1" t="str">
        <f ca="1">IF(Información1[[#This Row],[Fecha]]='Ajuste de fechas'!$A$2,"Día actual","Día anterior")</f>
        <v>Día anterior</v>
      </c>
      <c r="C132" s="3" t="s">
        <v>34</v>
      </c>
      <c r="D132" t="s">
        <v>37</v>
      </c>
      <c r="E132" s="3" t="s">
        <v>136</v>
      </c>
      <c r="F132" s="3" t="s">
        <v>23</v>
      </c>
      <c r="G132" s="3" t="s">
        <v>106</v>
      </c>
      <c r="H132" s="3" t="s">
        <v>11</v>
      </c>
      <c r="I132" s="3" t="s">
        <v>7</v>
      </c>
      <c r="J132" s="3" t="s">
        <v>70</v>
      </c>
      <c r="K132" s="3" t="s">
        <v>35</v>
      </c>
      <c r="L132" s="3" t="s">
        <v>66</v>
      </c>
      <c r="M132">
        <v>1</v>
      </c>
    </row>
    <row r="133" spans="1:13" x14ac:dyDescent="0.25">
      <c r="A133" s="1">
        <v>46139</v>
      </c>
      <c r="B133" s="1" t="str">
        <f ca="1">IF(Información1[[#This Row],[Fecha]]='Ajuste de fechas'!$A$2,"Día actual","Día anterior")</f>
        <v>Día anterior</v>
      </c>
      <c r="C133" s="3" t="s">
        <v>8</v>
      </c>
      <c r="D133" t="s">
        <v>10</v>
      </c>
      <c r="E133" s="3" t="s">
        <v>137</v>
      </c>
      <c r="F133" s="3" t="s">
        <v>23</v>
      </c>
      <c r="G133" s="3" t="s">
        <v>106</v>
      </c>
      <c r="H133" s="3" t="s">
        <v>11</v>
      </c>
      <c r="I133" s="3" t="s">
        <v>27</v>
      </c>
      <c r="J133" s="3" t="s">
        <v>70</v>
      </c>
      <c r="K133" s="3" t="s">
        <v>14</v>
      </c>
      <c r="L133" s="3" t="s">
        <v>66</v>
      </c>
      <c r="M133">
        <v>1</v>
      </c>
    </row>
    <row r="134" spans="1:13" x14ac:dyDescent="0.25">
      <c r="A134" s="1">
        <v>46139</v>
      </c>
      <c r="B134" s="1" t="str">
        <f ca="1">IF(Información1[[#This Row],[Fecha]]='Ajuste de fechas'!$A$2,"Día actual","Día anterior")</f>
        <v>Día anterior</v>
      </c>
      <c r="C134" s="3" t="s">
        <v>8</v>
      </c>
      <c r="D134" t="s">
        <v>10</v>
      </c>
      <c r="E134" s="3" t="s">
        <v>138</v>
      </c>
      <c r="F134" s="3" t="s">
        <v>17</v>
      </c>
      <c r="G134" s="3" t="s">
        <v>139</v>
      </c>
      <c r="H134" s="3" t="s">
        <v>11</v>
      </c>
      <c r="I134" s="3" t="s">
        <v>7</v>
      </c>
      <c r="J134" s="3" t="s">
        <v>65</v>
      </c>
      <c r="K134" s="3" t="s">
        <v>14</v>
      </c>
      <c r="L134" s="3" t="s">
        <v>66</v>
      </c>
      <c r="M134">
        <v>1</v>
      </c>
    </row>
    <row r="135" spans="1:13" x14ac:dyDescent="0.25">
      <c r="A135" s="1">
        <v>46139</v>
      </c>
      <c r="B135" s="1" t="str">
        <f ca="1">IF(Información1[[#This Row],[Fecha]]='Ajuste de fechas'!$A$2,"Día actual","Día anterior")</f>
        <v>Día anterior</v>
      </c>
      <c r="C135" s="3" t="s">
        <v>8</v>
      </c>
      <c r="D135" t="s">
        <v>10</v>
      </c>
      <c r="E135" s="3" t="s">
        <v>140</v>
      </c>
      <c r="F135" s="3" t="s">
        <v>6</v>
      </c>
      <c r="G135" s="3" t="s">
        <v>141</v>
      </c>
      <c r="H135" s="3" t="s">
        <v>11</v>
      </c>
      <c r="I135" s="3" t="s">
        <v>27</v>
      </c>
      <c r="J135" s="3" t="s">
        <v>65</v>
      </c>
      <c r="K135" s="3" t="s">
        <v>14</v>
      </c>
      <c r="L135" s="3" t="s">
        <v>67</v>
      </c>
      <c r="M135">
        <v>1</v>
      </c>
    </row>
    <row r="136" spans="1:13" x14ac:dyDescent="0.25">
      <c r="A136" s="1">
        <v>46139</v>
      </c>
      <c r="B136" s="1" t="str">
        <f ca="1">IF(Información1[[#This Row],[Fecha]]='Ajuste de fechas'!$A$2,"Día actual","Día anterior")</f>
        <v>Día anterior</v>
      </c>
      <c r="C136" s="3" t="s">
        <v>8</v>
      </c>
      <c r="D136" t="s">
        <v>10</v>
      </c>
      <c r="E136" s="3" t="s">
        <v>142</v>
      </c>
      <c r="F136" s="3" t="s">
        <v>15</v>
      </c>
      <c r="G136" s="3" t="s">
        <v>143</v>
      </c>
      <c r="H136" s="3" t="s">
        <v>11</v>
      </c>
      <c r="I136" s="3" t="s">
        <v>7</v>
      </c>
      <c r="J136" s="3" t="s">
        <v>65</v>
      </c>
      <c r="K136" s="3" t="s">
        <v>14</v>
      </c>
      <c r="L136" s="3" t="s">
        <v>66</v>
      </c>
      <c r="M136">
        <v>1</v>
      </c>
    </row>
    <row r="137" spans="1:13" x14ac:dyDescent="0.25">
      <c r="A137" s="1">
        <v>46139</v>
      </c>
      <c r="B137" s="1" t="str">
        <f ca="1">IF(Información1[[#This Row],[Fecha]]='Ajuste de fechas'!$A$2,"Día actual","Día anterior")</f>
        <v>Día anterior</v>
      </c>
      <c r="C137" s="3" t="s">
        <v>8</v>
      </c>
      <c r="D137" t="s">
        <v>10</v>
      </c>
      <c r="E137" s="3" t="s">
        <v>20</v>
      </c>
      <c r="F137" s="3" t="s">
        <v>19</v>
      </c>
      <c r="G137" s="3" t="s">
        <v>56</v>
      </c>
      <c r="H137" s="3" t="s">
        <v>11</v>
      </c>
      <c r="I137" s="3" t="s">
        <v>12</v>
      </c>
      <c r="J137" s="3" t="s">
        <v>69</v>
      </c>
      <c r="K137" s="3" t="s">
        <v>14</v>
      </c>
      <c r="L137" s="3" t="s">
        <v>67</v>
      </c>
      <c r="M137">
        <v>1</v>
      </c>
    </row>
    <row r="138" spans="1:13" x14ac:dyDescent="0.25">
      <c r="A138" s="1">
        <v>46139</v>
      </c>
      <c r="B138" s="1" t="str">
        <f ca="1">IF(Información1[[#This Row],[Fecha]]='Ajuste de fechas'!$A$2,"Día actual","Día anterior")</f>
        <v>Día anterior</v>
      </c>
      <c r="C138" s="3" t="s">
        <v>8</v>
      </c>
      <c r="D138" t="s">
        <v>10</v>
      </c>
      <c r="E138" s="3" t="s">
        <v>18</v>
      </c>
      <c r="F138" s="3" t="s">
        <v>19</v>
      </c>
      <c r="G138" s="3" t="s">
        <v>56</v>
      </c>
      <c r="H138" s="3" t="s">
        <v>11</v>
      </c>
      <c r="I138" s="3" t="s">
        <v>12</v>
      </c>
      <c r="J138" s="3" t="s">
        <v>69</v>
      </c>
      <c r="K138" s="3" t="s">
        <v>14</v>
      </c>
      <c r="L138" s="3" t="s">
        <v>67</v>
      </c>
      <c r="M138">
        <v>1</v>
      </c>
    </row>
    <row r="139" spans="1:13" x14ac:dyDescent="0.25">
      <c r="A139" s="1">
        <v>46139</v>
      </c>
      <c r="B139" s="1" t="str">
        <f ca="1">IF(Información1[[#This Row],[Fecha]]='Ajuste de fechas'!$A$2,"Día actual","Día anterior")</f>
        <v>Día anterior</v>
      </c>
      <c r="C139" s="3" t="s">
        <v>8</v>
      </c>
      <c r="D139" t="s">
        <v>10</v>
      </c>
      <c r="E139" s="3" t="s">
        <v>55</v>
      </c>
      <c r="F139" s="3" t="s">
        <v>22</v>
      </c>
      <c r="G139" s="3" t="s">
        <v>56</v>
      </c>
      <c r="H139" s="3" t="s">
        <v>11</v>
      </c>
      <c r="I139" s="3" t="s">
        <v>12</v>
      </c>
      <c r="J139" s="3" t="s">
        <v>26</v>
      </c>
      <c r="K139" s="3" t="s">
        <v>14</v>
      </c>
      <c r="L139" s="3" t="s">
        <v>67</v>
      </c>
      <c r="M139">
        <v>1</v>
      </c>
    </row>
    <row r="140" spans="1:13" x14ac:dyDescent="0.25">
      <c r="A140" s="1">
        <v>46139</v>
      </c>
      <c r="B140" s="1" t="str">
        <f ca="1">IF(Información1[[#This Row],[Fecha]]='Ajuste de fechas'!$A$2,"Día actual","Día anterior")</f>
        <v>Día anterior</v>
      </c>
      <c r="C140" s="3" t="s">
        <v>8</v>
      </c>
      <c r="D140" t="s">
        <v>10</v>
      </c>
      <c r="E140" s="3" t="s">
        <v>86</v>
      </c>
      <c r="F140" s="3" t="s">
        <v>21</v>
      </c>
      <c r="G140" s="3" t="s">
        <v>56</v>
      </c>
      <c r="H140" s="3" t="s">
        <v>11</v>
      </c>
      <c r="I140" s="3" t="s">
        <v>12</v>
      </c>
      <c r="J140" s="3" t="s">
        <v>65</v>
      </c>
      <c r="K140" s="3" t="s">
        <v>14</v>
      </c>
      <c r="L140" s="3" t="s">
        <v>67</v>
      </c>
      <c r="M140">
        <v>1</v>
      </c>
    </row>
    <row r="141" spans="1:13" x14ac:dyDescent="0.25">
      <c r="A141" s="1">
        <v>46139</v>
      </c>
      <c r="B141" s="1" t="str">
        <f ca="1">IF(Información1[[#This Row],[Fecha]]='Ajuste de fechas'!$A$2,"Día actual","Día anterior")</f>
        <v>Día anterior</v>
      </c>
      <c r="C141" s="3" t="s">
        <v>8</v>
      </c>
      <c r="D141" t="s">
        <v>10</v>
      </c>
      <c r="E141" s="3" t="s">
        <v>13</v>
      </c>
      <c r="F141" s="3" t="s">
        <v>15</v>
      </c>
      <c r="G141" s="3" t="s">
        <v>56</v>
      </c>
      <c r="H141" s="3" t="s">
        <v>11</v>
      </c>
      <c r="I141" s="3" t="s">
        <v>12</v>
      </c>
      <c r="J141" s="3" t="s">
        <v>65</v>
      </c>
      <c r="K141" s="3" t="s">
        <v>14</v>
      </c>
      <c r="L141" s="3" t="s">
        <v>67</v>
      </c>
      <c r="M141">
        <v>1</v>
      </c>
    </row>
    <row r="142" spans="1:13" x14ac:dyDescent="0.25">
      <c r="A142" s="1">
        <v>46139</v>
      </c>
      <c r="B142" s="1" t="str">
        <f ca="1">IF(Información1[[#This Row],[Fecha]]='Ajuste de fechas'!$A$2,"Día actual","Día anterior")</f>
        <v>Día anterior</v>
      </c>
      <c r="C142" s="3" t="s">
        <v>8</v>
      </c>
      <c r="D142" t="s">
        <v>10</v>
      </c>
      <c r="E142" s="3" t="s">
        <v>16</v>
      </c>
      <c r="F142" s="3" t="s">
        <v>17</v>
      </c>
      <c r="G142" s="3" t="s">
        <v>56</v>
      </c>
      <c r="H142" s="3" t="s">
        <v>11</v>
      </c>
      <c r="I142" s="3" t="s">
        <v>12</v>
      </c>
      <c r="J142" s="3" t="s">
        <v>65</v>
      </c>
      <c r="K142" s="3" t="s">
        <v>14</v>
      </c>
      <c r="L142" s="3" t="s">
        <v>67</v>
      </c>
      <c r="M142">
        <v>1</v>
      </c>
    </row>
    <row r="143" spans="1:13" x14ac:dyDescent="0.25">
      <c r="A143" s="1">
        <v>46139</v>
      </c>
      <c r="B143" s="1" t="str">
        <f ca="1">IF(Información1[[#This Row],[Fecha]]='Ajuste de fechas'!$A$2,"Día actual","Día anterior")</f>
        <v>Día anterior</v>
      </c>
      <c r="C143" s="3" t="s">
        <v>8</v>
      </c>
      <c r="D143" t="s">
        <v>10</v>
      </c>
      <c r="E143" s="3" t="s">
        <v>58</v>
      </c>
      <c r="F143" s="3" t="s">
        <v>6</v>
      </c>
      <c r="G143" s="3" t="s">
        <v>56</v>
      </c>
      <c r="H143" s="3" t="s">
        <v>11</v>
      </c>
      <c r="I143" s="3" t="s">
        <v>12</v>
      </c>
      <c r="J143" s="3" t="s">
        <v>65</v>
      </c>
      <c r="K143" s="3" t="s">
        <v>14</v>
      </c>
      <c r="L143" s="3" t="s">
        <v>67</v>
      </c>
      <c r="M143">
        <v>1</v>
      </c>
    </row>
    <row r="144" spans="1:13" x14ac:dyDescent="0.25">
      <c r="A144" s="1">
        <v>46139</v>
      </c>
      <c r="B144" s="1" t="str">
        <f ca="1">IF(Información1[[#This Row],[Fecha]]='Ajuste de fechas'!$A$2,"Día actual","Día anterior")</f>
        <v>Día anterior</v>
      </c>
      <c r="C144" s="3" t="s">
        <v>34</v>
      </c>
      <c r="D144" t="s">
        <v>37</v>
      </c>
      <c r="E144" s="3" t="s">
        <v>119</v>
      </c>
      <c r="F144" s="3" t="s">
        <v>28</v>
      </c>
      <c r="G144" s="3" t="s">
        <v>120</v>
      </c>
      <c r="H144" s="3" t="s">
        <v>11</v>
      </c>
      <c r="I144" s="3" t="s">
        <v>7</v>
      </c>
      <c r="J144" s="3" t="s">
        <v>65</v>
      </c>
      <c r="K144" s="3" t="s">
        <v>57</v>
      </c>
      <c r="L144" s="3" t="s">
        <v>68</v>
      </c>
      <c r="M144">
        <v>1</v>
      </c>
    </row>
    <row r="145" spans="1:13" x14ac:dyDescent="0.25">
      <c r="A145" s="1">
        <v>46139</v>
      </c>
      <c r="B145" s="1" t="str">
        <f ca="1">IF(Información1[[#This Row],[Fecha]]='Ajuste de fechas'!$A$2,"Día actual","Día anterior")</f>
        <v>Día anterior</v>
      </c>
      <c r="C145" s="3" t="s">
        <v>34</v>
      </c>
      <c r="D145" t="s">
        <v>37</v>
      </c>
      <c r="E145" s="3" t="s">
        <v>144</v>
      </c>
      <c r="F145" s="3" t="s">
        <v>23</v>
      </c>
      <c r="G145" s="3" t="s">
        <v>120</v>
      </c>
      <c r="H145" s="3" t="s">
        <v>11</v>
      </c>
      <c r="I145" s="3" t="s">
        <v>7</v>
      </c>
      <c r="J145" s="3" t="s">
        <v>70</v>
      </c>
      <c r="K145" s="3" t="s">
        <v>35</v>
      </c>
      <c r="L145" s="3" t="s">
        <v>66</v>
      </c>
      <c r="M145">
        <v>1</v>
      </c>
    </row>
    <row r="146" spans="1:13" x14ac:dyDescent="0.25">
      <c r="A146" s="1">
        <v>46139</v>
      </c>
      <c r="B146" s="1" t="str">
        <f ca="1">IF(Información1[[#This Row],[Fecha]]='Ajuste de fechas'!$A$2,"Día actual","Día anterior")</f>
        <v>Día anterior</v>
      </c>
      <c r="C146" s="3" t="s">
        <v>34</v>
      </c>
      <c r="D146" t="s">
        <v>37</v>
      </c>
      <c r="E146" s="3" t="s">
        <v>145</v>
      </c>
      <c r="F146" s="3" t="s">
        <v>23</v>
      </c>
      <c r="G146" s="3" t="s">
        <v>76</v>
      </c>
      <c r="H146" s="3" t="s">
        <v>11</v>
      </c>
      <c r="I146" s="3" t="s">
        <v>7</v>
      </c>
      <c r="J146" s="3" t="s">
        <v>70</v>
      </c>
      <c r="K146" s="3" t="s">
        <v>35</v>
      </c>
      <c r="L146" s="3" t="s">
        <v>66</v>
      </c>
      <c r="M146">
        <v>1</v>
      </c>
    </row>
    <row r="147" spans="1:13" x14ac:dyDescent="0.25">
      <c r="A147" s="1">
        <v>46139</v>
      </c>
      <c r="B147" s="1" t="str">
        <f ca="1">IF(Información1[[#This Row],[Fecha]]='Ajuste de fechas'!$A$2,"Día actual","Día anterior")</f>
        <v>Día anterior</v>
      </c>
      <c r="C147" s="3" t="s">
        <v>34</v>
      </c>
      <c r="D147" t="s">
        <v>37</v>
      </c>
      <c r="E147" s="3" t="s">
        <v>113</v>
      </c>
      <c r="F147" s="3" t="s">
        <v>24</v>
      </c>
      <c r="G147" s="3" t="s">
        <v>76</v>
      </c>
      <c r="H147" s="3" t="s">
        <v>11</v>
      </c>
      <c r="I147" s="3" t="s">
        <v>7</v>
      </c>
      <c r="J147" s="3" t="s">
        <v>65</v>
      </c>
      <c r="K147" s="3" t="s">
        <v>35</v>
      </c>
      <c r="L147" s="3" t="s">
        <v>66</v>
      </c>
      <c r="M147">
        <v>1</v>
      </c>
    </row>
    <row r="148" spans="1:13" x14ac:dyDescent="0.25">
      <c r="A148" s="1">
        <v>46139</v>
      </c>
      <c r="B148" s="1" t="str">
        <f ca="1">IF(Información1[[#This Row],[Fecha]]='Ajuste de fechas'!$A$2,"Día actual","Día anterior")</f>
        <v>Día anterior</v>
      </c>
      <c r="C148" s="3" t="s">
        <v>34</v>
      </c>
      <c r="D148" t="s">
        <v>37</v>
      </c>
      <c r="E148" s="3" t="s">
        <v>146</v>
      </c>
      <c r="F148" s="3" t="s">
        <v>46</v>
      </c>
      <c r="G148" s="3" t="s">
        <v>147</v>
      </c>
      <c r="H148" s="3" t="s">
        <v>11</v>
      </c>
      <c r="I148" s="3" t="s">
        <v>7</v>
      </c>
      <c r="J148" s="3" t="s">
        <v>65</v>
      </c>
      <c r="K148" s="3" t="s">
        <v>35</v>
      </c>
      <c r="L148" s="3" t="s">
        <v>66</v>
      </c>
      <c r="M148">
        <v>1</v>
      </c>
    </row>
    <row r="149" spans="1:13" x14ac:dyDescent="0.25">
      <c r="A149" s="1">
        <v>46139</v>
      </c>
      <c r="B149" s="1" t="str">
        <f ca="1">IF(Información1[[#This Row],[Fecha]]='Ajuste de fechas'!$A$2,"Día actual","Día anterior")</f>
        <v>Día anterior</v>
      </c>
      <c r="C149" s="3" t="s">
        <v>34</v>
      </c>
      <c r="D149" t="s">
        <v>37</v>
      </c>
      <c r="E149" s="3" t="s">
        <v>148</v>
      </c>
      <c r="F149" s="3" t="s">
        <v>82</v>
      </c>
      <c r="G149" s="3" t="s">
        <v>79</v>
      </c>
      <c r="H149" s="3" t="s">
        <v>11</v>
      </c>
      <c r="I149" s="3" t="s">
        <v>7</v>
      </c>
      <c r="J149" s="3" t="s">
        <v>65</v>
      </c>
      <c r="K149" s="3" t="s">
        <v>57</v>
      </c>
      <c r="L149" s="3" t="s">
        <v>68</v>
      </c>
      <c r="M149">
        <v>1</v>
      </c>
    </row>
    <row r="150" spans="1:13" x14ac:dyDescent="0.25">
      <c r="A150" s="1">
        <v>46139</v>
      </c>
      <c r="B150" s="1" t="str">
        <f ca="1">IF(Información1[[#This Row],[Fecha]]='Ajuste de fechas'!$A$2,"Día actual","Día anterior")</f>
        <v>Día anterior</v>
      </c>
      <c r="C150" s="3" t="s">
        <v>34</v>
      </c>
      <c r="D150" t="s">
        <v>37</v>
      </c>
      <c r="E150" s="3" t="s">
        <v>149</v>
      </c>
      <c r="F150" s="3" t="s">
        <v>82</v>
      </c>
      <c r="G150" s="3" t="s">
        <v>79</v>
      </c>
      <c r="H150" s="3" t="s">
        <v>11</v>
      </c>
      <c r="I150" s="3" t="s">
        <v>7</v>
      </c>
      <c r="J150" s="3" t="s">
        <v>65</v>
      </c>
      <c r="K150" s="3" t="s">
        <v>35</v>
      </c>
      <c r="L150" s="3" t="s">
        <v>68</v>
      </c>
      <c r="M150">
        <v>1</v>
      </c>
    </row>
    <row r="151" spans="1:13" x14ac:dyDescent="0.25">
      <c r="A151" s="1">
        <v>46139</v>
      </c>
      <c r="B151" s="1" t="str">
        <f ca="1">IF(Información1[[#This Row],[Fecha]]='Ajuste de fechas'!$A$2,"Día actual","Día anterior")</f>
        <v>Día anterior</v>
      </c>
      <c r="C151" s="3" t="s">
        <v>8</v>
      </c>
      <c r="D151" t="s">
        <v>10</v>
      </c>
      <c r="E151" s="3" t="s">
        <v>150</v>
      </c>
      <c r="F151" s="3" t="s">
        <v>19</v>
      </c>
      <c r="G151" s="3" t="s">
        <v>151</v>
      </c>
      <c r="H151" s="3" t="s">
        <v>11</v>
      </c>
      <c r="I151" s="3" t="s">
        <v>7</v>
      </c>
      <c r="J151" s="3" t="s">
        <v>69</v>
      </c>
      <c r="K151" s="3" t="s">
        <v>14</v>
      </c>
      <c r="L151" s="3" t="s">
        <v>66</v>
      </c>
      <c r="M151">
        <v>1</v>
      </c>
    </row>
    <row r="152" spans="1:13" x14ac:dyDescent="0.25">
      <c r="A152" s="1">
        <v>46139</v>
      </c>
      <c r="B152" s="1" t="str">
        <f ca="1">IF(Información1[[#This Row],[Fecha]]='Ajuste de fechas'!$A$2,"Día actual","Día anterior")</f>
        <v>Día anterior</v>
      </c>
      <c r="C152" s="3" t="s">
        <v>8</v>
      </c>
      <c r="D152" t="s">
        <v>10</v>
      </c>
      <c r="E152" s="3" t="s">
        <v>152</v>
      </c>
      <c r="F152" s="3" t="s">
        <v>19</v>
      </c>
      <c r="G152" s="3" t="s">
        <v>153</v>
      </c>
      <c r="H152" s="3" t="s">
        <v>11</v>
      </c>
      <c r="I152" s="3" t="s">
        <v>7</v>
      </c>
      <c r="J152" s="3" t="s">
        <v>69</v>
      </c>
      <c r="K152" s="3" t="s">
        <v>14</v>
      </c>
      <c r="L152" s="3" t="s">
        <v>66</v>
      </c>
      <c r="M152">
        <v>1</v>
      </c>
    </row>
    <row r="153" spans="1:13" x14ac:dyDescent="0.25">
      <c r="A153" s="1">
        <v>46139</v>
      </c>
      <c r="B153" s="1" t="str">
        <f ca="1">IF(Información1[[#This Row],[Fecha]]='Ajuste de fechas'!$A$2,"Día actual","Día anterior")</f>
        <v>Día anterior</v>
      </c>
      <c r="C153" s="3" t="s">
        <v>8</v>
      </c>
      <c r="D153" t="s">
        <v>10</v>
      </c>
      <c r="E153" s="3" t="s">
        <v>154</v>
      </c>
      <c r="F153" s="3" t="s">
        <v>6</v>
      </c>
      <c r="G153" s="3" t="s">
        <v>80</v>
      </c>
      <c r="H153" s="3" t="s">
        <v>11</v>
      </c>
      <c r="I153" s="3" t="s">
        <v>27</v>
      </c>
      <c r="J153" s="3" t="s">
        <v>65</v>
      </c>
      <c r="K153" s="3" t="s">
        <v>14</v>
      </c>
      <c r="L153" s="3" t="s">
        <v>67</v>
      </c>
      <c r="M153">
        <v>1</v>
      </c>
    </row>
    <row r="154" spans="1:13" x14ac:dyDescent="0.25">
      <c r="A154" s="1">
        <v>46139</v>
      </c>
      <c r="B154" s="1" t="str">
        <f ca="1">IF(Información1[[#This Row],[Fecha]]='Ajuste de fechas'!$A$2,"Día actual","Día anterior")</f>
        <v>Día anterior</v>
      </c>
      <c r="C154" s="3" t="s">
        <v>8</v>
      </c>
      <c r="D154" t="s">
        <v>10</v>
      </c>
      <c r="E154" s="3" t="s">
        <v>155</v>
      </c>
      <c r="F154" s="3" t="s">
        <v>6</v>
      </c>
      <c r="G154" s="3" t="s">
        <v>156</v>
      </c>
      <c r="H154" s="3" t="s">
        <v>11</v>
      </c>
      <c r="I154" s="3" t="s">
        <v>27</v>
      </c>
      <c r="J154" s="3" t="s">
        <v>65</v>
      </c>
      <c r="K154" s="3" t="s">
        <v>14</v>
      </c>
      <c r="L154" s="3" t="s">
        <v>67</v>
      </c>
      <c r="M154">
        <v>1</v>
      </c>
    </row>
    <row r="155" spans="1:13" x14ac:dyDescent="0.25">
      <c r="A155" s="1">
        <v>46139</v>
      </c>
      <c r="B155" s="1" t="str">
        <f ca="1">IF(Información1[[#This Row],[Fecha]]='Ajuste de fechas'!$A$2,"Día actual","Día anterior")</f>
        <v>Día anterior</v>
      </c>
      <c r="C155" s="3" t="s">
        <v>34</v>
      </c>
      <c r="D155" t="s">
        <v>37</v>
      </c>
      <c r="E155" s="3" t="s">
        <v>157</v>
      </c>
      <c r="F155" s="3" t="s">
        <v>28</v>
      </c>
      <c r="G155" s="3" t="s">
        <v>158</v>
      </c>
      <c r="H155" s="3" t="s">
        <v>11</v>
      </c>
      <c r="I155" s="3" t="s">
        <v>7</v>
      </c>
      <c r="J155" s="3" t="s">
        <v>65</v>
      </c>
      <c r="K155" s="3" t="s">
        <v>35</v>
      </c>
      <c r="L155" s="3" t="s">
        <v>66</v>
      </c>
      <c r="M155">
        <v>1</v>
      </c>
    </row>
    <row r="156" spans="1:13" x14ac:dyDescent="0.25">
      <c r="A156" s="1">
        <v>46139</v>
      </c>
      <c r="B156" s="1" t="str">
        <f ca="1">IF(Información1[[#This Row],[Fecha]]='Ajuste de fechas'!$A$2,"Día actual","Día anterior")</f>
        <v>Día anterior</v>
      </c>
      <c r="C156" s="3" t="s">
        <v>34</v>
      </c>
      <c r="D156" t="s">
        <v>37</v>
      </c>
      <c r="E156" s="3" t="s">
        <v>159</v>
      </c>
      <c r="F156" s="3" t="s">
        <v>25</v>
      </c>
      <c r="G156" s="3" t="s">
        <v>77</v>
      </c>
      <c r="H156" s="3" t="s">
        <v>11</v>
      </c>
      <c r="I156" s="3" t="s">
        <v>7</v>
      </c>
      <c r="J156" s="3" t="s">
        <v>65</v>
      </c>
      <c r="K156" s="3" t="s">
        <v>57</v>
      </c>
      <c r="L156" s="3" t="s">
        <v>66</v>
      </c>
      <c r="M156">
        <v>1</v>
      </c>
    </row>
    <row r="157" spans="1:13" x14ac:dyDescent="0.25">
      <c r="A157" s="1">
        <v>46139</v>
      </c>
      <c r="B157" s="1" t="str">
        <f ca="1">IF(Información1[[#This Row],[Fecha]]='Ajuste de fechas'!$A$2,"Día actual","Día anterior")</f>
        <v>Día anterior</v>
      </c>
      <c r="C157" s="3" t="s">
        <v>34</v>
      </c>
      <c r="D157" t="s">
        <v>37</v>
      </c>
      <c r="E157" s="3" t="s">
        <v>160</v>
      </c>
      <c r="F157" s="3" t="s">
        <v>84</v>
      </c>
      <c r="G157" s="3" t="s">
        <v>77</v>
      </c>
      <c r="H157" s="3" t="s">
        <v>11</v>
      </c>
      <c r="I157" s="3" t="s">
        <v>7</v>
      </c>
      <c r="J157" s="3" t="s">
        <v>65</v>
      </c>
      <c r="K157" s="3" t="s">
        <v>57</v>
      </c>
      <c r="L157" s="3" t="s">
        <v>68</v>
      </c>
      <c r="M157">
        <v>1</v>
      </c>
    </row>
    <row r="158" spans="1:13" x14ac:dyDescent="0.25">
      <c r="A158" s="1">
        <v>46139</v>
      </c>
      <c r="B158" s="1" t="str">
        <f ca="1">IF(Información1[[#This Row],[Fecha]]='Ajuste de fechas'!$A$2,"Día actual","Día anterior")</f>
        <v>Día anterior</v>
      </c>
      <c r="C158" s="3" t="s">
        <v>34</v>
      </c>
      <c r="D158" t="s">
        <v>37</v>
      </c>
      <c r="E158" s="3" t="s">
        <v>161</v>
      </c>
      <c r="F158" s="3" t="s">
        <v>23</v>
      </c>
      <c r="G158" s="3" t="s">
        <v>162</v>
      </c>
      <c r="H158" s="3" t="s">
        <v>11</v>
      </c>
      <c r="I158" s="3" t="s">
        <v>7</v>
      </c>
      <c r="J158" s="3" t="s">
        <v>70</v>
      </c>
      <c r="K158" s="3" t="s">
        <v>57</v>
      </c>
      <c r="L158" s="3" t="s">
        <v>66</v>
      </c>
      <c r="M158">
        <v>1</v>
      </c>
    </row>
    <row r="159" spans="1:13" x14ac:dyDescent="0.25">
      <c r="A159" s="1">
        <v>46139</v>
      </c>
      <c r="B159" s="1" t="str">
        <f ca="1">IF(Información1[[#This Row],[Fecha]]='Ajuste de fechas'!$A$2,"Día actual","Día anterior")</f>
        <v>Día anterior</v>
      </c>
      <c r="C159" s="3" t="s">
        <v>34</v>
      </c>
      <c r="D159" t="s">
        <v>37</v>
      </c>
      <c r="E159" s="3" t="s">
        <v>125</v>
      </c>
      <c r="F159" s="3" t="s">
        <v>26</v>
      </c>
      <c r="G159" s="3" t="s">
        <v>126</v>
      </c>
      <c r="H159" s="3" t="s">
        <v>11</v>
      </c>
      <c r="I159" s="3" t="s">
        <v>7</v>
      </c>
      <c r="J159" s="3" t="s">
        <v>26</v>
      </c>
      <c r="K159" s="3" t="s">
        <v>57</v>
      </c>
      <c r="L159" s="3" t="s">
        <v>66</v>
      </c>
      <c r="M159">
        <v>1</v>
      </c>
    </row>
    <row r="160" spans="1:13" x14ac:dyDescent="0.25">
      <c r="A160" s="1">
        <v>46139</v>
      </c>
      <c r="B160" s="1" t="str">
        <f ca="1">IF(Información1[[#This Row],[Fecha]]='Ajuste de fechas'!$A$2,"Día actual","Día anterior")</f>
        <v>Día anterior</v>
      </c>
      <c r="C160" s="3" t="s">
        <v>34</v>
      </c>
      <c r="D160" t="s">
        <v>37</v>
      </c>
      <c r="E160" s="3" t="s">
        <v>125</v>
      </c>
      <c r="F160" s="3" t="s">
        <v>26</v>
      </c>
      <c r="G160" s="3" t="s">
        <v>126</v>
      </c>
      <c r="H160" s="3" t="s">
        <v>11</v>
      </c>
      <c r="I160" s="3" t="s">
        <v>7</v>
      </c>
      <c r="J160" s="3" t="s">
        <v>26</v>
      </c>
      <c r="K160" s="3" t="s">
        <v>35</v>
      </c>
      <c r="L160" s="3" t="s">
        <v>66</v>
      </c>
      <c r="M160">
        <v>1</v>
      </c>
    </row>
    <row r="161" spans="1:13" x14ac:dyDescent="0.25">
      <c r="A161" s="1">
        <v>46139</v>
      </c>
      <c r="B161" s="1" t="str">
        <f ca="1">IF(Información1[[#This Row],[Fecha]]='Ajuste de fechas'!$A$2,"Día actual","Día anterior")</f>
        <v>Día anterior</v>
      </c>
      <c r="C161" s="3" t="s">
        <v>8</v>
      </c>
      <c r="D161" t="s">
        <v>10</v>
      </c>
      <c r="E161" s="3" t="s">
        <v>163</v>
      </c>
      <c r="F161" s="3" t="s">
        <v>19</v>
      </c>
      <c r="G161" s="3" t="s">
        <v>164</v>
      </c>
      <c r="H161" s="3" t="s">
        <v>11</v>
      </c>
      <c r="I161" s="3" t="s">
        <v>7</v>
      </c>
      <c r="J161" s="3" t="s">
        <v>69</v>
      </c>
      <c r="K161" s="3" t="s">
        <v>14</v>
      </c>
      <c r="L161" s="3" t="s">
        <v>71</v>
      </c>
      <c r="M161">
        <v>1</v>
      </c>
    </row>
    <row r="162" spans="1:13" x14ac:dyDescent="0.25">
      <c r="A162" s="1">
        <v>46139</v>
      </c>
      <c r="B162" s="1" t="str">
        <f ca="1">IF(Información1[[#This Row],[Fecha]]='Ajuste de fechas'!$A$2,"Día actual","Día anterior")</f>
        <v>Día anterior</v>
      </c>
      <c r="C162" s="3" t="s">
        <v>34</v>
      </c>
      <c r="D162" t="s">
        <v>37</v>
      </c>
      <c r="E162" s="3" t="s">
        <v>165</v>
      </c>
      <c r="F162" s="3" t="s">
        <v>23</v>
      </c>
      <c r="G162" s="3" t="s">
        <v>89</v>
      </c>
      <c r="H162" s="3" t="s">
        <v>11</v>
      </c>
      <c r="I162" s="3" t="s">
        <v>7</v>
      </c>
      <c r="J162" s="3" t="s">
        <v>70</v>
      </c>
      <c r="K162" s="3" t="s">
        <v>57</v>
      </c>
      <c r="L162" s="3" t="s">
        <v>66</v>
      </c>
      <c r="M162">
        <v>1</v>
      </c>
    </row>
    <row r="163" spans="1:13" x14ac:dyDescent="0.25">
      <c r="A163" s="1">
        <v>46139</v>
      </c>
      <c r="B163" s="1" t="str">
        <f ca="1">IF(Información1[[#This Row],[Fecha]]='Ajuste de fechas'!$A$2,"Día actual","Día anterior")</f>
        <v>Día anterior</v>
      </c>
      <c r="C163" s="3" t="s">
        <v>8</v>
      </c>
      <c r="D163" t="s">
        <v>10</v>
      </c>
      <c r="E163" s="3" t="s">
        <v>166</v>
      </c>
      <c r="F163" s="3" t="s">
        <v>23</v>
      </c>
      <c r="G163" s="3" t="s">
        <v>93</v>
      </c>
      <c r="H163" s="3" t="s">
        <v>11</v>
      </c>
      <c r="I163" s="3" t="s">
        <v>7</v>
      </c>
      <c r="J163" s="3" t="s">
        <v>70</v>
      </c>
      <c r="K163" s="3" t="s">
        <v>14</v>
      </c>
      <c r="L163" s="3" t="s">
        <v>66</v>
      </c>
      <c r="M163">
        <v>1</v>
      </c>
    </row>
    <row r="164" spans="1:13" x14ac:dyDescent="0.25">
      <c r="A164" s="1">
        <v>46139</v>
      </c>
      <c r="B164" s="1" t="str">
        <f ca="1">IF(Información1[[#This Row],[Fecha]]='Ajuste de fechas'!$A$2,"Día actual","Día anterior")</f>
        <v>Día anterior</v>
      </c>
      <c r="C164" s="3" t="s">
        <v>8</v>
      </c>
      <c r="D164" t="s">
        <v>10</v>
      </c>
      <c r="E164" s="3" t="s">
        <v>167</v>
      </c>
      <c r="F164" s="3" t="s">
        <v>24</v>
      </c>
      <c r="G164" s="3" t="s">
        <v>100</v>
      </c>
      <c r="H164" s="3" t="s">
        <v>11</v>
      </c>
      <c r="I164" s="3" t="s">
        <v>7</v>
      </c>
      <c r="J164" s="3" t="s">
        <v>65</v>
      </c>
      <c r="K164" s="3" t="s">
        <v>14</v>
      </c>
      <c r="L164" s="3" t="s">
        <v>66</v>
      </c>
      <c r="M164">
        <v>1</v>
      </c>
    </row>
    <row r="165" spans="1:13" x14ac:dyDescent="0.25">
      <c r="A165" s="1">
        <v>46139</v>
      </c>
      <c r="B165" s="1" t="str">
        <f ca="1">IF(Información1[[#This Row],[Fecha]]='Ajuste de fechas'!$A$2,"Día actual","Día anterior")</f>
        <v>Día anterior</v>
      </c>
      <c r="C165" s="3" t="s">
        <v>34</v>
      </c>
      <c r="D165" t="s">
        <v>37</v>
      </c>
      <c r="E165" s="3" t="s">
        <v>168</v>
      </c>
      <c r="F165" s="3" t="s">
        <v>19</v>
      </c>
      <c r="G165" s="3" t="s">
        <v>169</v>
      </c>
      <c r="H165" s="3" t="s">
        <v>11</v>
      </c>
      <c r="I165" s="3" t="s">
        <v>7</v>
      </c>
      <c r="J165" s="3" t="s">
        <v>69</v>
      </c>
      <c r="K165" s="3" t="s">
        <v>35</v>
      </c>
      <c r="L165" s="3" t="s">
        <v>66</v>
      </c>
      <c r="M165">
        <v>1</v>
      </c>
    </row>
    <row r="166" spans="1:13" x14ac:dyDescent="0.25">
      <c r="A166" s="1">
        <v>46139</v>
      </c>
      <c r="B166" s="1" t="str">
        <f ca="1">IF(Información1[[#This Row],[Fecha]]='Ajuste de fechas'!$A$2,"Día actual","Día anterior")</f>
        <v>Día anterior</v>
      </c>
      <c r="C166" s="3" t="s">
        <v>34</v>
      </c>
      <c r="D166" t="s">
        <v>37</v>
      </c>
      <c r="E166" s="3" t="s">
        <v>170</v>
      </c>
      <c r="F166" s="3" t="s">
        <v>26</v>
      </c>
      <c r="G166" s="3" t="s">
        <v>171</v>
      </c>
      <c r="H166" s="3" t="s">
        <v>11</v>
      </c>
      <c r="I166" s="3" t="s">
        <v>7</v>
      </c>
      <c r="J166" s="3" t="s">
        <v>26</v>
      </c>
      <c r="K166" s="3" t="s">
        <v>57</v>
      </c>
      <c r="L166" s="3" t="s">
        <v>66</v>
      </c>
      <c r="M166">
        <v>1</v>
      </c>
    </row>
    <row r="167" spans="1:13" x14ac:dyDescent="0.25">
      <c r="A167" s="1">
        <v>46139</v>
      </c>
      <c r="B167" s="1" t="str">
        <f ca="1">IF(Información1[[#This Row],[Fecha]]='Ajuste de fechas'!$A$2,"Día actual","Día anterior")</f>
        <v>Día anterior</v>
      </c>
      <c r="C167" s="3" t="s">
        <v>8</v>
      </c>
      <c r="D167" t="s">
        <v>10</v>
      </c>
      <c r="E167" s="3" t="s">
        <v>172</v>
      </c>
      <c r="F167" s="3" t="s">
        <v>19</v>
      </c>
      <c r="G167" s="3" t="s">
        <v>83</v>
      </c>
      <c r="H167" s="3" t="s">
        <v>11</v>
      </c>
      <c r="I167" s="3" t="s">
        <v>27</v>
      </c>
      <c r="J167" s="3" t="s">
        <v>69</v>
      </c>
      <c r="K167" s="3" t="s">
        <v>14</v>
      </c>
      <c r="L167" s="3" t="s">
        <v>67</v>
      </c>
      <c r="M167">
        <v>1</v>
      </c>
    </row>
    <row r="168" spans="1:13" x14ac:dyDescent="0.25">
      <c r="A168" s="1">
        <v>46139</v>
      </c>
      <c r="B168" s="1" t="str">
        <f ca="1">IF(Información1[[#This Row],[Fecha]]='Ajuste de fechas'!$A$2,"Día actual","Día anterior")</f>
        <v>Día anterior</v>
      </c>
      <c r="C168" s="3" t="s">
        <v>34</v>
      </c>
      <c r="D168" t="s">
        <v>37</v>
      </c>
      <c r="E168" s="3" t="s">
        <v>173</v>
      </c>
      <c r="F168" s="3" t="s">
        <v>28</v>
      </c>
      <c r="G168" s="3" t="s">
        <v>90</v>
      </c>
      <c r="H168" s="3" t="s">
        <v>11</v>
      </c>
      <c r="I168" s="3" t="s">
        <v>7</v>
      </c>
      <c r="J168" s="3" t="s">
        <v>65</v>
      </c>
      <c r="K168" s="3" t="s">
        <v>57</v>
      </c>
      <c r="L168" s="3" t="s">
        <v>68</v>
      </c>
      <c r="M168">
        <v>1</v>
      </c>
    </row>
    <row r="169" spans="1:13" x14ac:dyDescent="0.25">
      <c r="A169" s="1">
        <v>46139</v>
      </c>
      <c r="B169" s="1" t="str">
        <f ca="1">IF(Información1[[#This Row],[Fecha]]='Ajuste de fechas'!$A$2,"Día actual","Día anterior")</f>
        <v>Día anterior</v>
      </c>
      <c r="C169" s="3" t="s">
        <v>34</v>
      </c>
      <c r="D169" t="s">
        <v>37</v>
      </c>
      <c r="E169" s="3" t="s">
        <v>174</v>
      </c>
      <c r="F169" s="3" t="s">
        <v>23</v>
      </c>
      <c r="G169" s="3" t="s">
        <v>90</v>
      </c>
      <c r="H169" s="3" t="s">
        <v>11</v>
      </c>
      <c r="I169" s="3" t="s">
        <v>7</v>
      </c>
      <c r="J169" s="3" t="s">
        <v>70</v>
      </c>
      <c r="K169" s="3" t="s">
        <v>35</v>
      </c>
      <c r="L169" s="3" t="s">
        <v>66</v>
      </c>
      <c r="M169">
        <v>1</v>
      </c>
    </row>
    <row r="170" spans="1:13" x14ac:dyDescent="0.25">
      <c r="A170" s="1">
        <v>46139</v>
      </c>
      <c r="B170" s="1" t="str">
        <f ca="1">IF(Información1[[#This Row],[Fecha]]='Ajuste de fechas'!$A$2,"Día actual","Día anterior")</f>
        <v>Día anterior</v>
      </c>
      <c r="C170" s="3" t="s">
        <v>8</v>
      </c>
      <c r="D170" t="s">
        <v>10</v>
      </c>
      <c r="E170" s="3" t="s">
        <v>175</v>
      </c>
      <c r="F170" s="3" t="s">
        <v>23</v>
      </c>
      <c r="G170" s="3" t="s">
        <v>90</v>
      </c>
      <c r="H170" s="3" t="s">
        <v>11</v>
      </c>
      <c r="I170" s="3" t="s">
        <v>7</v>
      </c>
      <c r="J170" s="3" t="s">
        <v>70</v>
      </c>
      <c r="K170" s="3" t="s">
        <v>14</v>
      </c>
      <c r="L170" s="3" t="s">
        <v>66</v>
      </c>
      <c r="M170">
        <v>1</v>
      </c>
    </row>
    <row r="171" spans="1:13" x14ac:dyDescent="0.25">
      <c r="A171" s="1">
        <v>46139</v>
      </c>
      <c r="B171" s="1" t="str">
        <f ca="1">IF(Información1[[#This Row],[Fecha]]='Ajuste de fechas'!$A$2,"Día actual","Día anterior")</f>
        <v>Día anterior</v>
      </c>
      <c r="C171" s="3" t="s">
        <v>34</v>
      </c>
      <c r="D171" t="s">
        <v>37</v>
      </c>
      <c r="E171" s="3" t="s">
        <v>176</v>
      </c>
      <c r="F171" s="3" t="s">
        <v>19</v>
      </c>
      <c r="G171" s="3" t="s">
        <v>177</v>
      </c>
      <c r="H171" s="3" t="s">
        <v>11</v>
      </c>
      <c r="I171" s="3" t="s">
        <v>7</v>
      </c>
      <c r="J171" s="3" t="s">
        <v>69</v>
      </c>
      <c r="K171" s="3" t="s">
        <v>57</v>
      </c>
      <c r="L171" s="3" t="s">
        <v>66</v>
      </c>
      <c r="M171">
        <v>1</v>
      </c>
    </row>
    <row r="172" spans="1:13" x14ac:dyDescent="0.25">
      <c r="A172" s="1">
        <v>46139</v>
      </c>
      <c r="B172" s="1" t="str">
        <f ca="1">IF(Información1[[#This Row],[Fecha]]='Ajuste de fechas'!$A$2,"Día actual","Día anterior")</f>
        <v>Día anterior</v>
      </c>
      <c r="C172" s="3" t="s">
        <v>34</v>
      </c>
      <c r="D172" t="s">
        <v>37</v>
      </c>
      <c r="E172" s="3" t="s">
        <v>178</v>
      </c>
      <c r="F172" s="3" t="s">
        <v>23</v>
      </c>
      <c r="G172" s="3" t="s">
        <v>91</v>
      </c>
      <c r="H172" s="3" t="s">
        <v>11</v>
      </c>
      <c r="I172" s="3" t="s">
        <v>7</v>
      </c>
      <c r="J172" s="3" t="s">
        <v>70</v>
      </c>
      <c r="K172" s="3" t="s">
        <v>35</v>
      </c>
      <c r="L172" s="3" t="s">
        <v>66</v>
      </c>
      <c r="M172">
        <v>1</v>
      </c>
    </row>
    <row r="173" spans="1:13" x14ac:dyDescent="0.25">
      <c r="A173" s="1">
        <v>46139</v>
      </c>
      <c r="B173" s="1" t="str">
        <f ca="1">IF(Información1[[#This Row],[Fecha]]='Ajuste de fechas'!$A$2,"Día actual","Día anterior")</f>
        <v>Día anterior</v>
      </c>
      <c r="C173" s="3" t="s">
        <v>34</v>
      </c>
      <c r="D173" t="s">
        <v>37</v>
      </c>
      <c r="E173" s="3" t="s">
        <v>179</v>
      </c>
      <c r="F173" s="3" t="s">
        <v>23</v>
      </c>
      <c r="G173" s="3" t="s">
        <v>91</v>
      </c>
      <c r="H173" s="3" t="s">
        <v>11</v>
      </c>
      <c r="I173" s="3" t="s">
        <v>7</v>
      </c>
      <c r="J173" s="3" t="s">
        <v>70</v>
      </c>
      <c r="K173" s="3" t="s">
        <v>35</v>
      </c>
      <c r="L173" s="3" t="s">
        <v>66</v>
      </c>
      <c r="M173">
        <v>1</v>
      </c>
    </row>
    <row r="174" spans="1:13" x14ac:dyDescent="0.25">
      <c r="A174" s="1">
        <v>46139</v>
      </c>
      <c r="B174" s="1" t="str">
        <f ca="1">IF(Información1[[#This Row],[Fecha]]='Ajuste de fechas'!$A$2,"Día actual","Día anterior")</f>
        <v>Día anterior</v>
      </c>
      <c r="C174" s="3" t="s">
        <v>34</v>
      </c>
      <c r="D174" t="s">
        <v>37</v>
      </c>
      <c r="E174" s="3" t="s">
        <v>180</v>
      </c>
      <c r="F174" s="3" t="s">
        <v>23</v>
      </c>
      <c r="G174" s="3" t="s">
        <v>181</v>
      </c>
      <c r="H174" s="3" t="s">
        <v>11</v>
      </c>
      <c r="I174" s="3" t="s">
        <v>7</v>
      </c>
      <c r="J174" s="3" t="s">
        <v>70</v>
      </c>
      <c r="K174" s="3" t="s">
        <v>35</v>
      </c>
      <c r="L174" s="3" t="s">
        <v>66</v>
      </c>
      <c r="M174">
        <v>1</v>
      </c>
    </row>
    <row r="175" spans="1:13" x14ac:dyDescent="0.25">
      <c r="A175" s="1">
        <v>46139</v>
      </c>
      <c r="B175" s="1" t="str">
        <f ca="1">IF(Información1[[#This Row],[Fecha]]='Ajuste de fechas'!$A$2,"Día actual","Día anterior")</f>
        <v>Día anterior</v>
      </c>
      <c r="C175" s="3" t="s">
        <v>52</v>
      </c>
      <c r="D175" t="s">
        <v>53</v>
      </c>
      <c r="E175" s="3" t="s">
        <v>182</v>
      </c>
      <c r="F175" s="3" t="s">
        <v>19</v>
      </c>
      <c r="G175" s="3" t="s">
        <v>78</v>
      </c>
      <c r="H175" s="3" t="s">
        <v>11</v>
      </c>
      <c r="I175" s="3" t="s">
        <v>7</v>
      </c>
      <c r="J175" s="3" t="s">
        <v>69</v>
      </c>
      <c r="K175" s="3" t="s">
        <v>54</v>
      </c>
      <c r="L175" s="3" t="s">
        <v>66</v>
      </c>
      <c r="M175">
        <v>1</v>
      </c>
    </row>
    <row r="176" spans="1:13" x14ac:dyDescent="0.25">
      <c r="A176" s="1">
        <v>46139</v>
      </c>
      <c r="B176" s="1" t="str">
        <f ca="1">IF(Información1[[#This Row],[Fecha]]='Ajuste de fechas'!$A$2,"Día actual","Día anterior")</f>
        <v>Día anterior</v>
      </c>
      <c r="C176" s="3" t="s">
        <v>52</v>
      </c>
      <c r="D176" t="s">
        <v>53</v>
      </c>
      <c r="E176" s="3" t="s">
        <v>183</v>
      </c>
      <c r="F176" s="3" t="s">
        <v>23</v>
      </c>
      <c r="G176" s="3" t="s">
        <v>184</v>
      </c>
      <c r="H176" s="3" t="s">
        <v>11</v>
      </c>
      <c r="I176" s="3" t="s">
        <v>7</v>
      </c>
      <c r="J176" s="3" t="s">
        <v>70</v>
      </c>
      <c r="K176" s="3" t="s">
        <v>54</v>
      </c>
      <c r="L176" s="3" t="s">
        <v>66</v>
      </c>
      <c r="M176">
        <v>1</v>
      </c>
    </row>
    <row r="177" spans="1:13" x14ac:dyDescent="0.25">
      <c r="A177" s="1">
        <v>46139</v>
      </c>
      <c r="B177" s="1" t="str">
        <f ca="1">IF(Información1[[#This Row],[Fecha]]='Ajuste de fechas'!$A$2,"Día actual","Día anterior")</f>
        <v>Día anterior</v>
      </c>
      <c r="C177" s="3" t="s">
        <v>52</v>
      </c>
      <c r="D177" t="s">
        <v>53</v>
      </c>
      <c r="E177" s="3" t="s">
        <v>185</v>
      </c>
      <c r="F177" s="3" t="s">
        <v>19</v>
      </c>
      <c r="G177" s="3" t="s">
        <v>184</v>
      </c>
      <c r="H177" s="3" t="s">
        <v>11</v>
      </c>
      <c r="I177" s="3" t="s">
        <v>7</v>
      </c>
      <c r="J177" s="3" t="s">
        <v>69</v>
      </c>
      <c r="K177" s="3" t="s">
        <v>54</v>
      </c>
      <c r="L177" s="3" t="s">
        <v>66</v>
      </c>
      <c r="M177">
        <v>1</v>
      </c>
    </row>
    <row r="178" spans="1:13" x14ac:dyDescent="0.25">
      <c r="A178" s="1">
        <v>46139</v>
      </c>
      <c r="B178" s="1" t="str">
        <f ca="1">IF(Información1[[#This Row],[Fecha]]='Ajuste de fechas'!$A$2,"Día actual","Día anterior")</f>
        <v>Día anterior</v>
      </c>
      <c r="C178" s="3" t="s">
        <v>52</v>
      </c>
      <c r="D178" t="s">
        <v>53</v>
      </c>
      <c r="E178" s="3" t="s">
        <v>186</v>
      </c>
      <c r="F178" s="3" t="s">
        <v>19</v>
      </c>
      <c r="G178" s="3" t="s">
        <v>139</v>
      </c>
      <c r="H178" s="3" t="s">
        <v>11</v>
      </c>
      <c r="I178" s="3" t="s">
        <v>7</v>
      </c>
      <c r="J178" s="3" t="s">
        <v>69</v>
      </c>
      <c r="K178" s="3" t="s">
        <v>54</v>
      </c>
      <c r="L178" s="3" t="s">
        <v>66</v>
      </c>
      <c r="M178">
        <v>1</v>
      </c>
    </row>
    <row r="179" spans="1:13" x14ac:dyDescent="0.25">
      <c r="A179" s="1">
        <v>46139</v>
      </c>
      <c r="B179" s="1" t="str">
        <f ca="1">IF(Información1[[#This Row],[Fecha]]='Ajuste de fechas'!$A$2,"Día actual","Día anterior")</f>
        <v>Día anterior</v>
      </c>
      <c r="C179" s="3" t="s">
        <v>52</v>
      </c>
      <c r="D179" t="s">
        <v>53</v>
      </c>
      <c r="E179" s="3" t="s">
        <v>187</v>
      </c>
      <c r="F179" s="3" t="s">
        <v>19</v>
      </c>
      <c r="G179" s="3" t="s">
        <v>184</v>
      </c>
      <c r="H179" s="3" t="s">
        <v>11</v>
      </c>
      <c r="I179" s="3" t="s">
        <v>7</v>
      </c>
      <c r="J179" s="3" t="s">
        <v>69</v>
      </c>
      <c r="K179" s="3" t="s">
        <v>54</v>
      </c>
      <c r="L179" s="3" t="s">
        <v>66</v>
      </c>
      <c r="M179">
        <v>1</v>
      </c>
    </row>
    <row r="180" spans="1:13" x14ac:dyDescent="0.25">
      <c r="A180" s="1">
        <v>46139</v>
      </c>
      <c r="B180" s="1" t="str">
        <f ca="1">IF(Información1[[#This Row],[Fecha]]='Ajuste de fechas'!$A$2,"Día actual","Día anterior")</f>
        <v>Día anterior</v>
      </c>
      <c r="C180" s="3" t="s">
        <v>52</v>
      </c>
      <c r="D180" t="s">
        <v>53</v>
      </c>
      <c r="E180" s="3" t="s">
        <v>188</v>
      </c>
      <c r="F180" s="3" t="s">
        <v>19</v>
      </c>
      <c r="G180" s="3" t="s">
        <v>42</v>
      </c>
      <c r="H180" s="3" t="s">
        <v>11</v>
      </c>
      <c r="I180" s="3" t="s">
        <v>7</v>
      </c>
      <c r="J180" s="3" t="s">
        <v>69</v>
      </c>
      <c r="K180" s="3" t="s">
        <v>54</v>
      </c>
      <c r="L180" s="3" t="s">
        <v>66</v>
      </c>
      <c r="M180">
        <v>1</v>
      </c>
    </row>
    <row r="181" spans="1:13" x14ac:dyDescent="0.25">
      <c r="A181" s="1">
        <v>46139</v>
      </c>
      <c r="B181" s="1" t="str">
        <f ca="1">IF(Información1[[#This Row],[Fecha]]='Ajuste de fechas'!$A$2,"Día actual","Día anterior")</f>
        <v>Día anterior</v>
      </c>
      <c r="C181" s="3" t="s">
        <v>52</v>
      </c>
      <c r="D181" t="s">
        <v>53</v>
      </c>
      <c r="E181" s="3" t="s">
        <v>189</v>
      </c>
      <c r="F181" s="3" t="s">
        <v>103</v>
      </c>
      <c r="G181" s="3" t="s">
        <v>190</v>
      </c>
      <c r="H181" s="3" t="s">
        <v>11</v>
      </c>
      <c r="I181" s="3" t="s">
        <v>7</v>
      </c>
      <c r="J181" s="3" t="s">
        <v>65</v>
      </c>
      <c r="K181" s="3" t="s">
        <v>54</v>
      </c>
      <c r="L181" s="3" t="s">
        <v>66</v>
      </c>
      <c r="M181">
        <v>1</v>
      </c>
    </row>
    <row r="182" spans="1:13" x14ac:dyDescent="0.25">
      <c r="A182" s="1">
        <v>46139</v>
      </c>
      <c r="B182" s="1" t="str">
        <f ca="1">IF(Información1[[#This Row],[Fecha]]='Ajuste de fechas'!$A$2,"Día actual","Día anterior")</f>
        <v>Día anterior</v>
      </c>
      <c r="C182" s="3" t="s">
        <v>52</v>
      </c>
      <c r="D182" t="s">
        <v>53</v>
      </c>
      <c r="E182" s="3" t="s">
        <v>191</v>
      </c>
      <c r="F182" s="3" t="s">
        <v>21</v>
      </c>
      <c r="G182" s="3" t="s">
        <v>192</v>
      </c>
      <c r="H182" s="3" t="s">
        <v>11</v>
      </c>
      <c r="I182" s="3" t="s">
        <v>7</v>
      </c>
      <c r="J182" s="3" t="s">
        <v>65</v>
      </c>
      <c r="K182" s="3" t="s">
        <v>54</v>
      </c>
      <c r="L182" s="3" t="s">
        <v>68</v>
      </c>
      <c r="M182">
        <v>1</v>
      </c>
    </row>
    <row r="183" spans="1:13" x14ac:dyDescent="0.25">
      <c r="A183" s="1">
        <v>46139</v>
      </c>
      <c r="B183" s="1" t="str">
        <f ca="1">IF(Información1[[#This Row],[Fecha]]='Ajuste de fechas'!$A$2,"Día actual","Día anterior")</f>
        <v>Día anterior</v>
      </c>
      <c r="C183" s="3" t="s">
        <v>52</v>
      </c>
      <c r="D183" t="s">
        <v>53</v>
      </c>
      <c r="E183" s="3" t="s">
        <v>193</v>
      </c>
      <c r="F183" s="3" t="s">
        <v>19</v>
      </c>
      <c r="G183" s="3" t="s">
        <v>194</v>
      </c>
      <c r="H183" s="3" t="s">
        <v>11</v>
      </c>
      <c r="I183" s="3" t="s">
        <v>7</v>
      </c>
      <c r="J183" s="3" t="s">
        <v>69</v>
      </c>
      <c r="K183" s="3" t="s">
        <v>54</v>
      </c>
      <c r="L183" s="3" t="s">
        <v>66</v>
      </c>
      <c r="M183">
        <v>1</v>
      </c>
    </row>
    <row r="184" spans="1:13" x14ac:dyDescent="0.25">
      <c r="A184" s="1">
        <v>46139</v>
      </c>
      <c r="B184" s="1" t="str">
        <f ca="1">IF(Información1[[#This Row],[Fecha]]='Ajuste de fechas'!$A$2,"Día actual","Día anterior")</f>
        <v>Día anterior</v>
      </c>
      <c r="C184" s="3" t="s">
        <v>52</v>
      </c>
      <c r="D184" t="s">
        <v>53</v>
      </c>
      <c r="E184" s="3" t="s">
        <v>195</v>
      </c>
      <c r="F184" s="3" t="s">
        <v>22</v>
      </c>
      <c r="G184" s="3" t="s">
        <v>87</v>
      </c>
      <c r="H184" s="3" t="s">
        <v>11</v>
      </c>
      <c r="I184" s="3" t="s">
        <v>7</v>
      </c>
      <c r="J184" s="3" t="s">
        <v>26</v>
      </c>
      <c r="K184" s="3" t="s">
        <v>54</v>
      </c>
      <c r="L184" s="3" t="s">
        <v>66</v>
      </c>
      <c r="M184">
        <v>1</v>
      </c>
    </row>
    <row r="185" spans="1:13" x14ac:dyDescent="0.25">
      <c r="A185" s="1">
        <v>46139</v>
      </c>
      <c r="B185" s="1" t="str">
        <f ca="1">IF(Información1[[#This Row],[Fecha]]='Ajuste de fechas'!$A$2,"Día actual","Día anterior")</f>
        <v>Día anterior</v>
      </c>
      <c r="C185" s="3" t="s">
        <v>52</v>
      </c>
      <c r="D185" t="s">
        <v>53</v>
      </c>
      <c r="E185" s="3" t="s">
        <v>196</v>
      </c>
      <c r="F185" s="3" t="s">
        <v>25</v>
      </c>
      <c r="G185" s="3" t="s">
        <v>77</v>
      </c>
      <c r="H185" s="3" t="s">
        <v>11</v>
      </c>
      <c r="I185" s="3" t="s">
        <v>7</v>
      </c>
      <c r="J185" s="3" t="s">
        <v>65</v>
      </c>
      <c r="K185" s="3" t="s">
        <v>54</v>
      </c>
      <c r="L185" s="3" t="s">
        <v>66</v>
      </c>
      <c r="M185">
        <v>1</v>
      </c>
    </row>
    <row r="186" spans="1:13" x14ac:dyDescent="0.25">
      <c r="A186" s="1">
        <v>46139</v>
      </c>
      <c r="B186" s="1" t="str">
        <f ca="1">IF(Información1[[#This Row],[Fecha]]='Ajuste de fechas'!$A$2,"Día actual","Día anterior")</f>
        <v>Día anterior</v>
      </c>
      <c r="C186" s="3" t="s">
        <v>52</v>
      </c>
      <c r="D186" t="s">
        <v>53</v>
      </c>
      <c r="E186" s="3" t="s">
        <v>197</v>
      </c>
      <c r="F186" s="3" t="s">
        <v>28</v>
      </c>
      <c r="G186" s="3" t="s">
        <v>96</v>
      </c>
      <c r="H186" s="3" t="s">
        <v>11</v>
      </c>
      <c r="I186" s="3" t="s">
        <v>7</v>
      </c>
      <c r="J186" s="3" t="s">
        <v>65</v>
      </c>
      <c r="K186" s="3" t="s">
        <v>54</v>
      </c>
      <c r="L186" s="3" t="s">
        <v>66</v>
      </c>
      <c r="M186">
        <v>1</v>
      </c>
    </row>
    <row r="187" spans="1:13" x14ac:dyDescent="0.25">
      <c r="A187" s="1">
        <v>46139</v>
      </c>
      <c r="B187" s="1" t="str">
        <f ca="1">IF(Información1[[#This Row],[Fecha]]='Ajuste de fechas'!$A$2,"Día actual","Día anterior")</f>
        <v>Día anterior</v>
      </c>
      <c r="C187" s="3" t="s">
        <v>52</v>
      </c>
      <c r="D187" t="s">
        <v>53</v>
      </c>
      <c r="E187" s="3" t="s">
        <v>198</v>
      </c>
      <c r="F187" s="3" t="s">
        <v>24</v>
      </c>
      <c r="G187" s="3" t="s">
        <v>199</v>
      </c>
      <c r="H187" s="3" t="s">
        <v>11</v>
      </c>
      <c r="I187" s="3" t="s">
        <v>27</v>
      </c>
      <c r="J187" s="3" t="s">
        <v>65</v>
      </c>
      <c r="K187" s="3" t="s">
        <v>54</v>
      </c>
      <c r="L187" s="3" t="s">
        <v>66</v>
      </c>
      <c r="M187">
        <v>1</v>
      </c>
    </row>
    <row r="188" spans="1:13" x14ac:dyDescent="0.25">
      <c r="A188" s="1">
        <v>46139</v>
      </c>
      <c r="B188" s="1" t="str">
        <f ca="1">IF(Información1[[#This Row],[Fecha]]='Ajuste de fechas'!$A$2,"Día actual","Día anterior")</f>
        <v>Día anterior</v>
      </c>
      <c r="C188" s="3" t="s">
        <v>52</v>
      </c>
      <c r="D188" t="s">
        <v>53</v>
      </c>
      <c r="E188" s="3" t="s">
        <v>200</v>
      </c>
      <c r="F188" s="3" t="s">
        <v>24</v>
      </c>
      <c r="G188" s="3" t="s">
        <v>115</v>
      </c>
      <c r="H188" s="3" t="s">
        <v>11</v>
      </c>
      <c r="I188" s="3" t="s">
        <v>7</v>
      </c>
      <c r="J188" s="3" t="s">
        <v>65</v>
      </c>
      <c r="K188" s="3" t="s">
        <v>54</v>
      </c>
      <c r="L188" s="3" t="s">
        <v>66</v>
      </c>
      <c r="M188">
        <v>1</v>
      </c>
    </row>
    <row r="189" spans="1:13" x14ac:dyDescent="0.25">
      <c r="A189" s="1">
        <v>46139</v>
      </c>
      <c r="B189" s="1" t="str">
        <f ca="1">IF(Información1[[#This Row],[Fecha]]='Ajuste de fechas'!$A$2,"Día actual","Día anterior")</f>
        <v>Día anterior</v>
      </c>
      <c r="C189" s="3" t="s">
        <v>52</v>
      </c>
      <c r="D189" t="s">
        <v>53</v>
      </c>
      <c r="E189" s="3" t="s">
        <v>201</v>
      </c>
      <c r="F189" s="3" t="s">
        <v>28</v>
      </c>
      <c r="G189" s="3" t="s">
        <v>181</v>
      </c>
      <c r="H189" s="3" t="s">
        <v>11</v>
      </c>
      <c r="I189" s="3" t="s">
        <v>7</v>
      </c>
      <c r="J189" s="3" t="s">
        <v>65</v>
      </c>
      <c r="K189" s="3" t="s">
        <v>54</v>
      </c>
      <c r="L189" s="3" t="s">
        <v>68</v>
      </c>
      <c r="M189">
        <v>1</v>
      </c>
    </row>
    <row r="190" spans="1:13" x14ac:dyDescent="0.25">
      <c r="A190" s="1">
        <v>46139</v>
      </c>
      <c r="B190" s="1" t="str">
        <f ca="1">IF(Información1[[#This Row],[Fecha]]='Ajuste de fechas'!$A$2,"Día actual","Día anterior")</f>
        <v>Día anterior</v>
      </c>
      <c r="C190" s="3" t="s">
        <v>52</v>
      </c>
      <c r="D190" t="s">
        <v>53</v>
      </c>
      <c r="E190" s="3" t="s">
        <v>202</v>
      </c>
      <c r="F190" s="3" t="s">
        <v>23</v>
      </c>
      <c r="G190" s="3" t="s">
        <v>203</v>
      </c>
      <c r="H190" s="3" t="s">
        <v>11</v>
      </c>
      <c r="I190" s="3" t="s">
        <v>7</v>
      </c>
      <c r="J190" s="3" t="s">
        <v>70</v>
      </c>
      <c r="K190" s="3" t="s">
        <v>54</v>
      </c>
      <c r="L190" s="3" t="s">
        <v>67</v>
      </c>
      <c r="M190">
        <v>1</v>
      </c>
    </row>
    <row r="191" spans="1:13" x14ac:dyDescent="0.25">
      <c r="A191" s="1">
        <v>46139</v>
      </c>
      <c r="B191" s="1" t="str">
        <f ca="1">IF(Información1[[#This Row],[Fecha]]='Ajuste de fechas'!$A$2,"Día actual","Día anterior")</f>
        <v>Día anterior</v>
      </c>
      <c r="C191" s="3" t="s">
        <v>52</v>
      </c>
      <c r="D191" t="s">
        <v>53</v>
      </c>
      <c r="E191" s="3" t="s">
        <v>204</v>
      </c>
      <c r="F191" s="3" t="s">
        <v>28</v>
      </c>
      <c r="G191" s="3" t="s">
        <v>90</v>
      </c>
      <c r="H191" s="3" t="s">
        <v>11</v>
      </c>
      <c r="I191" s="3" t="s">
        <v>7</v>
      </c>
      <c r="J191" s="3" t="s">
        <v>65</v>
      </c>
      <c r="K191" s="3" t="s">
        <v>54</v>
      </c>
      <c r="L191" s="3" t="s">
        <v>66</v>
      </c>
      <c r="M191">
        <v>1</v>
      </c>
    </row>
    <row r="192" spans="1:13" x14ac:dyDescent="0.25">
      <c r="A192" s="1">
        <v>46139</v>
      </c>
      <c r="B192" s="1" t="str">
        <f ca="1">IF(Información1[[#This Row],[Fecha]]='Ajuste de fechas'!$A$2,"Día actual","Día anterior")</f>
        <v>Día anterior</v>
      </c>
      <c r="C192" s="3" t="s">
        <v>52</v>
      </c>
      <c r="D192" t="s">
        <v>53</v>
      </c>
      <c r="E192" s="3" t="s">
        <v>204</v>
      </c>
      <c r="F192" s="3" t="s">
        <v>23</v>
      </c>
      <c r="G192" s="3" t="s">
        <v>90</v>
      </c>
      <c r="H192" s="3" t="s">
        <v>11</v>
      </c>
      <c r="I192" s="3" t="s">
        <v>7</v>
      </c>
      <c r="J192" s="3" t="s">
        <v>70</v>
      </c>
      <c r="K192" s="3" t="s">
        <v>54</v>
      </c>
      <c r="L192" s="3" t="s">
        <v>66</v>
      </c>
      <c r="M192">
        <v>1</v>
      </c>
    </row>
    <row r="193" spans="1:13" x14ac:dyDescent="0.25">
      <c r="A193" s="1">
        <v>46139</v>
      </c>
      <c r="B193" s="1" t="str">
        <f ca="1">IF(Información1[[#This Row],[Fecha]]='Ajuste de fechas'!$A$2,"Día actual","Día anterior")</f>
        <v>Día anterior</v>
      </c>
      <c r="C193" s="3" t="s">
        <v>52</v>
      </c>
      <c r="D193" t="s">
        <v>53</v>
      </c>
      <c r="E193" s="3" t="s">
        <v>205</v>
      </c>
      <c r="F193" s="3" t="s">
        <v>28</v>
      </c>
      <c r="G193" s="3" t="s">
        <v>91</v>
      </c>
      <c r="H193" s="3" t="s">
        <v>11</v>
      </c>
      <c r="I193" s="3" t="s">
        <v>7</v>
      </c>
      <c r="J193" s="3" t="s">
        <v>65</v>
      </c>
      <c r="K193" s="3" t="s">
        <v>54</v>
      </c>
      <c r="L193" s="3" t="s">
        <v>66</v>
      </c>
      <c r="M193">
        <v>1</v>
      </c>
    </row>
    <row r="194" spans="1:13" x14ac:dyDescent="0.25">
      <c r="A194" s="1">
        <v>46139</v>
      </c>
      <c r="B194" s="1" t="str">
        <f ca="1">IF(Información1[[#This Row],[Fecha]]='Ajuste de fechas'!$A$2,"Día actual","Día anterior")</f>
        <v>Día anterior</v>
      </c>
      <c r="C194" s="3" t="s">
        <v>52</v>
      </c>
      <c r="D194" t="s">
        <v>53</v>
      </c>
      <c r="E194" s="3" t="s">
        <v>205</v>
      </c>
      <c r="F194" s="3" t="s">
        <v>23</v>
      </c>
      <c r="G194" s="3" t="s">
        <v>91</v>
      </c>
      <c r="H194" s="3" t="s">
        <v>11</v>
      </c>
      <c r="I194" s="3" t="s">
        <v>7</v>
      </c>
      <c r="J194" s="3" t="s">
        <v>70</v>
      </c>
      <c r="K194" s="3" t="s">
        <v>54</v>
      </c>
      <c r="L194" s="3" t="s">
        <v>66</v>
      </c>
      <c r="M194">
        <v>1</v>
      </c>
    </row>
    <row r="195" spans="1:13" x14ac:dyDescent="0.25">
      <c r="A195" s="1">
        <v>46139</v>
      </c>
      <c r="B195" s="1" t="str">
        <f ca="1">IF(Información1[[#This Row],[Fecha]]='Ajuste de fechas'!$A$2,"Día actual","Día anterior")</f>
        <v>Día anterior</v>
      </c>
      <c r="C195" s="3" t="s">
        <v>52</v>
      </c>
      <c r="D195" t="s">
        <v>53</v>
      </c>
      <c r="E195" s="3" t="s">
        <v>206</v>
      </c>
      <c r="F195" s="3" t="s">
        <v>19</v>
      </c>
      <c r="G195" s="3" t="s">
        <v>207</v>
      </c>
      <c r="H195" s="3" t="s">
        <v>11</v>
      </c>
      <c r="I195" s="3" t="s">
        <v>7</v>
      </c>
      <c r="J195" s="3" t="s">
        <v>69</v>
      </c>
      <c r="K195" s="3" t="s">
        <v>54</v>
      </c>
      <c r="L195" s="3" t="s">
        <v>66</v>
      </c>
      <c r="M195">
        <v>1</v>
      </c>
    </row>
    <row r="196" spans="1:13" x14ac:dyDescent="0.25">
      <c r="A196" s="1">
        <v>46139</v>
      </c>
      <c r="B196" s="1" t="str">
        <f ca="1">IF(Información1[[#This Row],[Fecha]]='Ajuste de fechas'!$A$2,"Día actual","Día anterior")</f>
        <v>Día anterior</v>
      </c>
      <c r="C196" s="3" t="s">
        <v>52</v>
      </c>
      <c r="D196" t="s">
        <v>53</v>
      </c>
      <c r="E196" s="3" t="s">
        <v>208</v>
      </c>
      <c r="F196" s="3" t="s">
        <v>19</v>
      </c>
      <c r="G196" s="3" t="s">
        <v>42</v>
      </c>
      <c r="H196" s="3" t="s">
        <v>11</v>
      </c>
      <c r="I196" s="3" t="s">
        <v>7</v>
      </c>
      <c r="J196" s="3" t="s">
        <v>69</v>
      </c>
      <c r="K196" s="3" t="s">
        <v>54</v>
      </c>
      <c r="L196" s="3" t="s">
        <v>66</v>
      </c>
      <c r="M196">
        <v>1</v>
      </c>
    </row>
    <row r="197" spans="1:13" x14ac:dyDescent="0.25">
      <c r="A197" s="1">
        <v>46139</v>
      </c>
      <c r="B197" s="1" t="str">
        <f ca="1">IF(Información1[[#This Row],[Fecha]]='Ajuste de fechas'!$A$2,"Día actual","Día anterior")</f>
        <v>Día anterior</v>
      </c>
      <c r="C197" s="3" t="s">
        <v>52</v>
      </c>
      <c r="D197" t="s">
        <v>53</v>
      </c>
      <c r="E197" s="3" t="s">
        <v>209</v>
      </c>
      <c r="F197" s="3" t="s">
        <v>23</v>
      </c>
      <c r="G197" s="3" t="s">
        <v>92</v>
      </c>
      <c r="H197" s="3" t="s">
        <v>11</v>
      </c>
      <c r="I197" s="3" t="s">
        <v>27</v>
      </c>
      <c r="J197" s="3" t="s">
        <v>70</v>
      </c>
      <c r="K197" s="3" t="s">
        <v>54</v>
      </c>
      <c r="L197" s="3" t="s">
        <v>66</v>
      </c>
      <c r="M197">
        <v>1</v>
      </c>
    </row>
    <row r="198" spans="1:13" x14ac:dyDescent="0.25">
      <c r="A198" s="1">
        <v>46139</v>
      </c>
      <c r="B198" s="1" t="str">
        <f ca="1">IF(Información1[[#This Row],[Fecha]]='Ajuste de fechas'!$A$2,"Día actual","Día anterior")</f>
        <v>Día anterior</v>
      </c>
      <c r="C198" s="3" t="s">
        <v>52</v>
      </c>
      <c r="D198" t="s">
        <v>53</v>
      </c>
      <c r="E198" s="3" t="s">
        <v>210</v>
      </c>
      <c r="F198" s="3" t="s">
        <v>23</v>
      </c>
      <c r="G198" s="3" t="s">
        <v>97</v>
      </c>
      <c r="H198" s="3" t="s">
        <v>11</v>
      </c>
      <c r="I198" s="3" t="s">
        <v>7</v>
      </c>
      <c r="J198" s="3" t="s">
        <v>70</v>
      </c>
      <c r="K198" s="3" t="s">
        <v>54</v>
      </c>
      <c r="L198" s="3" t="s">
        <v>66</v>
      </c>
      <c r="M198">
        <v>1</v>
      </c>
    </row>
    <row r="199" spans="1:13" x14ac:dyDescent="0.25">
      <c r="A199" s="1">
        <v>46139</v>
      </c>
      <c r="B199" s="1" t="str">
        <f ca="1">IF(Información1[[#This Row],[Fecha]]='Ajuste de fechas'!$A$2,"Día actual","Día anterior")</f>
        <v>Día anterior</v>
      </c>
      <c r="C199" s="3" t="s">
        <v>52</v>
      </c>
      <c r="D199" t="s">
        <v>53</v>
      </c>
      <c r="E199" s="3" t="s">
        <v>211</v>
      </c>
      <c r="F199" s="3" t="s">
        <v>28</v>
      </c>
      <c r="G199" s="3" t="s">
        <v>81</v>
      </c>
      <c r="H199" s="3" t="s">
        <v>11</v>
      </c>
      <c r="I199" s="3" t="s">
        <v>7</v>
      </c>
      <c r="J199" s="3" t="s">
        <v>65</v>
      </c>
      <c r="K199" s="3" t="s">
        <v>54</v>
      </c>
      <c r="L199" s="3" t="s">
        <v>66</v>
      </c>
      <c r="M199">
        <v>1</v>
      </c>
    </row>
    <row r="200" spans="1:13" x14ac:dyDescent="0.25">
      <c r="A200" s="1">
        <v>46139</v>
      </c>
      <c r="B200" s="1" t="str">
        <f ca="1">IF(Información1[[#This Row],[Fecha]]='Ajuste de fechas'!$A$2,"Día actual","Día anterior")</f>
        <v>Día anterior</v>
      </c>
      <c r="C200" s="3" t="s">
        <v>52</v>
      </c>
      <c r="D200" t="s">
        <v>53</v>
      </c>
      <c r="E200" s="3" t="s">
        <v>211</v>
      </c>
      <c r="F200" s="3" t="s">
        <v>23</v>
      </c>
      <c r="G200" s="3" t="s">
        <v>81</v>
      </c>
      <c r="H200" s="3" t="s">
        <v>11</v>
      </c>
      <c r="I200" s="3" t="s">
        <v>7</v>
      </c>
      <c r="J200" s="3" t="s">
        <v>70</v>
      </c>
      <c r="K200" s="3" t="s">
        <v>54</v>
      </c>
      <c r="L200" s="3" t="s">
        <v>66</v>
      </c>
      <c r="M200">
        <v>1</v>
      </c>
    </row>
    <row r="201" spans="1:13" x14ac:dyDescent="0.25">
      <c r="A201" s="1">
        <v>46139</v>
      </c>
      <c r="B201" s="1" t="str">
        <f ca="1">IF(Información1[[#This Row],[Fecha]]='Ajuste de fechas'!$A$2,"Día actual","Día anterior")</f>
        <v>Día anterior</v>
      </c>
      <c r="C201" s="3" t="s">
        <v>44</v>
      </c>
      <c r="D201" t="s">
        <v>45</v>
      </c>
      <c r="E201" s="3" t="s">
        <v>212</v>
      </c>
      <c r="F201" s="3" t="s">
        <v>23</v>
      </c>
      <c r="G201" s="3" t="s">
        <v>91</v>
      </c>
      <c r="H201" s="3" t="s">
        <v>41</v>
      </c>
      <c r="I201" s="3" t="s">
        <v>7</v>
      </c>
      <c r="J201" s="3" t="s">
        <v>70</v>
      </c>
      <c r="K201" s="3" t="s">
        <v>30</v>
      </c>
      <c r="L201" s="3" t="s">
        <v>67</v>
      </c>
      <c r="M201">
        <v>1</v>
      </c>
    </row>
    <row r="202" spans="1:13" x14ac:dyDescent="0.25">
      <c r="A202" s="1">
        <v>46139</v>
      </c>
      <c r="B202" s="1" t="str">
        <f ca="1">IF(Información1[[#This Row],[Fecha]]='Ajuste de fechas'!$A$2,"Día actual","Día anterior")</f>
        <v>Día anterior</v>
      </c>
      <c r="C202" s="3" t="s">
        <v>44</v>
      </c>
      <c r="D202" t="s">
        <v>45</v>
      </c>
      <c r="E202" s="3" t="s">
        <v>213</v>
      </c>
      <c r="F202" s="3" t="s">
        <v>28</v>
      </c>
      <c r="G202" s="3" t="s">
        <v>95</v>
      </c>
      <c r="H202" s="3" t="s">
        <v>41</v>
      </c>
      <c r="I202" s="3" t="s">
        <v>7</v>
      </c>
      <c r="J202" s="3" t="s">
        <v>65</v>
      </c>
      <c r="K202" s="3" t="s">
        <v>30</v>
      </c>
      <c r="L202" s="3" t="s">
        <v>68</v>
      </c>
      <c r="M202">
        <v>1</v>
      </c>
    </row>
    <row r="203" spans="1:13" x14ac:dyDescent="0.25">
      <c r="A203" s="1">
        <v>46139</v>
      </c>
      <c r="B203" s="1" t="str">
        <f ca="1">IF(Información1[[#This Row],[Fecha]]='Ajuste de fechas'!$A$2,"Día actual","Día anterior")</f>
        <v>Día anterior</v>
      </c>
      <c r="C203" s="3" t="s">
        <v>44</v>
      </c>
      <c r="D203" t="s">
        <v>45</v>
      </c>
      <c r="E203" s="3" t="s">
        <v>214</v>
      </c>
      <c r="F203" s="3" t="s">
        <v>23</v>
      </c>
      <c r="G203" s="3" t="s">
        <v>88</v>
      </c>
      <c r="H203" s="3" t="s">
        <v>41</v>
      </c>
      <c r="I203" s="3" t="s">
        <v>7</v>
      </c>
      <c r="J203" s="3" t="s">
        <v>70</v>
      </c>
      <c r="K203" s="3" t="s">
        <v>30</v>
      </c>
      <c r="L203" s="3" t="s">
        <v>66</v>
      </c>
      <c r="M203">
        <v>1</v>
      </c>
    </row>
    <row r="204" spans="1:13" x14ac:dyDescent="0.25">
      <c r="A204" s="1">
        <v>46139</v>
      </c>
      <c r="B204" s="1" t="str">
        <f ca="1">IF(Información1[[#This Row],[Fecha]]='Ajuste de fechas'!$A$2,"Día actual","Día anterior")</f>
        <v>Día anterior</v>
      </c>
      <c r="C204" s="3" t="s">
        <v>44</v>
      </c>
      <c r="D204" t="s">
        <v>45</v>
      </c>
      <c r="E204" s="3" t="s">
        <v>215</v>
      </c>
      <c r="F204" s="3" t="s">
        <v>82</v>
      </c>
      <c r="G204" s="3" t="s">
        <v>79</v>
      </c>
      <c r="H204" s="3" t="s">
        <v>41</v>
      </c>
      <c r="I204" s="3" t="s">
        <v>7</v>
      </c>
      <c r="J204" s="3" t="s">
        <v>65</v>
      </c>
      <c r="K204" s="3" t="s">
        <v>30</v>
      </c>
      <c r="L204" s="3" t="s">
        <v>68</v>
      </c>
      <c r="M204">
        <v>1</v>
      </c>
    </row>
    <row r="205" spans="1:13" x14ac:dyDescent="0.25">
      <c r="A205" s="1">
        <v>46139</v>
      </c>
      <c r="B205" s="1" t="str">
        <f ca="1">IF(Información1[[#This Row],[Fecha]]='Ajuste de fechas'!$A$2,"Día actual","Día anterior")</f>
        <v>Día anterior</v>
      </c>
      <c r="C205" s="3" t="s">
        <v>44</v>
      </c>
      <c r="D205" t="s">
        <v>45</v>
      </c>
      <c r="E205" s="3" t="s">
        <v>216</v>
      </c>
      <c r="F205" s="3" t="s">
        <v>19</v>
      </c>
      <c r="G205" s="3" t="s">
        <v>217</v>
      </c>
      <c r="H205" s="3" t="s">
        <v>41</v>
      </c>
      <c r="I205" s="3" t="s">
        <v>7</v>
      </c>
      <c r="J205" s="3" t="s">
        <v>69</v>
      </c>
      <c r="K205" s="3" t="s">
        <v>30</v>
      </c>
      <c r="L205" s="3" t="s">
        <v>66</v>
      </c>
      <c r="M205">
        <v>1</v>
      </c>
    </row>
    <row r="206" spans="1:13" x14ac:dyDescent="0.25">
      <c r="A206" s="1">
        <v>46139</v>
      </c>
      <c r="B206" s="1" t="str">
        <f ca="1">IF(Información1[[#This Row],[Fecha]]='Ajuste de fechas'!$A$2,"Día actual","Día anterior")</f>
        <v>Día anterior</v>
      </c>
      <c r="C206" s="3" t="s">
        <v>44</v>
      </c>
      <c r="D206" t="s">
        <v>45</v>
      </c>
      <c r="E206" s="3" t="s">
        <v>218</v>
      </c>
      <c r="F206" s="3" t="s">
        <v>24</v>
      </c>
      <c r="G206" s="3" t="s">
        <v>219</v>
      </c>
      <c r="H206" s="3" t="s">
        <v>41</v>
      </c>
      <c r="I206" s="3" t="s">
        <v>7</v>
      </c>
      <c r="J206" s="3" t="s">
        <v>65</v>
      </c>
      <c r="K206" s="3" t="s">
        <v>30</v>
      </c>
      <c r="L206" s="3" t="s">
        <v>66</v>
      </c>
      <c r="M206">
        <v>1</v>
      </c>
    </row>
    <row r="207" spans="1:13" x14ac:dyDescent="0.25">
      <c r="A207" s="1">
        <v>46139</v>
      </c>
      <c r="B207" s="1" t="str">
        <f ca="1">IF(Información1[[#This Row],[Fecha]]='Ajuste de fechas'!$A$2,"Día actual","Día anterior")</f>
        <v>Día anterior</v>
      </c>
      <c r="C207" s="3" t="s">
        <v>44</v>
      </c>
      <c r="D207" t="s">
        <v>45</v>
      </c>
      <c r="E207" s="3" t="s">
        <v>152</v>
      </c>
      <c r="F207" s="3" t="s">
        <v>19</v>
      </c>
      <c r="G207" s="3" t="s">
        <v>153</v>
      </c>
      <c r="H207" s="3" t="s">
        <v>41</v>
      </c>
      <c r="I207" s="3" t="s">
        <v>7</v>
      </c>
      <c r="J207" s="3" t="s">
        <v>69</v>
      </c>
      <c r="K207" s="3" t="s">
        <v>30</v>
      </c>
      <c r="L207" s="3" t="s">
        <v>66</v>
      </c>
      <c r="M207">
        <v>1</v>
      </c>
    </row>
    <row r="208" spans="1:13" x14ac:dyDescent="0.25">
      <c r="A208" s="1">
        <v>46139</v>
      </c>
      <c r="B208" s="1" t="str">
        <f ca="1">IF(Información1[[#This Row],[Fecha]]='Ajuste de fechas'!$A$2,"Día actual","Día anterior")</f>
        <v>Día anterior</v>
      </c>
      <c r="C208" s="3" t="s">
        <v>44</v>
      </c>
      <c r="D208" t="s">
        <v>45</v>
      </c>
      <c r="E208" s="3" t="s">
        <v>220</v>
      </c>
      <c r="F208" s="3" t="s">
        <v>23</v>
      </c>
      <c r="G208" s="3" t="s">
        <v>91</v>
      </c>
      <c r="H208" s="3" t="s">
        <v>41</v>
      </c>
      <c r="I208" s="3" t="s">
        <v>7</v>
      </c>
      <c r="J208" s="3" t="s">
        <v>70</v>
      </c>
      <c r="K208" s="3" t="s">
        <v>30</v>
      </c>
      <c r="L208" s="3" t="s">
        <v>66</v>
      </c>
      <c r="M208">
        <v>1</v>
      </c>
    </row>
    <row r="209" spans="1:13" x14ac:dyDescent="0.25">
      <c r="A209" s="1">
        <v>46139</v>
      </c>
      <c r="B209" s="1" t="str">
        <f ca="1">IF(Información1[[#This Row],[Fecha]]='Ajuste de fechas'!$A$2,"Día actual","Día anterior")</f>
        <v>Día anterior</v>
      </c>
      <c r="C209" s="3" t="s">
        <v>44</v>
      </c>
      <c r="D209" t="s">
        <v>45</v>
      </c>
      <c r="E209" s="3" t="s">
        <v>221</v>
      </c>
      <c r="F209" s="3" t="s">
        <v>28</v>
      </c>
      <c r="G209" s="3" t="s">
        <v>90</v>
      </c>
      <c r="H209" s="3" t="s">
        <v>41</v>
      </c>
      <c r="I209" s="3" t="s">
        <v>7</v>
      </c>
      <c r="J209" s="3" t="s">
        <v>65</v>
      </c>
      <c r="K209" s="3" t="s">
        <v>30</v>
      </c>
      <c r="L209" s="3" t="s">
        <v>68</v>
      </c>
      <c r="M209">
        <v>1</v>
      </c>
    </row>
    <row r="210" spans="1:13" x14ac:dyDescent="0.25">
      <c r="A210" s="1">
        <v>46139</v>
      </c>
      <c r="B210" s="1" t="str">
        <f ca="1">IF(Información1[[#This Row],[Fecha]]='Ajuste de fechas'!$A$2,"Día actual","Día anterior")</f>
        <v>Día anterior</v>
      </c>
      <c r="C210" s="3" t="s">
        <v>264</v>
      </c>
      <c r="D210" t="s">
        <v>265</v>
      </c>
      <c r="E210" s="3" t="s">
        <v>173</v>
      </c>
      <c r="F210" s="3" t="s">
        <v>28</v>
      </c>
      <c r="G210" s="3" t="s">
        <v>90</v>
      </c>
      <c r="H210" s="3" t="s">
        <v>11</v>
      </c>
      <c r="I210" s="3" t="s">
        <v>7</v>
      </c>
      <c r="J210" s="3" t="s">
        <v>65</v>
      </c>
      <c r="K210" s="3" t="s">
        <v>266</v>
      </c>
      <c r="L210" s="3" t="s">
        <v>68</v>
      </c>
      <c r="M210">
        <v>1</v>
      </c>
    </row>
    <row r="211" spans="1:13" x14ac:dyDescent="0.25">
      <c r="A211" s="1">
        <v>46139</v>
      </c>
      <c r="B211" s="1" t="str">
        <f ca="1">IF(Información1[[#This Row],[Fecha]]='Ajuste de fechas'!$A$2,"Día actual","Día anterior")</f>
        <v>Día anterior</v>
      </c>
      <c r="C211" s="3" t="s">
        <v>38</v>
      </c>
      <c r="D211" t="s">
        <v>40</v>
      </c>
      <c r="E211" s="3" t="s">
        <v>308</v>
      </c>
      <c r="F211" s="3" t="s">
        <v>19</v>
      </c>
      <c r="G211" s="3" t="s">
        <v>262</v>
      </c>
      <c r="H211" s="3" t="s">
        <v>41</v>
      </c>
      <c r="I211" s="3" t="s">
        <v>7</v>
      </c>
      <c r="J211" s="3" t="s">
        <v>69</v>
      </c>
      <c r="K211" s="3" t="s">
        <v>39</v>
      </c>
      <c r="L211" s="3" t="s">
        <v>66</v>
      </c>
      <c r="M211">
        <v>1</v>
      </c>
    </row>
    <row r="212" spans="1:13" x14ac:dyDescent="0.25">
      <c r="A212" s="1">
        <v>46139</v>
      </c>
      <c r="B212" s="1" t="str">
        <f ca="1">IF(Información1[[#This Row],[Fecha]]='Ajuste de fechas'!$A$2,"Día actual","Día anterior")</f>
        <v>Día anterior</v>
      </c>
      <c r="C212" s="3" t="s">
        <v>38</v>
      </c>
      <c r="D212" t="s">
        <v>40</v>
      </c>
      <c r="E212" s="3" t="s">
        <v>310</v>
      </c>
      <c r="F212" s="3" t="s">
        <v>19</v>
      </c>
      <c r="G212" s="3" t="s">
        <v>42</v>
      </c>
      <c r="H212" s="3" t="s">
        <v>41</v>
      </c>
      <c r="I212" s="3" t="s">
        <v>7</v>
      </c>
      <c r="J212" s="3" t="s">
        <v>69</v>
      </c>
      <c r="K212" s="3" t="s">
        <v>39</v>
      </c>
      <c r="L212" s="3" t="s">
        <v>66</v>
      </c>
      <c r="M212">
        <v>1</v>
      </c>
    </row>
    <row r="213" spans="1:13" x14ac:dyDescent="0.25">
      <c r="A213" s="1">
        <v>46139</v>
      </c>
      <c r="B213" s="1" t="str">
        <f ca="1">IF(Información1[[#This Row],[Fecha]]='Ajuste de fechas'!$A$2,"Día actual","Día anterior")</f>
        <v>Día anterior</v>
      </c>
      <c r="C213" s="3" t="s">
        <v>38</v>
      </c>
      <c r="D213" t="s">
        <v>40</v>
      </c>
      <c r="E213" s="3" t="s">
        <v>113</v>
      </c>
      <c r="F213" s="3" t="s">
        <v>24</v>
      </c>
      <c r="G213" s="3" t="s">
        <v>76</v>
      </c>
      <c r="H213" s="3" t="s">
        <v>41</v>
      </c>
      <c r="I213" s="3" t="s">
        <v>7</v>
      </c>
      <c r="J213" s="3" t="s">
        <v>65</v>
      </c>
      <c r="K213" s="3" t="s">
        <v>39</v>
      </c>
      <c r="L213" s="3" t="s">
        <v>68</v>
      </c>
      <c r="M213">
        <v>1</v>
      </c>
    </row>
    <row r="214" spans="1:13" x14ac:dyDescent="0.25">
      <c r="A214" s="1">
        <v>46139</v>
      </c>
      <c r="B214" s="1" t="str">
        <f ca="1">IF(Información1[[#This Row],[Fecha]]='Ajuste de fechas'!$A$2,"Día actual","Día anterior")</f>
        <v>Día anterior</v>
      </c>
      <c r="C214" s="3" t="s">
        <v>38</v>
      </c>
      <c r="D214" t="s">
        <v>40</v>
      </c>
      <c r="E214" s="3" t="s">
        <v>322</v>
      </c>
      <c r="F214" s="3" t="s">
        <v>134</v>
      </c>
      <c r="G214" s="3" t="s">
        <v>123</v>
      </c>
      <c r="H214" s="3" t="s">
        <v>41</v>
      </c>
      <c r="I214" s="3" t="s">
        <v>7</v>
      </c>
      <c r="J214" s="3" t="s">
        <v>65</v>
      </c>
      <c r="K214" s="3" t="s">
        <v>39</v>
      </c>
      <c r="L214" s="3" t="s">
        <v>66</v>
      </c>
      <c r="M214">
        <v>1</v>
      </c>
    </row>
    <row r="215" spans="1:13" x14ac:dyDescent="0.25">
      <c r="A215" s="1">
        <v>46139</v>
      </c>
      <c r="B215" s="1" t="str">
        <f ca="1">IF(Información1[[#This Row],[Fecha]]='Ajuste de fechas'!$A$2,"Día actual","Día anterior")</f>
        <v>Día anterior</v>
      </c>
      <c r="C215" s="3" t="s">
        <v>38</v>
      </c>
      <c r="D215" t="s">
        <v>40</v>
      </c>
      <c r="E215" s="3" t="s">
        <v>325</v>
      </c>
      <c r="F215" s="3" t="s">
        <v>21</v>
      </c>
      <c r="G215" s="3" t="s">
        <v>94</v>
      </c>
      <c r="H215" s="3" t="s">
        <v>41</v>
      </c>
      <c r="I215" s="3" t="s">
        <v>7</v>
      </c>
      <c r="J215" s="3" t="s">
        <v>65</v>
      </c>
      <c r="K215" s="3" t="s">
        <v>39</v>
      </c>
      <c r="L215" s="3" t="s">
        <v>66</v>
      </c>
      <c r="M215">
        <v>1</v>
      </c>
    </row>
    <row r="216" spans="1:13" x14ac:dyDescent="0.25">
      <c r="A216" s="1">
        <v>46139</v>
      </c>
      <c r="B216" s="1" t="str">
        <f ca="1">IF(Información1[[#This Row],[Fecha]]='Ajuste de fechas'!$A$2,"Día actual","Día anterior")</f>
        <v>Día anterior</v>
      </c>
      <c r="C216" s="3" t="s">
        <v>38</v>
      </c>
      <c r="D216" t="s">
        <v>40</v>
      </c>
      <c r="E216" s="3" t="s">
        <v>335</v>
      </c>
      <c r="F216" s="3" t="s">
        <v>28</v>
      </c>
      <c r="G216" s="3" t="s">
        <v>90</v>
      </c>
      <c r="H216" s="3" t="s">
        <v>41</v>
      </c>
      <c r="I216" s="3" t="s">
        <v>7</v>
      </c>
      <c r="J216" s="3" t="s">
        <v>65</v>
      </c>
      <c r="K216" s="3" t="s">
        <v>39</v>
      </c>
      <c r="L216" s="3" t="s">
        <v>68</v>
      </c>
      <c r="M216">
        <v>1</v>
      </c>
    </row>
    <row r="217" spans="1:13" x14ac:dyDescent="0.25">
      <c r="A217" s="1">
        <v>46139</v>
      </c>
      <c r="B217" s="1" t="str">
        <f ca="1">IF(Información1[[#This Row],[Fecha]]='Ajuste de fechas'!$A$2,"Día actual","Día anterior")</f>
        <v>Día anterior</v>
      </c>
      <c r="C217" s="3" t="s">
        <v>38</v>
      </c>
      <c r="D217" t="s">
        <v>40</v>
      </c>
      <c r="E217" s="3" t="s">
        <v>336</v>
      </c>
      <c r="F217" s="3" t="s">
        <v>28</v>
      </c>
      <c r="G217" s="3" t="s">
        <v>90</v>
      </c>
      <c r="H217" s="3" t="s">
        <v>41</v>
      </c>
      <c r="I217" s="3" t="s">
        <v>7</v>
      </c>
      <c r="J217" s="3" t="s">
        <v>65</v>
      </c>
      <c r="K217" s="3" t="s">
        <v>39</v>
      </c>
      <c r="L217" s="3" t="s">
        <v>66</v>
      </c>
      <c r="M217">
        <v>1</v>
      </c>
    </row>
    <row r="218" spans="1:13" x14ac:dyDescent="0.25">
      <c r="A218" s="1">
        <v>46139</v>
      </c>
      <c r="B218" s="1" t="str">
        <f ca="1">IF(Información1[[#This Row],[Fecha]]='Ajuste de fechas'!$A$2,"Día actual","Día anterior")</f>
        <v>Día anterior</v>
      </c>
      <c r="C218" s="3" t="s">
        <v>38</v>
      </c>
      <c r="D218" t="s">
        <v>40</v>
      </c>
      <c r="E218" s="3" t="s">
        <v>344</v>
      </c>
      <c r="F218" s="3" t="s">
        <v>28</v>
      </c>
      <c r="G218" s="3" t="s">
        <v>91</v>
      </c>
      <c r="H218" s="3" t="s">
        <v>41</v>
      </c>
      <c r="I218" s="3" t="s">
        <v>7</v>
      </c>
      <c r="J218" s="3" t="s">
        <v>65</v>
      </c>
      <c r="K218" s="3" t="s">
        <v>39</v>
      </c>
      <c r="L218" s="3" t="s">
        <v>66</v>
      </c>
      <c r="M218">
        <v>1</v>
      </c>
    </row>
    <row r="219" spans="1:13" x14ac:dyDescent="0.25">
      <c r="A219" s="1">
        <v>46139</v>
      </c>
      <c r="B219" s="1" t="str">
        <f ca="1">IF(Información1[[#This Row],[Fecha]]='Ajuste de fechas'!$A$2,"Día actual","Día anterior")</f>
        <v>Día anterior</v>
      </c>
      <c r="C219" s="3" t="s">
        <v>38</v>
      </c>
      <c r="D219" t="s">
        <v>40</v>
      </c>
      <c r="E219" s="3" t="s">
        <v>345</v>
      </c>
      <c r="F219" s="3" t="s">
        <v>28</v>
      </c>
      <c r="G219" s="3" t="s">
        <v>91</v>
      </c>
      <c r="H219" s="3" t="s">
        <v>41</v>
      </c>
      <c r="I219" s="3" t="s">
        <v>7</v>
      </c>
      <c r="J219" s="3" t="s">
        <v>65</v>
      </c>
      <c r="K219" s="3" t="s">
        <v>39</v>
      </c>
      <c r="L219" s="3" t="s">
        <v>66</v>
      </c>
      <c r="M219">
        <v>1</v>
      </c>
    </row>
    <row r="220" spans="1:13" x14ac:dyDescent="0.25">
      <c r="A220" s="1">
        <v>46139</v>
      </c>
      <c r="B220" s="1" t="str">
        <f ca="1">IF(Información1[[#This Row],[Fecha]]='Ajuste de fechas'!$A$2,"Día actual","Día anterior")</f>
        <v>Día anterior</v>
      </c>
      <c r="C220" s="3" t="s">
        <v>38</v>
      </c>
      <c r="D220" t="s">
        <v>40</v>
      </c>
      <c r="E220" s="3" t="s">
        <v>346</v>
      </c>
      <c r="F220" s="3" t="s">
        <v>28</v>
      </c>
      <c r="G220" s="3" t="s">
        <v>91</v>
      </c>
      <c r="H220" s="3" t="s">
        <v>41</v>
      </c>
      <c r="I220" s="3" t="s">
        <v>7</v>
      </c>
      <c r="J220" s="3" t="s">
        <v>65</v>
      </c>
      <c r="K220" s="3" t="s">
        <v>39</v>
      </c>
      <c r="L220" s="3" t="s">
        <v>66</v>
      </c>
      <c r="M22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73</v>
      </c>
      <c r="B1" t="s">
        <v>74</v>
      </c>
    </row>
    <row r="2" spans="1:2" x14ac:dyDescent="0.25">
      <c r="A2" s="2">
        <f ca="1">TODAY()</f>
        <v>46140</v>
      </c>
      <c r="B2" s="2">
        <f ca="1">A2-1</f>
        <v>46139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2026-04-28T22:26:13Z</dcterms:modified>
</cp:coreProperties>
</file>