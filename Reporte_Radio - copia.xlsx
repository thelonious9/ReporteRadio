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2E19EF8F-CB7B-444A-AAD3-2F1B9A5C3B09}"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99" i="2"/>
  <c r="B101" i="2"/>
  <c r="B103" i="2"/>
  <c r="B105" i="2"/>
  <c r="B106" i="2"/>
  <c r="B172" i="2"/>
  <c r="B173" i="2"/>
  <c r="B176" i="2"/>
  <c r="B179" i="2"/>
  <c r="B182" i="2"/>
  <c r="B184" i="2"/>
  <c r="B187" i="2"/>
  <c r="B189" i="2"/>
  <c r="B192" i="2"/>
  <c r="B196" i="2"/>
  <c r="B199" i="2"/>
  <c r="B201" i="2"/>
  <c r="B204" i="2"/>
  <c r="B206" i="2"/>
  <c r="B209" i="2"/>
  <c r="B212"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100" i="2"/>
  <c r="B102" i="2"/>
  <c r="B104" i="2"/>
  <c r="B107" i="2"/>
  <c r="B175" i="2"/>
  <c r="B178" i="2"/>
  <c r="B181" i="2"/>
  <c r="B188" i="2"/>
  <c r="B191" i="2"/>
  <c r="B194" i="2"/>
  <c r="B197" i="2"/>
  <c r="B202" i="2"/>
  <c r="B207" i="2"/>
  <c r="B210"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4" i="2"/>
  <c r="B177" i="2"/>
  <c r="B180" i="2"/>
  <c r="B183" i="2"/>
  <c r="B185" i="2"/>
  <c r="B186" i="2"/>
  <c r="B190" i="2"/>
  <c r="B193" i="2"/>
  <c r="B195" i="2"/>
  <c r="B198" i="2"/>
  <c r="B200" i="2"/>
  <c r="B203" i="2"/>
  <c r="B205" i="2"/>
  <c r="B208" i="2"/>
  <c r="B21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<sst xmlns="http://schemas.openxmlformats.org/spreadsheetml/2006/main" count="2124" uniqueCount="356">
  <si>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</si>
  <si>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</si>
  <si>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</si>
  <si>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</si>
  <si>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</si>
  <si>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</si>
  <si>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</si>
  <si>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</si>
  <si>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</si>
  <si>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</si>
  <si>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</si>
  <si>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</si>
  <si>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</si>
  <si>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</si>
  <si>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</si>
  <si>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</si>
  <si>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</si>
  <si>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</si>
  <si>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</si>
  <si>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</si>
  <si>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</si>
  <si>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</si>
  <si>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</si>
  <si>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</si>
  <si>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</si>
  <si>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</si>
  <si>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</si>
  <si>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</si>
  <si>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</si>
  <si>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</si>
  <si>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Matutino</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</si>
  <si>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</si>
  <si>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</si>
  <si>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</si>
  <si>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</si>
  <si>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</si>
  <si>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</si>
  <si>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</si>
  <si>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</si>
  <si>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</si>
  <si>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</si>
  <si>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</si>
  <si>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</si>
  <si>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</si>
  <si>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</si>
  <si>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</si>
  <si>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</si>
  <si>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</si>
  <si>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</si>
  <si>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</si>
  <si>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Abasto De Agua</t>
  </si>
  <si>
    <t>PGJEH</t>
  </si>
  <si>
    <t>Juan Carlos Santamaria</t>
  </si>
  <si>
    <t>NQ 90.1 FM</t>
  </si>
  <si>
    <t>Jesús Riveros</t>
  </si>
  <si>
    <t>Enlace Hidalgo1</t>
  </si>
  <si>
    <t>Mundial De Futbol</t>
  </si>
  <si>
    <t>Eulalio Larrieta agradece a Edith Balderas de la Secretaria de Educación Pública.</t>
  </si>
  <si>
    <t>Eulalio Larrieta agradece Paola García y Lic. Sarahi Pineda, por estar atentas a los mensajes de la ciudadanía y por atenderlos.</t>
  </si>
  <si>
    <t>Congreso</t>
  </si>
  <si>
    <t>SSH</t>
  </si>
  <si>
    <t>Enlace Hidalgo2</t>
  </si>
  <si>
    <t>Auxilio a la ciudadanía</t>
  </si>
  <si>
    <t>TV local</t>
  </si>
  <si>
    <t>Modernización Tuzobús</t>
  </si>
  <si>
    <t>Radiodifusoras</t>
  </si>
  <si>
    <t>DIFH</t>
  </si>
  <si>
    <t>Ultra 102.9 FM</t>
  </si>
  <si>
    <t>Ultra Noticias1</t>
  </si>
  <si>
    <t>Daniel Martínez</t>
  </si>
  <si>
    <t>Vía telefónica el reporte de Bombero y Protección Civil con Abner Yáñez informa de las diversas emergencias reportadas por la ciudadanía y que fueron atendidas.</t>
  </si>
  <si>
    <t>Semaforización</t>
  </si>
  <si>
    <t>Ley del ISSSTE</t>
  </si>
  <si>
    <t>Disminución salarial</t>
  </si>
  <si>
    <t>Ke Buena 106.7 FM</t>
  </si>
  <si>
    <t>Noticias 106.7</t>
  </si>
  <si>
    <t>David Cárdenas</t>
  </si>
  <si>
    <t>Regidor ebrio</t>
  </si>
  <si>
    <t>Enfoque Regional Meridiano</t>
  </si>
  <si>
    <t>Jesús González</t>
  </si>
  <si>
    <t>Radio Lobo 96.7 FM</t>
  </si>
  <si>
    <t>Enlace Noticias</t>
  </si>
  <si>
    <t>Gina Lorenzo</t>
  </si>
  <si>
    <t>UAEH</t>
  </si>
  <si>
    <t>Queja padres de familia</t>
  </si>
  <si>
    <t>Semarnath</t>
  </si>
  <si>
    <t>Reforestación</t>
  </si>
  <si>
    <t>Partidos</t>
  </si>
  <si>
    <t>OCSAD</t>
  </si>
  <si>
    <t>Rehabilitación carretera</t>
  </si>
  <si>
    <t>Procuraduría Municipal del Menor</t>
  </si>
  <si>
    <t>En Chilcuautla, acompaña Edda Vite formalización de la Procuraduría Municipal de Protección de Niñas, Niños y Adolescentes</t>
  </si>
  <si>
    <t>Prevención De Riesgos</t>
  </si>
  <si>
    <t>Prevención de inundaciones</t>
  </si>
  <si>
    <t>Fuga De Agua</t>
  </si>
  <si>
    <t>Combate Al Narcomenudeo</t>
  </si>
  <si>
    <t>Eulalio Larrieta agradece a Carlos Gamiño por estar al pendiente de temas</t>
  </si>
  <si>
    <t>Bienestar</t>
  </si>
  <si>
    <t>TV Cable hidalguense Canal 6</t>
  </si>
  <si>
    <t>Contigo Noticias</t>
  </si>
  <si>
    <t>Localización de cuerpo</t>
  </si>
  <si>
    <t>Deceso de policía</t>
  </si>
  <si>
    <t>Quejas Tuzobús</t>
  </si>
  <si>
    <t>Alerta Meteorológica</t>
  </si>
  <si>
    <t>Carril confinado</t>
  </si>
  <si>
    <t>UPLAPH y Semarnath invitan a la ciudadanía a donar semillas de especies nativas para reforestar Hidalgo</t>
  </si>
  <si>
    <t>A una semana que inicie la Copa Mundial de Futbol 2026, la Secretaría de Educación Pública de Hidalgo (SEPH) descartó que se vayan a suspender clases en las escuelas de la entidad por la ceremonia de inauguración que está programada antes del mediodía del 11 de junio. En días recientes el gobierno de la Ciudad de México anunció que el próximo jueves 11 de junio se suspenderán clases en educación preescolar, primaria, secundaria y media superior de la capital del país debido al partido inaugural que jugarán las selecciones de México y Sudáfrica, que se llevará a cabo en el estadio Banorte. Sin embargo, la dependencia estatal negó que en Hidalgo aplique la misma situación, por lo que las labores académicas continuarán como lo marca el calendario escolar 2025-2026, el cual concluye el 15 de julio. Además, la SEPH a través de la subsecretaría de Educación Básica indicó que hasta la fecha ninguna escuela se encuentra sin clases por el paro nacional que mantienen docentes de la Coordinadora Nacional de Trabajadores de la Educación, con actividades que realizan en la capital del país. Durante la conferencia matutina del 4 de junio la presidenta de la república, Claudia Sheinbaum fue cuestionada si en todo el país podrían tomar clases en línea o trabajar desde casa para ver el partido inaugural del Mundial.</t>
  </si>
  <si>
    <t>Impulsa IHE alianzas estratégicas para fortalecer la alfabetización inicial en Hidalgo</t>
  </si>
  <si>
    <t>Alfabetización</t>
  </si>
  <si>
    <t>Daniel Martínez respecto a que estudiantes del sexto semestre de la carrera técnica en Enfermería General del Bachillerato Tecnológico Casa de la Mujer Hidalguense participaron en la Ceremonia de Paso de la Luz, destaca que algunas alumnas de esta institución son jovencitas que son resguardadas y apoyadas por el DIFH y que las están encaminando a estudiar enfermería para invitarlas a hacerse socialmente responsables de otros. Es un componente social muy especial porque se trata de jóvenes que vienen de entornos sociales complicados.</t>
  </si>
  <si>
    <t>Graduación</t>
  </si>
  <si>
    <t>Paso de la Luz marca el inicio de una nueva etapa para estudiantes de Enfermería</t>
  </si>
  <si>
    <t>Tulancingo recibirá este 4 y 5 de junio a la delegación sudafricana de leyendas que participará en una serie de actividades deportivas, culturales y turísticas como parte del intercambio rumbo a la Copa Mundial de 2026. El programa contempla convivencias con aficionados, firmas de autógrafos, recorridos turísticos y una clínica deportiva, en una agenda que busca acercar a la ciudadanía con representantes del fútbol sudafricano y fortalecer el vínculo internacional del municipio. Las actividades arrancarán este jueves 4 de junio en el Jardín La Floresta, donde desde las 17:00 horas comenzará una verbena popular para dar la bienvenida al ambiente futbolero.</t>
  </si>
  <si>
    <t>Detiene PGJEH a tres personas en posesión de narcóticos, arma de fuego y un vehículo con reporte de robo</t>
  </si>
  <si>
    <t>El cuerpo de un hombre fue localizado en la localidad de El Dendho, dentro del municipio de Atitalaquia, durante la mañana del jueves 4 de junio; posteriormente siendo confirmado que ya no contaba con signos vitales. El hallazgo fue realizado en la calle Morelos de la localidad citada, a donde acudieron elementos policiacos y de Protección Civil tras recibir reporte al respecto. Los elementos de atención a emergencias, confirmando que ya no estaba con vida; al parecer, tenía impactos provocados por arma de fuego. La Procuraduría General de Justicia del Estado de Hidalgo inició las investigaciones respectivas al caso.</t>
  </si>
  <si>
    <t>Tras persecución, SSPH rescata a conductor privado de su libertad y recupera tractocamión cargado con hidrocarburo</t>
  </si>
  <si>
    <t>Combate a la delincuencia</t>
  </si>
  <si>
    <t>En sesión extraordinaria de Cabildo, el Ayuntamiento de Progreso de Obregón aprobó la celebración de un convenio de colaboración en materia de Mando Coordinado con el Gobierno de Hidalgo y la Secretaría de Seguridad Pública municipal, luego de la detención de nueve elementos de la corporación por su presunta participación en delitos de homicidio doloso calificado y lesiones. Durante la cuarta sesión extraordinaria del ayuntamiento, la presidenta municipal, Lorena Estrada Flores, explicó que esta medida busca fortalecer la coordinación operativa entre el municipio y el estado en materia de seguridad pública, así como mejorar la articulación institucional para la prevención del delito, la profesionalización policial y el fortalecimiento de las acciones de seguridad. Estrada Flores detalló que el convenio establece que el Gobierno del Estado, a través de la Secretaría de Seguridad Pública y en coordinación con la presidencia municipal, propondrá a la persona que estará a cargo de la operatividad policial y que asumirá la dirección de Seguridad Pública en el municipio. La alcaldesa recordó que Progreso de Obregón se incorporó al esquema de Mando Coordinado en 2016, sin embargo, en 2020, durante la administración del entonces alcalde Raúl Meneses, se notificó al entonces secretario de Seguridad Pública estatal, Mauricio Delmar Saavedra, la desincorporación del convenio.</t>
  </si>
  <si>
    <t>Mando Coordinado</t>
  </si>
  <si>
    <t>Los robos en la autopista Arco Norte en su trazo por el Estado de Hidalgo se han incrementado, reconoció Salvador Cruz Neri, titular de la Secretaría de Seguridad Pública de Hidalgo. Durante la octava reunión interestatal de seguridad del Arco Norte, el mando señaló que en prácticamente en todos los tipos de vehículo, se registra incremento en el robo. Detalló que el robo al transporte de carga pasó de 15 a 19 casos, un aumento de 27 por ciento, mientras que el robo de vehículos particulares creció de 16 a 21 casos. Añadió que alrededor del 45 por ciento de los robos registrados en el Arco Norte se concentran en el tramo que atraviesa los municipios de Tula de Allende. Mientras que el resto en Tolcayuca, Atitalaquia y Emiliano Zapata, por lo que urgió a implementar medidas para revertir la tendencia y evitar que el año cierre con un mayor número de robos. Señaló que la concesionaria IDEAL, a cargo de la vialidad, avanza en la instalación de infraestructura de vigilancia, con siete de las diez cámaras comprometidas ya conectadas al sistema estatal. Por su parte, la Guardia Nacional informó sobre la instalación de tres módulos adicionales de vigilancia, lo que permitirá reforzar los esquemas para prevenir y en su caso, atender hechos delictivos. Cruz Neri consideró que además de la infraestructura es necesario fortalecer la coordinación operativa entre las instituciones para mejorar la capacidad de reacción e impedir que los delitos se sigan cometiendo.</t>
  </si>
  <si>
    <t>Coordinación interestatal</t>
  </si>
  <si>
    <t>Hay una manifestación en el Bulevar Felipe Ángeles, en donde protestan trabajadores para exigir la destitución de mandos del ISSSTE Pachuca porque acusan malos tratos, vejaciones, humillaciones; entre otras cosas. Tienen tiempo trabajando bajo protesta, pero al ver que no les hacen caso, por eso recurren a esto. No está cerrado por completo el paso, hay elementos policiacos.</t>
  </si>
  <si>
    <t>Exigen destitución de funcionario</t>
  </si>
  <si>
    <t>Hidalgo forma parte de las entidades que serán beneficiadas durante 2026 con el programa federal de Caminos Artesanales, una estrategia impulsada por la Secretaría de Infraestructura, Comunicaciones y Transportes (SICT) para mejorar la conectividad en comunidades con altos niveles de marginación. Durante la conferencia matutina de la presidenta de México, Claudia Sheinbaum Pardo, el titular de la SICT, Jesús Antonio Esteva Medina, dio a conocer los avances de diversos proyectos de infraestructura carretera, entre ellos la construcción de 388 caminos artesanales en distintas regiones del país. En el caso de Hidalgo, se desarrollarán siete proyectos distribuidos en los municipios de Cardonal, Ixmiquilpan, San Agustín Tlaxiaca, Tecozautla y Tlahuiltepa. Para estas obras se contempla una inversión superior a los 40 millones de pesos y la construcción de 6.3 kilómetros de caminos. La estrategia federal busca facilitar el acceso entre cabeceras municipales y localidades alejadas mediante obras ejecutadas con participación de habitantes de las propias comunidades, generando además oportunidades de empleo temporal. A nivel nacional, el programa contempla una inversión de 6 mil millones de pesos para la construcción de 888 kilómetros de caminos, en beneficio de más de 327 mil personas. Los trabajos se llevarán a cabo entre junio y diciembre de este año. Como parte de la misma política de infraestructura, el Gobierno de México destina durante 2026 alrededor de 70 mil millones de pesos para acciones de conservación y modernización de carreteras. Entre ellas destaca el programa Megabachetón, mediante el cual se han reparado más de 37 mil baches en diferentes estados del país.</t>
  </si>
  <si>
    <t>El presidente municipal de Tula de Allende, Christian Evanivaldo Martínez Resendiz, informó que se prevé que el próximo 8 de junio entre en operación la nueva celda para la disposición de residuos sólidos, habilitada en la localidad de Tocalco. El alcalde explicó que, tras la clausura del relleno sanitario regional, los residuos generados en Tula eran trasladados hasta el municipio de Zumpango, lo que generó un gasto de cinco millones de pesos. “Es un tema que tenía muchísimos años de administraciones irresponsables que no le habían querido entrar. Nosotros lo estamos afrontando con toda la responsabilidad y hoy estamos muy contentos de poderles decir que tentativamente el 8 de junio podríamos iniciar operaciones”. Actualmente el municipio genera alrededor de 70 toneladas de residuos al día, y cerca de dos mil toneladas mensuales.</t>
  </si>
  <si>
    <t>Relleno Sanitario</t>
  </si>
  <si>
    <t>Habitantes de la comunidad de San Joaquín formalizaron su rechazo al proyecto fotovoltaico denominado “FV y Tecozautla” y declararon su territorio libre de actividades extractivas y megaproyectos energéticos que impliquen modificaciones al uso del suelo sin la aprobación de la población. La decisión fue tomada durante asambleas realizadas el pasado 26 de mayo, de las que derivaron tres actas: una comunitaria, una ejidal y una infantil-juvenil. En estos documentos, la población manifestó su oposición a proyectos relacionados con minería, hidrocarburos, generación hidroeléctrica, así como desarrollos eólicos y solares que no cuenten con el consentimiento expreso de la comunidad. El posicionamiento está dirigido particularmente al proyecto “FV Tecozautla”, impulsado por Green Park Energy, empresa señalada como filial de Iberdrola. La iniciativa cuenta con un permiso de generación eléctrica otorgado por la Comisión Nacional de Energía (CEN) el pasado 19 de diciembre de 2025, cuya vigencia es de 25 años. De acuerdo con organizaciones que acompañan a la comunidad, la determinación representa un hecho inédito en la región del Valle del Mezquital, al convertir el rechazo social al proyecto en una declaración respaldada por mecanismos comunitarios y legales. Los pobladores argumentan que su decisión se sustenta en el artículo 2 de la Constitución Mexicana, criterios emitidos por la Suprema Corte de Justicia de la Nación, la Ley Agraria y la Convención sobre los Derechos del Niño. Según la información difundida, el proyecto contempla ocupar aproximadamente 588 hectáreas ubicadas al suroeste de la cabecera municipal de Tecozautla, en una zona cercana a San Joaquín y al área de preservación ecológica conocida como Bondojito. Además, también se prevé la colocación de 204 mil paneles fotovoltaicos en las poblaciones de El Mercader, Maguey Verde y San Francisco.</t>
  </si>
  <si>
    <t>Parque Fotovoltaico</t>
  </si>
  <si>
    <t>El talento, la perseverancia y el espíritu emprendedor de las y los tulancinguenses encontraron un nuevo aliado este 3 de junio, cuando el Gobierno Municipal de Tulancingo realizó la primera entrega de apoyos económicos reembolsables de los programas “Transforma Tulancingo” y “Mujer Emprende y Transforma”, beneficiando a 139 personas con una inversión de un millón 390 mil pesos. Encabezada por la presidenta municipal, Lorena García Cázares, esta acción reafirma la visión de un gobierno cercano a la ciudadanía, comprometido con el fortalecimiento de la economía local desde la base social y con la generación de oportunidades para quienes buscan mejorar sus condiciones de vida mediante el trabajo y el emprendimiento. En esta primera etapa fueron beneficiadas 99 mujeres y 40 microempresarios y emprendedores, quienes recibieron recursos para impulsar, fortalecer o consolidar sus proyectos productivos. Los apoyos llegaron a habitantes de diversos sectores del municipio, entre ellos Napateco, La Cañada, Guadalupe, Rincones de la Hacienda, Santa María Asunción y Santa Ana Hueytlalpan, ampliando así el alcance de los programas y favoreciendo el desarrollo económico en distintas comunidades.</t>
  </si>
  <si>
    <t>Apoyo a emprendedores</t>
  </si>
  <si>
    <t>Con inversión inicial por 34.5 millones de pesos, iniciará la rehabilitación de la carretera estatal Tulancingo-Santiago Tulantepec, en un tramo aún por darse a conocer. El anuncio fue realizado por Alejandro Sánchez García, titular de la Secretaría de Infraestructura Pública y Desarrollo Urbano Sostenible, durante la Ruta de la Transformación realizada este jueves 4 de junio en el municipio de Santiago Tulantepec. El funcionario reconoció durante el anuncio que se trata de una de las obras viales más solicitadas en la región, por la gran cantidad de usuarios que circulan diariamente. En entrevista posterior, el Gobernador de Hidalgo, Julio Menchaca Salazar, reiteró que la rehabilitación de la vialidad será en una primera etapa que se ejecutará este mismo año; la obra total alcanzaría un presupuesto por aproximadamente 90 millones de pesos. Respecto a características, como extensión de la obra a atender, material que se utilizará, tiempo de ejecución, entre otros aspectos, dijo que se conocerá en la licitación que en su momento será lanzada. Reconoció que la obra generará algunas molestias por los cierres que se realizarán mientras se ejecuta, por lo que solicitó la comprensión de los usuarios de la vialidad, señalando que el beneficio final es lo importante.</t>
  </si>
  <si>
    <t>Ruta de la Transformación</t>
  </si>
  <si>
    <t>La presidencia municipal de Tulancingo está regalando 500 boletos dobrels para asistir al partido de Leyendas México vs. Sudáfrica.</t>
  </si>
  <si>
    <t>A pesar de los acuerdos anunciados por la Dirección de Mercados y Centros de Abasto para reforzar el orden y eliminar el comercio ambulante en calles aledañas a los tianguis del municipio, la presencia de vendedores informales continúa siendo una constante en diversas vialidades del centro de Tulancingo, particularmente los jueves, aunque también es visible durante otros días de la semana. En un recorrido realizado por Ultra Noticias Hidalgo, se pudo constatar que sobre la calle 21 de Marzo, en el tramo comprendido entre Morelos y Juan C. Doria, persisten diversos puestos semifijos y ambulantes, principalmente dedicados a la venta de alimentos, que ocupan parte de las banquetas y áreas destinadas al tránsito peatonal. Además de la presencia de comerciantes, también se observó la práctica de apartar espacios en la vía pública mediante objetos colocados sobre la calle para reservar lugares de estacionamiento, situación que genera molestias entre automovilistas y peatones. Ciudadanos consultados durante el recorrido señalaron que uno de los principales problemas es la invasión de banquetas, ya que en varios puntos los puestos reducen considerablemente el espacio para caminar.</t>
  </si>
  <si>
    <t>Ambulantaje</t>
  </si>
  <si>
    <t>Si así lo consideran, las personas que fueron agredidas verbalmente por Donato Ramírez, Síndico municipal de Singuilucan, pueden presentar su denuncia formal ante autoridades, así como sería el partido político al que pertenece, si le aplica alguna sanción. Tal es el posicionamiento del Gobernador de Hidalgo, Julio Menchaca Salazar respecto a dicha situación, la cual fue captada en video, donde incluso se escuchan amenazas de muerte por lo menos a una persona no identificada, por parte del integrante de la Asamblea Municipal de Singuilucan “Se seguirá el conducto adecuado y eso es una decisión que le toca a otras áreas. Si es un área política le tocará al partido y si generó una conducta que pueda llegar a ser un tipo penal como amenazas o algo, las personas que se sientan agraviadas que presenten su denuncia”, señaló al respecto Menchaca Salazar. La situación se habría registrado el pasado fin de semana, en calles de la cabecera municipal; en el video, además de escucharse los insultos y amenazas, se observa a un grupo de personas que sujetan al representante popular, mientras que oficiales policiacos sólo observan lo que ocurría, sin intervención alguna.</t>
  </si>
  <si>
    <t>Como parte de las acciones para fortalecer la atención y conservación de la fauna silvestre, la Unidad de Rehabilitación de Pachuca llevó a cabo un curso teórico-práctico especializado en entrenamiento con condicionamiento operante para fines médicos. La capacitación fue impartida por Silvia Torner, especialista de Proactive Animal con más de 30 años de experiencia, y reunió a más de 30 participantes provenientes de distintas entidades del país, interesados en perfeccionar técnicas que permitan a los animales colaborar de manera voluntaria en revisiones médicas, reduciendo los niveles de estrés durante su atención.</t>
  </si>
  <si>
    <t>Capacitación</t>
  </si>
  <si>
    <t>En Atitalaquia fue localizado el cuerpo sin vida de una persona con impactos de arma de fuego, por dicho hecho personal de la Procuraduría inició la carpeta de investigación correspondiente.</t>
  </si>
  <si>
    <t>Elementos de la Secretaría de Seguridad Pública del Estado y de Tizayuca lograron detener a tres personas, las cuales presuntamente están relacionadas con el robo de un tráiler. De acuerdo a la policía estatal se dio aviso de un tráiler que conducía a gran velocidad y al arribo lograron frustrar el robo, pero un oficial resultó lesionado; en el intento de huida, los delincuentes chocaron al menos dos vehículos particulares más con el tractocamión.</t>
  </si>
  <si>
    <t>Andrés Torres en respuesta a un radioescucha que comenta que es lamentable la decisión de no abrir al público la señal de Vocales radio a los paisanos de la huasteca, señala que es un tema de ignorancia supina y que dicen que no es importante que la estación esté al aire. Asevera que su obligación como funcionario es denunciar y lo hace todos los días. Hay una deuda social, pero hay gente a la que no le importa más que brincar al siguiente cargo porque ya les gustó Radio y Televisión de Hidalgo como trampolín, hay uno que decía que iba a a ser diputado (el exdirector) y ayer lo andaban buscando los de los juzgados de la Procuraduría.</t>
  </si>
  <si>
    <t>CECyTE Hidalgo destaca en Festival Académico Nacional 2026</t>
  </si>
  <si>
    <t>Justa Académica</t>
  </si>
  <si>
    <t>UPLAPH participa en la Segunda Sesión Ordinaria 2026 del Copladem en Tizayuca</t>
  </si>
  <si>
    <t>COPLADEM</t>
  </si>
  <si>
    <t>Andrés Torres recuerda que está fuera del aire por un capricho en Radio y Televisión en una de sus estaciones más importantes, el 1010 AM de Huejutla, en este momento tan importante que hay una emergencia climática en la Huasteca. "No la quieren prender porque dicen que no es importante", para la dirección general no es importante y son casi dos meses fuera del aire. Ojalá no suceda nada en la zona de la huasteca en este momento de emergencia climática, para que no digan- no nos avisaron- y entonces empiecen a deslindar responsabilidades. Hay una enorme deuda social, esto es un asunto claramente desconocimiento, una ignorancia supina por parte de las autoridades administrativas de Radio y Televisión que se niegan a prender la estación, porque dicen que es muy caro comprar diesel.</t>
  </si>
  <si>
    <t>Radioescucha, Osr Samperio Ortiz: mi sugerencia para el nuevo sistema de transporte no son las unidades nuevas, es acondicionar sus horarios. dijo el director de de este sistema que el mejor crítico es el público .</t>
  </si>
  <si>
    <t>“Seguimos en la ruta; vamos a redoblar esfuerzos”, sostiene Julio Menchaca</t>
  </si>
  <si>
    <t>Julio Menchaca verifica avance de la carretera Cuautepec-Tulancingo</t>
  </si>
  <si>
    <t>La Secretaría de Infraestructura Pública y Desarrollo Urbano Sostenible (SIPDUS) anunció la construcción de un carril adicional (tercer carril) en el bulevar Felipe Ángeles, a la altura del puente Colonias, con el objetivo de aliviar el cuello de botella que se genera al sur de Pachuca.</t>
  </si>
  <si>
    <t>Ampliación carretera</t>
  </si>
  <si>
    <t>La dirección municipal de Protección Civil de Pachuca emitió un aviso a la población, destacando que los próximos días se registrará un aumento significativo de humedad que provocará lluvias intensas y tormentas acompañadas de granizo, principalmente en el centro del país, incluyendo al estado de Hidalgo. Estas condiciones podrían generar inundaciones repentinas, encharcamientos severos y riesgos por caída de ramas, árboles o espectaculares debido a los fuertes vientos.</t>
  </si>
  <si>
    <t>El gobernador Julio Menchaca comparte en sus redes sociales: Les comparto que desde hoy y hasta el domingo, se esperan lluvias fuertes a muy fuertes en distintas regiones de Hidalgo, acompañadas de actividad eléctrica, con posible caída de granizo y rachas de viento. Manténganse informados a través de los canales oficiales y sigan las recomendaciones de la Subsecretaría de Protección Civil y Gestión de Riesgos. En caso de emergencia, llama al 911.</t>
  </si>
  <si>
    <t>Ante el pronóstico de lluvias muy fuertes a intensas de 75 a 150 mm en la región norte de Hidalgo, así como altas temperaturas y rachas de viento, exhortamos a la población a extremar precauciones. No cruces corrientes de agua, calles inundadas, ríos o arroyos, ni a pie ni en vehículo. Mantente informado por medios oficiales y, en caso de emergencia, llama al 911.</t>
  </si>
  <si>
    <t>La Universidad Autónoma del Estado de Hidalgo (UAEH) emitió un comunicado en donde infirmó que colabora activamente con las autoridades locales aportando grabaciones de sus cámaras de videovigilancia para esclarecer la muerte de un elemento de la Policía Industrial Bancaria del Estado de Hidalgo (PIBEH), cuyo cuerpo fue hallado sin vida la mañana del viernes 5 de junio de 2026 dentro de las instalaciones universitarias.</t>
  </si>
  <si>
    <t>Jesús Riveros responde a comentario de radioescucha sobre la visita del gobernador a Santiago Tulantepec y Cuautepec, señala que, efectivamente, el gobernador se dio cuenta de varios detalles, incluso, el Comité de Obra de acercó con él para hacerle notar algunas situaciones.</t>
  </si>
  <si>
    <t>Locutor Jesús Riveros da lectura a comentario de radioescucha que dice: Espero que con la visita de ayer del gober que vio los caminos hacia Santiago y allá sufrió de lo que pasamos todos los automovilistas en la obra de Cuautepec, me encantó que ayer fuera a la hora de la lluvia y se diera cuenta de la situación.</t>
  </si>
  <si>
    <t>La manifestación del personal de salud del Hospital "Dra. Columba Rivera Osorio" en Pachuca escaló a riña. Los trabajadores, que exigían el pago de suplencias, bloquearon el bulevar Felipe Ángeles. La protesta derivó en empujones con policías que intentaban replegarlos, dejando un saldo de al menos dos personas detenidas.</t>
  </si>
  <si>
    <t>Desalojo de manifestantes</t>
  </si>
  <si>
    <t>Comunicado respecto a lo acontecido en Servi Garza, en Mineral de la Reforma</t>
  </si>
  <si>
    <t>La regidora de San Salvador, Briseida Mera Ángeles, presentará una denuncia ante las instancias correspondientes por presuntos actos de violencia política y digital en su contra, luego de que en los últimos días circularan publicaciones y comentarios en redes sociales relacionados con su vida personal. Ayer por la noche, durante la sesión de Cabildo, la asambleísta manifestó su preocupación por los señalamientos difundidos en plataformas digitales, al considerar que se trata de una forma de violencia que busca vulnerar su imagen y su participación en la vida pública. Adelantó que emprenderá acciones legales para que los hechos sean investigados. Asimismo, lanzó un llamado a no normalizar este tipo de conductas y convocó a las mujeres que participan en la política a mantenerse unidas frente a cualquier manifestación de violencia de género, además de impulsar mecanismos que permitan prevenir y sancionar estas prácticas en los espacios de representación popular. Tras su intervención, todos los integrantes de la Asamblea municipal expresaron su respaldo a la regidora, condenaron los ataques dirigidos a su persona y se comprometieron a acompañarla en las acciones legales que decida emprender. En la misma sesión, fue aprobada por unanimidad la solicitud de licencia por tiempo indefinido presentada por Mera Ángeles, quien dejará temporalmente sus funciones a partir del próximo 16 de junio. Cabe señalar que, durante los últimos días, en redes sociales y grupos digitales del municipio de San Salvador han circulado publicaciones y comentarios que presuntamente relacionan a la edil con el expresidente municipal Armando Azpeitia Díaz.</t>
  </si>
  <si>
    <t>Violencia política</t>
  </si>
  <si>
    <t>Como parte de la estrategia de austeridad que impulsa Morena en Hidalgo, la regidora de Cardonal, Lucero Cruz Ambrosio, manifestó su respaldo a la propuesta de reducir en un 50 por ciento los salarios de regidores y síndicos; sin embargo, advirtió que la aplicación de esta medida podría enfrentar diversos obstáculos en algunos ayuntamientos, tanto por las condiciones financieras de cada municipio como por la conformación política de los cabildos. En entrevista para Quadratín Hidalgo, la asambleísta señaló que se encuentra alineada con los principios de la Cuarta Transformación y con los lineamientos promovidos por su partido en materia de austeridad gubernamental. No obstante, consideró que la realidad de cada municipio es distinta y que ello podría dificultar que la iniciativa prospere en todos los casos. Apenas estos martes integrantes de cabildo en Huichapan aprobaron la reducción del 50 por ciento de los salarios de regidores y síndicos, medida que ha sido presentada por Morena como un ejemplo de ahorro y racionalización del gasto público. Además, este día, el dirigente estatal de Morena, Marco Antonio Rico Mercado, reiteró que esta política forma parte de los principios del movimiento y dejó entrever posibles consecuencias partidistas para quienes se aparten de dicha línea. Ante este escenario, Cruz Ambrosio sostuvo que existen municipios donde los ingresos son considerablemente menores, por lo que el impacto financiero de una reducción salarial no necesariamente sería el mismo que en otros ayuntamientos con mayores recursos. Asimismo, señaló que en varios cabildos los representantes de Morena no cuentan con mayoría suficiente para impulsar o aprobar este tipo de propuestas. Como ejemplo, expuso el caso de Cardonal, donde aseguró que ocurrió una situación opuesta a la que actualmente promueve el partido guinda, ya que a inicios de este 2026 fue presentada una propuesta para incrementar los salarios de la asamblea municipal, iniciativa presentada por la alcaldesa emanada de Movimiento Ciudadano, Karla Hernández Cerroblanco, la cual finalmente fue aprobada por mayoría. De acuerdo con Cruz Ambrosio, ella fue la única que votó en contra del aumento salarial, al considerar que los recursos públicos debían orientarse prioritariamente a atender necesidades de la población.</t>
  </si>
  <si>
    <t>El diputado local del PVEM, Avelino Tovar dio a conocer que ha recibido injurías y amenazas directas como consecuencia de la iniciativa que presentó ante el Congreso de Hidalgo en torno a la prohibición la violencia en contra d elos animales y de manera particular, em contra de que se prohiba la tauromaquia en Hidalgo.</t>
  </si>
  <si>
    <t>Tauromaquia</t>
  </si>
  <si>
    <t>Caravana Cultural llegará a Chilcuautla, en el marco del Festival del Tlacoyo y la Gordita.</t>
  </si>
  <si>
    <t>Cultura</t>
  </si>
  <si>
    <t>Caravanas Culturales</t>
  </si>
  <si>
    <t>Llamado a respetar el carril exclusivo y la operación del Sistema de Transporte Metropolitano.</t>
  </si>
  <si>
    <t>Tras persecución, SSPH rescata a conductor privado de su libertad y recupera tractocamión cargado con hidrocarburo.</t>
  </si>
  <si>
    <t>Detiene PGJEH a tres personas en posesión de narcóticos, arma de fuego y un vehículo con reporte de robo.</t>
  </si>
  <si>
    <t>UPLAPH y Semarnath invitan a la ciudadanía a donar semillas de especies nativas para reforestar Hidalgo.</t>
  </si>
  <si>
    <t>UPLAPH y Semarnath invitan a la ciudadanía a donar semillas de especies nativas para reforestar Hidalgo. (AUDIO MATV).</t>
  </si>
  <si>
    <t>CECyTE Hidalgo destaca en Festival Académico Nacional 2026.</t>
  </si>
  <si>
    <t>Gobierno de Hidalgo llama a extremar precauciones ante pronóstico de lluvias intensas</t>
  </si>
  <si>
    <t>Seguimos en la ruta; vamos a redoblar esfuerzos”, sostiene Julio Menchaca. (AUDIO JMS).</t>
  </si>
  <si>
    <t>Julio Menchaca verifica avance de la carretera Cuautepec-Tulancingo. . (AUDIO JMS).</t>
  </si>
  <si>
    <t>Locutor Jesús Riveros informó que, el día de ayer, el gobernador realizó una gira de trabajo en Cuautepec para supervisar la segunda atapa de pavimentación hidráulica de la carretera estatal Cuautepec-Tulancingo, en donde, el Comité de Obras se acercó para externarle que revise el tema de las constructoras a las que se les otorga este tipo de contratos para hacer obra, ya que, la empresa encargada del primero y segundo tramo quedó mucho a deber por la calidad de su trabajo, por la falta de seriedad en el tema de los tiempos, situación que afectó enormemente a toda la población por los retrasos injustificados que se tuvieron, ya que, incluso, aseguran que la obra todavía no se termina al cien por ciento (recordará que, días antes al día de ayer, se apresuraron los encargados de la obra en tratar de terminar la obra y dejarla al cien por ciento, sin embargo, les faltó, Comentó Jesús Riveros). Situación por la que, se le solicitó expresamente al gobernador que no otorgue el siguiente tramo de la carretera a esta misma empresa; a lo que respondió el gobernador -Asegura el Comité de Obra - que se iba a revisar y en caso de encontrar fallas en cuanto a sus cumplimientos en tiempos y en calidad, se iba a vetar a esta compañía. De igual manera, se le solicitó al gobernador la construcción de un dren pluvial que alivie el tema de la creciente que se hace sobre la carretera, ya que, el problema se agrava con el aumento de la urbanización y las lluvias. Fueron las demandad del Comité de Obra allá en Cuautepec.</t>
  </si>
  <si>
    <t>Locutor Juan Carlos Santamaría informó que, se inició con la plantación de dos mil árboles en el Parque Nacional El Chico, como parte de la conmemoración del “Día Mundial del Medio Ambiente” este 5 de junio, por lo que, la Semarnarth lleva a cabo esta actividad con la participación de Mónica Mixtega Trejo, titular de la secretaría; Jannet Martínez Monzalvo, titular de la Oficina de Representación en Hidalgo de la Semarnat y Luis Alberto moreno López, titular de la Conafor en Hidalgo.</t>
  </si>
  <si>
    <t>Locutor Jesús Riveros transmite audio del gobernador Julio Menchaca en donde emite su posicionamiento sobre el actuar del síndico procurador de Singuilucan y la polémica que se ha generado, haciendo un llamado al síndico y a todos los funcionarios para que respeten la investidura que tienen como funcionarios públicos; al tiempo, de él mismo se pone como ejemplo, señalando “Yo me he comportado a la altura y me dirijo a la gente como a mí me gustaría que me traten” (AUDIO JMS). La anterior, dijo Jesús Riveros, lo expresó el gobernador en entrevista con medios de comunicación al término del evento de las Rutas de la Transformación en Santiago Tulantepec.</t>
  </si>
  <si>
    <t>Jesús Riveros informó que, el día de ayer, el gobernador Julio Menchaca estuvo en Santiago Tulantepec en donde les cayó una tromba justo después del discurso del gobernador en el marco de las rutas de la transformación. Entre los anuncios, dio a conocer que habrá una inversión millonaria para reconstruir la carretera Santiago Tulantepec-Tulancingo, información que fue confirmada también por el titular de la Sipdus, Alejandro Sánchez García. Al término del acto protocolario que le llevó a cabo en la unidad Deportiva, el gobernador reconoció que esta obra responde a una necesidad muy sentida debido al deterioro que presenta dicha vía de comunicación, sin precisar el tramo intervenido, aclaró que el recurso contemplado no cubrirá la totalidad del proyecto, el cual fue presupuestado en 90 mdp, dijo que se realizará en tres etapas y que espera que la reconstrucción se concluya en esta misma administración. (AUDIO JMS).</t>
  </si>
  <si>
    <t>En su colaboración semanal, Gustavo Rosales comentarista deportivo habló sobre la participación del “Club “Dragones Rojos de Ajedrez” que participaron en los Juegos Nacionales Escolares Conade de Primaria realizados en Jalisco, en donde obtuvieron resultados positivos, resaltando la participación del medallista de bronce Jaime Mauricio Cruz Méndez de 12 años de edad.</t>
  </si>
  <si>
    <t>Nacionales Conade</t>
  </si>
  <si>
    <t>Caasim refuerza acciones preventivas y despliega equipo especializado ante pronóstico de lluvias intensas</t>
  </si>
  <si>
    <t>La Subsecretaría de Protección Civil y Gestión de Riesgos informa a la población que, para este 05 de junio de 2026, se prevén lluvias fuertes con puntuales intensas de 75 a 150 mm en la región norte del estado. Asimismo, se pronostican temperaturas máximas de 30 a 35 °C, así como vientos de 10 a 20 km/h con rachas de 30 a 50 km/h.</t>
  </si>
  <si>
    <t>La escritora psicóloga y maestra en ciencias sociales Claudia Sandoval Zamora se convirtió en la primera autora vinculada a Hidalgo en obtener el Premio de Bellas Artes de Poesía Aguascalientes 2026 considerado uno de los máximos reconocimientos de la poesía en México aunque nació en el Estado de México la autora ha residido en Pachuca desde los siete años de edad ciudad que ha identificado como su hogar y desde donde pues ha desarrollado gran parte de su trayectoria literaria el galardón que cuenta con una de las mayores tradiciones dentro de la literatura mexicana reconoce la calidad y aportación de obras inéditas en el ámbito de la poesía además de representar uno de los premios más prestigiosos del país en este género. AUDIO DE APOYO.</t>
  </si>
  <si>
    <t>Radioescucha reporta que en la calle principal del Valle del Palmar, no caea agua</t>
  </si>
  <si>
    <t>Radioescucha reporta que las coladeras de Venustiano Carranza están tapadas; pide a las autoridades.</t>
  </si>
  <si>
    <t>Alcantarillado</t>
  </si>
  <si>
    <t>Enlace clima Luis García de la Conagua en la Republica Mexicana e Hidalgo, zona huasteca máxima de 35 mínima de 20, para la Sierra 26 máxima mínima de 17, Altiplano máxima de 21 mínima de 15, para Pachuca y Tizayuca 23 mínima de 12, en la Zona Tepehua máxima de 29 mínima de 17, Valle de Tulancingo máxima de 22 mínima de 10 en el Valle del Mezquital máxima 25 mínimas de 14 , Huichapan y Tecozayutla máxima 23 y mínima de 13</t>
  </si>
  <si>
    <t>El gobernador Julio Menchaca Salazar informó que ante el pronóstico de lluvias fuertes a muy fuertes para los próximos días, están acompañadas de actividad eléctrica, posible caída de granizo y rachas de viento. Por ello, ha instruido el mandatario hidalguense a las dependencias de seguridad, atención de emergencias y protección civil a mantenerse alerta y preparadas para atender de manera oportuna cualquier eventualidad que pudiera presentarse derivada de las condiciones meteorológicas.</t>
  </si>
  <si>
    <t>¿Ya tiene plan para este fin de semana? quiero invitarlo este viernes 5 de junio a que visite el municipio de Tepetitlán ya que será sede de la edición número 31 del Mercadito Emprendedor hoy viernes 5 de junio una iniciativa que se ha consolidado como un espacio para la promoción del comercio local y el fortalecimiento de los pequeños negocios ¿se acuerda usted de esta idea de consume local? Pues se sigue reforzando con este tipo de estrategias como Mercadito Emprendedor esta actividad se va a llevar a cabo a partir de las 9 de la mañana en un par de horas en la plaza principal donde se van a reunir emprendedoras y emprendedores van a ofrecer sus productos y servicios de acuerdo con la presidenta de Tepetitlán Ana Elsa Castillo Acosta el objetivo es impulsar el consumo local y generar oportunidades de desarrollo económico para las familias del municipio</t>
  </si>
  <si>
    <t>Eulalio Larrieta agradece Hans Islas del ayuntamiento de Mineral de la Reforma , por su apoyo en pasar los reportes</t>
  </si>
  <si>
    <t>Como parte de las acciones para fortalecer la atención y conservación de la fauna silvestre, la Unidad de Rehabilitación de Pachuca llevó a cabo un curso teórico-práctico especializado en entrenamiento con condicionamiento operante para fines médicos.La capacitación fue impartida por la especialista Silvia Torner, de Proactive Animal, quien cuenta con más de 30 años de experiencia, y reunió a más de 30 participantes provenientes de distintas entidades del país, interesados en perfeccionar técnicas que permitan a los animales colaborar de manera voluntaria en revisiones médicas, reduciendo así los niveles de estrés.Estas acciones consolidan a la Unidad de Rehabilitación como un espacio de referencia nacional en la profesionalización del manejo y atención de fauna silvestre, fortaleciendo las capacidades técnicas de quienes trabajan en su cuidado.En este mismo sentido, se llevó a cabo la liberación de un ejemplar de temazate, el venado más pequeño de México, el cual fue rescatado tras quedar atrapado en una malla en el municipio de San Agustín Metzquititlán, presentando únicamente lesiones superficiales.Tras su atención y estabilización, el ejemplar fue reintegrado a su hábitat natural en una zona de bosque mesófilo de la misma zona, en coordinación con la PROFEPA y autoridades municipales, garantizando su bienestar y contribuyendo a la preservación.</t>
  </si>
  <si>
    <t>Tras una persecución en la región de Tizayuca, autoridades recuperaron un autotanque con más de 31 mil litros de combustible y detuvieron a tres personas. El operativo inició luego del reporte por el robo de un tractocamión que circulaba hacia la carretera federal México-Pachuca. Gracias al monitoreo del C5i, la unidad fue localizada sobre la carretera Tepojaco-Temascalapa.Durante la persecución se registraron daños a vehículos particulares y una patrulla estatal, con saldo de dos policías lesionados. Finalmente, la unidad fue interceptada en las inmediaciones de la autopista México-Pachuca, donde además fue localizado el conductor privado de la libertad y maniatado dentro de la cabina. También fue asegurada un arma de fuego,</t>
  </si>
  <si>
    <t>Tres personas fueron detenidas en Tezontepec de Aldama durante un operativo de la Agencia de Investigación Criminal. La intervención ocurrió en la colonia Presas, donde agentes de investigación realizaban una inspección en un caso de asalto y robo. Detectaron una camioneta relacionada con una carpeta de investigación. Durante la revisión, los elementos aseguraron diversas dosis de presuntos narcóticos, un arma de fuego y una camioneta con reporte de robo, además de una motocicleta. Los tres detenidos quedaron a disposición del Ministerio Público.</t>
  </si>
  <si>
    <t>Personal de la Agencia de Investigación Criminal, adscrito a la Procuraduría General de Justicia del estado (PGJEH), detuvo a tres personas que viajaban en una camioneta con reporte de robo en el municipio de Tezontepec de Aldama.Los agentes pertenecientes al Grupo Mixquiahuala capturaron a los sujetos en la calle Degollado, de la colonia Presas, mientras realizaban labores de investigación relacionadas con asaltos y robos, cuando observaron un vehículo con características similares al que era objeto de una indagatoria.Los investigadores detectaron que en la unidad se encontraban un hombre y una mujer, mientras que un motociclista permanecía a un costado del vehículo. Sin embargo, al notar la presencia de los elementos, mostraron actitudes evasivas, por lo que les solicitaron una inspección.Las personas fueron identificadas con las iniciales R.O.H.T., O.A.H.C. y L.V.M. Durante la revisión, los agentes localizaron varias dosis de narcóticos, así como un arma de fuego, de la cual no pudieron acreditar su posesión legal, por lo que fueron trasladados ante el Ministerio Público para determinar su situación jurídica.</t>
  </si>
  <si>
    <t>La Policía Industrial Bancaria del Estado de Hidalgo, lamenta el sensible fallecimiento del policía tercero de iniciales A.T.L., de 57 años, con 18 años de servicio, quien desafortunadamente perdió la vida la mañana de este viernes 5 de junio.</t>
  </si>
  <si>
    <t>Un elemento de la Policía Industrial Bancaria del Estado de Hidalgo (PIBEH) perdió la vida en las instalaciones de Servi Garza UAEH, ubicadas en Mineral de la Reforma. El incidente ocurrió cuando se recibió una llamada de emergencia sobre un elemento inconsciente al interior de la gasolinera. Al llegar al lugar, se confirmó que el policía, identificado con las iniciales A.T.L., ya no contaba con signos vitales y presentaba un impacto de arma de fuego. Las autoridades han iniciado una carpeta de investigación para esclarecer los hechos y determinar las circunstancias de la muerte. La Universidad Autónoma del Estado de Hidalgo (UAEH) ha expresado sus condolencias y solidaridad con los familiares, amistades y compañeros del policía fallecido.</t>
  </si>
  <si>
    <t>Informa conductor que una persona perdió la vida; era elemento de la policía bancaria. Esto al oriente de la capital hidalguense, dentro de su patrulla. El deceso fue afuera de una tienda muy conocida de abarrotes; esto es ahí adelantito de la Universidad Autónoma del Estado de Hidalgo, en la carretera Pachuca y Pachuquilla, prácticamente.</t>
  </si>
  <si>
    <t>Un motociclista fue detenido por elementos de la Secretaría de Seguridad Pública de Pachuca en la zona centro de la capital. De acuerdo con la información proporcionada por la corporación, los hechos ocurrieron en las inmediaciones del monumento a los Niños Héroes, donde un oficial marcó el alto al conductor de una motocicleta. Sin embargo, el motociclista habría hecho caso omiso a la instrucción, lo que derivó en una intervención por parte de los elementos de seguridad. Tras ser interceptado, el conductor fue asegurado y posteriormente trasladado ante el Ministerio Público. El hecho generó reacciones en redes sociales, donde usuarios difundieron videos y comentarios en los que cuestionan la actuación de los elementos policiales durante la detención</t>
  </si>
  <si>
    <t>Detención abuso policiaco</t>
  </si>
  <si>
    <t>Marco Rico presidente Morena aseguró que la reducción salarial en Huichapan fue resultado del diálogo con la alcaldesa, AUDIO APOYO</t>
  </si>
  <si>
    <t>Morena</t>
  </si>
  <si>
    <t>Reportan manifestación en Boulevard Felipe Ángeles por parte de trabajadores del hospital ISSSTE Hidalgo; están trabajando bajo protesta, se quejan de la mala administración dentro del hospital y exigen mejores condiciones de trabajo.</t>
  </si>
  <si>
    <t>Radioescucha reporta fuga de agua en Piracantos, atrás de la secundaria tecnica 40</t>
  </si>
  <si>
    <t>La Coordinadora Nacional de Trabajadores de la Educación (CNTE) llevará a cabo una marcha en Pachuca, Hidalgo, en apoyo a la huelga nacional del gremio.La concentración se realizará desde la Normal Superior Siglo XXI, y los participantes avanzarán hacia el Reloj Monumental.El recorrido congregará a maestros y maestras de la sección 15 del SNTE-CNTE, quienes buscan visibilizar demandas históricas y laborales, entre ellas la abrogación de la Ley del ISSSTE 2007, la garantía de una jubilación digna para trabajadores con 28 y 30 años de servicio y la implementación del décimo transitorio.</t>
  </si>
  <si>
    <t>Radioescucha pregunta: ¿A partir de qué hora será la manifestación de maestros de la CNTE en Pachuca ?. Comenta conductor: informa que es a partir de las 15:30 horas que saldrá de Siglo XXI para terminar en el Reloj Monumental.</t>
  </si>
  <si>
    <t>Ayer jueves se registró una movilización de corporaciones de seguridad y cuerpos de emergencia en la comunidad de Dendhó, en el municipio de Atitalaquia, tras el hallazgo de un hombre sin vida sobre la vía pública. De acuerdo con los primeros reportes, el hecho fue notificado en la calle Morelos, donde vecinos alertaron a las autoridades sobre la presencia de una persona inconsciente. Al arribar al lugar, elementos de seguridad y personal de emergencia confirmaron que la víctima ya no contaba con signos vitales. De manera preliminar, se informó que se trata de un hombre de aproximadamente 25 años de edad</t>
  </si>
  <si>
    <t>Los municipios de Progreso de Obregón y Tezontepec de Aldama se van a incorporar al esquema de mando coordinado de la Secretaría de Seguridad Pública de Hidalgo, así lo informó el Secretario de Seguridad Estatal, Salvador Cruz Neri. La decisión se produce luego de diversos acontecimientos que han impactado a las corporaciones locales, en el caso de Progreso de Obregón, usted recuerda varios policías fueron detenidos por su presunta participación en delitos relacionados con homicidio y lesiones, mientras que en Tezontepec de Aldama se desarrollan investigaciones vinculadas con presuntos delitos de narcomenudeo y posesión ilegal de armas, de acuerdo con Cruz Neri la incorporación al mando coordinado permitirá fortalecer la coordinación entre autoridades estatales y municipales, además de reforzar los mecanismos de supervisión, operación y estrategia policial en ambas localidades. AUDIO DE APOYO.</t>
  </si>
  <si>
    <t>Radioescucha Sr. Paderes pregunta: ¿Las unidades de Tuzobús cuentan con controlador que pueda ver cómo van?</t>
  </si>
  <si>
    <t>A una semana que inicie la Copa Mundial de Futbol 2026, la Secretaría de Educación Pública de Hidalgo (SEPH) descartó que se vayan a suspender clases en las escuelas de la entidad por la ceremonia de inauguración que está programada antes del mediodía del 11 de junio.En días recientes el gobierno de la Ciudad de México anunció que el próximo jueves 11 de junio se suspenderán clases en educación preescolar, primaria, secundaria y media superior de la capital del país debido al partido inaugural que jugarán las selecciones de México y Sudáfrica, que se llevará a cabo en el estadio Banorte.</t>
  </si>
  <si>
    <t>Mundial Mujeres Libres desafía roles y estereotipos de género en Hidalgo, AUDIO APOYO</t>
  </si>
  <si>
    <t>El gobernador Julio Menchaca Salazar fue cuestionado sobre los reportes relacionados con presuntas patrullas piratas de la Guardia Nacional que se han visto detectadas circulando en la región de Tulancingo, y sobre la carretera Pachuca-Tulancingo al respecto. El mandatario estatal fijó su postura y se refirió a las acciones que se han emprendido para atender esta situación y garantizar la seguridad de la población.“Hay una reunión, primero, todos los lunes tengo gabinete de seguridad con el secretario de gobierno, secretario de seguridad pública, y el procurador. Y los martes y jueves hay un gabinete de seguridad con Guardia Nacional y con la decimoctava zona militar, con las áreas de inteligencia, y estamos muy en comunicación. Desafortunadamente ese fenómeno sí se ha dado, no solamente en el estado, hay pillos que han utilizado esto, pero también quiero decirles que tenemos registro de quienes los hemos identificado y han sido detenidos y puestos a disposición. O sea, aquí importa mucho la denuncia ciudadana. Cuando nos han dicho a tiempo que han sido, aunque ya tenemos un sistema muy robusto de C5 y de la 911, es muy importante que cuando se detecte esto nos estén comunicando. Es muy fácil, es el 911, y entonces podremos estar dando una pronta respuesta." AUDIO DE APOYO</t>
  </si>
  <si>
    <t>Patrulla pirata</t>
  </si>
  <si>
    <t>El municipio de Chilcuautla formalizó la instalación de su Procuraduría Municipal de Protección de Niñas, Niños y Adolescentes, convirtiéndose en uno de los ayuntamientos que se incorporan a la estrategia estatal para fortalecer la atención y defensa de los derechos de la infancia. Durante la ceremonia, la presidenta del Patronato del Sistema DIF Hidalgo, Edda Vite Ramos, destacó que estas instancias permitirán acercar los mecanismos de protección a las comunidades y agilizar la atención de casos relacionados con la vulneración de derechos de niñas, niños y adolescentes. De acuerdo con información del DIF estatal, más de 59 municipios ya cuentan con los equipos multidisciplinarios requeridos para operar estas instancias, integrados por personal jurídico, psicológico y de trabajo social, mientras que el resto continúa en proceso de adecuación. Las nuevas procuradurías sustituyen a las antiguas unidades de primer contacto y tendrán la responsabilidad de brindar atención especializada, acompañamiento y seguimiento a casos que involucren a menores de edad, con el propósito de reducir tiempos de respuesta y fortalecer la restitución de derechos en cada municipio</t>
  </si>
  <si>
    <t>En una entrevista con medios de comunicación, el gobernador de Hidalgo, Julio Menchaca Salazar, declaró que debemos honrar los cargos para los que fuimos elegidos por la gente, esto respecto a la polémica generada por el síndico procurador de Singilucan, Donato Ramírez, quien fue exhibido en redes sociales por presuntamente lanzar amenazas e insultos durante un altercado ocurrido en días recientes, AUDIO JMS</t>
  </si>
  <si>
    <t>“Seguimos en la ruta; vamos a redoblar esfuerzos”, sostiene Julio Menchaca.</t>
  </si>
  <si>
    <t>Julio Menchaca verifica avance de la carretera Cuautepec-Tulancingo, AUDIO APOYO</t>
  </si>
  <si>
    <t>Después de estas rutas de la transformación, pues, el gobernador de Hidalgo, Julio Menchaca Salazar, sostuvo un encuentro con medios de comunicación donde fue cuestionado sobre la controversia que involucra al síndico procurador de Singuilucan, Donato Ramírez Olvera. Usted recuerda esta difusión de un video en redes sociales en el que, presuntamente, se observa al funcionario municipal amenazando a un grupo de jóvenes. Posteriormente, el propio síndico, Donato Ramírez Olvera, emitió un mensaje público ofreciendo disculpas por lo ocurrido.Las declaraciones del gobernador se producen en medio de la exigencia de integrantes del Cabildo de Singuilucan, quienes promovieron una queja formal ante la Contraloría Municipal para que se investiguen los hechos y se determine si existe responsabilidad administrativa por parte del funcionario, e incluso, se analice su permanencia en el cargo. Seguirá conducto adecuado, y eso es una decisión que particularmente le toca a otras áreas. Si es un área política, pues le tocará al partido por el cual está en esa responsabilidad, y si generó una conducta que pueda llegar a ser un tipo penal, como amenaza de muerte, pues en las personas que se sientan agraviadas, que presenten sus denuncias, es un acto muy desafortunado, y no abona a la imagen de los servidores públicos. Desde mi punto de vista, debemos honrar los cargos en que la gente, la ciudadanía, nos eligió, y debemos de conducirnos de la mejor manera posible. Nos merecemos respeto, y hoy, ante una sociedad frenética por muchas cosas, por el estrés, por los problemas, por las redes sociales, por tanta información que nos llega, pues debemos tener serenidad, calma, dignidad, y comportarnos de una mejor manera. No abonemos a que exista el encono, y ese tipo de cosas, no ayudan en nada. Entonces es una invitación a que disfrutemos la vida, que respetemos a las personas, y que honremos el cargo, cualquier responsabilidad, que nos honremos como personas. AUDIO DE APOYO</t>
  </si>
  <si>
    <t>El gobernador de Hidalgo, Julio Menchaca Salazar, encabezó una nueva jornada en las rutas de la transformación en el municipio de Santiago Tulantepec, donde acercó diversos apoyos gubernamentales y servicios a la población a través del programa Servicios para el Pueblo.Me da muchísimo gusto estar por quinta ocasión como gobernador del estado en Santiago Tulantepec y hacer un reconocimiento al esfuerzo que hacen sus habitantes junto con su presidenta municipal a la que agradezco la anfitrionía, sé del enorme esfuerzo que realiza la presidenta, sus regidores, su ayuntamiento, su equipo de trabajo y esto es identificar que trabajar en equipo siempre da buenos resultados. Y en las rutas de la transformación, que es este ejercicio de dar cuentas, tenemos un ejército de más de 30 mil personas en los comités de la Contraloría, en los comités de la obra pública. Por su parte, el secretario de Infraestructura Pública y Desarrollo Urbano Sostenible, Alejandro Sánchez García, detalló las inversiones realizadas en Santiago Tulantepec. Casi tres años y medio en lo que va de la administración del gobernador Julio Menchaca. AUDIO DE APOYO</t>
  </si>
  <si>
    <t>Radioescucha Sr. Juan reporta que los semáforos de Prismas y Nuevo Hidalgo con dirección a Tulipanes, ya que no funcionan bien</t>
  </si>
  <si>
    <t>Y los dos hombres, señalados por su presunta participación en el robo de 1.3 millones de pesos a un cuentahabiente el viernes pasado en Pachuca, ya fueron vinculados a proceso, luego de que un juez de control consideró que existen elementos suficientes para que continúe el procedimiento penal en su contra. Durante la continuación de la audiencia inicial celebrada ayer, el juez de control resolvió iniciar proceso penal contra los imputados identificados con las iniciales G.H.A.G. y E.M.A. por su probable responsabilidad en los delitos de asalto agravado y robo.La determinación judicial se produjo tras el análisis de los datos de prueba presentados por el Ministerio Público, así como los argumentos expuestos por la defensa de los acusados. Como parte de la resolución, el juzgador determinó mantener la medida cautelar de prisión preventiva justificada, por lo que ambos permanecerán internados en el Cereso de Pachuca mientras continúan las investigaciones.</t>
  </si>
  <si>
    <t>Vinculación A Proceso</t>
  </si>
  <si>
    <t>Habitantes de las comunidades Acuapa 1 y Acuapa 2, en el municipio de Huejutla, retuvieron a siete trabajadores de la Comisión Federal de Electricidad (CFE) este lunes, como medida de presión para exigir la atención de diversas problemáticas relacionadas con el servicio de energía eléctrica. De acuerdo con los inconformes, una de las principales demandas es la reubicación de varios postes que, desde hace meses, solicitaron mover debido a que algunos quedaron prácticamente en medio de calles y vialidades, lo que representa un riesgo para peatones y automovilistas. Ante la falta de atención, la mañana de este lunes 8 de junio los habitantes decidieron aplicar sus usos y costumbres y trasladaron a siete empleados de la CFE a la comunidad de Huejutla, donde permanecen retenidos mientras esperan una solución concreta a sus peticiones. Los vecinos responsabilizaron al ingeniero Juan Aranda por la falta de seguimiento a las solicitudes presentadas y señalaron que el problema se ha prolongado por varios meses sin que exista una respuesta efectiva. Los inconformes advirtieron que no liberarán a los trabajadores hasta que se establezcan compromisos claros para realizar los trabajos solicitados y mejorar el suministro eléctrico. Asimismo, señalaron que, de no obtener una respuesta en las próximas horas, podrían intensificar sus acciones mediante el bloqueo de la carretera federal Álamo-Tamazunchale, a la altura del crucero de Macuxtepetla. Los pobladores de Huejutla señalaron que, pese a las gestiones realizadas ante la paraestatal, no han obtenido respuesta favorable. Además, afirmaron que persisten las quejas por constantes variaciones de voltaje y frecuentes apagones que afectan a familias de ambas comunidades, y esto provoca daños en aparatos eléctricos y afectaciones en las actividades cotidianas. Por su parte, la Comisión Federal de Electricidad no había emitido una postura oficial sobre los hechos ni sobre las demandas planteadas por los habitantes de Acuapa 1 y Acuapa 2.</t>
  </si>
  <si>
    <t>Retención</t>
  </si>
  <si>
    <t>Locutor Jesús Riveros informa sobre una movilización policiaca en Tulancingo, debido a un asalto a Joyería.</t>
  </si>
  <si>
    <t>Inseguridad</t>
  </si>
  <si>
    <t>como resultado del trabajo coordinado entre ciudadanía, gobierno municipal e integrantes del H. Ayuntamiento, el presidente Jorge Hernández Araus encabezó la inauguración de la obra de construcción de pavimentación hidráulica en la calle 8 de Septiembre, en la comunidad de Santa María Nativitas. Esta importante mejora representó una inversión de 1 millón 885 mil 393 pesos con 40 centavos, recursos destinados a fortalecer la infraestructura urbana y mejorar las condiciones de movilidad y seguridad para quienes transitan diariamente por esta vialidad, beneficiando de manera directa a 65 habitantes y de forma indirecta a 2 mil 878.</t>
  </si>
  <si>
    <t>Pavimentación hidráulica</t>
  </si>
  <si>
    <t>Locutor Irving Sánchez da lectura a comentario de radioescucha que reportan la inconformidad de padres de familia por el incremento en la cuota de inscripción en una Escuela Primaria de Tulancingo.</t>
  </si>
  <si>
    <t>Locutor Irving Sánchez da lectura a comentario de radioescucha que reportan la inconformidad de padres de familia por los maestros de la Escuela Primaria Río Seco Puente de Doria del municipio de Huasca de Ocampo, solicitan la intervención de la SEPH para que no falten tanto los maestros, que haya una mejor educación en favor de las y los alumnos de este plantel educativo.</t>
  </si>
  <si>
    <t>La recepción de remesas en Hidalgo registró una baja durante el primer trimestre de 2026, según datos publicados por el Banco de México. En el periodo enero-marzo, el estado captó 396.375 millones de dólares, cifra menor a los 449.643 millones reportados en el último trimestre de 2025. El municipio de Ixmiquilpan se mantuvo como el segundo con mayor captación de remesas en la entidad, solo detrás de Tulancingo de Bravo. Ixmiquilpan recibió 58.856 millones de dólares, mientras que en el trimestre octubre-diciembre de 2025 había alcanzado 66.748 millones. Tulancingo de Bravo encabezó la lista con 60.535 millones de dólares en el primer trimestre, por debajo de los 67.619 millones registrados el trimestre anterior. Pachuca de Soto ocupó el tercer lugar con 43.794 millones de dólares, frente a los 49.523 millones del cierre de 2025. En la región, Actopan reportó 20.532 millones de dólares; Zimapán, 19.160 millones; Huichapan, 14.392 millones, y Chapulhuacán, 7.366 millones. En contraste, Tasquillo y Alfajayucan recibieron poco más de 2 millones de dólares cada uno. Los datos reflejan una tendencia a la baja generalizada en la captación de remesas en los principales municipios receptores de Hidalgo al arranque de 2026.</t>
  </si>
  <si>
    <t>Remesas</t>
  </si>
  <si>
    <t>Tatiana Ángeles impulsa el cooperativismo como alternativa económica en México En tiempos donde las grandes corporaciones dominan buena parte de la economía nacional, la diputada Tatiana Ángeles Moreno volvió a poner sobre la mesa un tema que pocas veces recibe reflectores: el cooperativismo como motor de desarrollo social y económico para miles de familias mexicanas. Durante un foro organizado por la histórica Cooperativa Pascual, reconocida por su emblemática marca Boing!, Tatiana Ángeles y el legislador Alfonso Ramírez Cuéllar coincidieron en que las cooperativas representan mucho más que un modelo de negocio: son una forma de distribuir oportunidades, fortalecer la economía social y devolverle a los trabajadores el control de su esfuerzo y producción.</t>
  </si>
  <si>
    <t>Impulso al cooperativismo</t>
  </si>
  <si>
    <t>Con el propósito de fortalecer la cultura cívica y democrática entre la comunidad estudiantil hidalguense, el Instituto Estatal Electoral de Hidalgo (IEEH) realizó la donación de 250 ejemplares de productos editoriales propios a la Subsecretaría de Educación Media, Superior y Superior de la Secretaría de Educación Pública de Hidalgo (SEPH). Esta acción busca acercar materiales informativos y de divulgación en materia electoral a la comunidad educativa, promover el conocimiento de los valores democráticos, la participación ciudadana y la importancia de las Instituciones Electorales en la vida pública del Estado. La Consejera Presidenta Mtra. María Magdalena González Escalona, destacó que la entrega de los ejemplares forma parte del compromiso institucional de promover la cultura democrática y fortalecer la participación ciudadana entre las juventudes hidalguenses; señaló además, que los materiales serán distribuidos en distintos planteles educativos del estado con el propósito de acercar a la comunidad estudiantil contenidos especializados sobre democracia, Procesos Electorales y participación ciudadana. Finalmente, Daniel Fragoso Torres, Subsecretario de Educación Media, Superior y Superior del Estado, reconoció en el IEEH a un aliado estratégico en la promoción de la cultura cívica entre las juventudes, precisando que los materiales editoriales serán incorporados a las bibliotecas de instituciones de Educación Media Superior y Superior de Hidalgo. Destacó, que dichas publicaciones contribuirán a fortalecer el conocimiento y la reflexión de las comunidades educativas sobre la democracia, la participación ciudadana y la evolución de los Procesos Electorales en Hidalgo, reflexionando que el acceso a los libros y al conocimiento sigue siendo una herramienta fundamental para fomentar el pensamiento crítico y consolidar una ciudadanía informada y participativa.</t>
  </si>
  <si>
    <t>IEEH</t>
  </si>
  <si>
    <t>Donación de libros</t>
  </si>
  <si>
    <t>El próximo 18 y 19 de junio en el municipio de la Misión se realizará el Primer Festival del Chile Rayado La Misión 2026, en donde se realizarán diversas actividades culturales, religiosas y deportivas. De acuerdo con el programa, algunas de las actividades que se llevaran a cabo están: misa por los agricultores del chile rayado, cabalgata en honor a los productores, rodada de bicicletas, corredor gastronómico, juego de rayuela y un programa cultural. El pasado 13 de mayo el gobierno de Hidalgo, junto con la academia y el sector productivo, obtuvo la indicación geográfica que se traducirá en mayores oportunidades. Con el compromiso de fortalecer el patrimonio agroalimentario y cultural de Hidalgo, el gobernador Julio Menchaca Salazar recibió, por parte del Instituto Mexicano de la Propiedad Industrial (IMPI), la Declaratoria de Protección de la Indicación Geográfica del Chile Rayado de La Misión, un elemento jurídico que impulsa el comercio justo y la generación de mayores oportunidades para las familias productoras de la Sierra Gorda hidalguense. Menchaca Salazar agregó que la indicación geográfica permitirá detonar el desarrollo económico y fortalecer la protección de los conocimientos tradicionales de las y los productores de esta variedad del chile jalapeño que se caracteriza por sus rayas pronunciadas. Al respecto, Santiago Nieto Castillo, director general del IMPI, detalló que hay indicios de la producción del chile rayado en La Misión desde hace más de un siglo, misma que ha perdurado de manera ininterrumpida de generación en generación y, a la fecha, la mayoría de la población está relacionada con este fruto que se cosecha en más de dos mil hectáreas. “Hoy, el chile rayado de La Misión forma parte del Atlas Turístico de México de la Secretaría de Turismo del Gobierno de México”, señaló Nieto Castillo al reconocer la labor de la administración del gobernador Julio Menchaca para la defensa del patrimonio hidalguense, lo que ha resultado en la indicación geográfica del aguamiel, el registro de mil 588 marcas y la tramitación de 17 patentes en forma y 49 en fondo. En ese sentido, destacó que Hidalgo ocupa el octavo lugar a nivel nacional en materia de patentes de ciencia, innovación y tecnología, y adelantó que ya se trabaja en la protección de alimentos como la barbacoa, el ximbó y el destilado de pulque.</t>
  </si>
  <si>
    <t>Indi</t>
  </si>
  <si>
    <t>Estudiante del ITESHU presenta proyecto de educación financiera ante CITNOVA</t>
  </si>
  <si>
    <t>Educación financiera</t>
  </si>
  <si>
    <t>El IHE, a través de la Tercera Jornada Nacional por la Paz y contra las Adicciones, estudiantes, docentes y autoridades suman esfuerzos para construir una cultura de bienestar y sana convivencia.</t>
  </si>
  <si>
    <t>Prevención De Adicciones</t>
  </si>
  <si>
    <t>Julio Menchaca acompaña fortalecimiento del Colegio de Notarios del Estado de Hidalgo (AUDIO JMS)</t>
  </si>
  <si>
    <t>Conmemoración Aniversario</t>
  </si>
  <si>
    <t>Julio Menchaca respalda a la Industria de Desarrollo y Promoción de Vivienda (AUDIO JMS)</t>
  </si>
  <si>
    <t>Toma de protesta</t>
  </si>
  <si>
    <t>Tulancingo vivió una jornada histórica marcada por la pasión futbolera y el intercambio cultural con la visita de la delegación de leyendas de la selección de Sudáfrica 2010, cuyos integrantes fueron recibidos con entusiasmo por cientos de habitantes que se sumaron a las actividades organizadas en el marco de la cuenta regresiva rumbo a la Copa Mundial de la FIFA 2026. La visita inició con una cálida bienvenida en la explanada de La Floresta, donde la secretaria de Turismo de Hidalgo, Elizabeth Quintanar Gómez; el subsecretario Salvador Navarrete Zorrilla; y la presidenta municipal, Lorena García Cázares, encabezaron, junto con una multitud de aficionados, el acto de recepción, acompañado de música que reflejó la identidad y hospitalidad de Tulancingo. Posteriormente, las leyendas sudafricanas participaron en una clínica deportiva dirigida a 50 niños que forman parte del Mundialito Intercolegial Fut 7 2026. Durante la actividad compartieron técnicas de control de balón, definición y estrategia de juego, además de convivir con estudiantes de nivel básico, quienes tuvieron la oportunidad de aprender de futbolistas que formaron parte de una generación histórica para su país. En la zona del ferrocarril se llevó a cabo una firma de autógrafos que reunió a decenas de aficionados. Entre fotografías, sonrisas y muestras de cariño, los visitantes convivieron con niños, jóvenes y familias enteras. En este espacio también degustaron platillos típicos de la región, mostrando interés por la gastronomía y las tradiciones locales. Como parte final de su estancia en el municipio, la delegación recorrió la zona arqueológica de Huapalcalco. Ahí presenciaron danzas prehispánicas y conocieron la importancia cultural del lugar, que recientemente cumplió tres años de haber sido declarado Zona de Monumentos Históricos por el Instituto Nacional de Antropología e Historia. Más allá del fútbol, la visita permitió fortalecer los lazos de amistad entre culturas y proyectar a Tulancingo como un destino con capacidad para albergar eventos de alcance internacional. Con saldo blanco y una amplia participación social, la despedida de las leyendas de Sudáfrica 2010 dejó una estela de entusiasmo y orgullo entre los tulancinguenses.</t>
  </si>
  <si>
    <t>En vivo desde las instalaciones de Gobierno del Estado, locutor Juan Carlos Santamaría informó que, la conferencia matutina de Gobierno de Hidalgo inició con la presentación de un video en el que se pudo observar al gobernador Julio Menchaca Salazar platicando en lo que ha denominado “Círculos de Diálogo” con personas del municipio de Progreso de Obregón y de esta charla, destaca que, el mandatario estatal les dijo a los pobladores con quienes se reunió que “Nadie debe pedir nada a cambio de los apoyos que llegan directamente a los beneficiarios de los programas sociales de las diferentes instancias de Gobierno para poder solicitarlos y entregarlos”.</t>
  </si>
  <si>
    <t>Mañanera de Hidalgo</t>
  </si>
  <si>
    <t>En vivo desde las instalaciones de Gobierno del Estado, locutor Juan Carlos Santamaría informó sobre la participación de Danny Jordaan, presidente de la Federación Sudafricana Fútbol, quien se refirió al partido del día de ayer del “Juego de Leyendas”; en el que, la selección de México se impuso cinco goles por dos.</t>
  </si>
  <si>
    <t>En vivo desde las instalaciones de Gobierno del Estado, locutor Juan Carlos Santamaría informó sobre la participación de Beryl Rose Sisulu, embajadora de Sudáfrica en México, quien ha hecho un reconocimiento por la parte cultura e histórica que une a los pueblos sudafricanos y mexicano a través de lo que fue Nelson Mandela (en su momento) y esta lucha del pueblo sudafricano por eliminar situaciones que segregaban a algunas personas, una lucha que se mantiene en el mundo, en ese sentido, destacó la empatía del pueblo mexicano con el sudafricano y lo grato que ha sido su presencia en el Estado de Hidalgo.</t>
  </si>
  <si>
    <t>En vivo desde las instalaciones de Gobierno del Estado, locutor Juan Carlos Santamaría informó que, el Coordinador de Comunicación Gubernamental, Edmundo Pineda López ha presentado a quienes estarán encabezando esta conferencia mañanera, que es peculiar, recordemos, que la justa futbolera internacional que comienza esta semana está permeando en muchas de las actividades, por lo que, el día de hoy, se tiene la presencia Beryl Rose Sisulu, embajadora de Sudáfrica en México; Danny Jordaan, presidente de la Federación Sudafricana Fútbol; dos integrantes de la selección de Sudáfrica del Mundial 2010 y quienes ha estado recorriendo diferentes municipios, como, Tulancingo que ha estado en la agenda del denominado “Juego de Leyendas”; por parte del Estado, está la secretaria de Turismo, Elizabeth Quintanar y Óscar “El Conejo” Pérez, quien además de ser el titular del Inhide, formó parte de aquella selección mexicana del mundial 2010.</t>
  </si>
  <si>
    <t>Respecto a la nota sobre la visita de las leyendas de la selección de Sudáfrica 2010 a Tulancingo, Jesús Riveros comentó que, durante la conferencia mañanera de Gobierno del Estado de Hidalgo los propios exjugadores profesionales han expresado lo agradable que ha sido su estancia en el Valle de Tulancingo y por supuesto, en el Estado de Hidalgo.</t>
  </si>
  <si>
    <t>Gobierno</t>
  </si>
  <si>
    <t>Turismo</t>
  </si>
  <si>
    <t>Un ataque armado registrado en la comunidad de El Dendho, municipio de Atitalaquia, dejó como saldo un hombre sin vida y una mujer lesionada, luego de que ambos fueran agredidos a balazos por sujetos que viajaban en una camioneta. De acuerdo con los primeros reportes, los hechos ocurrieron cuando los ocupantes de una camioneta Toyota color blanco interceptaron un vehículo Chevrolet en el que viajaban las víctimas y abrieron fuego en su contra para posteriormente darse a la fuga. En el lugar perdió la vida un hombre identificado con las iniciales C. L. V. P., de 49 años de edad, mientras que una mujer, identificada como G. M. H., resultó herida por impactos de arma de fuego, por lo que fue trasladada a un hospital para recibir atención médica. Tras la agresión, elementos de corporaciones policiales municipales, estatales y cuerpos de emergencia acudieron al sitio para atender la situación y acordonar la zona, mientras se realizaban las diligencias correspondientes. Asimismo, se implementó un operativo de búsqueda para localizar a los responsables, quienes escaparon con dirección a la carretera Tula-Jorobas. La Procuraduría General de Justicia del Estado de Hidalgo (PGJEH) inició las investigaciones para esclarecer el móvil del ataque, identificar a los agresores y determinar las circunstancias en las que ocurrió este hecho violento. Hasta el momento no se han reportado detenidos. Peritos y agentes ministeriales realizaron el procesamiento de la escena, así como la recolección de indicios que permitan integrar la carpeta de investigación correspondiente. Apenas la mañana del jueves 4 de junio se reportó que un hombre perdió la vida tras ser atacado con un arma de fuego en esta misma comunidad de El Dendho, municipio de Atitalaquia, Hidalgo.</t>
  </si>
  <si>
    <t>Ataque Armado</t>
  </si>
  <si>
    <t>La noche de este domingo dos hombres perdieron la vida de manera instantánea tras ser atropellados sobre la autopista México-Tuxpan, a la altura de la caseta de peaje de San Alejo. El accidente se registró en el kilómetro 107 de la vía de cuota, en el tramo Tejocotal-San Alejo, cerca de la zona de baños de la caseta. Inicialmente se reportó la presencia de dos personas lesionadas por un presunto atropellamiento; sin embargo, al arribo de los cuerpos de emergencia se confirmó que ambas víctimas ya no contaban con signos vitales. Aunque circula la versión de que uno de los fallecidos sería el conductor de un autobús de turismo y el otro su ayudante, esta información no ha sido confirmada por las autoridades correspondientes. Tras el percance, personal de MRO Golfo Centro que opera la autopista y elementos de la Guardia Nacional (GN), división Carreteras, implementaron un operativo de abanderamiento para resguardar la zona y prevenir nuevos accidentes. Agentes periciales y de investigación de la Procuraduría General de Justicia del Estado de Hidalgo (PGJEH), se encargaron del levantamiento de los cuerpos</t>
  </si>
  <si>
    <t>Accidente Carretero</t>
  </si>
  <si>
    <t>En Atitalaquia en el Barrio Dendho un hombre de 49 años perdió la vida por arma de fuego. El cuerpo se localizó dentro de un vehículo junto con una mujer que resultó lesionada y fue trasladada a un hospital.</t>
  </si>
  <si>
    <t>Homicidios</t>
  </si>
  <si>
    <t>Dos hombres fueron asesinados a balazos la tarde de este sábado en la comunidad de El Carmen. Los primeros reportes indican que los agresores viajaban en motocicleta y los atacaron cerca del panteón de la colonia El Chamizal. Paramédicos confirmaron el fallecimiento en el lugar.</t>
  </si>
  <si>
    <t>Tras la manifestación y bloqueo carretero del pasado viernes, hoy lunes, trabajadores Hospital del ISSSTE de Pachuca ,retomaron la protesta en el nosocomio para exigir la destitución de la administradora Ivonne Hernández Anaya.Los quejosos colocaron lonas en los cristales y barandales del lobby de tal, donde señalaron que el personal trabaja bajo protesta ante la administración de la subdirectora administrativa, de quien piden su destitución debido a la falta de transparencia, que no tramita el pago y vulnera los derechos de los trabajadores, AUDIO APOYO</t>
  </si>
  <si>
    <t>Cuatro personas fallecidas, entre ellas una menor de edad y siete más lesionadas, fue el saldo de un accidente registrado ayer domingo en la carretera que conduce a las Grutas de Tolantongo, en el Cardonal. Según información preliminar, la policía municipal, el percance ocurrió cuando un urbano de transporte se vino a ser involucrada en un choque con otro vehículo en una de las vialidades de acceso al corredor turístico. Liz Quintanar, secretaria de Turismo, que habla sobre este hecho, AUDIO APOYO</t>
  </si>
  <si>
    <t>Deceso turista</t>
  </si>
  <si>
    <t>Dos personas fueron localizadas sin vida y calcinales de una obra negra en la colonia Jacarandas, en Pachuca, informaron a autoridades locales. El hallazgo se realizó durante la mañana del pasado sábado, cuando vecinos alertaron a la policía sobre la presencia de humo y restos humanos al interior de la casa en construcción.Al arribar al sitio, los oficiales constataron que se trataba de dos cuervos calcinados, por lo que la zona fue ocultada y resguardada.</t>
  </si>
  <si>
    <t>Localización De Restos</t>
  </si>
  <si>
    <t>El regidor con licencia Omar Ramírez, tras recuperar su libertad, sostuvo una reunión con sus cercanos, a quienes les externó su agradecimiento. Aseguró que no se irá del municipio, se tomará un tiempo para definir sus prioridades y dijo que no le dan ganas de regresar a retoamar sus actividades como regidor del ayuntamiento</t>
  </si>
  <si>
    <t>Detención Regidor</t>
  </si>
  <si>
    <t>Habitantes de la comunidad de Santa Teresa en el municipio de Yahualica, expulsaron a un hombre que era señalado por vecinos de presuntamente dedicarse a la venta de drogas en la localidad.De acuerdo con vecinos, la medida se realizó de manera pacífica y con la presencia de autoridades comunitarias para evitar cualquier incidente. Habitantes señalaron que la determinación se tomó luego de diversos acontecimientos que habían generado preocupación entre la población, por lo que decidieron actuar mediante los mecanismos internos de la comunidad.</t>
  </si>
  <si>
    <t>Usos y costumbres</t>
  </si>
  <si>
    <t>En esta conferencia de prensa de los lunes estuvo la embajadora de Sudáfrica en México Beryl Rose Sisulu , quien agradeció al gobernador de Hidalgo, Julio Menchaca, por su actividad. AUDIO APOYO,</t>
  </si>
  <si>
    <t>Durante la conferencia de prensa, la conferencia mañanera de los lunes del gobierno de Hidalgo, el director del Instituto Hidalguense del Deporte, Carl Pérez, presentó el programa Ponte Pila , AUDIO APOYO,</t>
  </si>
  <si>
    <t>La fiesta futbolera llegó a Hidalgo, convirtiendo al Estado en el primero en hablar del mundo. Así lo dijo durante la conferencia de los lunes la secretaria de turismo, Liz Quintanar “ Esto es el resultado de la elección del gobernador a la embajada, de la unión con el ministro de Deporte, Cultura y Artes, y de todo el comité, para que por primera vez, seamos el primer Estado en donde se hable mundial “ AUDIO APOYO</t>
  </si>
  <si>
    <t>La selección mexicana recibió este lunes el abanderamiento oficial rumbo al Mundial 2026 en una ceremonia encabezada por la presidenta Claudia Sheinbaum en el Centro de Alto Rendimiento de la Federación Mexicana de Fútbol. A tres días del partido inaugural de la Copa del Mundo, el representativo nacional recibió la bandera como parte de la tradición protocolaria previa a las competencias internacionales de mayor relevancia.</t>
  </si>
  <si>
    <t>En este evento de la libertad de expresión, estuvo el presidente municipal Cristhian Martínez Reséndiz, quien anunció el trabajo que realizan los medios de comunicación aquí en Tula. “Todo el gremio es tan fundamental para nuestro municipio de Tula, ustedes que han hecho transcurrir la historia de nuestro municipio que han formado parte de ella, junto con sus familias y las generaciones “, AUDIO APOYO</t>
  </si>
  <si>
    <t>Día libertad de expresión</t>
  </si>
  <si>
    <t>Periodistas de Tula se reunieron en el busto del profesor Francisco Tobar, fundador del periódico La Región. Fue Gabriela Tovar González la actual directora del periódico, quien habló de esta conmemoración. Es para nosotros un día muy importante para quienes ejercemos el periodismo. El periodista de Tepeji del Río, Gabriel Pérez, dijo que hay nuevos retos para el periodismo. AUDIO APOYO</t>
  </si>
  <si>
    <t>Julio Menchaca reconoce labor del gremio periodístico hidalguense , AUDIO JMS APOYO</t>
  </si>
  <si>
    <t>Radioescucha reporta que en Fraccionamiento Virreyes hay muchos baches y son un peligro, que el señor Medecigo nos ponga tantita atención</t>
  </si>
  <si>
    <t>Bacheo</t>
  </si>
  <si>
    <t>Radioescucha Sra. Ramírez reporta una coladera abierta en Avenidas de las Santas junto a la parada de las colectivas en La Providencia, Mineral de la Reforma.</t>
  </si>
  <si>
    <t>Radioescucha manda audio reporta que los policías de tránsito solo están quitando la placa en el 1ero de Mayo y como a los locatarios que dejan su carro todo el día no les dicen nada.</t>
  </si>
  <si>
    <t>Multa de tránsito</t>
  </si>
  <si>
    <t>Radioescucha reporta que los policías de tránsito son prepotentes y groseros y solo se dedican a infraccionar por cualquier cosa.</t>
  </si>
  <si>
    <t>Radioescucha reporta que siguen sin arreglar los semáforos que están rumbo a Tulipanes por Chedraui, no funcionan</t>
  </si>
  <si>
    <t>Radioescucha Sr. Castillo reporta que el día de ayer un taxista en el paradero externo de Plaza Bella nos quería cobrar de Plaza Bella a Palmar $90.00 pesos, que porque según había tráfico.</t>
  </si>
  <si>
    <t>Alteración tarifa de transporte</t>
  </si>
  <si>
    <t>Radioescucha pide a los choferes del transporte público que manejen con cuidado, ya que con los charcos pasan y mojan a los otros vehículos, también a las personas que van caminando.</t>
  </si>
  <si>
    <t>Queja transporte público</t>
  </si>
  <si>
    <t>Radioescucha reporta una fuga de agua calle Jorge Rojo Lugo en colonia San Antonio el Desmonte , ya se reporto varias veces y no viene hacer nada Caasim</t>
  </si>
  <si>
    <t>Radioescucha reporta nuevamente un tráiler de una empresa que pasa por calle Arrayanes en la colonia Piracantos, es una unidad muy pesada, y ya rompió varias tomas de agua. El chofer dice que el dueño es amigo del gobernador y puede hacer lo que quiera</t>
  </si>
  <si>
    <t>Influyentismo</t>
  </si>
  <si>
    <t>Como parte de las acciones permanentes, la Dirección General de Protección Civil y Gestión de Riesgos mantiene activos los protocolos de actuación, monitoreo y supervisión en distintos puntos de la capital ante las condiciones meteorológicas registradas.De acuerdo con los recorridos y reportes de vigilancia, se presentaron encharcamientos ligeros y moderados en diversas zonas de la ciudad, sin que hasta el momento se reporten afectaciones a viviendas, vehículos o personas.Asimismo, se verificó el funcionamiento de la infraestructura pluvial, constatando que los drenes operan con normalidad y mantienen su capacidad de desalojo de agua.Personal de Protección Civil continúa con la supervisión de puntos susceptibles a acumulación de agua y mantiene vigilancia preventiva para atender de manera oportuna cualquier eventualidad.</t>
  </si>
  <si>
    <t>En el marco del Día Mundial de la Bicicleta, el Instituto Mexicano del Seguro Social (IMSS) en Hidalgo destaca los beneficios a la salud de esta práctica deportiva, además de ser un medio de transporte económico, ecológico y sustentable.El jefe de la Oficina de Cultura Física y Deporte de la Jefatura de Salud en el Trabajo, Prestaciones Económicas y Sociales, Jonathan Meneses Ghenno, del IMSS en la entidad afirmó que, el uso regular de la bicicleta representa un beneficio importante al sistema cardiovascular y respiratorio, además de la mejora en el estado general de salud.</t>
  </si>
  <si>
    <t>Promoción De La Salud</t>
  </si>
  <si>
    <t>Hidalgo cerró la temporada de influenza estacional 2025-2026 con 418 casos y 31 muertes, lo que duplicó los fallecimientos a causa de ese padecimiento en comparación con el periodo 2024-2025, y se ubicó en el cuarto lugar nacional con más mortalidad.La Dirección General de Epidemiología (DGE) reveló que la entidad acumuló 418 casos en la temporada estacional que inició la última semana de septiembre de 2025 y concluyó la tercera semana de mayo de 2026, cantidad que aumentó 23.3 por ciento en comparación con los 339 casos del periodo anterior.Además, la institución dependiente de la Secretaría de Salud federal informó que en los ocho meses ocurrieron 31 muertes por influenza, cifra que incrementó más del 100 por ciento respecto de los 13 decesos de septiembre de 2024 a mayo del 2025.</t>
  </si>
  <si>
    <t>Influenza</t>
  </si>
  <si>
    <t>La Secretaria de Educación Pública del Estado de Hidalgo, informó que con motivo del Campeonato de Fútbol 2026, el próximo 11 de junio se autoriza a las comunidades escolares, madres y padres de familia, personas tutoras, directivos y docentes a determinar en conjunto la estrategia más adecuada para participar de manera ordenada y responsable en este evento deportivo.La participación podrá realizarse tanto en el entorno escolar como en el ámbito familiar, siempre privilegiando el bienestar de las y los estudiantes así como el cumplimiento de los objetivos educativos.</t>
  </si>
  <si>
    <t>Gobierno de Hidalgo genera espacios de inclusión para personas con síndrome de Down y autismo</t>
  </si>
  <si>
    <t>Inclusión</t>
  </si>
  <si>
    <t>Elementos de la Secretaría de Seguridad Pública de Hidalgo (SSPH) aseguraron 10 kilos 800 gramos de presunta marihuana ocultos en dos envíos de paquetería procedentes de Veracruz y con destino a la Ciudad de México.La acción se realizó tras una denuncia recibida por el Centro de Control, Comando, Comunicaciones, Cómputo, Coordinación e Inteligencia (C5i), luego de que trabajadores de una empresa de mensajería reportaran paquetes con características inusuales.Durante la inspección, los agentes localizaron 20 bolsas con hierba seca con características propias de la marihuana, equivalentes a cerca de 36 mil dosis.La sustancia asegurada fue puesta a disposición de la autoridad competente para el desarrollo de las investigaciones correspondientes</t>
  </si>
  <si>
    <t>Realizan Feria de Empleo en el municipio de Apan</t>
  </si>
  <si>
    <t>STPSH</t>
  </si>
  <si>
    <t>Feria De Empleo</t>
  </si>
  <si>
    <t>Caravana Cultural llegará a Chilcuautla en el marco del Festival del Tlacoyo y la Gordita</t>
  </si>
  <si>
    <t>Mundial Mujeres Libres desafía roles y estereotipos de género en Hidalgo</t>
  </si>
  <si>
    <t>Como parte de las estrategias para fortalecer la conservación ambiental y respaldar las actividades del sector rural, el gobierno municipal de Mineral de la Reforma realizó la entrega de **200 ejemplares de pino Greggii** a integrantes de la Unidad de Riego “El Venado”. La entrega fue encabezada por el alcalde **Eduardo Medécigo Rubio**, quien destacó que este tipo de acciones contribuyen a la recuperación de áreas verdes y al desarrollo sustentable de las comunidades del municipio. Durante el acto, el presidente municipal señaló que la protección de los recursos naturales y el fortalecimiento del campo son pilares fundamentales para garantizar mejores condiciones de vida a las futuras generaciones. Asimismo, subrayó que la plantación de árboles representa una medida concreta para mejorar el entorno ecológico y fomentar una cultura de cuidado ambiental.</t>
  </si>
  <si>
    <t>La Comisión Nacional del Agua (CONAGUA) emitió un aviso especial por condiciones meteorológicas adversas que afectarán al centro del país entre el 4 y el 7 de junio. En el caso de Hidalgo, se pronostican lluvias fuertes, muy fuertes e incluso intensas en distintas zonas de la entidad, acompañadas de actividad eléctrica, posible granizo y rachas de viento de hasta 50 kilómetros por hora. De acuerdo con el documento oficial del Servicio Meteorológico Nacional, durante estos días una abundante entrada de humedad, combinada con una vaguada en niveles medios y altos de la atmósfera, favorecerá precipitaciones importantes en Hidalgo, Estado de México, Ciudad de México, Morelos, Puebla y Tlaxcala. Además, los modelos meteorológicos anticipan la posible formación de un ciclón tropical frente a las costas de Oaxaca y Guerrero a inicios de la próxima semana. Para Hidalgo, los pronósticos más relevantes indican lluvias de entre 50 y 75 milímetros en diversas regiones del estado, especialmente entre viernes y domingo. Las autoridades advierten que estas condiciones podrían provocar incremento en los niveles de ríos y arroyos, deslaves en zonas de montaña, inundaciones urbanas y encharcamientos.</t>
  </si>
  <si>
    <t>Alexa Jiménez, secretaria del Comité de la Fiesta patronal del Sagrado Corazón 2026 destacó la importancia de esta celebración para su comunidad y extendió una una invitación a la población a acudir a esta fiesta.</t>
  </si>
  <si>
    <t>Fiesta patronal</t>
  </si>
  <si>
    <t>La Secretaría de Turismo de Hidalgo presentó los detalles de la Fiesta Patronal del Sagrado Corazón de Jesús 2026, una de las celebraciones más representativas de la comunidad de Ulapa, en el municipio de Tetepango. Durante la conferencia de prensa se dieron a conocer las actividades religiosas, culturales y artísticas que formarán parte de esta festividad, la cual reúne cada año a habitantes, visitantes y familias de la región.</t>
  </si>
  <si>
    <t xml:space="preserve">SSPH frena robo de combustible por drenaje en Atotonilco de Tula
</t>
  </si>
  <si>
    <t>Combate Al Huachicol</t>
  </si>
  <si>
    <t>UTEC participa en encuentro latinoamericano de óptica y fotónica</t>
  </si>
  <si>
    <t>Divulgación científica</t>
  </si>
  <si>
    <t>Tras el fuerte accidente vial registrado la noche de pasado jueves, alrededor de las 22:00 horas, sobre la carretera federal México - Tampico, a la altura de la entrada al lugar conocido como Ajacaya. Una camioneta pickup se salió de la cinta asfáltica y se precipitó a un profundo barranco. Al descender para auxiliar a las víctimas, los cuerpos de emergencia se encontraron con una escena alarmante: el vehículo estaba vacío. El conductor ha sido identificado como, Renato Alonso Sánchez, de 42 años, de Acoxcatlán, y su unidad una Nissan NP 300, color blanca, con placas de circulación HT-2897-G del estado de Hidalgo Hasta el momento se desconoce su paradero y su estado físico, por lo que se solicita urgentemente el apoyo de la ciudadanía y voluntarios para unirse a las brigadas de búsqueda en la zona.</t>
  </si>
  <si>
    <t>Búsqueda de personas</t>
  </si>
  <si>
    <t>Cuatro personas perdieron la vida en un accidente vial registrado la noche del sábado 6 de junio en la vialidad de acceso a las Grutas de Tolantongo, dentro del municipio de Cardonal. De acuerdo a reporte inicial, la camioneta Urvan donde viajaban los fallecidos registró una falla mecánica en el sistema de frenado y terminó impactándose contra un autobús de turistas. Los fallecidos fueron una mujer, una menor de edad y dos hombres, además de existir siete personas lesionadas, las cuales fueron trasladadas para recibir atención médica. Presuntamente las personas fallecidas, una menor, una mujer y dos hombres eran originarios de Guanajuato. Personal de atención a emergencias acudieron al sitio para apoyar las labores de rescate y atención, posteriormente llegaron representantes de la Procuraduría General de Justicia del Estado de Hidalgo para iniciar las investigaciones respectivas y con ello deslindar responsabilidades.</t>
  </si>
  <si>
    <t>Una persona colgada de la rama de un árbol fue localizada la tarde del viernes 5 de junio, confirmándose posteriormente que ya no contaba con signos vitales. El hallazgo fue realizado en un camino dentro de la localidad de Los Romeros, al norte del municipio de Santiago Tulantepec, a donde acudieron elementos de Bomberos y Protección Civil local. Tras descolgar el cuerpo del hombre y verificar sus signos vitales, se confirmó que ya no contaba con estos; el sitio fue resguardado por los elementos policiacos para el inicio de las investigaciones por parte de autoridades ministeriales. El cuerpo del hombre, del que no se tiene identificación alguna hasta el momento, presentaba una lesión grave en el cuello, estando colgado a unos cuatro metros del suelo, aproximadamente.</t>
  </si>
  <si>
    <t>Suicidio</t>
  </si>
  <si>
    <t>Dos hombres fueron encontrados sin vida y completamente calcinados al interior de una construcción en obra negra ubicada en la colonia Jacarandas, a espaldas del Centro de Reinserción Social (Cereso) para Adultos de Pachuca, en un hecho que ha generado consternación entre los habitantes de la zona y que ya es investigado por las autoridades ministeriales. El hallazgo se realizó durante la mañana de este domingo, luego de que elementos de Seguridad Pública acudieran al inmueble y confirmaran la presencia de los cuerpos entre los restos calcinados de la construcción. La Procuraduría General de Justicia del Estado de Hidalgo mantiene abierta la carpeta de investigación correspondiente</t>
  </si>
  <si>
    <t>Los cuerpos de dos hombres con heridas de bala, fueron hallados en las inmediaciones de la colonia El Chamizal de la localidad de El Carmen, en el municipio de Tula de Allende. De acuerdo con los primeros reportes, vecinos de la zona alertaron a las autoridades tras escuchar múltiples detonaciones de arma de fuego en un camino de terracería. Tras recibir el reporte, elementos de Seguridad Pública y cuerpos de emergencia se trasladaron al sitio, donde localizaron a dos hombres con lesiones provocadas por proyectil de arma de fuego. Paramédicos que acudieron al lugar confirmaron que ambas víctimas ya no contaban con signos vitales, por lo que la zona fue acordonada y resguardada por las autoridades. Posteriormente, se solicitó la presencia de personal de la Procuraduría General de Justicia del Estado de Hidalgo, así como de peritos y agentes de investigación, quienes realizaron las diligencias correspondientes y el levantamiento de los cuerpos.</t>
  </si>
  <si>
    <t>Daniel Martínez comenta que el pasado fin de semana se reportó un presunto robo a mano armada en una tienda de autoservicio en el centro de Tulancingo, se hizo el reporte a Seguridad Pública y días después se acudió a preguntar qué avances se tenía y "casi tres días después no tenemos un triste parte informativo" de cómo va el avance. No tenemos nada. En este sentido, cuestiona si funciona el Mando Coordinado y que transparentar la información sirve para saber qué se está haciendo. "tiene sus asegunes el mando coordinado, aseveró.</t>
  </si>
  <si>
    <t>Tras la incorporación de Tezontepec de Aldama y Progreso de Obregón al esquema de Mando Coordinado, el gobierno estatal prevé que en breve la totalidad de los municipios de Hidalgo se encuentren integrados a este modelo de seguridad. Así lo informó el secretario de Gobierno, Guillermo Olivares Reyna, quien explicó que ambos ayuntamientos aprobaron previamente en sesión de cabildo su adhesión al esquema y que posteriormente se realizó la presentación oficial de los nuevos responsables de seguridad pública en ambas demarcaciones. “El interés fue de ellos, desde luego primero pasó por Cabildo, aprobaron con oportunidad su incorporación a mando coordinado”, señaló el funcionario. Olivares Reyna detalló que junto con el secretario de Seguridad Pública de Hidalgo, Salvador Cruz Neri, y el encargado del despacho de la Procuraduría General de Justicia del Estado de Hidalgo, acudieron a dar posesión y reconocimiento público a quienes asumirán la responsabilidad de la seguridad pública en Tezontepec de Aldama y Progreso de Obregón. Indicó que los nuevos mandos asumieron el compromiso de mantener cercanía con la ciudadanía, atender de manera oportuna las problemáticas que se presenten y combatir los delitos con honestidad.</t>
  </si>
  <si>
    <t>La tarde del viernes 5 de junio, integrantes de la Coordinadora Nacional de Trabajadores de la Educación (CNTE) en Hidalgo marcharon por las principales calles de Pachuca para manifestar su respaldo al paro nacional que mantienen docentes de entidades como Oaxaca, Chiapas, Guerrero, Michoacán, entre otros. El grupo de manifestantes se concentró en el bulevar Felipe Angeles a la altura de la estación Estadio Hidalgo del Tuzobús, desde el punto de reunión salieron con rumbo al Centro de la ciudad, lo que impidió la circulación de vehículos durante su marcha. Los docentes coreaban consignas como: “Hidalgo presente, en la lucha de la CNTE”, “El paro, el paro, es culpa del Estado”, “Gobierne quien gobierne, los derechos se defienden”, “Si no hay solución, no rodará el balón”, y “Va a caer, va a caer, la reforma va a caer”, por mencionar algunas. Avanzaron por avenida Juárez y al llegar a la glorieta de Los Insurgentes, siguieron por avenida Revolución hasta pasar por plaza Juárez. En la zona centro, marcharon por las calles Ignacio Allende y Mariano Matamoros, hasta finalizar en la plaza Independencia. Tras casi hora y media de marcha, integrantes de la CNTE provenientes de diferentes regiones de llegaron a las inmediaciones del Reloj Monumental, donde emitieron sus posicionamientos y exigencias como la abrogación a la Ley del ISSSTE de 2007, y se pronunciaron en la negativa de aceptar el aumento salarial del 9 por ciento.</t>
  </si>
  <si>
    <t>La Comisión de Derechos Humanos del Estado de Hidalgo (CDHEH) inició un cuaderno de antecedentes bajo el folio CA-VG-0409-26 por los hechos registrados durante la manifestación de trabajadores del Hospital ISSSTE Columba Rivera, ubicado en la ciudad de Pachuca, el pasado 5 de junio. En dicha fecha, los trabajadores del nosocomio público se manifestaron y bloquearon el bulevar Felipe Ángeles para señalar falta de transparencia en el manejo de recursos y retención injustificada de pagos a los colaboradores. Elementos de seguridad pública implementaron una barrera de contención con equipo antimotín, además que en el mismo operativo fueron detenidas dos personas, y otras más señalaron que fueron presuntamente agredidas por elementos policiales. Al respecto, Ana Karen Parra Bonilla, presidenta del organismo, señaló que las manifestaciones “no deben ser objeto de criminalización” y corresponde vigilar que la actuación se apegue al respeto de los derechos humanos. Parra Bonilla indicó que personal de la CDHEH acudió al lugar de los hechos para dar seguimiento a la situación y como las solicitudes de las y los quejosos corresponden hacia una instancia federal, no podrían intervenir. Sin embargo, se encargaron de supervisar las condiciones de las personas detenidas y verificar que las autoridades de seguridad realizaran el Registro Nacional de Detenciones conforme a los procedimientos establecidos. “Nosotros seguimos en la misma postura de que las manifestaciones no pueden ser acto de criminalizar, pero también tenemos que responder que si hay un acto que no responda a la manifestación, tendrá que seguir su curso de manera normal”. Asimismo, mencionó que hasta el momento no se han presentado quejas formales relacionadas con la actuación de los elementos de seguridad durante la movilización.</t>
  </si>
  <si>
    <t>CDHEH</t>
  </si>
  <si>
    <t>Integrantes de la comunidad LGBTIQ+ participaron en la vigésima sexta edición de la Marcha del Orgullo en Pachuca, donde hicieron un llamado a frenar los discursos de odio, la discriminación y la violencia contra las personas de la diversidad sexogenérica. Aunque una intensa lluvia registrada obligó a suspender momentáneamente las actividades y a que las y los asistentes tuvieron que resguardarse, el recorrido se reanudó conforme a lo programado. Con decenas de asistentes, el contingente partió de la Plaza Independencia, frente al Reloj Monumental de Pachuca, encabezado por integrantes de organizaciones de la sociedad civil, así como por el regidor por acción afirmativa de diversidad sexual y de género, Arlan Cruz Olvera; la presidenta de la Comisión de Derechos Humanos del Estado de Hidalgo (CDHEH), Ana Karen Parra Bonilla, y la diputada local Johana Montcerrat Hernández Pérez.</t>
  </si>
  <si>
    <t>Marcha LGBTTTIQ+</t>
  </si>
  <si>
    <t>Ana Karen Juárez Navarrete, nueva presidenta de la Cámara Nacional de la Industria de Desarrollo y Promoción de Vivienda (Canadevi) en Hidalgo, dijo que en la entidad se proyecta la construcción de 31 mil 500 viviendas a través del programa Vivienda para el Bienestar. Lo anterior fue dicho en discurso durante la toma de protesta de la nueva mesa directiva de la organización, la que fue tomada por el Gobernador Julio Menchaca Salazar. La nueva dirigente de la Canadevi Hidalgo destacó que la industria de la vivienda genera más de 30 mil empleos directos en la entidad y mantiene inversiones superiores a los 26 mil millones de pesos en proyectos habitacionales, cifra que representa cerca de una cuarta parte de la inversión privada anunciada en Hidalgo. Adelantó que impulsará desarrollos que contemplen más áreas verdes y mejores condiciones de sustentabilidad. A su vez, reconoció el respaldo del gobierno estatal para generar condiciones que permitan concretar inversiones del sector con mayor rapidez, certeza jurídica y eficiencia administrativa. En su intervención, Carlos Ramírez Capó, presidente nacional de Canadevi, aseguró que Hidalgo cuenta con un escenario favorable para atraer nuevas inversiones derivadas de los Polos de Desarrollo Económico para el Bienestar y el corredor vinculado al Aeropuerto Internacional Felipe Ángeles (AIFA). El Gobernador Menchaca Salazar destacó la importancia del sector vivienda para garantizar el arraigo de las familias y generar condiciones de bienestar. Señaló que los distintos sectores de la sociedad trabajan para ofrecer un presente y un futuro con mayor certidumbre, donde el acceso a una vivienda digna juega un papel fundamental.</t>
  </si>
  <si>
    <t>Julio Menchaca acompaña fortalecimiento del Colegio de Notarios del Estado de Hidalgo</t>
  </si>
  <si>
    <t>Daniel Martínez y su equipo comentan que el comunicado de la SEPH respecto a que cada comunidad en planteles educativos dentro del Estado de Hidalgo determinará como participará el próximo 11 de junio, día que se inaugura la Copa Mundial, que organizan México, Estados Unidos y Canadá, dicen que es con fuso y que lo más fácil era que dijeran si había o no clases y que para qué le dieron tantas vueltas y que "se están desembarrando" y dejándole la chamba de decidir a los planteles educativos y que es sabido que cuando se tomas decisiones entre planteles y padres de familia siempre hay confusión.</t>
  </si>
  <si>
    <t>Cada comunidad en planteles educativos dentro del Estado de Hidalgo determinará como participará el próximo 11 de junio, día que se inaugura la Copa Mundial, que organizan México, Estados Unidos y Canadá. Por medio de un documento, la Secretaría de Educación Pública en Hidalgo (SEPH) establece que la decisión al respecto deberá ser tomada en conjunto por madres y padres de familia, personas tutoras, directivos y docentes de cada plantel educativo. Estos deberán establecer “la estrategia más adecuada para que la participación se realice de forma ordenada y responsable”. Incluso abrió la posibilidad de que las actividades relacionadas con la inauguración del Mundial puedan desarrollarse tanto dentro de los planteles educativos como en el ámbito familiar. “La participación podrá realizarse tanto en el entorno escolar como en el ámbito familiar, siempre privilegiando el bienestar de las y los estudiantes, así como el cumplimiento de los objetivos educativos”. La semana pasada, la SEPH descartó que se vayan a suspender clases en las escuelas de la entidad por la ceremonia de inauguración a llevarse a cabo el próximo jueves 11 de junio, en el Estadio Ciudad de México. Hasta el momento, sólo el gobierno de la Ciudad de México anunció que el próximo jueves 11 de junio se suspenderán clases en educación preescolar, primaria, secundaria y media superior de la capital del país con motivo de la inauguración de la Copa Mundial de Futbol.</t>
  </si>
  <si>
    <t>Ivett Bulos González, regidora presidenta de la comisión de Fomento Económico del Ayuntamiento de Tulancingo, informó que desde tiempo atrás en algunos hoteles de la entidad se pide identificación a los adultos que ingresan acompañados de menores de edad, así como el pasaporte de estos últimos u otro documento que acredite el vínculo familiar entre ambos, pero ahora que ya será obligatorio, consideró apremiante capacitar a los prestadores de servicios turísticos de hospedaje. La exdirigente de la Asociación Mexicana de Hoteles y Moteles del Estado de Hidalgo celebró que la LXVI Legislatura local haya aprobado por unanimidad la reforma a la Ley de Turismo Sustentable y a la Ley de los Derechos de Niñas, Niños y Adolescentes e insistió en que la capacitación es indispensable para garantizar el cumplimiento irrestricto de las nuevas disposiciones. Y es que el dictamen aprobado obliga a los prestadores de servicios turísticos de hospedaje a implementar rigurosos mecanismos de seguridad y aplicar los protocolos que emita la Secretaría de Turismo de Hidalgo para verificar plenamente la identidad de los adultos que soliciten alojamiento y acreditar formalmente el parentesco o tutoría legal cuando ingresen acompañados de niñas, niños o adolescentes.</t>
  </si>
  <si>
    <t>Protección del menor</t>
  </si>
  <si>
    <t>El ex regidor de Actopan, Omar Leonardo Ramírez Gutiérrez, detenido al ser acusado del delito de homicidio, obtuvo su libertad tras revocarse el auto de vinculación a proceso que tenía, sin que esto signifique que haya sido absuelto del delito señalado. El Magistrado Raúl Arroyo González, integrante de la Séptima Sala Unitaria del Sistema Penal Acusatorio del Tribunal Superior de Justicia del Estado de Hidalgo, señaló que los datos de prueba presentados contra el ex regidor no alcanzaban el grado de probabilidad exigido por la ley para sostener la imputación por homicidio. Los elementos que valoró fue una valoración incorrecta de los datos de prueba de la jueza Janett Montiel, lo que derivó en una vulneración al derecho fundamental al debido proceso. Por tal motivo se determinó que los testimonios presentados para sustentar la imputación presentaban inconsistencias temporales y problemas de credibilidad. La sentencia señala que los elementos aportados por la fiscalía permiten establecer la existencia de un hecho con apariencia de delito, éstos resultan insuficientes para acreditar el nivel de probabilidad contra Omar Leonardo Ramírez Gutiérrez. De igual manera se consideró relevante que algunos de los testigos que señalaron al ex regidor fueron entrevistados mientras recibían atención médica y presentaban condiciones documentadas relacionadas con intoxicación por alcohol lo que ponía en duda la confiabilidad de sus declaraciones. Por ello, la Séptima Sala Unitaria revocó la vinculación a proceso dictada por la jueza Janett Montiel Mendoza y, en su lugar, emitió un auto de no vinculación a proceso a favor de Ramírez Gutiérrez.</t>
  </si>
  <si>
    <t>TSJEH</t>
  </si>
  <si>
    <t>Derivado de un video difundido por medio de redes sociales, donde se observa al Síndico municipal de Singuilucan, Donato de Jesús Ramírez Olvera, realizando violencia verbal e incluso amenazas de muerte, un grupo de regidoras y regidores solicitaron dar vista de lo ocurrido ante el Ministerio Público, así como la destitución del asambleísta. Lo anterior por medio de un documento fechado el pasado 2 de junio, dirigido a la Contraloría municipal, con los nombres de las y los asambleístas locales Areli López Alcántara, Ali Deniss Martínez Romero, Alberto Vargas Bistrain y Felipe León Téllez. En el documento, publicado en las redes sociales de la regidora López Alcántara, se narra que la noche del pasado 30 de mayo de este año, en las inmediaciones del edificio de la alcaldía y en el marco de la feria local, Ramírez Alcántara lanzó las agresiones verbales hacia ciudadanos presentes, incluso amenazas de muerte. El Síndico municipal “se encontraba en la vía pública en estado alterado, aparentemente bajo el influjo de alcohol o sustancias, actuando con agresividad y en total contravención a la dignidad y responsabilidad que su investidura exige”, señala el documento.</t>
  </si>
  <si>
    <t>Ya hay protestas dentro de las instalaciones del ISSSTE, pero aún no hay bloqueo de la carretera.</t>
  </si>
  <si>
    <t>En cabina Alberto González comenta sobre el Día de la Libertad de Expresión y señala que actualmente en los medios de comunicación tienen esa libertad de expresión con este gobierno.</t>
  </si>
  <si>
    <t>Libertad de expresión</t>
  </si>
  <si>
    <t>La Secretaría de Educación Pública de Hidalgo (SEPH), en apego a su compromiso de promover la formación integral de las y los estudiantes, reconoce la relevancia de los acontecimientos que fortalecen la identidad cultural y la convivencia social. Con motivo de la inauguración de la Copa Mundial de Futbol 2026, el próximo 11 de junio, se autoriza a las comunidades escolares -madres, padres de familia, personas tutoras, directivos y docentes- a determinar en conjunto, la estrategia más adecuada para participar de manera ordenada y responsable en este evento deportivo. La participación podrá realizarse tanto en el entorno escolar como en el ámbito familiar, siempre privilegiando el bienestar de las y los estudiantes, así como el cumplimiento de los objetivos educativos. La SEPH reafirma que esta medida busca fomentar la integración de la familia y de la comunidad, así como el reconocimiento de un acontecimiento de impacto mundial, garantizando que los aprendizajes y procesos formativos de las y los estudiantes continúen fortaleciéndose.</t>
  </si>
  <si>
    <t>Una persona sin vida y tres lesionados, fue el saldo que dejó un accidente vial en Ixmiquilpan. De acuerdo con la policía municipal, dicho percance se presentó a la altura de la comunidad de Remedios, dónde una camioneta impactó contra la barda de una vivienda. Por dicho hecho, una persona perdió la vida en el lugar y tres más resultaron lesionadas.</t>
  </si>
  <si>
    <t>Accidente Vial</t>
  </si>
  <si>
    <t>Una trágica colisión vehicular registrada en este municipio dejó como saldo preliminar cuatro personas sin vida incluida una menor de edad y al menos siete lesionados de gravedad, lo que generó una intensa movilización de los cuerpos de emergencia y seguridad de la región. El percance automovilístico ocurrió sobre la carretera que conduce hacia las Grutas de Tolantongo, dónde una camioneta de pasajeros tipo urvan impactó de manera frontal contra un autobús que circulaba por la zona, provocando que ambas unidades sufrieran daños materiales de consideración. Horas más tarde personal de la Procuraduría General de Justicia del Estado de Hidalgo (PGJEH) arribó a la zona para realizar las diligencias de ley, el peritaje terrestre para deslindar responsabilidades, y el posterior levantamiento de los cuerpos para su traslado al Servicio Médico Forense (Semefo).</t>
  </si>
  <si>
    <t>SEGOBH reafirma su política de puertas abiertas con atención directa a la población</t>
  </si>
  <si>
    <t>Mesas de acercamiento</t>
  </si>
  <si>
    <t>IHE realiza Jornada Nacional por la Paz y contra las Adicciones</t>
  </si>
  <si>
    <t>El día del hoy el Secretario de Gobierno, Guillermo Olivares encabezará el Lunes Cívico en la Plaza Juárez de Pachuca.</t>
  </si>
  <si>
    <t>Lunes Cívico</t>
  </si>
  <si>
    <t>Debido a los acontecimientos del viernes pasado en el Hospital del ISSSTE de Pachuca, en donde trabajadores de este sistema de salud anunciaron que hoy es muy probable que haya protestas y bloqueo en parte del bulevar Felipe Ángeles.</t>
  </si>
  <si>
    <t>Andrés torres comenta que ya casi se cumplen dos meses de que el 1010 AM El Vocero Huasteco, se encuentra fuera del aire por la ignorancia supina del área administrativa, que dice que no va a abastecer de diesel porque cuesta muy caro y entonces no hay energía estación. Asegura que es mucha irresponsabilidad de gente que cobra un salario, pero que olímpicamente le envía un escrito donde le dicen que ni pida diesel, por lo que están incomunicados con las comunidades de la huasteca y quienes están poniendo en riesgo al no poderse informar, también les están violando su derecho humano a la comunicación y como si no fuera suficiente están incumpliendo con hacer su trabajo. Asevera que lo único que les importa es "corretear" el siguiente cargo, la presidencia ,municipal, el "carguito" en gobierno en lugar de ponerse a trabajar y todavía te amenazan de que si dices algo te van a correr. Es el cuarto director que quiere brincarle al siguiente cargo y lo que menos le interesa es Radio y televisión de Hidalgo, lo que quiere es irse a la diputación, lo que quiere es irse a la secretaría tal, lo que quiere es el siguiente hueso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</si>
</sst>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12" tableType="queryTable" totalsRowShown="0">
  <autoFilter ref="A1:M212"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12"/>
  <sheetViews>
    <sheetView tabSelected="1" topLeftCell="A175" workbookViewId="0">
      <selection activeCell="A210" sqref="A210"/>
    </sheetView>
  </sheetViews>
  <sheetFormatPr baseColWidth="10" defaultRowHeight="15" x14ac:dyDescent="0.25"/>
  <cols>
    <col min="1" max="1" width="8.5703125" bestFit="1" customWidth="1"/>
    <col min="2" max="2" width="11.42578125" bestFit="1" customWidth="1"/>
    <col min="3" max="3" width="27.28515625" bestFit="1" customWidth="1"/>
    <col min="4" max="4" width="29.42578125" bestFit="1" customWidth="1"/>
    <col min="5" max="5" width="81.140625" bestFit="1" customWidth="1"/>
    <col min="6" max="6" width="15.28515625" bestFit="1" customWidth="1"/>
    <col min="7" max="7" width="31.71093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35</v>
      </c>
      <c r="C1" t="s">
        <v>36</v>
      </c>
      <c r="D1" t="s">
        <v>37</v>
      </c>
      <c r="E1" t="s">
        <v>1</v>
      </c>
      <c r="F1" t="s">
        <v>2</v>
      </c>
      <c r="G1" t="s">
        <v>4</v>
      </c>
      <c r="H1" t="s">
        <v>3</v>
      </c>
      <c r="I1" t="s">
        <v>5</v>
      </c>
      <c r="J1" t="s">
        <v>38</v>
      </c>
      <c r="K1" t="s">
        <v>39</v>
      </c>
      <c r="L1" t="s">
        <v>40</v>
      </c>
      <c r="M1" t="s">
        <v>47</v>
      </c>
    </row>
    <row r="2" spans="1:13" x14ac:dyDescent="0.25">
      <c r="A2" s="2">
        <v>46178</v>
      </c>
      <c r="B2" s="1" t="str">
        <f ca="1">IF(Información1[[#This Row],[Fecha]]='Ajuste de fechas'!$A$2,"Día actual","Día anterior")</f>
        <v>Día anterior</v>
      </c>
      <c r="C2" s="3" t="s">
        <v>67</v>
      </c>
      <c r="D2" t="s">
        <v>68</v>
      </c>
      <c r="E2" s="3" t="s">
        <v>106</v>
      </c>
      <c r="F2" s="3" t="s">
        <v>21</v>
      </c>
      <c r="G2" s="3" t="s">
        <v>56</v>
      </c>
      <c r="H2" s="3" t="s">
        <v>11</v>
      </c>
      <c r="I2" s="3" t="s">
        <v>7</v>
      </c>
      <c r="J2" s="3" t="s">
        <v>41</v>
      </c>
      <c r="K2" s="3" t="s">
        <v>69</v>
      </c>
      <c r="L2" s="3" t="s">
        <v>42</v>
      </c>
      <c r="M2">
        <v>1</v>
      </c>
    </row>
    <row r="3" spans="1:13" x14ac:dyDescent="0.25">
      <c r="A3" s="2">
        <v>46178</v>
      </c>
      <c r="B3" s="1" t="str">
        <f ca="1">IF(Información1[[#This Row],[Fecha]]='Ajuste de fechas'!$A$2,"Día actual","Día anterior")</f>
        <v>Día anterior</v>
      </c>
      <c r="C3" s="3" t="s">
        <v>67</v>
      </c>
      <c r="D3" t="s">
        <v>68</v>
      </c>
      <c r="E3" s="3" t="s">
        <v>107</v>
      </c>
      <c r="F3" s="3" t="s">
        <v>21</v>
      </c>
      <c r="G3" s="3" t="s">
        <v>108</v>
      </c>
      <c r="H3" s="3" t="s">
        <v>11</v>
      </c>
      <c r="I3" s="3" t="s">
        <v>7</v>
      </c>
      <c r="J3" s="3" t="s">
        <v>41</v>
      </c>
      <c r="K3" s="3" t="s">
        <v>69</v>
      </c>
      <c r="L3" s="3" t="s">
        <v>44</v>
      </c>
      <c r="M3">
        <v>1</v>
      </c>
    </row>
    <row r="4" spans="1:13" x14ac:dyDescent="0.25">
      <c r="A4" s="2">
        <v>46178</v>
      </c>
      <c r="B4" s="1" t="str">
        <f ca="1">IF(Información1[[#This Row],[Fecha]]='Ajuste de fechas'!$A$2,"Día actual","Día anterior")</f>
        <v>Día anterior</v>
      </c>
      <c r="C4" s="3" t="s">
        <v>67</v>
      </c>
      <c r="D4" t="s">
        <v>68</v>
      </c>
      <c r="E4" s="3" t="s">
        <v>109</v>
      </c>
      <c r="F4" s="3" t="s">
        <v>66</v>
      </c>
      <c r="G4" s="3" t="s">
        <v>110</v>
      </c>
      <c r="H4" s="3" t="s">
        <v>11</v>
      </c>
      <c r="I4" s="3" t="s">
        <v>12</v>
      </c>
      <c r="J4" s="3" t="s">
        <v>41</v>
      </c>
      <c r="K4" s="3" t="s">
        <v>69</v>
      </c>
      <c r="L4" s="3" t="s">
        <v>43</v>
      </c>
      <c r="M4">
        <v>1</v>
      </c>
    </row>
    <row r="5" spans="1:13" x14ac:dyDescent="0.25">
      <c r="A5" s="2">
        <v>46178</v>
      </c>
      <c r="B5" s="1" t="str">
        <f ca="1">IF(Información1[[#This Row],[Fecha]]='Ajuste de fechas'!$A$2,"Día actual","Día anterior")</f>
        <v>Día anterior</v>
      </c>
      <c r="C5" s="3" t="s">
        <v>67</v>
      </c>
      <c r="D5" t="s">
        <v>68</v>
      </c>
      <c r="E5" s="3" t="s">
        <v>111</v>
      </c>
      <c r="F5" s="3" t="s">
        <v>66</v>
      </c>
      <c r="G5" s="3" t="s">
        <v>110</v>
      </c>
      <c r="H5" s="3" t="s">
        <v>11</v>
      </c>
      <c r="I5" s="3" t="s">
        <v>7</v>
      </c>
      <c r="J5" s="3" t="s">
        <v>41</v>
      </c>
      <c r="K5" s="3" t="s">
        <v>69</v>
      </c>
      <c r="L5" s="3" t="s">
        <v>44</v>
      </c>
      <c r="M5">
        <v>1</v>
      </c>
    </row>
    <row r="6" spans="1:13" x14ac:dyDescent="0.25">
      <c r="A6" s="2">
        <v>46178</v>
      </c>
      <c r="B6" s="1" t="str">
        <f ca="1">IF(Información1[[#This Row],[Fecha]]='Ajuste de fechas'!$A$2,"Día actual","Día anterior")</f>
        <v>Día anterior</v>
      </c>
      <c r="C6" s="3" t="s">
        <v>67</v>
      </c>
      <c r="D6" t="s">
        <v>68</v>
      </c>
      <c r="E6" s="3" t="s">
        <v>112</v>
      </c>
      <c r="F6" s="3" t="s">
        <v>19</v>
      </c>
      <c r="G6" s="3" t="s">
        <v>56</v>
      </c>
      <c r="H6" s="3" t="s">
        <v>11</v>
      </c>
      <c r="I6" s="3" t="s">
        <v>7</v>
      </c>
      <c r="J6" s="3" t="s">
        <v>45</v>
      </c>
      <c r="K6" s="3" t="s">
        <v>69</v>
      </c>
      <c r="L6" s="3" t="s">
        <v>42</v>
      </c>
      <c r="M6">
        <v>1</v>
      </c>
    </row>
    <row r="7" spans="1:13" x14ac:dyDescent="0.25">
      <c r="A7" s="2">
        <v>46178</v>
      </c>
      <c r="B7" s="1" t="str">
        <f ca="1">IF(Información1[[#This Row],[Fecha]]='Ajuste de fechas'!$A$2,"Día actual","Día anterior")</f>
        <v>Día anterior</v>
      </c>
      <c r="C7" s="3" t="s">
        <v>67</v>
      </c>
      <c r="D7" t="s">
        <v>68</v>
      </c>
      <c r="E7" s="3" t="s">
        <v>113</v>
      </c>
      <c r="F7" s="3" t="s">
        <v>51</v>
      </c>
      <c r="G7" s="3" t="s">
        <v>95</v>
      </c>
      <c r="H7" s="3" t="s">
        <v>11</v>
      </c>
      <c r="I7" s="3" t="s">
        <v>7</v>
      </c>
      <c r="J7" s="3" t="s">
        <v>41</v>
      </c>
      <c r="K7" s="3" t="s">
        <v>69</v>
      </c>
      <c r="L7" s="3" t="s">
        <v>44</v>
      </c>
      <c r="M7">
        <v>1</v>
      </c>
    </row>
    <row r="8" spans="1:13" x14ac:dyDescent="0.25">
      <c r="A8" s="2">
        <v>46178</v>
      </c>
      <c r="B8" s="1" t="str">
        <f ca="1">IF(Información1[[#This Row],[Fecha]]='Ajuste de fechas'!$A$2,"Día actual","Día anterior")</f>
        <v>Día anterior</v>
      </c>
      <c r="C8" s="3" t="s">
        <v>67</v>
      </c>
      <c r="D8" t="s">
        <v>68</v>
      </c>
      <c r="E8" s="3" t="s">
        <v>114</v>
      </c>
      <c r="F8" s="3" t="s">
        <v>51</v>
      </c>
      <c r="G8" s="3" t="s">
        <v>100</v>
      </c>
      <c r="H8" s="3" t="s">
        <v>11</v>
      </c>
      <c r="I8" s="3" t="s">
        <v>7</v>
      </c>
      <c r="J8" s="3" t="s">
        <v>41</v>
      </c>
      <c r="K8" s="3" t="s">
        <v>69</v>
      </c>
      <c r="L8" s="3" t="s">
        <v>42</v>
      </c>
      <c r="M8">
        <v>1</v>
      </c>
    </row>
    <row r="9" spans="1:13" x14ac:dyDescent="0.25">
      <c r="A9" s="2">
        <v>46178</v>
      </c>
      <c r="B9" s="1" t="str">
        <f ca="1">IF(Información1[[#This Row],[Fecha]]='Ajuste de fechas'!$A$2,"Día actual","Día anterior")</f>
        <v>Día anterior</v>
      </c>
      <c r="C9" s="3" t="s">
        <v>67</v>
      </c>
      <c r="D9" t="s">
        <v>68</v>
      </c>
      <c r="E9" s="3" t="s">
        <v>115</v>
      </c>
      <c r="F9" s="3" t="s">
        <v>23</v>
      </c>
      <c r="G9" s="3" t="s">
        <v>116</v>
      </c>
      <c r="H9" s="3" t="s">
        <v>11</v>
      </c>
      <c r="I9" s="3" t="s">
        <v>7</v>
      </c>
      <c r="J9" s="3" t="s">
        <v>41</v>
      </c>
      <c r="K9" s="3" t="s">
        <v>69</v>
      </c>
      <c r="L9" s="3" t="s">
        <v>44</v>
      </c>
      <c r="M9">
        <v>1</v>
      </c>
    </row>
    <row r="10" spans="1:13" x14ac:dyDescent="0.25">
      <c r="A10" s="2">
        <v>46178</v>
      </c>
      <c r="B10" s="1" t="str">
        <f ca="1">IF(Información1[[#This Row],[Fecha]]='Ajuste de fechas'!$A$2,"Día actual","Día anterior")</f>
        <v>Día anterior</v>
      </c>
      <c r="C10" s="3" t="s">
        <v>67</v>
      </c>
      <c r="D10" t="s">
        <v>68</v>
      </c>
      <c r="E10" s="3" t="s">
        <v>117</v>
      </c>
      <c r="F10" s="3" t="s">
        <v>19</v>
      </c>
      <c r="G10" s="3" t="s">
        <v>118</v>
      </c>
      <c r="H10" s="3" t="s">
        <v>11</v>
      </c>
      <c r="I10" s="3" t="s">
        <v>7</v>
      </c>
      <c r="J10" s="3" t="s">
        <v>45</v>
      </c>
      <c r="K10" s="3" t="s">
        <v>69</v>
      </c>
      <c r="L10" s="3" t="s">
        <v>42</v>
      </c>
      <c r="M10">
        <v>1</v>
      </c>
    </row>
    <row r="11" spans="1:13" x14ac:dyDescent="0.25">
      <c r="A11" s="2">
        <v>46178</v>
      </c>
      <c r="B11" s="1" t="str">
        <f ca="1">IF(Información1[[#This Row],[Fecha]]='Ajuste de fechas'!$A$2,"Día actual","Día anterior")</f>
        <v>Día anterior</v>
      </c>
      <c r="C11" s="3" t="s">
        <v>67</v>
      </c>
      <c r="D11" t="s">
        <v>68</v>
      </c>
      <c r="E11" s="3" t="s">
        <v>119</v>
      </c>
      <c r="F11" s="3" t="s">
        <v>23</v>
      </c>
      <c r="G11" s="3" t="s">
        <v>120</v>
      </c>
      <c r="H11" s="3" t="s">
        <v>11</v>
      </c>
      <c r="I11" s="3" t="s">
        <v>7</v>
      </c>
      <c r="J11" s="3" t="s">
        <v>41</v>
      </c>
      <c r="K11" s="3" t="s">
        <v>69</v>
      </c>
      <c r="L11" s="3" t="s">
        <v>42</v>
      </c>
      <c r="M11">
        <v>1</v>
      </c>
    </row>
    <row r="12" spans="1:13" x14ac:dyDescent="0.25">
      <c r="A12" s="2">
        <v>46178</v>
      </c>
      <c r="B12" s="1" t="str">
        <f ca="1">IF(Información1[[#This Row],[Fecha]]='Ajuste de fechas'!$A$2,"Día actual","Día anterior")</f>
        <v>Día anterior</v>
      </c>
      <c r="C12" s="3" t="s">
        <v>67</v>
      </c>
      <c r="D12" t="s">
        <v>68</v>
      </c>
      <c r="E12" s="3" t="s">
        <v>121</v>
      </c>
      <c r="F12" s="3" t="s">
        <v>22</v>
      </c>
      <c r="G12" s="3" t="s">
        <v>122</v>
      </c>
      <c r="H12" s="3" t="s">
        <v>11</v>
      </c>
      <c r="I12" s="3" t="s">
        <v>25</v>
      </c>
      <c r="J12" s="3" t="s">
        <v>46</v>
      </c>
      <c r="K12" s="3" t="s">
        <v>69</v>
      </c>
      <c r="L12" s="3" t="s">
        <v>42</v>
      </c>
      <c r="M12">
        <v>1</v>
      </c>
    </row>
    <row r="13" spans="1:13" x14ac:dyDescent="0.25">
      <c r="A13" s="2">
        <v>46178</v>
      </c>
      <c r="B13" s="1" t="str">
        <f ca="1">IF(Información1[[#This Row],[Fecha]]='Ajuste de fechas'!$A$2,"Día actual","Día anterior")</f>
        <v>Día anterior</v>
      </c>
      <c r="C13" s="3" t="s">
        <v>67</v>
      </c>
      <c r="D13" t="s">
        <v>68</v>
      </c>
      <c r="E13" s="3" t="s">
        <v>123</v>
      </c>
      <c r="F13" s="3" t="s">
        <v>22</v>
      </c>
      <c r="G13" s="3" t="s">
        <v>89</v>
      </c>
      <c r="H13" s="3" t="s">
        <v>11</v>
      </c>
      <c r="I13" s="3" t="s">
        <v>7</v>
      </c>
      <c r="J13" s="3" t="s">
        <v>46</v>
      </c>
      <c r="K13" s="3" t="s">
        <v>69</v>
      </c>
      <c r="L13" s="3" t="s">
        <v>42</v>
      </c>
      <c r="M13">
        <v>1</v>
      </c>
    </row>
    <row r="14" spans="1:13" x14ac:dyDescent="0.25">
      <c r="A14" s="2">
        <v>46178</v>
      </c>
      <c r="B14" s="1" t="str">
        <f ca="1">IF(Información1[[#This Row],[Fecha]]='Ajuste de fechas'!$A$2,"Día actual","Día anterior")</f>
        <v>Día anterior</v>
      </c>
      <c r="C14" s="3" t="s">
        <v>67</v>
      </c>
      <c r="D14" t="s">
        <v>68</v>
      </c>
      <c r="E14" s="3" t="s">
        <v>124</v>
      </c>
      <c r="F14" s="3" t="s">
        <v>19</v>
      </c>
      <c r="G14" s="3" t="s">
        <v>125</v>
      </c>
      <c r="H14" s="3" t="s">
        <v>11</v>
      </c>
      <c r="I14" s="3" t="s">
        <v>7</v>
      </c>
      <c r="J14" s="3" t="s">
        <v>45</v>
      </c>
      <c r="K14" s="3" t="s">
        <v>69</v>
      </c>
      <c r="L14" s="3" t="s">
        <v>42</v>
      </c>
      <c r="M14">
        <v>1</v>
      </c>
    </row>
    <row r="15" spans="1:13" x14ac:dyDescent="0.25">
      <c r="A15" s="2">
        <v>46178</v>
      </c>
      <c r="B15" s="1" t="str">
        <f ca="1">IF(Información1[[#This Row],[Fecha]]='Ajuste de fechas'!$A$2,"Día actual","Día anterior")</f>
        <v>Día anterior</v>
      </c>
      <c r="C15" s="3" t="s">
        <v>67</v>
      </c>
      <c r="D15" t="s">
        <v>68</v>
      </c>
      <c r="E15" s="3" t="s">
        <v>126</v>
      </c>
      <c r="F15" s="3" t="s">
        <v>22</v>
      </c>
      <c r="G15" s="3" t="s">
        <v>127</v>
      </c>
      <c r="H15" s="3" t="s">
        <v>11</v>
      </c>
      <c r="I15" s="3" t="s">
        <v>25</v>
      </c>
      <c r="J15" s="3" t="s">
        <v>46</v>
      </c>
      <c r="K15" s="3" t="s">
        <v>69</v>
      </c>
      <c r="L15" s="3" t="s">
        <v>42</v>
      </c>
      <c r="M15">
        <v>1</v>
      </c>
    </row>
    <row r="16" spans="1:13" x14ac:dyDescent="0.25">
      <c r="A16" s="2">
        <v>46178</v>
      </c>
      <c r="B16" s="1" t="str">
        <f ca="1">IF(Información1[[#This Row],[Fecha]]='Ajuste de fechas'!$A$2,"Día actual","Día anterior")</f>
        <v>Día anterior</v>
      </c>
      <c r="C16" s="3" t="s">
        <v>67</v>
      </c>
      <c r="D16" t="s">
        <v>68</v>
      </c>
      <c r="E16" s="3" t="s">
        <v>128</v>
      </c>
      <c r="F16" s="3" t="s">
        <v>19</v>
      </c>
      <c r="G16" s="3" t="s">
        <v>129</v>
      </c>
      <c r="H16" s="3" t="s">
        <v>11</v>
      </c>
      <c r="I16" s="3" t="s">
        <v>7</v>
      </c>
      <c r="J16" s="3" t="s">
        <v>45</v>
      </c>
      <c r="K16" s="3" t="s">
        <v>69</v>
      </c>
      <c r="L16" s="3" t="s">
        <v>42</v>
      </c>
      <c r="M16">
        <v>1</v>
      </c>
    </row>
    <row r="17" spans="1:13" x14ac:dyDescent="0.25">
      <c r="A17" s="2">
        <v>46178</v>
      </c>
      <c r="B17" s="1" t="str">
        <f ca="1">IF(Información1[[#This Row],[Fecha]]='Ajuste de fechas'!$A$2,"Día actual","Día anterior")</f>
        <v>Día anterior</v>
      </c>
      <c r="C17" s="3" t="s">
        <v>67</v>
      </c>
      <c r="D17" t="s">
        <v>68</v>
      </c>
      <c r="E17" s="3" t="s">
        <v>70</v>
      </c>
      <c r="F17" s="3" t="s">
        <v>19</v>
      </c>
      <c r="G17" s="3" t="s">
        <v>62</v>
      </c>
      <c r="H17" s="3" t="s">
        <v>11</v>
      </c>
      <c r="I17" s="3" t="s">
        <v>7</v>
      </c>
      <c r="J17" s="3" t="s">
        <v>45</v>
      </c>
      <c r="K17" s="3" t="s">
        <v>69</v>
      </c>
      <c r="L17" s="3" t="s">
        <v>42</v>
      </c>
      <c r="M17">
        <v>1</v>
      </c>
    </row>
    <row r="18" spans="1:13" x14ac:dyDescent="0.25">
      <c r="A18" s="2">
        <v>46178</v>
      </c>
      <c r="B18" s="1" t="str">
        <f ca="1">IF(Información1[[#This Row],[Fecha]]='Ajuste de fechas'!$A$2,"Día actual","Día anterior")</f>
        <v>Día anterior</v>
      </c>
      <c r="C18" s="3" t="s">
        <v>67</v>
      </c>
      <c r="D18" t="s">
        <v>68</v>
      </c>
      <c r="E18" s="3" t="s">
        <v>130</v>
      </c>
      <c r="F18" s="3" t="s">
        <v>6</v>
      </c>
      <c r="G18" s="3" t="s">
        <v>131</v>
      </c>
      <c r="H18" s="3" t="s">
        <v>11</v>
      </c>
      <c r="I18" s="3" t="s">
        <v>7</v>
      </c>
      <c r="J18" s="3" t="s">
        <v>41</v>
      </c>
      <c r="K18" s="3" t="s">
        <v>69</v>
      </c>
      <c r="L18" s="3" t="s">
        <v>42</v>
      </c>
      <c r="M18">
        <v>1</v>
      </c>
    </row>
    <row r="19" spans="1:13" x14ac:dyDescent="0.25">
      <c r="A19" s="2">
        <v>46178</v>
      </c>
      <c r="B19" s="1" t="str">
        <f ca="1">IF(Información1[[#This Row],[Fecha]]='Ajuste de fechas'!$A$2,"Día actual","Día anterior")</f>
        <v>Día anterior</v>
      </c>
      <c r="C19" s="3" t="s">
        <v>67</v>
      </c>
      <c r="D19" t="s">
        <v>68</v>
      </c>
      <c r="E19" s="3" t="s">
        <v>132</v>
      </c>
      <c r="F19" s="3" t="s">
        <v>19</v>
      </c>
      <c r="G19" s="3" t="s">
        <v>56</v>
      </c>
      <c r="H19" s="3" t="s">
        <v>11</v>
      </c>
      <c r="I19" s="3" t="s">
        <v>7</v>
      </c>
      <c r="J19" s="3" t="s">
        <v>45</v>
      </c>
      <c r="K19" s="3" t="s">
        <v>69</v>
      </c>
      <c r="L19" s="3" t="s">
        <v>42</v>
      </c>
      <c r="M19">
        <v>1</v>
      </c>
    </row>
    <row r="20" spans="1:13" x14ac:dyDescent="0.25">
      <c r="A20" s="2">
        <v>46178</v>
      </c>
      <c r="B20" s="1" t="str">
        <f ca="1">IF(Información1[[#This Row],[Fecha]]='Ajuste de fechas'!$A$2,"Día actual","Día anterior")</f>
        <v>Día anterior</v>
      </c>
      <c r="C20" s="3" t="s">
        <v>67</v>
      </c>
      <c r="D20" t="s">
        <v>68</v>
      </c>
      <c r="E20" s="3" t="s">
        <v>133</v>
      </c>
      <c r="F20" s="3" t="s">
        <v>19</v>
      </c>
      <c r="G20" s="3" t="s">
        <v>134</v>
      </c>
      <c r="H20" s="3" t="s">
        <v>11</v>
      </c>
      <c r="I20" s="3" t="s">
        <v>7</v>
      </c>
      <c r="J20" s="3" t="s">
        <v>45</v>
      </c>
      <c r="K20" s="3" t="s">
        <v>69</v>
      </c>
      <c r="L20" s="3" t="s">
        <v>42</v>
      </c>
      <c r="M20">
        <v>1</v>
      </c>
    </row>
    <row r="21" spans="1:13" x14ac:dyDescent="0.25">
      <c r="A21" s="2">
        <v>46178</v>
      </c>
      <c r="B21" s="1" t="str">
        <f ca="1">IF(Información1[[#This Row],[Fecha]]='Ajuste de fechas'!$A$2,"Día actual","Día anterior")</f>
        <v>Día anterior</v>
      </c>
      <c r="C21" s="3" t="s">
        <v>67</v>
      </c>
      <c r="D21" t="s">
        <v>68</v>
      </c>
      <c r="E21" s="3" t="s">
        <v>135</v>
      </c>
      <c r="F21" s="3" t="s">
        <v>26</v>
      </c>
      <c r="G21" s="3" t="s">
        <v>77</v>
      </c>
      <c r="H21" s="3" t="s">
        <v>11</v>
      </c>
      <c r="I21" s="3" t="s">
        <v>7</v>
      </c>
      <c r="J21" s="3" t="s">
        <v>41</v>
      </c>
      <c r="K21" s="3" t="s">
        <v>69</v>
      </c>
      <c r="L21" s="3" t="s">
        <v>42</v>
      </c>
      <c r="M21">
        <v>1</v>
      </c>
    </row>
    <row r="22" spans="1:13" x14ac:dyDescent="0.25">
      <c r="A22" s="2">
        <v>46178</v>
      </c>
      <c r="B22" s="1" t="str">
        <f ca="1">IF(Información1[[#This Row],[Fecha]]='Ajuste de fechas'!$A$2,"Día actual","Día anterior")</f>
        <v>Día anterior</v>
      </c>
      <c r="C22" s="3" t="s">
        <v>31</v>
      </c>
      <c r="D22" t="s">
        <v>32</v>
      </c>
      <c r="E22" s="3" t="s">
        <v>136</v>
      </c>
      <c r="F22" s="3" t="s">
        <v>19</v>
      </c>
      <c r="G22" s="3" t="s">
        <v>137</v>
      </c>
      <c r="H22" s="3" t="s">
        <v>63</v>
      </c>
      <c r="I22" s="3" t="s">
        <v>7</v>
      </c>
      <c r="J22" s="3" t="s">
        <v>45</v>
      </c>
      <c r="K22" s="3" t="s">
        <v>27</v>
      </c>
      <c r="L22" s="3" t="s">
        <v>42</v>
      </c>
      <c r="M22">
        <v>1</v>
      </c>
    </row>
    <row r="23" spans="1:13" x14ac:dyDescent="0.25">
      <c r="A23" s="2">
        <v>46178</v>
      </c>
      <c r="B23" s="1" t="str">
        <f ca="1">IF(Información1[[#This Row],[Fecha]]='Ajuste de fechas'!$A$2,"Día actual","Día anterior")</f>
        <v>Día anterior</v>
      </c>
      <c r="C23" s="3" t="s">
        <v>31</v>
      </c>
      <c r="D23" t="s">
        <v>32</v>
      </c>
      <c r="E23" s="3" t="s">
        <v>138</v>
      </c>
      <c r="F23" s="3" t="s">
        <v>51</v>
      </c>
      <c r="G23" s="3" t="s">
        <v>100</v>
      </c>
      <c r="H23" s="3" t="s">
        <v>63</v>
      </c>
      <c r="I23" s="3" t="s">
        <v>7</v>
      </c>
      <c r="J23" s="3" t="s">
        <v>41</v>
      </c>
      <c r="K23" s="3" t="s">
        <v>27</v>
      </c>
      <c r="L23" s="3" t="s">
        <v>42</v>
      </c>
      <c r="M23">
        <v>1</v>
      </c>
    </row>
    <row r="24" spans="1:13" x14ac:dyDescent="0.25">
      <c r="A24" s="2">
        <v>46178</v>
      </c>
      <c r="B24" s="1" t="str">
        <f ca="1">IF(Información1[[#This Row],[Fecha]]='Ajuste de fechas'!$A$2,"Día actual","Día anterior")</f>
        <v>Día anterior</v>
      </c>
      <c r="C24" s="3" t="s">
        <v>31</v>
      </c>
      <c r="D24" t="s">
        <v>32</v>
      </c>
      <c r="E24" s="3" t="s">
        <v>139</v>
      </c>
      <c r="F24" s="3" t="s">
        <v>23</v>
      </c>
      <c r="G24" s="3" t="s">
        <v>116</v>
      </c>
      <c r="H24" s="3" t="s">
        <v>63</v>
      </c>
      <c r="I24" s="3" t="s">
        <v>7</v>
      </c>
      <c r="J24" s="3" t="s">
        <v>41</v>
      </c>
      <c r="K24" s="3" t="s">
        <v>27</v>
      </c>
      <c r="L24" s="3" t="s">
        <v>42</v>
      </c>
      <c r="M24">
        <v>1</v>
      </c>
    </row>
    <row r="25" spans="1:13" x14ac:dyDescent="0.25">
      <c r="A25" s="2">
        <v>46178</v>
      </c>
      <c r="B25" s="1" t="str">
        <f ca="1">IF(Información1[[#This Row],[Fecha]]='Ajuste de fechas'!$A$2,"Día actual","Día anterior")</f>
        <v>Día anterior</v>
      </c>
      <c r="C25" s="3" t="s">
        <v>31</v>
      </c>
      <c r="D25" t="s">
        <v>32</v>
      </c>
      <c r="E25" s="3" t="s">
        <v>140</v>
      </c>
      <c r="F25" s="3" t="s">
        <v>15</v>
      </c>
      <c r="G25" s="3" t="s">
        <v>65</v>
      </c>
      <c r="H25" s="3" t="s">
        <v>63</v>
      </c>
      <c r="I25" s="3" t="s">
        <v>25</v>
      </c>
      <c r="J25" s="3" t="s">
        <v>41</v>
      </c>
      <c r="K25" s="3" t="s">
        <v>27</v>
      </c>
      <c r="L25" s="3" t="s">
        <v>43</v>
      </c>
      <c r="M25">
        <v>1</v>
      </c>
    </row>
    <row r="26" spans="1:13" x14ac:dyDescent="0.25">
      <c r="A26" s="2">
        <v>46178</v>
      </c>
      <c r="B26" s="1" t="str">
        <f ca="1">IF(Información1[[#This Row],[Fecha]]='Ajuste de fechas'!$A$2,"Día actual","Día anterior")</f>
        <v>Día anterior</v>
      </c>
      <c r="C26" s="3" t="s">
        <v>31</v>
      </c>
      <c r="D26" t="s">
        <v>32</v>
      </c>
      <c r="E26" s="3" t="s">
        <v>111</v>
      </c>
      <c r="F26" s="3" t="s">
        <v>66</v>
      </c>
      <c r="G26" s="3" t="s">
        <v>110</v>
      </c>
      <c r="H26" s="3" t="s">
        <v>63</v>
      </c>
      <c r="I26" s="3" t="s">
        <v>7</v>
      </c>
      <c r="J26" s="3" t="s">
        <v>41</v>
      </c>
      <c r="K26" s="3" t="s">
        <v>27</v>
      </c>
      <c r="L26" s="3" t="s">
        <v>44</v>
      </c>
      <c r="M26">
        <v>1</v>
      </c>
    </row>
    <row r="27" spans="1:13" x14ac:dyDescent="0.25">
      <c r="A27" s="2">
        <v>46178</v>
      </c>
      <c r="B27" s="1" t="str">
        <f ca="1">IF(Información1[[#This Row],[Fecha]]='Ajuste de fechas'!$A$2,"Día actual","Día anterior")</f>
        <v>Día anterior</v>
      </c>
      <c r="C27" s="3" t="s">
        <v>31</v>
      </c>
      <c r="D27" t="s">
        <v>32</v>
      </c>
      <c r="E27" s="3" t="s">
        <v>107</v>
      </c>
      <c r="F27" s="3" t="s">
        <v>21</v>
      </c>
      <c r="G27" s="3" t="s">
        <v>108</v>
      </c>
      <c r="H27" s="3" t="s">
        <v>63</v>
      </c>
      <c r="I27" s="3" t="s">
        <v>7</v>
      </c>
      <c r="J27" s="3" t="s">
        <v>41</v>
      </c>
      <c r="K27" s="3" t="s">
        <v>27</v>
      </c>
      <c r="L27" s="3" t="s">
        <v>44</v>
      </c>
      <c r="M27">
        <v>1</v>
      </c>
    </row>
    <row r="28" spans="1:13" x14ac:dyDescent="0.25">
      <c r="A28" s="2">
        <v>46178</v>
      </c>
      <c r="B28" s="1" t="str">
        <f ca="1">IF(Información1[[#This Row],[Fecha]]='Ajuste de fechas'!$A$2,"Día actual","Día anterior")</f>
        <v>Día anterior</v>
      </c>
      <c r="C28" s="3" t="s">
        <v>31</v>
      </c>
      <c r="D28" t="s">
        <v>32</v>
      </c>
      <c r="E28" s="3" t="s">
        <v>141</v>
      </c>
      <c r="F28" s="3" t="s">
        <v>21</v>
      </c>
      <c r="G28" s="3" t="s">
        <v>142</v>
      </c>
      <c r="H28" s="3" t="s">
        <v>63</v>
      </c>
      <c r="I28" s="3" t="s">
        <v>7</v>
      </c>
      <c r="J28" s="3" t="s">
        <v>41</v>
      </c>
      <c r="K28" s="3" t="s">
        <v>27</v>
      </c>
      <c r="L28" s="3" t="s">
        <v>44</v>
      </c>
      <c r="M28">
        <v>1</v>
      </c>
    </row>
    <row r="29" spans="1:13" x14ac:dyDescent="0.25">
      <c r="A29" s="2">
        <v>46178</v>
      </c>
      <c r="B29" s="1" t="str">
        <f ca="1">IF(Información1[[#This Row],[Fecha]]='Ajuste de fechas'!$A$2,"Día actual","Día anterior")</f>
        <v>Día anterior</v>
      </c>
      <c r="C29" s="3" t="s">
        <v>31</v>
      </c>
      <c r="D29" t="s">
        <v>32</v>
      </c>
      <c r="E29" s="3" t="s">
        <v>143</v>
      </c>
      <c r="F29" s="3" t="s">
        <v>33</v>
      </c>
      <c r="G29" s="3" t="s">
        <v>144</v>
      </c>
      <c r="H29" s="3" t="s">
        <v>63</v>
      </c>
      <c r="I29" s="3" t="s">
        <v>7</v>
      </c>
      <c r="J29" s="3" t="s">
        <v>41</v>
      </c>
      <c r="K29" s="3" t="s">
        <v>27</v>
      </c>
      <c r="L29" s="3" t="s">
        <v>44</v>
      </c>
      <c r="M29">
        <v>1</v>
      </c>
    </row>
    <row r="30" spans="1:13" x14ac:dyDescent="0.25">
      <c r="A30" s="2">
        <v>46178</v>
      </c>
      <c r="B30" s="1" t="str">
        <f ca="1">IF(Información1[[#This Row],[Fecha]]='Ajuste de fechas'!$A$2,"Día actual","Día anterior")</f>
        <v>Día anterior</v>
      </c>
      <c r="C30" s="3" t="s">
        <v>31</v>
      </c>
      <c r="D30" t="s">
        <v>32</v>
      </c>
      <c r="E30" s="3" t="s">
        <v>145</v>
      </c>
      <c r="F30" s="3" t="s">
        <v>15</v>
      </c>
      <c r="G30" s="3" t="s">
        <v>65</v>
      </c>
      <c r="H30" s="3" t="s">
        <v>63</v>
      </c>
      <c r="I30" s="3" t="s">
        <v>25</v>
      </c>
      <c r="J30" s="3" t="s">
        <v>41</v>
      </c>
      <c r="K30" s="3" t="s">
        <v>27</v>
      </c>
      <c r="L30" s="3" t="s">
        <v>43</v>
      </c>
      <c r="M30">
        <v>1</v>
      </c>
    </row>
    <row r="31" spans="1:13" x14ac:dyDescent="0.25">
      <c r="A31" s="2">
        <v>46178</v>
      </c>
      <c r="B31" s="1" t="str">
        <f ca="1">IF(Información1[[#This Row],[Fecha]]='Ajuste de fechas'!$A$2,"Día actual","Día anterior")</f>
        <v>Día anterior</v>
      </c>
      <c r="C31" s="3" t="s">
        <v>31</v>
      </c>
      <c r="D31" t="s">
        <v>32</v>
      </c>
      <c r="E31" s="3" t="s">
        <v>146</v>
      </c>
      <c r="F31" s="3" t="s">
        <v>17</v>
      </c>
      <c r="G31" s="3" t="s">
        <v>102</v>
      </c>
      <c r="H31" s="3" t="s">
        <v>63</v>
      </c>
      <c r="I31" s="3" t="s">
        <v>25</v>
      </c>
      <c r="J31" s="3" t="s">
        <v>41</v>
      </c>
      <c r="K31" s="3" t="s">
        <v>9</v>
      </c>
      <c r="L31" s="3" t="s">
        <v>43</v>
      </c>
      <c r="M31">
        <v>1</v>
      </c>
    </row>
    <row r="32" spans="1:13" x14ac:dyDescent="0.25">
      <c r="A32" s="2">
        <v>46178</v>
      </c>
      <c r="B32" s="1" t="str">
        <f ca="1">IF(Información1[[#This Row],[Fecha]]='Ajuste de fechas'!$A$2,"Día actual","Día anterior")</f>
        <v>Día anterior</v>
      </c>
      <c r="C32" s="3" t="s">
        <v>31</v>
      </c>
      <c r="D32" t="s">
        <v>32</v>
      </c>
      <c r="E32" s="3" t="s">
        <v>147</v>
      </c>
      <c r="F32" s="3" t="s">
        <v>26</v>
      </c>
      <c r="G32" s="3" t="s">
        <v>131</v>
      </c>
      <c r="H32" s="3" t="s">
        <v>63</v>
      </c>
      <c r="I32" s="3" t="s">
        <v>7</v>
      </c>
      <c r="J32" s="3" t="s">
        <v>41</v>
      </c>
      <c r="K32" s="3" t="s">
        <v>27</v>
      </c>
      <c r="L32" s="3" t="s">
        <v>44</v>
      </c>
      <c r="M32">
        <v>1</v>
      </c>
    </row>
    <row r="33" spans="1:13" x14ac:dyDescent="0.25">
      <c r="A33" s="2">
        <v>46178</v>
      </c>
      <c r="B33" s="1" t="str">
        <f ca="1">IF(Información1[[#This Row],[Fecha]]='Ajuste de fechas'!$A$2,"Día actual","Día anterior")</f>
        <v>Día anterior</v>
      </c>
      <c r="C33" s="3" t="s">
        <v>31</v>
      </c>
      <c r="D33" t="s">
        <v>32</v>
      </c>
      <c r="E33" s="3" t="s">
        <v>148</v>
      </c>
      <c r="F33" s="3" t="s">
        <v>26</v>
      </c>
      <c r="G33" s="3" t="s">
        <v>131</v>
      </c>
      <c r="H33" s="3" t="s">
        <v>63</v>
      </c>
      <c r="I33" s="3" t="s">
        <v>7</v>
      </c>
      <c r="J33" s="3" t="s">
        <v>41</v>
      </c>
      <c r="K33" s="3" t="s">
        <v>27</v>
      </c>
      <c r="L33" s="3" t="s">
        <v>44</v>
      </c>
      <c r="M33">
        <v>1</v>
      </c>
    </row>
    <row r="34" spans="1:13" x14ac:dyDescent="0.25">
      <c r="A34" s="2">
        <v>46178</v>
      </c>
      <c r="B34" s="1" t="str">
        <f ca="1">IF(Información1[[#This Row],[Fecha]]='Ajuste de fechas'!$A$2,"Día actual","Día anterior")</f>
        <v>Día anterior</v>
      </c>
      <c r="C34" s="3" t="s">
        <v>31</v>
      </c>
      <c r="D34" t="s">
        <v>32</v>
      </c>
      <c r="E34" s="3" t="s">
        <v>149</v>
      </c>
      <c r="F34" s="3" t="s">
        <v>6</v>
      </c>
      <c r="G34" s="3" t="s">
        <v>150</v>
      </c>
      <c r="H34" s="3" t="s">
        <v>63</v>
      </c>
      <c r="I34" s="3" t="s">
        <v>7</v>
      </c>
      <c r="J34" s="3" t="s">
        <v>41</v>
      </c>
      <c r="K34" s="3" t="s">
        <v>27</v>
      </c>
      <c r="L34" s="3" t="s">
        <v>42</v>
      </c>
      <c r="M34">
        <v>1</v>
      </c>
    </row>
    <row r="35" spans="1:13" x14ac:dyDescent="0.25">
      <c r="A35" s="2">
        <v>46178</v>
      </c>
      <c r="B35" s="1" t="str">
        <f ca="1">IF(Información1[[#This Row],[Fecha]]='Ajuste de fechas'!$A$2,"Día actual","Día anterior")</f>
        <v>Día anterior</v>
      </c>
      <c r="C35" s="3" t="s">
        <v>31</v>
      </c>
      <c r="D35" t="s">
        <v>32</v>
      </c>
      <c r="E35" s="3" t="s">
        <v>151</v>
      </c>
      <c r="F35" s="3" t="s">
        <v>19</v>
      </c>
      <c r="G35" s="3" t="s">
        <v>103</v>
      </c>
      <c r="H35" s="3" t="s">
        <v>63</v>
      </c>
      <c r="I35" s="3" t="s">
        <v>7</v>
      </c>
      <c r="J35" s="3" t="s">
        <v>45</v>
      </c>
      <c r="K35" s="3" t="s">
        <v>27</v>
      </c>
      <c r="L35" s="3" t="s">
        <v>42</v>
      </c>
      <c r="M35">
        <v>1</v>
      </c>
    </row>
    <row r="36" spans="1:13" x14ac:dyDescent="0.25">
      <c r="A36" s="2">
        <v>46178</v>
      </c>
      <c r="B36" s="1" t="str">
        <f ca="1">IF(Información1[[#This Row],[Fecha]]='Ajuste de fechas'!$A$2,"Día actual","Día anterior")</f>
        <v>Día anterior</v>
      </c>
      <c r="C36" s="3" t="s">
        <v>31</v>
      </c>
      <c r="D36" t="s">
        <v>32</v>
      </c>
      <c r="E36" s="3" t="s">
        <v>152</v>
      </c>
      <c r="F36" s="3" t="s">
        <v>26</v>
      </c>
      <c r="G36" s="3" t="s">
        <v>103</v>
      </c>
      <c r="H36" s="3" t="s">
        <v>63</v>
      </c>
      <c r="I36" s="3" t="s">
        <v>7</v>
      </c>
      <c r="J36" s="3" t="s">
        <v>41</v>
      </c>
      <c r="K36" s="3" t="s">
        <v>27</v>
      </c>
      <c r="L36" s="3" t="s">
        <v>42</v>
      </c>
      <c r="M36">
        <v>1</v>
      </c>
    </row>
    <row r="37" spans="1:13" x14ac:dyDescent="0.25">
      <c r="A37" s="2">
        <v>46178</v>
      </c>
      <c r="B37" s="1" t="str">
        <f ca="1">IF(Información1[[#This Row],[Fecha]]='Ajuste de fechas'!$A$2,"Día actual","Día anterior")</f>
        <v>Día anterior</v>
      </c>
      <c r="C37" s="3" t="s">
        <v>31</v>
      </c>
      <c r="D37" t="s">
        <v>32</v>
      </c>
      <c r="E37" s="3" t="s">
        <v>153</v>
      </c>
      <c r="F37" s="3" t="s">
        <v>15</v>
      </c>
      <c r="G37" s="3" t="s">
        <v>103</v>
      </c>
      <c r="H37" s="3" t="s">
        <v>63</v>
      </c>
      <c r="I37" s="3" t="s">
        <v>7</v>
      </c>
      <c r="J37" s="3" t="s">
        <v>41</v>
      </c>
      <c r="K37" s="3" t="s">
        <v>27</v>
      </c>
      <c r="L37" s="3" t="s">
        <v>42</v>
      </c>
      <c r="M37">
        <v>1</v>
      </c>
    </row>
    <row r="38" spans="1:13" x14ac:dyDescent="0.25">
      <c r="A38" s="2">
        <v>46178</v>
      </c>
      <c r="B38" s="1" t="str">
        <f ca="1">IF(Información1[[#This Row],[Fecha]]='Ajuste de fechas'!$A$2,"Día actual","Día anterior")</f>
        <v>Día anterior</v>
      </c>
      <c r="C38" s="3" t="s">
        <v>53</v>
      </c>
      <c r="D38" t="s">
        <v>61</v>
      </c>
      <c r="E38" s="3" t="s">
        <v>154</v>
      </c>
      <c r="F38" s="3" t="s">
        <v>83</v>
      </c>
      <c r="G38" s="3" t="s">
        <v>101</v>
      </c>
      <c r="H38" s="3" t="s">
        <v>11</v>
      </c>
      <c r="I38" s="3" t="s">
        <v>7</v>
      </c>
      <c r="J38" s="3" t="s">
        <v>24</v>
      </c>
      <c r="K38" s="3" t="s">
        <v>54</v>
      </c>
      <c r="L38" s="3" t="s">
        <v>42</v>
      </c>
      <c r="M38">
        <v>1</v>
      </c>
    </row>
    <row r="39" spans="1:13" x14ac:dyDescent="0.25">
      <c r="A39" s="2">
        <v>46178</v>
      </c>
      <c r="B39" s="1" t="str">
        <f ca="1">IF(Información1[[#This Row],[Fecha]]='Ajuste de fechas'!$A$2,"Día actual","Día anterior")</f>
        <v>Día anterior</v>
      </c>
      <c r="C39" s="3" t="s">
        <v>53</v>
      </c>
      <c r="D39" t="s">
        <v>61</v>
      </c>
      <c r="E39" s="3" t="s">
        <v>155</v>
      </c>
      <c r="F39" s="3" t="s">
        <v>26</v>
      </c>
      <c r="G39" s="3" t="s">
        <v>131</v>
      </c>
      <c r="H39" s="3" t="s">
        <v>11</v>
      </c>
      <c r="I39" s="3" t="s">
        <v>7</v>
      </c>
      <c r="J39" s="3" t="s">
        <v>41</v>
      </c>
      <c r="K39" s="3" t="s">
        <v>54</v>
      </c>
      <c r="L39" s="3" t="s">
        <v>43</v>
      </c>
      <c r="M39">
        <v>1</v>
      </c>
    </row>
    <row r="40" spans="1:13" x14ac:dyDescent="0.25">
      <c r="A40" s="2">
        <v>46178</v>
      </c>
      <c r="B40" s="1" t="str">
        <f ca="1">IF(Información1[[#This Row],[Fecha]]='Ajuste de fechas'!$A$2,"Día actual","Día anterior")</f>
        <v>Día anterior</v>
      </c>
      <c r="C40" s="3" t="s">
        <v>53</v>
      </c>
      <c r="D40" t="s">
        <v>61</v>
      </c>
      <c r="E40" s="3" t="s">
        <v>156</v>
      </c>
      <c r="F40" s="3" t="s">
        <v>26</v>
      </c>
      <c r="G40" s="3" t="s">
        <v>131</v>
      </c>
      <c r="H40" s="3" t="s">
        <v>11</v>
      </c>
      <c r="I40" s="3" t="s">
        <v>7</v>
      </c>
      <c r="J40" s="3" t="s">
        <v>41</v>
      </c>
      <c r="K40" s="3" t="s">
        <v>9</v>
      </c>
      <c r="L40" s="3" t="s">
        <v>43</v>
      </c>
      <c r="M40">
        <v>1</v>
      </c>
    </row>
    <row r="41" spans="1:13" x14ac:dyDescent="0.25">
      <c r="A41" s="2">
        <v>46178</v>
      </c>
      <c r="B41" s="1" t="str">
        <f ca="1">IF(Información1[[#This Row],[Fecha]]='Ajuste de fechas'!$A$2,"Día actual","Día anterior")</f>
        <v>Día anterior</v>
      </c>
      <c r="C41" s="3" t="s">
        <v>53</v>
      </c>
      <c r="D41" t="s">
        <v>61</v>
      </c>
      <c r="E41" s="3" t="s">
        <v>157</v>
      </c>
      <c r="F41" s="3" t="s">
        <v>23</v>
      </c>
      <c r="G41" s="3" t="s">
        <v>158</v>
      </c>
      <c r="H41" s="3" t="s">
        <v>11</v>
      </c>
      <c r="I41" s="3" t="s">
        <v>7</v>
      </c>
      <c r="J41" s="3" t="s">
        <v>41</v>
      </c>
      <c r="K41" s="3" t="s">
        <v>54</v>
      </c>
      <c r="L41" s="3" t="s">
        <v>42</v>
      </c>
      <c r="M41">
        <v>1</v>
      </c>
    </row>
    <row r="42" spans="1:13" x14ac:dyDescent="0.25">
      <c r="A42" s="2">
        <v>46178</v>
      </c>
      <c r="B42" s="1" t="str">
        <f ca="1">IF(Información1[[#This Row],[Fecha]]='Ajuste de fechas'!$A$2,"Día actual","Día anterior")</f>
        <v>Día anterior</v>
      </c>
      <c r="C42" s="3" t="s">
        <v>53</v>
      </c>
      <c r="D42" t="s">
        <v>61</v>
      </c>
      <c r="E42" s="3" t="s">
        <v>159</v>
      </c>
      <c r="F42" s="3" t="s">
        <v>23</v>
      </c>
      <c r="G42" s="3" t="s">
        <v>101</v>
      </c>
      <c r="H42" s="3" t="s">
        <v>11</v>
      </c>
      <c r="I42" s="3" t="s">
        <v>7</v>
      </c>
      <c r="J42" s="3" t="s">
        <v>41</v>
      </c>
      <c r="K42" s="3" t="s">
        <v>54</v>
      </c>
      <c r="L42" s="3" t="s">
        <v>44</v>
      </c>
      <c r="M42">
        <v>1</v>
      </c>
    </row>
    <row r="43" spans="1:13" x14ac:dyDescent="0.25">
      <c r="A43" s="2">
        <v>46178</v>
      </c>
      <c r="B43" s="1" t="str">
        <f ca="1">IF(Información1[[#This Row],[Fecha]]='Ajuste de fechas'!$A$2,"Día actual","Día anterior")</f>
        <v>Día anterior</v>
      </c>
      <c r="C43" s="3" t="s">
        <v>74</v>
      </c>
      <c r="D43" t="s">
        <v>75</v>
      </c>
      <c r="E43" s="3" t="s">
        <v>160</v>
      </c>
      <c r="F43" s="3" t="s">
        <v>19</v>
      </c>
      <c r="G43" s="3" t="s">
        <v>161</v>
      </c>
      <c r="H43" s="3" t="s">
        <v>11</v>
      </c>
      <c r="I43" s="3" t="s">
        <v>7</v>
      </c>
      <c r="J43" s="3" t="s">
        <v>45</v>
      </c>
      <c r="K43" s="3" t="s">
        <v>76</v>
      </c>
      <c r="L43" s="3" t="s">
        <v>42</v>
      </c>
      <c r="M43">
        <v>1</v>
      </c>
    </row>
    <row r="44" spans="1:13" x14ac:dyDescent="0.25">
      <c r="A44" s="2">
        <v>46178</v>
      </c>
      <c r="B44" s="1" t="str">
        <f ca="1">IF(Información1[[#This Row],[Fecha]]='Ajuste de fechas'!$A$2,"Día actual","Día anterior")</f>
        <v>Día anterior</v>
      </c>
      <c r="C44" s="3" t="s">
        <v>74</v>
      </c>
      <c r="D44" t="s">
        <v>75</v>
      </c>
      <c r="E44" s="3" t="s">
        <v>162</v>
      </c>
      <c r="F44" s="3" t="s">
        <v>19</v>
      </c>
      <c r="G44" s="3" t="s">
        <v>73</v>
      </c>
      <c r="H44" s="3" t="s">
        <v>11</v>
      </c>
      <c r="I44" s="3" t="s">
        <v>7</v>
      </c>
      <c r="J44" s="3" t="s">
        <v>45</v>
      </c>
      <c r="K44" s="3" t="s">
        <v>76</v>
      </c>
      <c r="L44" s="3" t="s">
        <v>42</v>
      </c>
      <c r="M44">
        <v>1</v>
      </c>
    </row>
    <row r="45" spans="1:13" x14ac:dyDescent="0.25">
      <c r="A45" s="2">
        <v>46178</v>
      </c>
      <c r="B45" s="1" t="str">
        <f ca="1">IF(Información1[[#This Row],[Fecha]]='Ajuste de fechas'!$A$2,"Día actual","Día anterior")</f>
        <v>Día anterior</v>
      </c>
      <c r="C45" s="3" t="s">
        <v>74</v>
      </c>
      <c r="D45" t="s">
        <v>75</v>
      </c>
      <c r="E45" s="3" t="s">
        <v>163</v>
      </c>
      <c r="F45" s="3" t="s">
        <v>59</v>
      </c>
      <c r="G45" s="3" t="s">
        <v>164</v>
      </c>
      <c r="H45" s="3" t="s">
        <v>11</v>
      </c>
      <c r="I45" s="3" t="s">
        <v>7</v>
      </c>
      <c r="J45" s="3" t="s">
        <v>24</v>
      </c>
      <c r="K45" s="3" t="s">
        <v>76</v>
      </c>
      <c r="L45" s="3" t="s">
        <v>42</v>
      </c>
      <c r="M45">
        <v>1</v>
      </c>
    </row>
    <row r="46" spans="1:13" x14ac:dyDescent="0.25">
      <c r="A46" s="2">
        <v>46178</v>
      </c>
      <c r="B46" s="1" t="str">
        <f ca="1">IF(Información1[[#This Row],[Fecha]]='Ajuste de fechas'!$A$2,"Día actual","Día anterior")</f>
        <v>Día anterior</v>
      </c>
      <c r="C46" s="3" t="s">
        <v>74</v>
      </c>
      <c r="D46" t="s">
        <v>75</v>
      </c>
      <c r="E46" s="3" t="s">
        <v>165</v>
      </c>
      <c r="F46" s="3" t="s">
        <v>166</v>
      </c>
      <c r="G46" s="3" t="s">
        <v>167</v>
      </c>
      <c r="H46" s="3" t="s">
        <v>11</v>
      </c>
      <c r="I46" s="3" t="s">
        <v>7</v>
      </c>
      <c r="J46" s="3" t="s">
        <v>41</v>
      </c>
      <c r="K46" s="3" t="s">
        <v>76</v>
      </c>
      <c r="L46" s="3" t="s">
        <v>44</v>
      </c>
      <c r="M46">
        <v>1</v>
      </c>
    </row>
    <row r="47" spans="1:13" x14ac:dyDescent="0.25">
      <c r="A47" s="2">
        <v>46178</v>
      </c>
      <c r="B47" s="1" t="str">
        <f ca="1">IF(Información1[[#This Row],[Fecha]]='Ajuste de fechas'!$A$2,"Día actual","Día anterior")</f>
        <v>Día anterior</v>
      </c>
      <c r="C47" s="3" t="s">
        <v>74</v>
      </c>
      <c r="D47" t="s">
        <v>75</v>
      </c>
      <c r="E47" s="3" t="s">
        <v>168</v>
      </c>
      <c r="F47" s="3" t="s">
        <v>17</v>
      </c>
      <c r="G47" s="3" t="s">
        <v>104</v>
      </c>
      <c r="H47" s="3" t="s">
        <v>11</v>
      </c>
      <c r="I47" s="3" t="s">
        <v>7</v>
      </c>
      <c r="J47" s="3" t="s">
        <v>41</v>
      </c>
      <c r="K47" s="3" t="s">
        <v>76</v>
      </c>
      <c r="L47" s="3" t="s">
        <v>44</v>
      </c>
      <c r="M47">
        <v>1</v>
      </c>
    </row>
    <row r="48" spans="1:13" x14ac:dyDescent="0.25">
      <c r="A48" s="2">
        <v>46178</v>
      </c>
      <c r="B48" s="1" t="str">
        <f ca="1">IF(Información1[[#This Row],[Fecha]]='Ajuste de fechas'!$A$2,"Día actual","Día anterior")</f>
        <v>Día anterior</v>
      </c>
      <c r="C48" s="3" t="s">
        <v>74</v>
      </c>
      <c r="D48" t="s">
        <v>75</v>
      </c>
      <c r="E48" s="3" t="s">
        <v>169</v>
      </c>
      <c r="F48" s="3" t="s">
        <v>23</v>
      </c>
      <c r="G48" s="3" t="s">
        <v>116</v>
      </c>
      <c r="H48" s="3" t="s">
        <v>11</v>
      </c>
      <c r="I48" s="3" t="s">
        <v>7</v>
      </c>
      <c r="J48" s="3" t="s">
        <v>41</v>
      </c>
      <c r="K48" s="3" t="s">
        <v>76</v>
      </c>
      <c r="L48" s="3" t="s">
        <v>44</v>
      </c>
      <c r="M48">
        <v>1</v>
      </c>
    </row>
    <row r="49" spans="1:13" x14ac:dyDescent="0.25">
      <c r="A49" s="2">
        <v>46178</v>
      </c>
      <c r="B49" s="1" t="str">
        <f ca="1">IF(Información1[[#This Row],[Fecha]]='Ajuste de fechas'!$A$2,"Día actual","Día anterior")</f>
        <v>Día anterior</v>
      </c>
      <c r="C49" s="3" t="s">
        <v>74</v>
      </c>
      <c r="D49" t="s">
        <v>75</v>
      </c>
      <c r="E49" s="3" t="s">
        <v>170</v>
      </c>
      <c r="F49" s="3" t="s">
        <v>51</v>
      </c>
      <c r="G49" s="3" t="s">
        <v>95</v>
      </c>
      <c r="H49" s="3" t="s">
        <v>11</v>
      </c>
      <c r="I49" s="3" t="s">
        <v>7</v>
      </c>
      <c r="J49" s="3" t="s">
        <v>41</v>
      </c>
      <c r="K49" s="3" t="s">
        <v>76</v>
      </c>
      <c r="L49" s="3" t="s">
        <v>44</v>
      </c>
      <c r="M49">
        <v>1</v>
      </c>
    </row>
    <row r="50" spans="1:13" x14ac:dyDescent="0.25">
      <c r="A50" s="2">
        <v>46178</v>
      </c>
      <c r="B50" s="1" t="str">
        <f ca="1">IF(Información1[[#This Row],[Fecha]]='Ajuste de fechas'!$A$2,"Día actual","Día anterior")</f>
        <v>Día anterior</v>
      </c>
      <c r="C50" s="3" t="s">
        <v>74</v>
      </c>
      <c r="D50" t="s">
        <v>75</v>
      </c>
      <c r="E50" s="3" t="s">
        <v>91</v>
      </c>
      <c r="F50" s="3" t="s">
        <v>66</v>
      </c>
      <c r="G50" s="3" t="s">
        <v>90</v>
      </c>
      <c r="H50" s="3" t="s">
        <v>11</v>
      </c>
      <c r="I50" s="3" t="s">
        <v>7</v>
      </c>
      <c r="J50" s="3" t="s">
        <v>41</v>
      </c>
      <c r="K50" s="3" t="s">
        <v>76</v>
      </c>
      <c r="L50" s="3" t="s">
        <v>44</v>
      </c>
      <c r="M50">
        <v>1</v>
      </c>
    </row>
    <row r="51" spans="1:13" x14ac:dyDescent="0.25">
      <c r="A51" s="2">
        <v>46178</v>
      </c>
      <c r="B51" s="1" t="str">
        <f ca="1">IF(Información1[[#This Row],[Fecha]]='Ajuste de fechas'!$A$2,"Día actual","Día anterior")</f>
        <v>Día anterior</v>
      </c>
      <c r="C51" s="3" t="s">
        <v>74</v>
      </c>
      <c r="D51" t="s">
        <v>75</v>
      </c>
      <c r="E51" s="3" t="s">
        <v>171</v>
      </c>
      <c r="F51" s="3" t="s">
        <v>85</v>
      </c>
      <c r="G51" s="3" t="s">
        <v>86</v>
      </c>
      <c r="H51" s="3" t="s">
        <v>11</v>
      </c>
      <c r="I51" s="3" t="s">
        <v>7</v>
      </c>
      <c r="J51" s="3" t="s">
        <v>41</v>
      </c>
      <c r="K51" s="3" t="s">
        <v>76</v>
      </c>
      <c r="L51" s="3" t="s">
        <v>44</v>
      </c>
      <c r="M51">
        <v>1</v>
      </c>
    </row>
    <row r="52" spans="1:13" x14ac:dyDescent="0.25">
      <c r="A52" s="2">
        <v>46178</v>
      </c>
      <c r="B52" s="1" t="str">
        <f ca="1">IF(Información1[[#This Row],[Fecha]]='Ajuste de fechas'!$A$2,"Día actual","Día anterior")</f>
        <v>Día anterior</v>
      </c>
      <c r="C52" s="3" t="s">
        <v>74</v>
      </c>
      <c r="D52" t="s">
        <v>75</v>
      </c>
      <c r="E52" s="3" t="s">
        <v>172</v>
      </c>
      <c r="F52" s="3" t="s">
        <v>33</v>
      </c>
      <c r="G52" s="3" t="s">
        <v>86</v>
      </c>
      <c r="H52" s="3" t="s">
        <v>11</v>
      </c>
      <c r="I52" s="3" t="s">
        <v>7</v>
      </c>
      <c r="J52" s="3" t="s">
        <v>41</v>
      </c>
      <c r="K52" s="3" t="s">
        <v>76</v>
      </c>
      <c r="L52" s="3" t="s">
        <v>44</v>
      </c>
      <c r="M52">
        <v>1</v>
      </c>
    </row>
    <row r="53" spans="1:13" x14ac:dyDescent="0.25">
      <c r="A53" s="2">
        <v>46178</v>
      </c>
      <c r="B53" s="1" t="str">
        <f ca="1">IF(Información1[[#This Row],[Fecha]]='Ajuste de fechas'!$A$2,"Día actual","Día anterior")</f>
        <v>Día anterior</v>
      </c>
      <c r="C53" s="3" t="s">
        <v>74</v>
      </c>
      <c r="D53" t="s">
        <v>75</v>
      </c>
      <c r="E53" s="3" t="s">
        <v>173</v>
      </c>
      <c r="F53" s="3" t="s">
        <v>21</v>
      </c>
      <c r="G53" s="3" t="s">
        <v>142</v>
      </c>
      <c r="H53" s="3" t="s">
        <v>11</v>
      </c>
      <c r="I53" s="3" t="s">
        <v>7</v>
      </c>
      <c r="J53" s="3" t="s">
        <v>41</v>
      </c>
      <c r="K53" s="3" t="s">
        <v>76</v>
      </c>
      <c r="L53" s="3" t="s">
        <v>44</v>
      </c>
      <c r="M53">
        <v>1</v>
      </c>
    </row>
    <row r="54" spans="1:13" x14ac:dyDescent="0.25">
      <c r="A54" s="2">
        <v>46178</v>
      </c>
      <c r="B54" s="1" t="str">
        <f ca="1">IF(Información1[[#This Row],[Fecha]]='Ajuste de fechas'!$A$2,"Día actual","Día anterior")</f>
        <v>Día anterior</v>
      </c>
      <c r="C54" s="3" t="s">
        <v>74</v>
      </c>
      <c r="D54" t="s">
        <v>75</v>
      </c>
      <c r="E54" s="3" t="s">
        <v>107</v>
      </c>
      <c r="F54" s="3" t="s">
        <v>21</v>
      </c>
      <c r="G54" s="3" t="s">
        <v>108</v>
      </c>
      <c r="H54" s="3" t="s">
        <v>11</v>
      </c>
      <c r="I54" s="3" t="s">
        <v>7</v>
      </c>
      <c r="J54" s="3" t="s">
        <v>41</v>
      </c>
      <c r="K54" s="3" t="s">
        <v>76</v>
      </c>
      <c r="L54" s="3" t="s">
        <v>44</v>
      </c>
      <c r="M54">
        <v>1</v>
      </c>
    </row>
    <row r="55" spans="1:13" x14ac:dyDescent="0.25">
      <c r="A55" s="2">
        <v>46178</v>
      </c>
      <c r="B55" s="1" t="str">
        <f ca="1">IF(Información1[[#This Row],[Fecha]]='Ajuste de fechas'!$A$2,"Día actual","Día anterior")</f>
        <v>Día anterior</v>
      </c>
      <c r="C55" s="3" t="s">
        <v>74</v>
      </c>
      <c r="D55" t="s">
        <v>75</v>
      </c>
      <c r="E55" s="3" t="s">
        <v>174</v>
      </c>
      <c r="F55" s="3" t="s">
        <v>88</v>
      </c>
      <c r="G55" s="3" t="s">
        <v>103</v>
      </c>
      <c r="H55" s="3" t="s">
        <v>11</v>
      </c>
      <c r="I55" s="3" t="s">
        <v>7</v>
      </c>
      <c r="J55" s="3" t="s">
        <v>41</v>
      </c>
      <c r="K55" s="3" t="s">
        <v>76</v>
      </c>
      <c r="L55" s="3" t="s">
        <v>44</v>
      </c>
      <c r="M55">
        <v>1</v>
      </c>
    </row>
    <row r="56" spans="1:13" x14ac:dyDescent="0.25">
      <c r="A56" s="2">
        <v>46178</v>
      </c>
      <c r="B56" s="1" t="str">
        <f ca="1">IF(Información1[[#This Row],[Fecha]]='Ajuste de fechas'!$A$2,"Día actual","Día anterior")</f>
        <v>Día anterior</v>
      </c>
      <c r="C56" s="3" t="s">
        <v>74</v>
      </c>
      <c r="D56" t="s">
        <v>75</v>
      </c>
      <c r="E56" s="3" t="s">
        <v>175</v>
      </c>
      <c r="F56" s="3" t="s">
        <v>26</v>
      </c>
      <c r="G56" s="3" t="s">
        <v>131</v>
      </c>
      <c r="H56" s="3" t="s">
        <v>11</v>
      </c>
      <c r="I56" s="3" t="s">
        <v>7</v>
      </c>
      <c r="J56" s="3" t="s">
        <v>41</v>
      </c>
      <c r="K56" s="3" t="s">
        <v>76</v>
      </c>
      <c r="L56" s="3" t="s">
        <v>44</v>
      </c>
      <c r="M56">
        <v>1</v>
      </c>
    </row>
    <row r="57" spans="1:13" x14ac:dyDescent="0.25">
      <c r="A57" s="2">
        <v>46178</v>
      </c>
      <c r="B57" s="1" t="str">
        <f ca="1">IF(Información1[[#This Row],[Fecha]]='Ajuste de fechas'!$A$2,"Día actual","Día anterior")</f>
        <v>Día anterior</v>
      </c>
      <c r="C57" s="3" t="s">
        <v>74</v>
      </c>
      <c r="D57" t="s">
        <v>75</v>
      </c>
      <c r="E57" s="3" t="s">
        <v>176</v>
      </c>
      <c r="F57" s="3" t="s">
        <v>26</v>
      </c>
      <c r="G57" s="3" t="s">
        <v>131</v>
      </c>
      <c r="H57" s="3" t="s">
        <v>11</v>
      </c>
      <c r="I57" s="3" t="s">
        <v>7</v>
      </c>
      <c r="J57" s="3" t="s">
        <v>41</v>
      </c>
      <c r="K57" s="3" t="s">
        <v>76</v>
      </c>
      <c r="L57" s="3" t="s">
        <v>44</v>
      </c>
      <c r="M57">
        <v>1</v>
      </c>
    </row>
    <row r="58" spans="1:13" x14ac:dyDescent="0.25">
      <c r="A58" s="2">
        <v>46178</v>
      </c>
      <c r="B58" s="1" t="str">
        <f ca="1">IF(Información1[[#This Row],[Fecha]]='Ajuste de fechas'!$A$2,"Día actual","Día anterior")</f>
        <v>Día anterior</v>
      </c>
      <c r="C58" s="3" t="s">
        <v>53</v>
      </c>
      <c r="D58" t="s">
        <v>55</v>
      </c>
      <c r="E58" s="3" t="s">
        <v>177</v>
      </c>
      <c r="F58" s="3" t="s">
        <v>26</v>
      </c>
      <c r="G58" s="3" t="s">
        <v>131</v>
      </c>
      <c r="H58" s="3" t="s">
        <v>11</v>
      </c>
      <c r="I58" s="3" t="s">
        <v>7</v>
      </c>
      <c r="J58" s="3" t="s">
        <v>41</v>
      </c>
      <c r="K58" s="3" t="s">
        <v>54</v>
      </c>
      <c r="L58" s="3" t="s">
        <v>42</v>
      </c>
      <c r="M58">
        <v>1</v>
      </c>
    </row>
    <row r="59" spans="1:13" x14ac:dyDescent="0.25">
      <c r="A59" s="2">
        <v>46178</v>
      </c>
      <c r="B59" s="1" t="str">
        <f ca="1">IF(Información1[[#This Row],[Fecha]]='Ajuste de fechas'!$A$2,"Día actual","Día anterior")</f>
        <v>Día anterior</v>
      </c>
      <c r="C59" s="3" t="s">
        <v>53</v>
      </c>
      <c r="D59" t="s">
        <v>55</v>
      </c>
      <c r="E59" s="3" t="s">
        <v>178</v>
      </c>
      <c r="F59" s="3" t="s">
        <v>85</v>
      </c>
      <c r="G59" s="3" t="s">
        <v>86</v>
      </c>
      <c r="H59" s="3" t="s">
        <v>11</v>
      </c>
      <c r="I59" s="3" t="s">
        <v>7</v>
      </c>
      <c r="J59" s="3" t="s">
        <v>41</v>
      </c>
      <c r="K59" s="3" t="s">
        <v>52</v>
      </c>
      <c r="L59" s="3" t="s">
        <v>42</v>
      </c>
      <c r="M59">
        <v>1</v>
      </c>
    </row>
    <row r="60" spans="1:13" x14ac:dyDescent="0.25">
      <c r="A60" s="2">
        <v>46178</v>
      </c>
      <c r="B60" s="1" t="str">
        <f ca="1">IF(Información1[[#This Row],[Fecha]]='Ajuste de fechas'!$A$2,"Día actual","Día anterior")</f>
        <v>Día anterior</v>
      </c>
      <c r="C60" s="3" t="s">
        <v>53</v>
      </c>
      <c r="D60" t="s">
        <v>55</v>
      </c>
      <c r="E60" s="3" t="s">
        <v>179</v>
      </c>
      <c r="F60" s="3" t="s">
        <v>26</v>
      </c>
      <c r="G60" s="3" t="s">
        <v>77</v>
      </c>
      <c r="H60" s="3" t="s">
        <v>11</v>
      </c>
      <c r="I60" s="3" t="s">
        <v>7</v>
      </c>
      <c r="J60" s="3" t="s">
        <v>41</v>
      </c>
      <c r="K60" s="3" t="s">
        <v>54</v>
      </c>
      <c r="L60" s="3" t="s">
        <v>42</v>
      </c>
      <c r="M60">
        <v>1</v>
      </c>
    </row>
    <row r="61" spans="1:13" x14ac:dyDescent="0.25">
      <c r="A61" s="2">
        <v>46178</v>
      </c>
      <c r="B61" s="1" t="str">
        <f ca="1">IF(Información1[[#This Row],[Fecha]]='Ajuste de fechas'!$A$2,"Día actual","Día anterior")</f>
        <v>Día anterior</v>
      </c>
      <c r="C61" s="3" t="s">
        <v>53</v>
      </c>
      <c r="D61" t="s">
        <v>55</v>
      </c>
      <c r="E61" s="3" t="s">
        <v>180</v>
      </c>
      <c r="F61" s="3" t="s">
        <v>26</v>
      </c>
      <c r="G61" s="3" t="s">
        <v>131</v>
      </c>
      <c r="H61" s="3" t="s">
        <v>11</v>
      </c>
      <c r="I61" s="3" t="s">
        <v>7</v>
      </c>
      <c r="J61" s="3" t="s">
        <v>41</v>
      </c>
      <c r="K61" s="3" t="s">
        <v>54</v>
      </c>
      <c r="L61" s="3" t="s">
        <v>42</v>
      </c>
      <c r="M61">
        <v>1</v>
      </c>
    </row>
    <row r="62" spans="1:13" x14ac:dyDescent="0.25">
      <c r="A62" s="2">
        <v>46178</v>
      </c>
      <c r="B62" s="1" t="str">
        <f ca="1">IF(Información1[[#This Row],[Fecha]]='Ajuste de fechas'!$A$2,"Día actual","Día anterior")</f>
        <v>Día anterior</v>
      </c>
      <c r="C62" s="3" t="s">
        <v>53</v>
      </c>
      <c r="D62" t="s">
        <v>55</v>
      </c>
      <c r="E62" s="3" t="s">
        <v>181</v>
      </c>
      <c r="F62" s="3" t="s">
        <v>21</v>
      </c>
      <c r="G62" s="3" t="s">
        <v>182</v>
      </c>
      <c r="H62" s="3" t="s">
        <v>11</v>
      </c>
      <c r="I62" s="3" t="s">
        <v>12</v>
      </c>
      <c r="J62" s="3" t="s">
        <v>41</v>
      </c>
      <c r="K62" s="3" t="s">
        <v>52</v>
      </c>
      <c r="L62" s="3" t="s">
        <v>42</v>
      </c>
      <c r="M62">
        <v>1</v>
      </c>
    </row>
    <row r="63" spans="1:13" x14ac:dyDescent="0.25">
      <c r="A63" s="2">
        <v>46178</v>
      </c>
      <c r="B63" s="1" t="str">
        <f ca="1">IF(Información1[[#This Row],[Fecha]]='Ajuste de fechas'!$A$2,"Día actual","Día anterior")</f>
        <v>Día anterior</v>
      </c>
      <c r="C63" s="3" t="s">
        <v>53</v>
      </c>
      <c r="D63" t="s">
        <v>55</v>
      </c>
      <c r="E63" s="3" t="s">
        <v>165</v>
      </c>
      <c r="F63" s="3" t="s">
        <v>166</v>
      </c>
      <c r="G63" s="3" t="s">
        <v>167</v>
      </c>
      <c r="H63" s="3" t="s">
        <v>11</v>
      </c>
      <c r="I63" s="3" t="s">
        <v>7</v>
      </c>
      <c r="J63" s="3" t="s">
        <v>41</v>
      </c>
      <c r="K63" s="3" t="s">
        <v>52</v>
      </c>
      <c r="L63" s="3" t="s">
        <v>44</v>
      </c>
      <c r="M63">
        <v>1</v>
      </c>
    </row>
    <row r="64" spans="1:13" x14ac:dyDescent="0.25">
      <c r="A64" s="2">
        <v>46178</v>
      </c>
      <c r="B64" s="1" t="str">
        <f ca="1">IF(Información1[[#This Row],[Fecha]]='Ajuste de fechas'!$A$2,"Día actual","Día anterior")</f>
        <v>Día anterior</v>
      </c>
      <c r="C64" s="3" t="s">
        <v>53</v>
      </c>
      <c r="D64" t="s">
        <v>55</v>
      </c>
      <c r="E64" s="3" t="s">
        <v>183</v>
      </c>
      <c r="F64" s="3" t="s">
        <v>6</v>
      </c>
      <c r="G64" s="3" t="s">
        <v>93</v>
      </c>
      <c r="H64" s="3" t="s">
        <v>11</v>
      </c>
      <c r="I64" s="3" t="s">
        <v>7</v>
      </c>
      <c r="J64" s="3" t="s">
        <v>41</v>
      </c>
      <c r="K64" s="3" t="s">
        <v>52</v>
      </c>
      <c r="L64" s="3" t="s">
        <v>44</v>
      </c>
      <c r="M64">
        <v>1</v>
      </c>
    </row>
    <row r="65" spans="1:13" x14ac:dyDescent="0.25">
      <c r="A65" s="2">
        <v>46178</v>
      </c>
      <c r="B65" s="1" t="str">
        <f ca="1">IF(Información1[[#This Row],[Fecha]]='Ajuste de fechas'!$A$2,"Día actual","Día anterior")</f>
        <v>Día anterior</v>
      </c>
      <c r="C65" s="3" t="s">
        <v>53</v>
      </c>
      <c r="D65" t="s">
        <v>55</v>
      </c>
      <c r="E65" s="3" t="s">
        <v>184</v>
      </c>
      <c r="F65" s="3" t="s">
        <v>15</v>
      </c>
      <c r="G65" s="3" t="s">
        <v>103</v>
      </c>
      <c r="H65" s="3" t="s">
        <v>11</v>
      </c>
      <c r="I65" s="3" t="s">
        <v>7</v>
      </c>
      <c r="J65" s="3" t="s">
        <v>41</v>
      </c>
      <c r="K65" s="3" t="s">
        <v>52</v>
      </c>
      <c r="L65" s="3" t="s">
        <v>44</v>
      </c>
      <c r="M65">
        <v>1</v>
      </c>
    </row>
    <row r="66" spans="1:13" x14ac:dyDescent="0.25">
      <c r="A66" s="2">
        <v>46178</v>
      </c>
      <c r="B66" s="1" t="str">
        <f ca="1">IF(Información1[[#This Row],[Fecha]]='Ajuste de fechas'!$A$2,"Día actual","Día anterior")</f>
        <v>Día anterior</v>
      </c>
      <c r="C66" s="3" t="s">
        <v>28</v>
      </c>
      <c r="D66" t="s">
        <v>30</v>
      </c>
      <c r="E66" s="3" t="s">
        <v>185</v>
      </c>
      <c r="F66" s="3" t="s">
        <v>24</v>
      </c>
      <c r="G66" s="3"/>
      <c r="H66" s="3" t="s">
        <v>11</v>
      </c>
      <c r="I66" s="3" t="s">
        <v>7</v>
      </c>
      <c r="J66" s="3" t="s">
        <v>24</v>
      </c>
      <c r="K66" s="3" t="s">
        <v>29</v>
      </c>
      <c r="L66" s="3" t="s">
        <v>42</v>
      </c>
      <c r="M66">
        <v>1</v>
      </c>
    </row>
    <row r="67" spans="1:13" x14ac:dyDescent="0.25">
      <c r="A67" s="2">
        <v>46178</v>
      </c>
      <c r="B67" s="1" t="str">
        <f ca="1">IF(Información1[[#This Row],[Fecha]]='Ajuste de fechas'!$A$2,"Día actual","Día anterior")</f>
        <v>Día anterior</v>
      </c>
      <c r="C67" s="3" t="s">
        <v>8</v>
      </c>
      <c r="D67" t="s">
        <v>10</v>
      </c>
      <c r="E67" s="3" t="s">
        <v>186</v>
      </c>
      <c r="F67" s="3" t="s">
        <v>6</v>
      </c>
      <c r="G67" s="3" t="s">
        <v>50</v>
      </c>
      <c r="H67" s="3" t="s">
        <v>11</v>
      </c>
      <c r="I67" s="3" t="s">
        <v>25</v>
      </c>
      <c r="J67" s="3" t="s">
        <v>41</v>
      </c>
      <c r="K67" s="3" t="s">
        <v>9</v>
      </c>
      <c r="L67" s="3" t="s">
        <v>43</v>
      </c>
      <c r="M67">
        <v>1</v>
      </c>
    </row>
    <row r="68" spans="1:13" x14ac:dyDescent="0.25">
      <c r="A68" s="2">
        <v>46178</v>
      </c>
      <c r="B68" s="1" t="str">
        <f ca="1">IF(Información1[[#This Row],[Fecha]]='Ajuste de fechas'!$A$2,"Día actual","Día anterior")</f>
        <v>Día anterior</v>
      </c>
      <c r="C68" s="3" t="s">
        <v>8</v>
      </c>
      <c r="D68" t="s">
        <v>10</v>
      </c>
      <c r="E68" s="3" t="s">
        <v>187</v>
      </c>
      <c r="F68" s="3" t="s">
        <v>6</v>
      </c>
      <c r="G68" s="3" t="s">
        <v>188</v>
      </c>
      <c r="H68" s="3" t="s">
        <v>11</v>
      </c>
      <c r="I68" s="3" t="s">
        <v>25</v>
      </c>
      <c r="J68" s="3" t="s">
        <v>41</v>
      </c>
      <c r="K68" s="3" t="s">
        <v>9</v>
      </c>
      <c r="L68" s="3" t="s">
        <v>43</v>
      </c>
      <c r="M68">
        <v>2</v>
      </c>
    </row>
    <row r="69" spans="1:13" x14ac:dyDescent="0.25">
      <c r="A69" s="2">
        <v>46178</v>
      </c>
      <c r="B69" s="1" t="str">
        <f ca="1">IF(Información1[[#This Row],[Fecha]]='Ajuste de fechas'!$A$2,"Día actual","Día anterior")</f>
        <v>Día anterior</v>
      </c>
      <c r="C69" s="3" t="s">
        <v>28</v>
      </c>
      <c r="D69" t="s">
        <v>78</v>
      </c>
      <c r="E69" s="3" t="s">
        <v>189</v>
      </c>
      <c r="F69" s="3" t="s">
        <v>22</v>
      </c>
      <c r="G69" s="3" t="s">
        <v>103</v>
      </c>
      <c r="H69" s="3" t="s">
        <v>11</v>
      </c>
      <c r="I69" s="3" t="s">
        <v>7</v>
      </c>
      <c r="J69" s="3" t="s">
        <v>46</v>
      </c>
      <c r="K69" s="3" t="s">
        <v>79</v>
      </c>
      <c r="L69" s="3" t="s">
        <v>42</v>
      </c>
      <c r="M69">
        <v>1</v>
      </c>
    </row>
    <row r="70" spans="1:13" x14ac:dyDescent="0.25">
      <c r="A70" s="2">
        <v>46178</v>
      </c>
      <c r="B70" s="1" t="str">
        <f ca="1">IF(Información1[[#This Row],[Fecha]]='Ajuste de fechas'!$A$2,"Día actual","Día anterior")</f>
        <v>Día anterior</v>
      </c>
      <c r="C70" s="3" t="s">
        <v>28</v>
      </c>
      <c r="D70" t="s">
        <v>78</v>
      </c>
      <c r="E70" s="3" t="s">
        <v>190</v>
      </c>
      <c r="F70" s="3" t="s">
        <v>26</v>
      </c>
      <c r="G70" s="3" t="s">
        <v>103</v>
      </c>
      <c r="H70" s="3" t="s">
        <v>11</v>
      </c>
      <c r="I70" s="3" t="s">
        <v>7</v>
      </c>
      <c r="J70" s="3" t="s">
        <v>41</v>
      </c>
      <c r="K70" s="3" t="s">
        <v>79</v>
      </c>
      <c r="L70" s="3" t="s">
        <v>42</v>
      </c>
      <c r="M70">
        <v>1</v>
      </c>
    </row>
    <row r="71" spans="1:13" x14ac:dyDescent="0.25">
      <c r="A71" s="2">
        <v>46178</v>
      </c>
      <c r="B71" s="1" t="str">
        <f ca="1">IF(Información1[[#This Row],[Fecha]]='Ajuste de fechas'!$A$2,"Día actual","Día anterior")</f>
        <v>Día anterior</v>
      </c>
      <c r="C71" s="3" t="s">
        <v>8</v>
      </c>
      <c r="D71" t="s">
        <v>10</v>
      </c>
      <c r="E71" s="3" t="s">
        <v>184</v>
      </c>
      <c r="F71" s="3" t="s">
        <v>15</v>
      </c>
      <c r="G71" s="3" t="s">
        <v>103</v>
      </c>
      <c r="H71" s="3" t="s">
        <v>11</v>
      </c>
      <c r="I71" s="3" t="s">
        <v>7</v>
      </c>
      <c r="J71" s="3" t="s">
        <v>41</v>
      </c>
      <c r="K71" s="3" t="s">
        <v>14</v>
      </c>
      <c r="L71" s="3" t="s">
        <v>44</v>
      </c>
      <c r="M71">
        <v>1</v>
      </c>
    </row>
    <row r="72" spans="1:13" x14ac:dyDescent="0.25">
      <c r="A72" s="2">
        <v>46178</v>
      </c>
      <c r="B72" s="1" t="str">
        <f ca="1">IF(Información1[[#This Row],[Fecha]]='Ajuste de fechas'!$A$2,"Día actual","Día anterior")</f>
        <v>Día anterior</v>
      </c>
      <c r="C72" s="3" t="s">
        <v>28</v>
      </c>
      <c r="D72" t="s">
        <v>30</v>
      </c>
      <c r="E72" s="3" t="s">
        <v>191</v>
      </c>
      <c r="F72" s="3" t="s">
        <v>19</v>
      </c>
      <c r="G72" s="3" t="s">
        <v>129</v>
      </c>
      <c r="H72" s="3" t="s">
        <v>11</v>
      </c>
      <c r="I72" s="3" t="s">
        <v>7</v>
      </c>
      <c r="J72" s="3" t="s">
        <v>45</v>
      </c>
      <c r="K72" s="3" t="s">
        <v>29</v>
      </c>
      <c r="L72" s="3" t="s">
        <v>42</v>
      </c>
      <c r="M72">
        <v>1</v>
      </c>
    </row>
    <row r="73" spans="1:13" x14ac:dyDescent="0.25">
      <c r="A73" s="2">
        <v>46178</v>
      </c>
      <c r="B73" s="1" t="str">
        <f ca="1">IF(Información1[[#This Row],[Fecha]]='Ajuste de fechas'!$A$2,"Día actual","Día anterior")</f>
        <v>Día anterior</v>
      </c>
      <c r="C73" s="3" t="s">
        <v>8</v>
      </c>
      <c r="D73" t="s">
        <v>10</v>
      </c>
      <c r="E73" s="3" t="s">
        <v>192</v>
      </c>
      <c r="F73" s="3" t="s">
        <v>19</v>
      </c>
      <c r="G73" s="3" t="s">
        <v>34</v>
      </c>
      <c r="H73" s="3" t="s">
        <v>11</v>
      </c>
      <c r="I73" s="3" t="s">
        <v>12</v>
      </c>
      <c r="J73" s="3" t="s">
        <v>45</v>
      </c>
      <c r="K73" s="3" t="s">
        <v>14</v>
      </c>
      <c r="L73" s="3" t="s">
        <v>43</v>
      </c>
      <c r="M73">
        <v>1</v>
      </c>
    </row>
    <row r="74" spans="1:13" x14ac:dyDescent="0.25">
      <c r="A74" s="2">
        <v>46178</v>
      </c>
      <c r="B74" s="1" t="str">
        <f ca="1">IF(Información1[[#This Row],[Fecha]]='Ajuste de fechas'!$A$2,"Día actual","Día anterior")</f>
        <v>Día anterior</v>
      </c>
      <c r="C74" s="3" t="s">
        <v>8</v>
      </c>
      <c r="D74" t="s">
        <v>10</v>
      </c>
      <c r="E74" s="3" t="s">
        <v>18</v>
      </c>
      <c r="F74" s="3" t="s">
        <v>19</v>
      </c>
      <c r="G74" s="3" t="s">
        <v>34</v>
      </c>
      <c r="H74" s="3" t="s">
        <v>11</v>
      </c>
      <c r="I74" s="3" t="s">
        <v>12</v>
      </c>
      <c r="J74" s="3" t="s">
        <v>45</v>
      </c>
      <c r="K74" s="3" t="s">
        <v>14</v>
      </c>
      <c r="L74" s="3" t="s">
        <v>43</v>
      </c>
      <c r="M74">
        <v>1</v>
      </c>
    </row>
    <row r="75" spans="1:13" x14ac:dyDescent="0.25">
      <c r="A75" s="2">
        <v>46178</v>
      </c>
      <c r="B75" s="1" t="str">
        <f ca="1">IF(Información1[[#This Row],[Fecha]]='Ajuste de fechas'!$A$2,"Día actual","Día anterior")</f>
        <v>Día anterior</v>
      </c>
      <c r="C75" s="3" t="s">
        <v>8</v>
      </c>
      <c r="D75" t="s">
        <v>10</v>
      </c>
      <c r="E75" s="3" t="s">
        <v>13</v>
      </c>
      <c r="F75" s="3" t="s">
        <v>15</v>
      </c>
      <c r="G75" s="3" t="s">
        <v>34</v>
      </c>
      <c r="H75" s="3" t="s">
        <v>11</v>
      </c>
      <c r="I75" s="3" t="s">
        <v>12</v>
      </c>
      <c r="J75" s="3" t="s">
        <v>41</v>
      </c>
      <c r="K75" s="3" t="s">
        <v>14</v>
      </c>
      <c r="L75" s="3" t="s">
        <v>43</v>
      </c>
      <c r="M75">
        <v>1</v>
      </c>
    </row>
    <row r="76" spans="1:13" x14ac:dyDescent="0.25">
      <c r="A76" s="2">
        <v>46178</v>
      </c>
      <c r="B76" s="1" t="str">
        <f ca="1">IF(Información1[[#This Row],[Fecha]]='Ajuste de fechas'!$A$2,"Día actual","Día anterior")</f>
        <v>Día anterior</v>
      </c>
      <c r="C76" s="3" t="s">
        <v>8</v>
      </c>
      <c r="D76" t="s">
        <v>10</v>
      </c>
      <c r="E76" s="3" t="s">
        <v>16</v>
      </c>
      <c r="F76" s="3" t="s">
        <v>17</v>
      </c>
      <c r="G76" s="3" t="s">
        <v>34</v>
      </c>
      <c r="H76" s="3" t="s">
        <v>11</v>
      </c>
      <c r="I76" s="3" t="s">
        <v>12</v>
      </c>
      <c r="J76" s="3" t="s">
        <v>41</v>
      </c>
      <c r="K76" s="3" t="s">
        <v>14</v>
      </c>
      <c r="L76" s="3" t="s">
        <v>43</v>
      </c>
      <c r="M76">
        <v>1</v>
      </c>
    </row>
    <row r="77" spans="1:13" x14ac:dyDescent="0.25">
      <c r="A77" s="2">
        <v>46178</v>
      </c>
      <c r="B77" s="1" t="str">
        <f ca="1">IF(Información1[[#This Row],[Fecha]]='Ajuste de fechas'!$A$2,"Día actual","Día anterior")</f>
        <v>Día anterior</v>
      </c>
      <c r="C77" s="3" t="s">
        <v>8</v>
      </c>
      <c r="D77" t="s">
        <v>10</v>
      </c>
      <c r="E77" s="3" t="s">
        <v>58</v>
      </c>
      <c r="F77" s="3" t="s">
        <v>6</v>
      </c>
      <c r="G77" s="3" t="s">
        <v>34</v>
      </c>
      <c r="H77" s="3" t="s">
        <v>11</v>
      </c>
      <c r="I77" s="3" t="s">
        <v>12</v>
      </c>
      <c r="J77" s="3" t="s">
        <v>41</v>
      </c>
      <c r="K77" s="3" t="s">
        <v>14</v>
      </c>
      <c r="L77" s="3" t="s">
        <v>43</v>
      </c>
      <c r="M77">
        <v>1</v>
      </c>
    </row>
    <row r="78" spans="1:13" x14ac:dyDescent="0.25">
      <c r="A78" s="2">
        <v>46178</v>
      </c>
      <c r="B78" s="1" t="str">
        <f ca="1">IF(Información1[[#This Row],[Fecha]]='Ajuste de fechas'!$A$2,"Día actual","Día anterior")</f>
        <v>Día anterior</v>
      </c>
      <c r="C78" s="3" t="s">
        <v>8</v>
      </c>
      <c r="D78" t="s">
        <v>10</v>
      </c>
      <c r="E78" s="3" t="s">
        <v>193</v>
      </c>
      <c r="F78" s="3" t="s">
        <v>19</v>
      </c>
      <c r="G78" s="3" t="s">
        <v>137</v>
      </c>
      <c r="H78" s="3" t="s">
        <v>11</v>
      </c>
      <c r="I78" s="3" t="s">
        <v>7</v>
      </c>
      <c r="J78" s="3" t="s">
        <v>45</v>
      </c>
      <c r="K78" s="3" t="s">
        <v>14</v>
      </c>
      <c r="L78" s="3" t="s">
        <v>42</v>
      </c>
      <c r="M78">
        <v>1</v>
      </c>
    </row>
    <row r="79" spans="1:13" x14ac:dyDescent="0.25">
      <c r="A79" s="2">
        <v>46178</v>
      </c>
      <c r="B79" s="1" t="str">
        <f ca="1">IF(Información1[[#This Row],[Fecha]]='Ajuste de fechas'!$A$2,"Día actual","Día anterior")</f>
        <v>Día anterior</v>
      </c>
      <c r="C79" s="3" t="s">
        <v>28</v>
      </c>
      <c r="D79" t="s">
        <v>30</v>
      </c>
      <c r="E79" s="3" t="s">
        <v>194</v>
      </c>
      <c r="F79" s="3" t="s">
        <v>23</v>
      </c>
      <c r="G79" s="3" t="s">
        <v>116</v>
      </c>
      <c r="H79" s="3" t="s">
        <v>11</v>
      </c>
      <c r="I79" s="3" t="s">
        <v>7</v>
      </c>
      <c r="J79" s="3" t="s">
        <v>41</v>
      </c>
      <c r="K79" s="3" t="s">
        <v>29</v>
      </c>
      <c r="L79" s="3" t="s">
        <v>42</v>
      </c>
      <c r="M79">
        <v>1</v>
      </c>
    </row>
    <row r="80" spans="1:13" x14ac:dyDescent="0.25">
      <c r="A80" s="2">
        <v>46178</v>
      </c>
      <c r="B80" s="1" t="str">
        <f ca="1">IF(Información1[[#This Row],[Fecha]]='Ajuste de fechas'!$A$2,"Día actual","Día anterior")</f>
        <v>Día anterior</v>
      </c>
      <c r="C80" s="3" t="s">
        <v>8</v>
      </c>
      <c r="D80" t="s">
        <v>10</v>
      </c>
      <c r="E80" s="3" t="s">
        <v>115</v>
      </c>
      <c r="F80" s="3" t="s">
        <v>23</v>
      </c>
      <c r="G80" s="3" t="s">
        <v>116</v>
      </c>
      <c r="H80" s="3" t="s">
        <v>11</v>
      </c>
      <c r="I80" s="3" t="s">
        <v>7</v>
      </c>
      <c r="J80" s="3" t="s">
        <v>41</v>
      </c>
      <c r="K80" s="3" t="s">
        <v>14</v>
      </c>
      <c r="L80" s="3" t="s">
        <v>44</v>
      </c>
      <c r="M80">
        <v>1</v>
      </c>
    </row>
    <row r="81" spans="1:13" x14ac:dyDescent="0.25">
      <c r="A81" s="2">
        <v>46178</v>
      </c>
      <c r="B81" s="1" t="str">
        <f ca="1">IF(Información1[[#This Row],[Fecha]]='Ajuste de fechas'!$A$2,"Día actual","Día anterior")</f>
        <v>Día anterior</v>
      </c>
      <c r="C81" s="3" t="s">
        <v>28</v>
      </c>
      <c r="D81" t="s">
        <v>30</v>
      </c>
      <c r="E81" s="3" t="s">
        <v>195</v>
      </c>
      <c r="F81" s="3" t="s">
        <v>51</v>
      </c>
      <c r="G81" s="3" t="s">
        <v>95</v>
      </c>
      <c r="H81" s="3" t="s">
        <v>11</v>
      </c>
      <c r="I81" s="3" t="s">
        <v>7</v>
      </c>
      <c r="J81" s="3" t="s">
        <v>41</v>
      </c>
      <c r="K81" s="3" t="s">
        <v>29</v>
      </c>
      <c r="L81" s="3" t="s">
        <v>42</v>
      </c>
      <c r="M81">
        <v>1</v>
      </c>
    </row>
    <row r="82" spans="1:13" x14ac:dyDescent="0.25">
      <c r="A82" s="2">
        <v>46178</v>
      </c>
      <c r="B82" s="1" t="str">
        <f ca="1">IF(Información1[[#This Row],[Fecha]]='Ajuste de fechas'!$A$2,"Día actual","Día anterior")</f>
        <v>Día anterior</v>
      </c>
      <c r="C82" s="3" t="s">
        <v>8</v>
      </c>
      <c r="D82" t="s">
        <v>10</v>
      </c>
      <c r="E82" s="3" t="s">
        <v>196</v>
      </c>
      <c r="F82" s="3" t="s">
        <v>51</v>
      </c>
      <c r="G82" s="3" t="s">
        <v>95</v>
      </c>
      <c r="H82" s="3" t="s">
        <v>11</v>
      </c>
      <c r="I82" s="3" t="s">
        <v>7</v>
      </c>
      <c r="J82" s="3" t="s">
        <v>41</v>
      </c>
      <c r="K82" s="3" t="s">
        <v>14</v>
      </c>
      <c r="L82" s="3" t="s">
        <v>42</v>
      </c>
      <c r="M82">
        <v>1</v>
      </c>
    </row>
    <row r="83" spans="1:13" x14ac:dyDescent="0.25">
      <c r="A83" s="2">
        <v>46178</v>
      </c>
      <c r="B83" s="1" t="str">
        <f ca="1">IF(Información1[[#This Row],[Fecha]]='Ajuste de fechas'!$A$2,"Día actual","Día anterior")</f>
        <v>Día anterior</v>
      </c>
      <c r="C83" s="3" t="s">
        <v>80</v>
      </c>
      <c r="D83" t="s">
        <v>81</v>
      </c>
      <c r="E83" s="3" t="s">
        <v>197</v>
      </c>
      <c r="F83" s="3" t="s">
        <v>23</v>
      </c>
      <c r="G83" s="3" t="s">
        <v>101</v>
      </c>
      <c r="H83" s="3" t="s">
        <v>11</v>
      </c>
      <c r="I83" s="3" t="s">
        <v>7</v>
      </c>
      <c r="J83" s="3" t="s">
        <v>41</v>
      </c>
      <c r="K83" s="3" t="s">
        <v>82</v>
      </c>
      <c r="L83" s="3" t="s">
        <v>44</v>
      </c>
      <c r="M83">
        <v>1</v>
      </c>
    </row>
    <row r="84" spans="1:13" x14ac:dyDescent="0.25">
      <c r="A84" s="2">
        <v>46178</v>
      </c>
      <c r="B84" s="1" t="str">
        <f ca="1">IF(Información1[[#This Row],[Fecha]]='Ajuste de fechas'!$A$2,"Día actual","Día anterior")</f>
        <v>Día anterior</v>
      </c>
      <c r="C84" s="3" t="s">
        <v>80</v>
      </c>
      <c r="D84" t="s">
        <v>81</v>
      </c>
      <c r="E84" s="3" t="s">
        <v>198</v>
      </c>
      <c r="F84" s="3" t="s">
        <v>23</v>
      </c>
      <c r="G84" s="3" t="s">
        <v>101</v>
      </c>
      <c r="H84" s="3" t="s">
        <v>11</v>
      </c>
      <c r="I84" s="3" t="s">
        <v>7</v>
      </c>
      <c r="J84" s="3" t="s">
        <v>41</v>
      </c>
      <c r="K84" s="3" t="s">
        <v>82</v>
      </c>
      <c r="L84" s="3" t="s">
        <v>42</v>
      </c>
      <c r="M84">
        <v>1</v>
      </c>
    </row>
    <row r="85" spans="1:13" x14ac:dyDescent="0.25">
      <c r="A85" s="2">
        <v>46178</v>
      </c>
      <c r="B85" s="1" t="str">
        <f ca="1">IF(Información1[[#This Row],[Fecha]]='Ajuste de fechas'!$A$2,"Día actual","Día anterior")</f>
        <v>Día anterior</v>
      </c>
      <c r="C85" s="3" t="s">
        <v>8</v>
      </c>
      <c r="D85" t="s">
        <v>10</v>
      </c>
      <c r="E85" s="3" t="s">
        <v>199</v>
      </c>
      <c r="F85" s="3" t="s">
        <v>23</v>
      </c>
      <c r="G85" s="3" t="s">
        <v>101</v>
      </c>
      <c r="H85" s="3" t="s">
        <v>11</v>
      </c>
      <c r="I85" s="3" t="s">
        <v>7</v>
      </c>
      <c r="J85" s="3" t="s">
        <v>41</v>
      </c>
      <c r="K85" s="3" t="s">
        <v>14</v>
      </c>
      <c r="L85" s="3" t="s">
        <v>42</v>
      </c>
      <c r="M85">
        <v>1</v>
      </c>
    </row>
    <row r="86" spans="1:13" x14ac:dyDescent="0.25">
      <c r="A86" s="2">
        <v>46178</v>
      </c>
      <c r="B86" s="1" t="str">
        <f ca="1">IF(Información1[[#This Row],[Fecha]]='Ajuste de fechas'!$A$2,"Día actual","Día anterior")</f>
        <v>Día anterior</v>
      </c>
      <c r="C86" s="3" t="s">
        <v>28</v>
      </c>
      <c r="D86" t="s">
        <v>30</v>
      </c>
      <c r="E86" s="3" t="s">
        <v>200</v>
      </c>
      <c r="F86" s="3" t="s">
        <v>19</v>
      </c>
      <c r="G86" s="3" t="s">
        <v>201</v>
      </c>
      <c r="H86" s="3" t="s">
        <v>11</v>
      </c>
      <c r="I86" s="3" t="s">
        <v>25</v>
      </c>
      <c r="J86" s="3" t="s">
        <v>45</v>
      </c>
      <c r="K86" s="3" t="s">
        <v>29</v>
      </c>
      <c r="L86" s="3" t="s">
        <v>42</v>
      </c>
      <c r="M86">
        <v>1</v>
      </c>
    </row>
    <row r="87" spans="1:13" x14ac:dyDescent="0.25">
      <c r="A87" s="2">
        <v>46178</v>
      </c>
      <c r="B87" s="1" t="str">
        <f ca="1">IF(Información1[[#This Row],[Fecha]]='Ajuste de fechas'!$A$2,"Día actual","Día anterior")</f>
        <v>Día anterior</v>
      </c>
      <c r="C87" s="3" t="s">
        <v>28</v>
      </c>
      <c r="D87" t="s">
        <v>78</v>
      </c>
      <c r="E87" s="3" t="s">
        <v>202</v>
      </c>
      <c r="F87" s="3" t="s">
        <v>203</v>
      </c>
      <c r="G87" s="3" t="s">
        <v>73</v>
      </c>
      <c r="H87" s="3" t="s">
        <v>11</v>
      </c>
      <c r="I87" s="3" t="s">
        <v>7</v>
      </c>
      <c r="J87" s="3" t="s">
        <v>87</v>
      </c>
      <c r="K87" s="3" t="s">
        <v>79</v>
      </c>
      <c r="L87" s="3" t="s">
        <v>42</v>
      </c>
      <c r="M87">
        <v>1</v>
      </c>
    </row>
    <row r="88" spans="1:13" x14ac:dyDescent="0.25">
      <c r="A88" s="2">
        <v>46178</v>
      </c>
      <c r="B88" s="1" t="str">
        <f ca="1">IF(Información1[[#This Row],[Fecha]]='Ajuste de fechas'!$A$2,"Día actual","Día anterior")</f>
        <v>Día anterior</v>
      </c>
      <c r="C88" s="3" t="s">
        <v>8</v>
      </c>
      <c r="D88" t="s">
        <v>10</v>
      </c>
      <c r="E88" s="3" t="s">
        <v>204</v>
      </c>
      <c r="F88" s="3" t="s">
        <v>22</v>
      </c>
      <c r="G88" s="3" t="s">
        <v>122</v>
      </c>
      <c r="H88" s="3" t="s">
        <v>11</v>
      </c>
      <c r="I88" s="3" t="s">
        <v>25</v>
      </c>
      <c r="J88" s="3" t="s">
        <v>46</v>
      </c>
      <c r="K88" s="3" t="s">
        <v>9</v>
      </c>
      <c r="L88" s="3" t="s">
        <v>43</v>
      </c>
      <c r="M88">
        <v>1</v>
      </c>
    </row>
    <row r="89" spans="1:13" x14ac:dyDescent="0.25">
      <c r="A89" s="2">
        <v>46178</v>
      </c>
      <c r="B89" s="1" t="str">
        <f ca="1">IF(Información1[[#This Row],[Fecha]]='Ajuste de fechas'!$A$2,"Día actual","Día anterior")</f>
        <v>Día anterior</v>
      </c>
      <c r="C89" s="3" t="s">
        <v>8</v>
      </c>
      <c r="D89" t="s">
        <v>10</v>
      </c>
      <c r="E89" s="3" t="s">
        <v>205</v>
      </c>
      <c r="F89" s="3" t="s">
        <v>6</v>
      </c>
      <c r="G89" s="3" t="s">
        <v>94</v>
      </c>
      <c r="H89" s="3" t="s">
        <v>11</v>
      </c>
      <c r="I89" s="3" t="s">
        <v>25</v>
      </c>
      <c r="J89" s="3" t="s">
        <v>41</v>
      </c>
      <c r="K89" s="3" t="s">
        <v>9</v>
      </c>
      <c r="L89" s="3" t="s">
        <v>43</v>
      </c>
      <c r="M89">
        <v>1</v>
      </c>
    </row>
    <row r="90" spans="1:13" x14ac:dyDescent="0.25">
      <c r="A90" s="2">
        <v>46178</v>
      </c>
      <c r="B90" s="1" t="str">
        <f ca="1">IF(Información1[[#This Row],[Fecha]]='Ajuste de fechas'!$A$2,"Día actual","Día anterior")</f>
        <v>Día anterior</v>
      </c>
      <c r="C90" s="3" t="s">
        <v>8</v>
      </c>
      <c r="D90" t="s">
        <v>10</v>
      </c>
      <c r="E90" s="3" t="s">
        <v>206</v>
      </c>
      <c r="F90" s="3" t="s">
        <v>24</v>
      </c>
      <c r="G90" s="3" t="s">
        <v>72</v>
      </c>
      <c r="H90" s="3" t="s">
        <v>11</v>
      </c>
      <c r="I90" s="3" t="s">
        <v>7</v>
      </c>
      <c r="J90" s="3" t="s">
        <v>24</v>
      </c>
      <c r="K90" s="3" t="s">
        <v>14</v>
      </c>
      <c r="L90" s="3" t="s">
        <v>42</v>
      </c>
      <c r="M90">
        <v>1</v>
      </c>
    </row>
    <row r="91" spans="1:13" x14ac:dyDescent="0.25">
      <c r="A91" s="2">
        <v>46178</v>
      </c>
      <c r="B91" s="1" t="str">
        <f ca="1">IF(Información1[[#This Row],[Fecha]]='Ajuste de fechas'!$A$2,"Día actual","Día anterior")</f>
        <v>Día anterior</v>
      </c>
      <c r="C91" s="3" t="s">
        <v>8</v>
      </c>
      <c r="D91" t="s">
        <v>10</v>
      </c>
      <c r="E91" s="3" t="s">
        <v>207</v>
      </c>
      <c r="F91" s="3" t="s">
        <v>24</v>
      </c>
      <c r="G91" s="3" t="s">
        <v>72</v>
      </c>
      <c r="H91" s="3" t="s">
        <v>11</v>
      </c>
      <c r="I91" s="3" t="s">
        <v>7</v>
      </c>
      <c r="J91" s="3" t="s">
        <v>24</v>
      </c>
      <c r="K91" s="3" t="s">
        <v>9</v>
      </c>
      <c r="L91" s="3" t="s">
        <v>42</v>
      </c>
      <c r="M91">
        <v>1</v>
      </c>
    </row>
    <row r="92" spans="1:13" x14ac:dyDescent="0.25">
      <c r="A92" s="2">
        <v>46178</v>
      </c>
      <c r="B92" s="1" t="str">
        <f ca="1">IF(Información1[[#This Row],[Fecha]]='Ajuste de fechas'!$A$2,"Día actual","Día anterior")</f>
        <v>Día anterior</v>
      </c>
      <c r="C92" s="3" t="s">
        <v>28</v>
      </c>
      <c r="D92" t="s">
        <v>30</v>
      </c>
      <c r="E92" s="3" t="s">
        <v>208</v>
      </c>
      <c r="F92" s="3" t="s">
        <v>19</v>
      </c>
      <c r="G92" s="3" t="s">
        <v>100</v>
      </c>
      <c r="H92" s="3" t="s">
        <v>11</v>
      </c>
      <c r="I92" s="3" t="s">
        <v>7</v>
      </c>
      <c r="J92" s="3" t="s">
        <v>45</v>
      </c>
      <c r="K92" s="3" t="s">
        <v>29</v>
      </c>
      <c r="L92" s="3" t="s">
        <v>42</v>
      </c>
      <c r="M92">
        <v>1</v>
      </c>
    </row>
    <row r="93" spans="1:13" x14ac:dyDescent="0.25">
      <c r="A93" s="2">
        <v>46178</v>
      </c>
      <c r="B93" s="1" t="str">
        <f ca="1">IF(Información1[[#This Row],[Fecha]]='Ajuste de fechas'!$A$2,"Día actual","Día anterior")</f>
        <v>Día anterior</v>
      </c>
      <c r="C93" s="3" t="s">
        <v>28</v>
      </c>
      <c r="D93" t="s">
        <v>30</v>
      </c>
      <c r="E93" s="3" t="s">
        <v>209</v>
      </c>
      <c r="F93" s="3" t="s">
        <v>23</v>
      </c>
      <c r="G93" s="3" t="s">
        <v>118</v>
      </c>
      <c r="H93" s="3" t="s">
        <v>11</v>
      </c>
      <c r="I93" s="3" t="s">
        <v>7</v>
      </c>
      <c r="J93" s="3" t="s">
        <v>41</v>
      </c>
      <c r="K93" s="3" t="s">
        <v>29</v>
      </c>
      <c r="L93" s="3" t="s">
        <v>42</v>
      </c>
      <c r="M93">
        <v>1</v>
      </c>
    </row>
    <row r="94" spans="1:13" x14ac:dyDescent="0.25">
      <c r="A94" s="2">
        <v>46178</v>
      </c>
      <c r="B94" s="1" t="str">
        <f ca="1">IF(Información1[[#This Row],[Fecha]]='Ajuste de fechas'!$A$2,"Día actual","Día anterior")</f>
        <v>Día anterior</v>
      </c>
      <c r="C94" s="3" t="s">
        <v>8</v>
      </c>
      <c r="D94" t="s">
        <v>10</v>
      </c>
      <c r="E94" s="3" t="s">
        <v>210</v>
      </c>
      <c r="F94" s="3" t="s">
        <v>17</v>
      </c>
      <c r="G94" s="3" t="s">
        <v>64</v>
      </c>
      <c r="H94" s="3" t="s">
        <v>11</v>
      </c>
      <c r="I94" s="3" t="s">
        <v>7</v>
      </c>
      <c r="J94" s="3" t="s">
        <v>41</v>
      </c>
      <c r="K94" s="3" t="s">
        <v>9</v>
      </c>
      <c r="L94" s="3" t="s">
        <v>43</v>
      </c>
      <c r="M94">
        <v>1</v>
      </c>
    </row>
    <row r="95" spans="1:13" x14ac:dyDescent="0.25">
      <c r="A95" s="2">
        <v>46178</v>
      </c>
      <c r="B95" s="1" t="str">
        <f ca="1">IF(Información1[[#This Row],[Fecha]]='Ajuste de fechas'!$A$2,"Día actual","Día anterior")</f>
        <v>Día anterior</v>
      </c>
      <c r="C95" s="3" t="s">
        <v>28</v>
      </c>
      <c r="D95" t="s">
        <v>78</v>
      </c>
      <c r="E95" s="3" t="s">
        <v>211</v>
      </c>
      <c r="F95" s="3" t="s">
        <v>21</v>
      </c>
      <c r="G95" s="3" t="s">
        <v>56</v>
      </c>
      <c r="H95" s="3" t="s">
        <v>11</v>
      </c>
      <c r="I95" s="3" t="s">
        <v>7</v>
      </c>
      <c r="J95" s="3" t="s">
        <v>41</v>
      </c>
      <c r="K95" s="3" t="s">
        <v>79</v>
      </c>
      <c r="L95" s="3" t="s">
        <v>42</v>
      </c>
      <c r="M95">
        <v>1</v>
      </c>
    </row>
    <row r="96" spans="1:13" x14ac:dyDescent="0.25">
      <c r="A96" s="2">
        <v>46178</v>
      </c>
      <c r="B96" s="1" t="str">
        <f ca="1">IF(Información1[[#This Row],[Fecha]]='Ajuste de fechas'!$A$2,"Día actual","Día anterior")</f>
        <v>Día anterior</v>
      </c>
      <c r="C96" s="3" t="s">
        <v>28</v>
      </c>
      <c r="D96" t="s">
        <v>78</v>
      </c>
      <c r="E96" s="3" t="s">
        <v>212</v>
      </c>
      <c r="F96" s="3" t="s">
        <v>15</v>
      </c>
      <c r="G96" s="3" t="s">
        <v>56</v>
      </c>
      <c r="H96" s="3" t="s">
        <v>11</v>
      </c>
      <c r="I96" s="3" t="s">
        <v>7</v>
      </c>
      <c r="J96" s="3" t="s">
        <v>41</v>
      </c>
      <c r="K96" s="3" t="s">
        <v>79</v>
      </c>
      <c r="L96" s="3" t="s">
        <v>44</v>
      </c>
      <c r="M96">
        <v>1</v>
      </c>
    </row>
    <row r="97" spans="1:13" x14ac:dyDescent="0.25">
      <c r="A97" s="2">
        <v>46178</v>
      </c>
      <c r="B97" s="1" t="str">
        <f ca="1">IF(Información1[[#This Row],[Fecha]]='Ajuste de fechas'!$A$2,"Día actual","Día anterior")</f>
        <v>Día anterior</v>
      </c>
      <c r="C97" s="3" t="s">
        <v>28</v>
      </c>
      <c r="D97" t="s">
        <v>30</v>
      </c>
      <c r="E97" s="3" t="s">
        <v>213</v>
      </c>
      <c r="F97" s="3" t="s">
        <v>26</v>
      </c>
      <c r="G97" s="3" t="s">
        <v>214</v>
      </c>
      <c r="H97" s="3" t="s">
        <v>11</v>
      </c>
      <c r="I97" s="3" t="s">
        <v>7</v>
      </c>
      <c r="J97" s="3" t="s">
        <v>41</v>
      </c>
      <c r="K97" s="3" t="s">
        <v>29</v>
      </c>
      <c r="L97" s="3" t="s">
        <v>42</v>
      </c>
      <c r="M97">
        <v>1</v>
      </c>
    </row>
    <row r="98" spans="1:13" x14ac:dyDescent="0.25">
      <c r="A98" s="2">
        <v>46178</v>
      </c>
      <c r="B98" s="1" t="str">
        <f ca="1">IF(Información1[[#This Row],[Fecha]]='Ajuste de fechas'!$A$2,"Día actual","Día anterior")</f>
        <v>Día anterior</v>
      </c>
      <c r="C98" s="3" t="s">
        <v>28</v>
      </c>
      <c r="D98" t="s">
        <v>30</v>
      </c>
      <c r="E98" s="3" t="s">
        <v>215</v>
      </c>
      <c r="F98" s="3" t="s">
        <v>19</v>
      </c>
      <c r="G98" s="3" t="s">
        <v>90</v>
      </c>
      <c r="H98" s="3" t="s">
        <v>11</v>
      </c>
      <c r="I98" s="3" t="s">
        <v>7</v>
      </c>
      <c r="J98" s="3" t="s">
        <v>45</v>
      </c>
      <c r="K98" s="3" t="s">
        <v>29</v>
      </c>
      <c r="L98" s="3" t="s">
        <v>42</v>
      </c>
      <c r="M98">
        <v>1</v>
      </c>
    </row>
    <row r="99" spans="1:13" x14ac:dyDescent="0.25">
      <c r="A99" s="2">
        <v>46178</v>
      </c>
      <c r="B99" s="1" t="str">
        <f ca="1">IF(Información1[[#This Row],[Fecha]]='Ajuste de fechas'!$A$2,"Día actual","Día anterior")</f>
        <v>Día anterior</v>
      </c>
      <c r="C99" s="3" t="s">
        <v>8</v>
      </c>
      <c r="D99" t="s">
        <v>10</v>
      </c>
      <c r="E99" s="3" t="s">
        <v>105</v>
      </c>
      <c r="F99" s="3" t="s">
        <v>85</v>
      </c>
      <c r="G99" s="3" t="s">
        <v>86</v>
      </c>
      <c r="H99" s="3" t="s">
        <v>11</v>
      </c>
      <c r="I99" s="3" t="s">
        <v>7</v>
      </c>
      <c r="J99" s="3" t="s">
        <v>41</v>
      </c>
      <c r="K99" s="3" t="s">
        <v>14</v>
      </c>
      <c r="L99" s="3" t="s">
        <v>44</v>
      </c>
      <c r="M99">
        <v>1</v>
      </c>
    </row>
    <row r="100" spans="1:13" x14ac:dyDescent="0.25">
      <c r="A100" s="2">
        <v>46178</v>
      </c>
      <c r="B100" s="1" t="str">
        <f ca="1">IF(Información1[[#This Row],[Fecha]]='Ajuste de fechas'!$A$2,"Día actual","Día anterior")</f>
        <v>Día anterior</v>
      </c>
      <c r="C100" s="3" t="s">
        <v>8</v>
      </c>
      <c r="D100" t="s">
        <v>10</v>
      </c>
      <c r="E100" s="3" t="s">
        <v>105</v>
      </c>
      <c r="F100" s="3" t="s">
        <v>33</v>
      </c>
      <c r="G100" s="3" t="s">
        <v>86</v>
      </c>
      <c r="H100" s="3" t="s">
        <v>11</v>
      </c>
      <c r="I100" s="3" t="s">
        <v>7</v>
      </c>
      <c r="J100" s="3" t="s">
        <v>41</v>
      </c>
      <c r="K100" s="3" t="s">
        <v>14</v>
      </c>
      <c r="L100" s="3" t="s">
        <v>44</v>
      </c>
      <c r="M100">
        <v>1</v>
      </c>
    </row>
    <row r="101" spans="1:13" x14ac:dyDescent="0.25">
      <c r="A101" s="2">
        <v>46178</v>
      </c>
      <c r="B101" s="1" t="str">
        <f ca="1">IF(Información1[[#This Row],[Fecha]]='Ajuste de fechas'!$A$2,"Día actual","Día anterior")</f>
        <v>Día anterior</v>
      </c>
      <c r="C101" s="3" t="s">
        <v>28</v>
      </c>
      <c r="D101" t="s">
        <v>78</v>
      </c>
      <c r="E101" s="3" t="s">
        <v>216</v>
      </c>
      <c r="F101" s="3" t="s">
        <v>26</v>
      </c>
      <c r="G101" s="3" t="s">
        <v>77</v>
      </c>
      <c r="H101" s="3" t="s">
        <v>11</v>
      </c>
      <c r="I101" s="3" t="s">
        <v>7</v>
      </c>
      <c r="J101" s="3" t="s">
        <v>41</v>
      </c>
      <c r="K101" s="3" t="s">
        <v>79</v>
      </c>
      <c r="L101" s="3" t="s">
        <v>42</v>
      </c>
      <c r="M101">
        <v>1</v>
      </c>
    </row>
    <row r="102" spans="1:13" x14ac:dyDescent="0.25">
      <c r="A102" s="2">
        <v>46178</v>
      </c>
      <c r="B102" s="1" t="str">
        <f ca="1">IF(Información1[[#This Row],[Fecha]]='Ajuste de fechas'!$A$2,"Día actual","Día anterior")</f>
        <v>Día anterior</v>
      </c>
      <c r="C102" s="3" t="s">
        <v>28</v>
      </c>
      <c r="D102" t="s">
        <v>78</v>
      </c>
      <c r="E102" s="3" t="s">
        <v>217</v>
      </c>
      <c r="F102" s="3" t="s">
        <v>26</v>
      </c>
      <c r="G102" s="3" t="s">
        <v>131</v>
      </c>
      <c r="H102" s="3" t="s">
        <v>11</v>
      </c>
      <c r="I102" s="3" t="s">
        <v>7</v>
      </c>
      <c r="J102" s="3" t="s">
        <v>41</v>
      </c>
      <c r="K102" s="3" t="s">
        <v>79</v>
      </c>
      <c r="L102" s="3" t="s">
        <v>44</v>
      </c>
      <c r="M102">
        <v>1</v>
      </c>
    </row>
    <row r="103" spans="1:13" x14ac:dyDescent="0.25">
      <c r="A103" s="2">
        <v>46178</v>
      </c>
      <c r="B103" s="1" t="str">
        <f ca="1">IF(Información1[[#This Row],[Fecha]]='Ajuste de fechas'!$A$2,"Día actual","Día anterior")</f>
        <v>Día anterior</v>
      </c>
      <c r="C103" s="3" t="s">
        <v>28</v>
      </c>
      <c r="D103" t="s">
        <v>78</v>
      </c>
      <c r="E103" s="3" t="s">
        <v>218</v>
      </c>
      <c r="F103" s="3" t="s">
        <v>26</v>
      </c>
      <c r="G103" s="3" t="s">
        <v>131</v>
      </c>
      <c r="H103" s="3" t="s">
        <v>11</v>
      </c>
      <c r="I103" s="3" t="s">
        <v>7</v>
      </c>
      <c r="J103" s="3" t="s">
        <v>41</v>
      </c>
      <c r="K103" s="3" t="s">
        <v>79</v>
      </c>
      <c r="L103" s="3" t="s">
        <v>44</v>
      </c>
      <c r="M103">
        <v>1</v>
      </c>
    </row>
    <row r="104" spans="1:13" x14ac:dyDescent="0.25">
      <c r="A104" s="2">
        <v>46178</v>
      </c>
      <c r="B104" s="1" t="str">
        <f ca="1">IF(Información1[[#This Row],[Fecha]]='Ajuste de fechas'!$A$2,"Día actual","Día anterior")</f>
        <v>Día anterior</v>
      </c>
      <c r="C104" s="3" t="s">
        <v>28</v>
      </c>
      <c r="D104" t="s">
        <v>30</v>
      </c>
      <c r="E104" s="3" t="s">
        <v>219</v>
      </c>
      <c r="F104" s="3" t="s">
        <v>26</v>
      </c>
      <c r="G104" s="3" t="s">
        <v>131</v>
      </c>
      <c r="H104" s="3" t="s">
        <v>11</v>
      </c>
      <c r="I104" s="3" t="s">
        <v>7</v>
      </c>
      <c r="J104" s="3" t="s">
        <v>41</v>
      </c>
      <c r="K104" s="3" t="s">
        <v>29</v>
      </c>
      <c r="L104" s="3" t="s">
        <v>42</v>
      </c>
      <c r="M104">
        <v>1</v>
      </c>
    </row>
    <row r="105" spans="1:13" x14ac:dyDescent="0.25">
      <c r="A105" s="2">
        <v>46178</v>
      </c>
      <c r="B105" s="1" t="str">
        <f ca="1">IF(Información1[[#This Row],[Fecha]]='Ajuste de fechas'!$A$2,"Día actual","Día anterior")</f>
        <v>Día anterior</v>
      </c>
      <c r="C105" s="3" t="s">
        <v>28</v>
      </c>
      <c r="D105" t="s">
        <v>30</v>
      </c>
      <c r="E105" s="3" t="s">
        <v>220</v>
      </c>
      <c r="F105" s="3" t="s">
        <v>26</v>
      </c>
      <c r="G105" s="3" t="s">
        <v>131</v>
      </c>
      <c r="H105" s="3" t="s">
        <v>11</v>
      </c>
      <c r="I105" s="3" t="s">
        <v>7</v>
      </c>
      <c r="J105" s="3" t="s">
        <v>41</v>
      </c>
      <c r="K105" s="3" t="s">
        <v>29</v>
      </c>
      <c r="L105" s="3" t="s">
        <v>42</v>
      </c>
      <c r="M105">
        <v>1</v>
      </c>
    </row>
    <row r="106" spans="1:13" x14ac:dyDescent="0.25">
      <c r="A106" s="2">
        <v>46178</v>
      </c>
      <c r="B106" s="1" t="str">
        <f ca="1">IF(Información1[[#This Row],[Fecha]]='Ajuste de fechas'!$A$2,"Día actual","Día anterior")</f>
        <v>Día anterior</v>
      </c>
      <c r="C106" s="3" t="s">
        <v>8</v>
      </c>
      <c r="D106" t="s">
        <v>10</v>
      </c>
      <c r="E106" s="3" t="s">
        <v>221</v>
      </c>
      <c r="F106" s="3" t="s">
        <v>19</v>
      </c>
      <c r="G106" s="3" t="s">
        <v>71</v>
      </c>
      <c r="H106" s="3" t="s">
        <v>11</v>
      </c>
      <c r="I106" s="3" t="s">
        <v>25</v>
      </c>
      <c r="J106" s="3" t="s">
        <v>45</v>
      </c>
      <c r="K106" s="3" t="s">
        <v>9</v>
      </c>
      <c r="L106" s="3" t="s">
        <v>43</v>
      </c>
      <c r="M106">
        <v>1</v>
      </c>
    </row>
    <row r="107" spans="1:13" x14ac:dyDescent="0.25">
      <c r="A107" s="2">
        <v>46178</v>
      </c>
      <c r="B107" s="1" t="str">
        <f ca="1">IF(Información1[[#This Row],[Fecha]]='Ajuste de fechas'!$A$2,"Día actual","Día anterior")</f>
        <v>Día anterior</v>
      </c>
      <c r="C107" s="3" t="s">
        <v>28</v>
      </c>
      <c r="D107" t="s">
        <v>30</v>
      </c>
      <c r="E107" s="3" t="s">
        <v>222</v>
      </c>
      <c r="F107" s="3" t="s">
        <v>51</v>
      </c>
      <c r="G107" s="3" t="s">
        <v>223</v>
      </c>
      <c r="H107" s="3" t="s">
        <v>11</v>
      </c>
      <c r="I107" s="3" t="s">
        <v>7</v>
      </c>
      <c r="J107" s="3" t="s">
        <v>41</v>
      </c>
      <c r="K107" s="3" t="s">
        <v>29</v>
      </c>
      <c r="L107" s="3" t="s">
        <v>42</v>
      </c>
      <c r="M107">
        <v>1</v>
      </c>
    </row>
    <row r="108" spans="1:13" x14ac:dyDescent="0.25">
      <c r="A108" s="2">
        <v>46181</v>
      </c>
      <c r="B108" s="1" t="str">
        <f ca="1">IF(Información1[[#This Row],[Fecha]]='Ajuste de fechas'!$A$2,"Día actual","Día anterior")</f>
        <v>Día actual</v>
      </c>
      <c r="C108" s="3" t="s">
        <v>53</v>
      </c>
      <c r="D108" t="s">
        <v>61</v>
      </c>
      <c r="E108" s="3" t="s">
        <v>224</v>
      </c>
      <c r="F108" s="3" t="s">
        <v>22</v>
      </c>
      <c r="G108" s="3" t="s">
        <v>225</v>
      </c>
      <c r="H108" s="3" t="s">
        <v>11</v>
      </c>
      <c r="I108" s="3" t="s">
        <v>25</v>
      </c>
      <c r="J108" s="3" t="s">
        <v>46</v>
      </c>
      <c r="K108" s="3" t="s">
        <v>54</v>
      </c>
      <c r="L108" s="3" t="s">
        <v>42</v>
      </c>
      <c r="M108">
        <v>1</v>
      </c>
    </row>
    <row r="109" spans="1:13" x14ac:dyDescent="0.25">
      <c r="A109" s="2">
        <v>46181</v>
      </c>
      <c r="B109" s="1" t="str">
        <f ca="1">IF(Información1[[#This Row],[Fecha]]='Ajuste de fechas'!$A$2,"Día actual","Día anterior")</f>
        <v>Día actual</v>
      </c>
      <c r="C109" s="3" t="s">
        <v>53</v>
      </c>
      <c r="D109" t="s">
        <v>61</v>
      </c>
      <c r="E109" s="3" t="s">
        <v>226</v>
      </c>
      <c r="F109" s="3" t="s">
        <v>19</v>
      </c>
      <c r="G109" s="3" t="s">
        <v>227</v>
      </c>
      <c r="H109" s="3" t="s">
        <v>11</v>
      </c>
      <c r="I109" s="3" t="s">
        <v>25</v>
      </c>
      <c r="J109" s="3" t="s">
        <v>45</v>
      </c>
      <c r="K109" s="3" t="s">
        <v>54</v>
      </c>
      <c r="L109" s="3" t="s">
        <v>42</v>
      </c>
      <c r="M109">
        <v>1</v>
      </c>
    </row>
    <row r="110" spans="1:13" x14ac:dyDescent="0.25">
      <c r="A110" s="2">
        <v>46181</v>
      </c>
      <c r="B110" s="1" t="str">
        <f ca="1">IF(Información1[[#This Row],[Fecha]]='Ajuste de fechas'!$A$2,"Día actual","Día anterior")</f>
        <v>Día actual</v>
      </c>
      <c r="C110" s="3" t="s">
        <v>53</v>
      </c>
      <c r="D110" t="s">
        <v>61</v>
      </c>
      <c r="E110" s="3" t="s">
        <v>228</v>
      </c>
      <c r="F110" s="3" t="s">
        <v>19</v>
      </c>
      <c r="G110" s="3" t="s">
        <v>229</v>
      </c>
      <c r="H110" s="3" t="s">
        <v>11</v>
      </c>
      <c r="I110" s="3" t="s">
        <v>7</v>
      </c>
      <c r="J110" s="3" t="s">
        <v>45</v>
      </c>
      <c r="K110" s="3" t="s">
        <v>54</v>
      </c>
      <c r="L110" s="3" t="s">
        <v>42</v>
      </c>
      <c r="M110">
        <v>1</v>
      </c>
    </row>
    <row r="111" spans="1:13" x14ac:dyDescent="0.25">
      <c r="A111" s="2">
        <v>46181</v>
      </c>
      <c r="B111" s="1" t="str">
        <f ca="1">IF(Información1[[#This Row],[Fecha]]='Ajuste de fechas'!$A$2,"Día actual","Día anterior")</f>
        <v>Día actual</v>
      </c>
      <c r="C111" s="3" t="s">
        <v>53</v>
      </c>
      <c r="D111" t="s">
        <v>61</v>
      </c>
      <c r="E111" s="3" t="s">
        <v>230</v>
      </c>
      <c r="F111" s="3" t="s">
        <v>21</v>
      </c>
      <c r="G111" s="3" t="s">
        <v>84</v>
      </c>
      <c r="H111" s="3" t="s">
        <v>11</v>
      </c>
      <c r="I111" s="3" t="s">
        <v>25</v>
      </c>
      <c r="J111" s="3" t="s">
        <v>41</v>
      </c>
      <c r="K111" s="3" t="s">
        <v>9</v>
      </c>
      <c r="L111" s="3" t="s">
        <v>43</v>
      </c>
      <c r="M111">
        <v>1</v>
      </c>
    </row>
    <row r="112" spans="1:13" x14ac:dyDescent="0.25">
      <c r="A112" s="2">
        <v>46181</v>
      </c>
      <c r="B112" s="1" t="str">
        <f ca="1">IF(Información1[[#This Row],[Fecha]]='Ajuste de fechas'!$A$2,"Día actual","Día anterior")</f>
        <v>Día actual</v>
      </c>
      <c r="C112" s="3" t="s">
        <v>53</v>
      </c>
      <c r="D112" t="s">
        <v>61</v>
      </c>
      <c r="E112" s="3" t="s">
        <v>231</v>
      </c>
      <c r="F112" s="3" t="s">
        <v>21</v>
      </c>
      <c r="G112" s="3" t="s">
        <v>84</v>
      </c>
      <c r="H112" s="3" t="s">
        <v>11</v>
      </c>
      <c r="I112" s="3" t="s">
        <v>25</v>
      </c>
      <c r="J112" s="3" t="s">
        <v>41</v>
      </c>
      <c r="K112" s="3" t="s">
        <v>9</v>
      </c>
      <c r="L112" s="3" t="s">
        <v>43</v>
      </c>
      <c r="M112">
        <v>1</v>
      </c>
    </row>
    <row r="113" spans="1:13" x14ac:dyDescent="0.25">
      <c r="A113" s="2">
        <v>46181</v>
      </c>
      <c r="B113" s="1" t="str">
        <f ca="1">IF(Información1[[#This Row],[Fecha]]='Ajuste de fechas'!$A$2,"Día actual","Día anterior")</f>
        <v>Día actual</v>
      </c>
      <c r="C113" s="3" t="s">
        <v>74</v>
      </c>
      <c r="D113" t="s">
        <v>75</v>
      </c>
      <c r="E113" s="3" t="s">
        <v>232</v>
      </c>
      <c r="F113" s="3" t="s">
        <v>24</v>
      </c>
      <c r="G113" s="3" t="s">
        <v>233</v>
      </c>
      <c r="H113" s="3" t="s">
        <v>11</v>
      </c>
      <c r="I113" s="3" t="s">
        <v>7</v>
      </c>
      <c r="J113" s="3" t="s">
        <v>24</v>
      </c>
      <c r="K113" s="3" t="s">
        <v>76</v>
      </c>
      <c r="L113" s="3" t="s">
        <v>42</v>
      </c>
      <c r="M113">
        <v>1</v>
      </c>
    </row>
    <row r="114" spans="1:13" x14ac:dyDescent="0.25">
      <c r="A114" s="2">
        <v>46181</v>
      </c>
      <c r="B114" s="1" t="str">
        <f ca="1">IF(Información1[[#This Row],[Fecha]]='Ajuste de fechas'!$A$2,"Día actual","Día anterior")</f>
        <v>Día actual</v>
      </c>
      <c r="C114" s="3" t="s">
        <v>74</v>
      </c>
      <c r="D114" t="s">
        <v>75</v>
      </c>
      <c r="E114" s="3" t="s">
        <v>234</v>
      </c>
      <c r="F114" s="3" t="s">
        <v>24</v>
      </c>
      <c r="G114" s="3" t="s">
        <v>235</v>
      </c>
      <c r="H114" s="3" t="s">
        <v>11</v>
      </c>
      <c r="I114" s="3" t="s">
        <v>7</v>
      </c>
      <c r="J114" s="3" t="s">
        <v>24</v>
      </c>
      <c r="K114" s="3" t="s">
        <v>76</v>
      </c>
      <c r="L114" s="3" t="s">
        <v>42</v>
      </c>
      <c r="M114">
        <v>1</v>
      </c>
    </row>
    <row r="115" spans="1:13" x14ac:dyDescent="0.25">
      <c r="A115" s="2">
        <v>46181</v>
      </c>
      <c r="B115" s="1" t="str">
        <f ca="1">IF(Información1[[#This Row],[Fecha]]='Ajuste de fechas'!$A$2,"Día actual","Día anterior")</f>
        <v>Día actual</v>
      </c>
      <c r="C115" s="3" t="s">
        <v>74</v>
      </c>
      <c r="D115" t="s">
        <v>75</v>
      </c>
      <c r="E115" s="3" t="s">
        <v>236</v>
      </c>
      <c r="F115" s="3" t="s">
        <v>237</v>
      </c>
      <c r="G115" s="3" t="s">
        <v>238</v>
      </c>
      <c r="H115" s="3" t="s">
        <v>11</v>
      </c>
      <c r="I115" s="3" t="s">
        <v>7</v>
      </c>
      <c r="J115" s="3" t="s">
        <v>24</v>
      </c>
      <c r="K115" s="3" t="s">
        <v>76</v>
      </c>
      <c r="L115" s="3" t="s">
        <v>42</v>
      </c>
      <c r="M115">
        <v>1</v>
      </c>
    </row>
    <row r="116" spans="1:13" x14ac:dyDescent="0.25">
      <c r="A116" s="2">
        <v>46181</v>
      </c>
      <c r="B116" s="1" t="str">
        <f ca="1">IF(Información1[[#This Row],[Fecha]]='Ajuste de fechas'!$A$2,"Día actual","Día anterior")</f>
        <v>Día actual</v>
      </c>
      <c r="C116" s="3" t="s">
        <v>74</v>
      </c>
      <c r="D116" t="s">
        <v>75</v>
      </c>
      <c r="E116" s="3" t="s">
        <v>239</v>
      </c>
      <c r="F116" s="3" t="s">
        <v>26</v>
      </c>
      <c r="G116" s="3" t="s">
        <v>240</v>
      </c>
      <c r="H116" s="3" t="s">
        <v>11</v>
      </c>
      <c r="I116" s="3" t="s">
        <v>7</v>
      </c>
      <c r="J116" s="3" t="s">
        <v>41</v>
      </c>
      <c r="K116" s="3" t="s">
        <v>76</v>
      </c>
      <c r="L116" s="3" t="s">
        <v>42</v>
      </c>
      <c r="M116">
        <v>1</v>
      </c>
    </row>
    <row r="117" spans="1:13" x14ac:dyDescent="0.25">
      <c r="A117" s="2">
        <v>46181</v>
      </c>
      <c r="B117" s="1" t="str">
        <f ca="1">IF(Información1[[#This Row],[Fecha]]='Ajuste de fechas'!$A$2,"Día actual","Día anterior")</f>
        <v>Día actual</v>
      </c>
      <c r="C117" s="3" t="s">
        <v>74</v>
      </c>
      <c r="D117" t="s">
        <v>75</v>
      </c>
      <c r="E117" s="3" t="s">
        <v>241</v>
      </c>
      <c r="F117" s="3" t="s">
        <v>21</v>
      </c>
      <c r="G117" s="3" t="s">
        <v>242</v>
      </c>
      <c r="H117" s="3" t="s">
        <v>11</v>
      </c>
      <c r="I117" s="3" t="s">
        <v>7</v>
      </c>
      <c r="J117" s="3" t="s">
        <v>41</v>
      </c>
      <c r="K117" s="3" t="s">
        <v>76</v>
      </c>
      <c r="L117" s="3" t="s">
        <v>44</v>
      </c>
      <c r="M117">
        <v>1</v>
      </c>
    </row>
    <row r="118" spans="1:13" x14ac:dyDescent="0.25">
      <c r="A118" s="2">
        <v>46181</v>
      </c>
      <c r="B118" s="1" t="str">
        <f ca="1">IF(Información1[[#This Row],[Fecha]]='Ajuste de fechas'!$A$2,"Día actual","Día anterior")</f>
        <v>Día actual</v>
      </c>
      <c r="C118" s="3" t="s">
        <v>74</v>
      </c>
      <c r="D118" t="s">
        <v>75</v>
      </c>
      <c r="E118" s="3" t="s">
        <v>243</v>
      </c>
      <c r="F118" s="3" t="s">
        <v>21</v>
      </c>
      <c r="G118" s="3" t="s">
        <v>244</v>
      </c>
      <c r="H118" s="3" t="s">
        <v>11</v>
      </c>
      <c r="I118" s="3" t="s">
        <v>7</v>
      </c>
      <c r="J118" s="3" t="s">
        <v>41</v>
      </c>
      <c r="K118" s="3" t="s">
        <v>76</v>
      </c>
      <c r="L118" s="3" t="s">
        <v>44</v>
      </c>
      <c r="M118">
        <v>1</v>
      </c>
    </row>
    <row r="119" spans="1:13" x14ac:dyDescent="0.25">
      <c r="A119" s="2">
        <v>46181</v>
      </c>
      <c r="B119" s="1" t="str">
        <f ca="1">IF(Información1[[#This Row],[Fecha]]='Ajuste de fechas'!$A$2,"Día actual","Día anterior")</f>
        <v>Día actual</v>
      </c>
      <c r="C119" s="3" t="s">
        <v>74</v>
      </c>
      <c r="D119" t="s">
        <v>75</v>
      </c>
      <c r="E119" s="3" t="s">
        <v>245</v>
      </c>
      <c r="F119" s="3" t="s">
        <v>26</v>
      </c>
      <c r="G119" s="3" t="s">
        <v>246</v>
      </c>
      <c r="H119" s="3" t="s">
        <v>11</v>
      </c>
      <c r="I119" s="3" t="s">
        <v>7</v>
      </c>
      <c r="J119" s="3" t="s">
        <v>41</v>
      </c>
      <c r="K119" s="3" t="s">
        <v>76</v>
      </c>
      <c r="L119" s="3" t="s">
        <v>44</v>
      </c>
      <c r="M119">
        <v>1</v>
      </c>
    </row>
    <row r="120" spans="1:13" x14ac:dyDescent="0.25">
      <c r="A120" s="2">
        <v>46181</v>
      </c>
      <c r="B120" s="1" t="str">
        <f ca="1">IF(Información1[[#This Row],[Fecha]]='Ajuste de fechas'!$A$2,"Día actual","Día anterior")</f>
        <v>Día actual</v>
      </c>
      <c r="C120" s="3" t="s">
        <v>74</v>
      </c>
      <c r="D120" t="s">
        <v>75</v>
      </c>
      <c r="E120" s="3" t="s">
        <v>247</v>
      </c>
      <c r="F120" s="3" t="s">
        <v>26</v>
      </c>
      <c r="G120" s="3" t="s">
        <v>248</v>
      </c>
      <c r="H120" s="3" t="s">
        <v>11</v>
      </c>
      <c r="I120" s="3" t="s">
        <v>7</v>
      </c>
      <c r="J120" s="3" t="s">
        <v>41</v>
      </c>
      <c r="K120" s="3" t="s">
        <v>76</v>
      </c>
      <c r="L120" s="3" t="s">
        <v>44</v>
      </c>
      <c r="M120">
        <v>1</v>
      </c>
    </row>
    <row r="121" spans="1:13" x14ac:dyDescent="0.25">
      <c r="A121" s="2">
        <v>46181</v>
      </c>
      <c r="B121" s="1" t="str">
        <f ca="1">IF(Información1[[#This Row],[Fecha]]='Ajuste de fechas'!$A$2,"Día actual","Día anterior")</f>
        <v>Día actual</v>
      </c>
      <c r="C121" s="3" t="s">
        <v>53</v>
      </c>
      <c r="D121" t="s">
        <v>55</v>
      </c>
      <c r="E121" s="3" t="s">
        <v>249</v>
      </c>
      <c r="F121" s="3" t="s">
        <v>19</v>
      </c>
      <c r="G121" s="3" t="s">
        <v>56</v>
      </c>
      <c r="H121" s="3" t="s">
        <v>11</v>
      </c>
      <c r="I121" s="3" t="s">
        <v>7</v>
      </c>
      <c r="J121" s="3" t="s">
        <v>45</v>
      </c>
      <c r="K121" s="3" t="s">
        <v>54</v>
      </c>
      <c r="L121" s="3" t="s">
        <v>42</v>
      </c>
      <c r="M121">
        <v>1</v>
      </c>
    </row>
    <row r="122" spans="1:13" x14ac:dyDescent="0.25">
      <c r="A122" s="2">
        <v>46181</v>
      </c>
      <c r="B122" s="1" t="str">
        <f ca="1">IF(Información1[[#This Row],[Fecha]]='Ajuste de fechas'!$A$2,"Día actual","Día anterior")</f>
        <v>Día actual</v>
      </c>
      <c r="C122" s="3" t="s">
        <v>53</v>
      </c>
      <c r="D122" t="s">
        <v>55</v>
      </c>
      <c r="E122" s="3" t="s">
        <v>250</v>
      </c>
      <c r="F122" s="3" t="s">
        <v>26</v>
      </c>
      <c r="G122" s="3" t="s">
        <v>251</v>
      </c>
      <c r="H122" s="3" t="s">
        <v>11</v>
      </c>
      <c r="I122" s="3" t="s">
        <v>7</v>
      </c>
      <c r="J122" s="3" t="s">
        <v>41</v>
      </c>
      <c r="K122" s="3" t="s">
        <v>52</v>
      </c>
      <c r="L122" s="3" t="s">
        <v>42</v>
      </c>
      <c r="M122">
        <v>1</v>
      </c>
    </row>
    <row r="123" spans="1:13" x14ac:dyDescent="0.25">
      <c r="A123" s="2">
        <v>46181</v>
      </c>
      <c r="B123" s="1" t="str">
        <f ca="1">IF(Información1[[#This Row],[Fecha]]='Ajuste de fechas'!$A$2,"Día actual","Día anterior")</f>
        <v>Día actual</v>
      </c>
      <c r="C123" s="3" t="s">
        <v>53</v>
      </c>
      <c r="D123" t="s">
        <v>55</v>
      </c>
      <c r="E123" s="3" t="s">
        <v>252</v>
      </c>
      <c r="F123" s="3" t="s">
        <v>88</v>
      </c>
      <c r="G123" s="3" t="s">
        <v>56</v>
      </c>
      <c r="H123" s="3" t="s">
        <v>11</v>
      </c>
      <c r="I123" s="3" t="s">
        <v>12</v>
      </c>
      <c r="J123" s="3" t="s">
        <v>41</v>
      </c>
      <c r="K123" s="3" t="s">
        <v>52</v>
      </c>
      <c r="L123" s="3" t="s">
        <v>42</v>
      </c>
      <c r="M123">
        <v>1</v>
      </c>
    </row>
    <row r="124" spans="1:13" x14ac:dyDescent="0.25">
      <c r="A124" s="2">
        <v>46181</v>
      </c>
      <c r="B124" s="1" t="str">
        <f ca="1">IF(Información1[[#This Row],[Fecha]]='Ajuste de fechas'!$A$2,"Día actual","Día anterior")</f>
        <v>Día actual</v>
      </c>
      <c r="C124" s="3" t="s">
        <v>53</v>
      </c>
      <c r="D124" t="s">
        <v>55</v>
      </c>
      <c r="E124" s="3" t="s">
        <v>253</v>
      </c>
      <c r="F124" s="3" t="s">
        <v>88</v>
      </c>
      <c r="G124" s="3" t="s">
        <v>56</v>
      </c>
      <c r="H124" s="3" t="s">
        <v>11</v>
      </c>
      <c r="I124" s="3" t="s">
        <v>12</v>
      </c>
      <c r="J124" s="3" t="s">
        <v>41</v>
      </c>
      <c r="K124" s="3" t="s">
        <v>52</v>
      </c>
      <c r="L124" s="3" t="s">
        <v>42</v>
      </c>
      <c r="M124">
        <v>1</v>
      </c>
    </row>
    <row r="125" spans="1:13" x14ac:dyDescent="0.25">
      <c r="A125" s="2">
        <v>46181</v>
      </c>
      <c r="B125" s="1" t="str">
        <f ca="1">IF(Información1[[#This Row],[Fecha]]='Ajuste de fechas'!$A$2,"Día actual","Día anterior")</f>
        <v>Día actual</v>
      </c>
      <c r="C125" s="3" t="s">
        <v>53</v>
      </c>
      <c r="D125" t="s">
        <v>55</v>
      </c>
      <c r="E125" s="3" t="s">
        <v>254</v>
      </c>
      <c r="F125" s="3" t="s">
        <v>88</v>
      </c>
      <c r="G125" s="3" t="s">
        <v>56</v>
      </c>
      <c r="H125" s="3" t="s">
        <v>11</v>
      </c>
      <c r="I125" s="3" t="s">
        <v>7</v>
      </c>
      <c r="J125" s="3" t="s">
        <v>41</v>
      </c>
      <c r="K125" s="3" t="s">
        <v>52</v>
      </c>
      <c r="L125" s="3" t="s">
        <v>42</v>
      </c>
      <c r="M125">
        <v>1</v>
      </c>
    </row>
    <row r="126" spans="1:13" x14ac:dyDescent="0.25">
      <c r="A126" s="2">
        <v>46181</v>
      </c>
      <c r="B126" s="1" t="str">
        <f ca="1">IF(Información1[[#This Row],[Fecha]]='Ajuste de fechas'!$A$2,"Día actual","Día anterior")</f>
        <v>Día actual</v>
      </c>
      <c r="C126" s="3" t="s">
        <v>53</v>
      </c>
      <c r="D126" t="s">
        <v>55</v>
      </c>
      <c r="E126" s="3" t="s">
        <v>255</v>
      </c>
      <c r="F126" s="3" t="s">
        <v>256</v>
      </c>
      <c r="G126" s="3" t="s">
        <v>56</v>
      </c>
      <c r="H126" s="3" t="s">
        <v>11</v>
      </c>
      <c r="I126" s="3" t="s">
        <v>12</v>
      </c>
      <c r="J126" s="3" t="s">
        <v>41</v>
      </c>
      <c r="K126" s="3" t="s">
        <v>54</v>
      </c>
      <c r="L126" s="3" t="s">
        <v>43</v>
      </c>
      <c r="M126">
        <v>1</v>
      </c>
    </row>
    <row r="127" spans="1:13" x14ac:dyDescent="0.25">
      <c r="A127" s="2">
        <v>46181</v>
      </c>
      <c r="B127" s="1" t="str">
        <f ca="1">IF(Información1[[#This Row],[Fecha]]='Ajuste de fechas'!$A$2,"Día actual","Día anterior")</f>
        <v>Día actual</v>
      </c>
      <c r="C127" s="3" t="s">
        <v>53</v>
      </c>
      <c r="D127" t="s">
        <v>55</v>
      </c>
      <c r="E127" s="3" t="s">
        <v>249</v>
      </c>
      <c r="F127" s="3" t="s">
        <v>257</v>
      </c>
      <c r="G127" s="3" t="s">
        <v>56</v>
      </c>
      <c r="H127" s="3" t="s">
        <v>11</v>
      </c>
      <c r="I127" s="3" t="s">
        <v>7</v>
      </c>
      <c r="J127" s="3" t="s">
        <v>41</v>
      </c>
      <c r="K127" s="3" t="s">
        <v>54</v>
      </c>
      <c r="L127" s="3" t="s">
        <v>42</v>
      </c>
      <c r="M127">
        <v>1</v>
      </c>
    </row>
    <row r="128" spans="1:13" x14ac:dyDescent="0.25">
      <c r="A128" s="2">
        <v>46181</v>
      </c>
      <c r="B128" s="1" t="str">
        <f ca="1">IF(Información1[[#This Row],[Fecha]]='Ajuste de fechas'!$A$2,"Día actual","Día anterior")</f>
        <v>Día actual</v>
      </c>
      <c r="C128" s="3" t="s">
        <v>53</v>
      </c>
      <c r="D128" t="s">
        <v>55</v>
      </c>
      <c r="E128" s="3" t="s">
        <v>258</v>
      </c>
      <c r="F128" s="3" t="s">
        <v>51</v>
      </c>
      <c r="G128" s="3" t="s">
        <v>259</v>
      </c>
      <c r="H128" s="3" t="s">
        <v>11</v>
      </c>
      <c r="I128" s="3" t="s">
        <v>7</v>
      </c>
      <c r="J128" s="3" t="s">
        <v>41</v>
      </c>
      <c r="K128" s="3" t="s">
        <v>54</v>
      </c>
      <c r="L128" s="3" t="s">
        <v>42</v>
      </c>
      <c r="M128">
        <v>1</v>
      </c>
    </row>
    <row r="129" spans="1:13" x14ac:dyDescent="0.25">
      <c r="A129" s="2">
        <v>46181</v>
      </c>
      <c r="B129" s="1" t="str">
        <f ca="1">IF(Información1[[#This Row],[Fecha]]='Ajuste de fechas'!$A$2,"Día actual","Día anterior")</f>
        <v>Día actual</v>
      </c>
      <c r="C129" s="3" t="s">
        <v>53</v>
      </c>
      <c r="D129" t="s">
        <v>55</v>
      </c>
      <c r="E129" s="3" t="s">
        <v>260</v>
      </c>
      <c r="F129" s="3" t="s">
        <v>51</v>
      </c>
      <c r="G129" s="3" t="s">
        <v>261</v>
      </c>
      <c r="H129" s="3" t="s">
        <v>11</v>
      </c>
      <c r="I129" s="3" t="s">
        <v>7</v>
      </c>
      <c r="J129" s="3" t="s">
        <v>41</v>
      </c>
      <c r="K129" s="3" t="s">
        <v>54</v>
      </c>
      <c r="L129" s="3" t="s">
        <v>42</v>
      </c>
      <c r="M129">
        <v>1</v>
      </c>
    </row>
    <row r="130" spans="1:13" x14ac:dyDescent="0.25">
      <c r="A130" s="2">
        <v>46181</v>
      </c>
      <c r="B130" s="1" t="str">
        <f ca="1">IF(Información1[[#This Row],[Fecha]]='Ajuste de fechas'!$A$2,"Día actual","Día anterior")</f>
        <v>Día actual</v>
      </c>
      <c r="C130" s="3" t="s">
        <v>28</v>
      </c>
      <c r="D130" t="s">
        <v>78</v>
      </c>
      <c r="E130" s="3" t="s">
        <v>262</v>
      </c>
      <c r="F130" s="3" t="s">
        <v>19</v>
      </c>
      <c r="G130" s="3" t="s">
        <v>263</v>
      </c>
      <c r="H130" s="3" t="s">
        <v>11</v>
      </c>
      <c r="I130" s="3" t="s">
        <v>25</v>
      </c>
      <c r="J130" s="3" t="s">
        <v>45</v>
      </c>
      <c r="K130" s="3" t="s">
        <v>79</v>
      </c>
      <c r="L130" s="3" t="s">
        <v>42</v>
      </c>
      <c r="M130">
        <v>1</v>
      </c>
    </row>
    <row r="131" spans="1:13" x14ac:dyDescent="0.25">
      <c r="A131" s="2">
        <v>46181</v>
      </c>
      <c r="B131" s="1" t="str">
        <f ca="1">IF(Información1[[#This Row],[Fecha]]='Ajuste de fechas'!$A$2,"Día actual","Día anterior")</f>
        <v>Día actual</v>
      </c>
      <c r="C131" s="3" t="s">
        <v>28</v>
      </c>
      <c r="D131" t="s">
        <v>78</v>
      </c>
      <c r="E131" s="3" t="s">
        <v>264</v>
      </c>
      <c r="F131" s="3" t="s">
        <v>23</v>
      </c>
      <c r="G131" s="3" t="s">
        <v>263</v>
      </c>
      <c r="H131" s="3" t="s">
        <v>11</v>
      </c>
      <c r="I131" s="3" t="s">
        <v>25</v>
      </c>
      <c r="J131" s="3" t="s">
        <v>41</v>
      </c>
      <c r="K131" s="3" t="s">
        <v>79</v>
      </c>
      <c r="L131" s="3" t="s">
        <v>42</v>
      </c>
      <c r="M131">
        <v>1</v>
      </c>
    </row>
    <row r="132" spans="1:13" x14ac:dyDescent="0.25">
      <c r="A132" s="2">
        <v>46181</v>
      </c>
      <c r="B132" s="1" t="str">
        <f ca="1">IF(Información1[[#This Row],[Fecha]]='Ajuste de fechas'!$A$2,"Día actual","Día anterior")</f>
        <v>Día actual</v>
      </c>
      <c r="C132" s="3" t="s">
        <v>28</v>
      </c>
      <c r="D132" t="s">
        <v>78</v>
      </c>
      <c r="E132" s="3" t="s">
        <v>265</v>
      </c>
      <c r="F132" s="3" t="s">
        <v>22</v>
      </c>
      <c r="G132" s="3" t="s">
        <v>122</v>
      </c>
      <c r="H132" s="3" t="s">
        <v>11</v>
      </c>
      <c r="I132" s="3" t="s">
        <v>25</v>
      </c>
      <c r="J132" s="3" t="s">
        <v>46</v>
      </c>
      <c r="K132" s="3" t="s">
        <v>79</v>
      </c>
      <c r="L132" s="3" t="s">
        <v>42</v>
      </c>
      <c r="M132">
        <v>1</v>
      </c>
    </row>
    <row r="133" spans="1:13" x14ac:dyDescent="0.25">
      <c r="A133" s="2">
        <v>46181</v>
      </c>
      <c r="B133" s="1" t="str">
        <f ca="1">IF(Información1[[#This Row],[Fecha]]='Ajuste de fechas'!$A$2,"Día actual","Día anterior")</f>
        <v>Día actual</v>
      </c>
      <c r="C133" s="3" t="s">
        <v>28</v>
      </c>
      <c r="D133" t="s">
        <v>78</v>
      </c>
      <c r="E133" s="3" t="s">
        <v>266</v>
      </c>
      <c r="F133" s="3" t="s">
        <v>257</v>
      </c>
      <c r="G133" s="3" t="s">
        <v>267</v>
      </c>
      <c r="H133" s="3" t="s">
        <v>11</v>
      </c>
      <c r="I133" s="3" t="s">
        <v>7</v>
      </c>
      <c r="J133" s="3" t="s">
        <v>41</v>
      </c>
      <c r="K133" s="3" t="s">
        <v>79</v>
      </c>
      <c r="L133" s="3" t="s">
        <v>42</v>
      </c>
      <c r="M133">
        <v>1</v>
      </c>
    </row>
    <row r="134" spans="1:13" x14ac:dyDescent="0.25">
      <c r="A134" s="2">
        <v>46181</v>
      </c>
      <c r="B134" s="1" t="str">
        <f ca="1">IF(Información1[[#This Row],[Fecha]]='Ajuste de fechas'!$A$2,"Día actual","Día anterior")</f>
        <v>Día actual</v>
      </c>
      <c r="C134" s="3" t="s">
        <v>28</v>
      </c>
      <c r="D134" t="s">
        <v>78</v>
      </c>
      <c r="E134" s="3" t="s">
        <v>268</v>
      </c>
      <c r="F134" s="3" t="s">
        <v>51</v>
      </c>
      <c r="G134" s="3" t="s">
        <v>269</v>
      </c>
      <c r="H134" s="3" t="s">
        <v>11</v>
      </c>
      <c r="I134" s="3" t="s">
        <v>7</v>
      </c>
      <c r="J134" s="3" t="s">
        <v>41</v>
      </c>
      <c r="K134" s="3" t="s">
        <v>79</v>
      </c>
      <c r="L134" s="3" t="s">
        <v>42</v>
      </c>
      <c r="M134">
        <v>1</v>
      </c>
    </row>
    <row r="135" spans="1:13" x14ac:dyDescent="0.25">
      <c r="A135" s="2">
        <v>46181</v>
      </c>
      <c r="B135" s="1" t="str">
        <f ca="1">IF(Información1[[#This Row],[Fecha]]='Ajuste de fechas'!$A$2,"Día actual","Día anterior")</f>
        <v>Día actual</v>
      </c>
      <c r="C135" s="3" t="s">
        <v>28</v>
      </c>
      <c r="D135" t="s">
        <v>78</v>
      </c>
      <c r="E135" s="3" t="s">
        <v>270</v>
      </c>
      <c r="F135" s="3" t="s">
        <v>19</v>
      </c>
      <c r="G135" s="3" t="s">
        <v>271</v>
      </c>
      <c r="H135" s="3" t="s">
        <v>11</v>
      </c>
      <c r="I135" s="3" t="s">
        <v>7</v>
      </c>
      <c r="J135" s="3" t="s">
        <v>45</v>
      </c>
      <c r="K135" s="3" t="s">
        <v>79</v>
      </c>
      <c r="L135" s="3" t="s">
        <v>42</v>
      </c>
      <c r="M135">
        <v>1</v>
      </c>
    </row>
    <row r="136" spans="1:13" x14ac:dyDescent="0.25">
      <c r="A136" s="2">
        <v>46181</v>
      </c>
      <c r="B136" s="1" t="str">
        <f ca="1">IF(Información1[[#This Row],[Fecha]]='Ajuste de fechas'!$A$2,"Día actual","Día anterior")</f>
        <v>Día actual</v>
      </c>
      <c r="C136" s="3" t="s">
        <v>28</v>
      </c>
      <c r="D136" t="s">
        <v>78</v>
      </c>
      <c r="E136" s="3" t="s">
        <v>272</v>
      </c>
      <c r="F136" s="3" t="s">
        <v>19</v>
      </c>
      <c r="G136" s="3" t="s">
        <v>273</v>
      </c>
      <c r="H136" s="3" t="s">
        <v>11</v>
      </c>
      <c r="I136" s="3" t="s">
        <v>7</v>
      </c>
      <c r="J136" s="3" t="s">
        <v>45</v>
      </c>
      <c r="K136" s="3" t="s">
        <v>79</v>
      </c>
      <c r="L136" s="3" t="s">
        <v>42</v>
      </c>
      <c r="M136">
        <v>1</v>
      </c>
    </row>
    <row r="137" spans="1:13" x14ac:dyDescent="0.25">
      <c r="A137" s="2">
        <v>46181</v>
      </c>
      <c r="B137" s="1" t="str">
        <f ca="1">IF(Información1[[#This Row],[Fecha]]='Ajuste de fechas'!$A$2,"Día actual","Día anterior")</f>
        <v>Día actual</v>
      </c>
      <c r="C137" s="3" t="s">
        <v>28</v>
      </c>
      <c r="D137" t="s">
        <v>78</v>
      </c>
      <c r="E137" s="3" t="s">
        <v>274</v>
      </c>
      <c r="F137" s="3" t="s">
        <v>88</v>
      </c>
      <c r="G137" s="3" t="s">
        <v>251</v>
      </c>
      <c r="H137" s="3" t="s">
        <v>11</v>
      </c>
      <c r="I137" s="3" t="s">
        <v>7</v>
      </c>
      <c r="J137" s="3" t="s">
        <v>41</v>
      </c>
      <c r="K137" s="3" t="s">
        <v>79</v>
      </c>
      <c r="L137" s="3" t="s">
        <v>42</v>
      </c>
      <c r="M137">
        <v>1</v>
      </c>
    </row>
    <row r="138" spans="1:13" x14ac:dyDescent="0.25">
      <c r="A138" s="2">
        <v>46181</v>
      </c>
      <c r="B138" s="1" t="str">
        <f ca="1">IF(Información1[[#This Row],[Fecha]]='Ajuste de fechas'!$A$2,"Día actual","Día anterior")</f>
        <v>Día actual</v>
      </c>
      <c r="C138" s="3" t="s">
        <v>28</v>
      </c>
      <c r="D138" t="s">
        <v>78</v>
      </c>
      <c r="E138" s="3" t="s">
        <v>275</v>
      </c>
      <c r="F138" s="3" t="s">
        <v>21</v>
      </c>
      <c r="G138" s="3" t="s">
        <v>251</v>
      </c>
      <c r="H138" s="3" t="s">
        <v>11</v>
      </c>
      <c r="I138" s="3" t="s">
        <v>7</v>
      </c>
      <c r="J138" s="3" t="s">
        <v>41</v>
      </c>
      <c r="K138" s="3" t="s">
        <v>79</v>
      </c>
      <c r="L138" s="3" t="s">
        <v>42</v>
      </c>
      <c r="M138">
        <v>1</v>
      </c>
    </row>
    <row r="139" spans="1:13" x14ac:dyDescent="0.25">
      <c r="A139" s="2">
        <v>46181</v>
      </c>
      <c r="B139" s="1" t="str">
        <f ca="1">IF(Información1[[#This Row],[Fecha]]='Ajuste de fechas'!$A$2,"Día actual","Día anterior")</f>
        <v>Día actual</v>
      </c>
      <c r="C139" s="3" t="s">
        <v>28</v>
      </c>
      <c r="D139" t="s">
        <v>78</v>
      </c>
      <c r="E139" s="3" t="s">
        <v>276</v>
      </c>
      <c r="F139" s="3" t="s">
        <v>257</v>
      </c>
      <c r="G139" s="3" t="s">
        <v>251</v>
      </c>
      <c r="H139" s="3" t="s">
        <v>11</v>
      </c>
      <c r="I139" s="3" t="s">
        <v>7</v>
      </c>
      <c r="J139" s="3" t="s">
        <v>41</v>
      </c>
      <c r="K139" s="3" t="s">
        <v>79</v>
      </c>
      <c r="L139" s="3" t="s">
        <v>42</v>
      </c>
      <c r="M139">
        <v>1</v>
      </c>
    </row>
    <row r="140" spans="1:13" x14ac:dyDescent="0.25">
      <c r="A140" s="2">
        <v>46181</v>
      </c>
      <c r="B140" s="1" t="str">
        <f ca="1">IF(Información1[[#This Row],[Fecha]]='Ajuste de fechas'!$A$2,"Día actual","Día anterior")</f>
        <v>Día actual</v>
      </c>
      <c r="C140" s="3" t="s">
        <v>28</v>
      </c>
      <c r="D140" t="s">
        <v>78</v>
      </c>
      <c r="E140" s="3" t="s">
        <v>277</v>
      </c>
      <c r="F140" s="3" t="s">
        <v>22</v>
      </c>
      <c r="G140" s="3" t="s">
        <v>56</v>
      </c>
      <c r="H140" s="3" t="s">
        <v>11</v>
      </c>
      <c r="I140" s="3" t="s">
        <v>7</v>
      </c>
      <c r="J140" s="3" t="s">
        <v>46</v>
      </c>
      <c r="K140" s="3" t="s">
        <v>79</v>
      </c>
      <c r="L140" s="3" t="s">
        <v>42</v>
      </c>
      <c r="M140">
        <v>1</v>
      </c>
    </row>
    <row r="141" spans="1:13" x14ac:dyDescent="0.25">
      <c r="A141" s="2">
        <v>46181</v>
      </c>
      <c r="B141" s="1" t="str">
        <f ca="1">IF(Información1[[#This Row],[Fecha]]='Ajuste de fechas'!$A$2,"Día actual","Día anterior")</f>
        <v>Día actual</v>
      </c>
      <c r="C141" s="3" t="s">
        <v>28</v>
      </c>
      <c r="D141" t="s">
        <v>78</v>
      </c>
      <c r="E141" s="3" t="s">
        <v>278</v>
      </c>
      <c r="F141" s="3" t="s">
        <v>19</v>
      </c>
      <c r="G141" s="3" t="s">
        <v>279</v>
      </c>
      <c r="H141" s="3" t="s">
        <v>11</v>
      </c>
      <c r="I141" s="3" t="s">
        <v>7</v>
      </c>
      <c r="J141" s="3" t="s">
        <v>45</v>
      </c>
      <c r="K141" s="3" t="s">
        <v>79</v>
      </c>
      <c r="L141" s="3" t="s">
        <v>42</v>
      </c>
      <c r="M141">
        <v>1</v>
      </c>
    </row>
    <row r="142" spans="1:13" x14ac:dyDescent="0.25">
      <c r="A142" s="2">
        <v>46181</v>
      </c>
      <c r="B142" s="1" t="str">
        <f ca="1">IF(Información1[[#This Row],[Fecha]]='Ajuste de fechas'!$A$2,"Día actual","Día anterior")</f>
        <v>Día actual</v>
      </c>
      <c r="C142" s="3" t="s">
        <v>28</v>
      </c>
      <c r="D142" t="s">
        <v>78</v>
      </c>
      <c r="E142" s="3" t="s">
        <v>280</v>
      </c>
      <c r="F142" s="3" t="s">
        <v>24</v>
      </c>
      <c r="G142" s="3" t="s">
        <v>279</v>
      </c>
      <c r="H142" s="3" t="s">
        <v>11</v>
      </c>
      <c r="I142" s="3" t="s">
        <v>7</v>
      </c>
      <c r="J142" s="3" t="s">
        <v>24</v>
      </c>
      <c r="K142" s="3" t="s">
        <v>79</v>
      </c>
      <c r="L142" s="3" t="s">
        <v>42</v>
      </c>
      <c r="M142">
        <v>1</v>
      </c>
    </row>
    <row r="143" spans="1:13" x14ac:dyDescent="0.25">
      <c r="A143" s="2">
        <v>46181</v>
      </c>
      <c r="B143" s="1" t="str">
        <f ca="1">IF(Información1[[#This Row],[Fecha]]='Ajuste de fechas'!$A$2,"Día actual","Día anterior")</f>
        <v>Día actual</v>
      </c>
      <c r="C143" s="3" t="s">
        <v>28</v>
      </c>
      <c r="D143" t="s">
        <v>78</v>
      </c>
      <c r="E143" s="3" t="s">
        <v>281</v>
      </c>
      <c r="F143" s="3" t="s">
        <v>88</v>
      </c>
      <c r="G143" s="3" t="s">
        <v>279</v>
      </c>
      <c r="H143" s="3" t="s">
        <v>11</v>
      </c>
      <c r="I143" s="3" t="s">
        <v>7</v>
      </c>
      <c r="J143" s="3" t="s">
        <v>41</v>
      </c>
      <c r="K143" s="3" t="s">
        <v>79</v>
      </c>
      <c r="L143" s="3" t="s">
        <v>44</v>
      </c>
      <c r="M143">
        <v>1</v>
      </c>
    </row>
    <row r="144" spans="1:13" x14ac:dyDescent="0.25">
      <c r="A144" s="2">
        <v>46181</v>
      </c>
      <c r="B144" s="1" t="str">
        <f ca="1">IF(Información1[[#This Row],[Fecha]]='Ajuste de fechas'!$A$2,"Día actual","Día anterior")</f>
        <v>Día actual</v>
      </c>
      <c r="C144" s="3" t="s">
        <v>8</v>
      </c>
      <c r="D144" t="s">
        <v>10</v>
      </c>
      <c r="E144" s="3" t="s">
        <v>282</v>
      </c>
      <c r="F144" s="3" t="s">
        <v>19</v>
      </c>
      <c r="G144" s="3" t="s">
        <v>283</v>
      </c>
      <c r="H144" s="3" t="s">
        <v>11</v>
      </c>
      <c r="I144" s="3" t="s">
        <v>25</v>
      </c>
      <c r="J144" s="3" t="s">
        <v>45</v>
      </c>
      <c r="K144" s="3" t="s">
        <v>9</v>
      </c>
      <c r="L144" s="3" t="s">
        <v>43</v>
      </c>
      <c r="M144">
        <v>1</v>
      </c>
    </row>
    <row r="145" spans="1:13" x14ac:dyDescent="0.25">
      <c r="A145" s="2">
        <v>46181</v>
      </c>
      <c r="B145" s="1" t="str">
        <f ca="1">IF(Información1[[#This Row],[Fecha]]='Ajuste de fechas'!$A$2,"Día actual","Día anterior")</f>
        <v>Día actual</v>
      </c>
      <c r="C145" s="3" t="s">
        <v>8</v>
      </c>
      <c r="D145" t="s">
        <v>10</v>
      </c>
      <c r="E145" s="3" t="s">
        <v>284</v>
      </c>
      <c r="F145" s="3" t="s">
        <v>19</v>
      </c>
      <c r="G145" s="3" t="s">
        <v>188</v>
      </c>
      <c r="H145" s="3" t="s">
        <v>11</v>
      </c>
      <c r="I145" s="3" t="s">
        <v>25</v>
      </c>
      <c r="J145" s="3" t="s">
        <v>45</v>
      </c>
      <c r="K145" s="3" t="s">
        <v>9</v>
      </c>
      <c r="L145" s="3" t="s">
        <v>43</v>
      </c>
      <c r="M145">
        <v>1</v>
      </c>
    </row>
    <row r="146" spans="1:13" x14ac:dyDescent="0.25">
      <c r="A146" s="2">
        <v>46181</v>
      </c>
      <c r="B146" s="1" t="str">
        <f ca="1">IF(Información1[[#This Row],[Fecha]]='Ajuste de fechas'!$A$2,"Día actual","Día anterior")</f>
        <v>Día actual</v>
      </c>
      <c r="C146" s="3" t="s">
        <v>8</v>
      </c>
      <c r="D146" t="s">
        <v>10</v>
      </c>
      <c r="E146" s="3" t="s">
        <v>285</v>
      </c>
      <c r="F146" s="3" t="s">
        <v>19</v>
      </c>
      <c r="G146" s="3" t="s">
        <v>286</v>
      </c>
      <c r="H146" s="3" t="s">
        <v>11</v>
      </c>
      <c r="I146" s="3" t="s">
        <v>25</v>
      </c>
      <c r="J146" s="3" t="s">
        <v>45</v>
      </c>
      <c r="K146" s="3" t="s">
        <v>9</v>
      </c>
      <c r="L146" s="3" t="s">
        <v>43</v>
      </c>
      <c r="M146">
        <v>1</v>
      </c>
    </row>
    <row r="147" spans="1:13" x14ac:dyDescent="0.25">
      <c r="A147" s="2">
        <v>46181</v>
      </c>
      <c r="B147" s="1" t="str">
        <f ca="1">IF(Información1[[#This Row],[Fecha]]='Ajuste de fechas'!$A$2,"Día actual","Día anterior")</f>
        <v>Día actual</v>
      </c>
      <c r="C147" s="3" t="s">
        <v>8</v>
      </c>
      <c r="D147" t="s">
        <v>10</v>
      </c>
      <c r="E147" s="3" t="s">
        <v>287</v>
      </c>
      <c r="F147" s="3" t="s">
        <v>19</v>
      </c>
      <c r="G147" s="3" t="s">
        <v>286</v>
      </c>
      <c r="H147" s="3" t="s">
        <v>11</v>
      </c>
      <c r="I147" s="3" t="s">
        <v>25</v>
      </c>
      <c r="J147" s="3" t="s">
        <v>45</v>
      </c>
      <c r="K147" s="3" t="s">
        <v>9</v>
      </c>
      <c r="L147" s="3" t="s">
        <v>43</v>
      </c>
      <c r="M147">
        <v>1</v>
      </c>
    </row>
    <row r="148" spans="1:13" x14ac:dyDescent="0.25">
      <c r="A148" s="2">
        <v>46181</v>
      </c>
      <c r="B148" s="1" t="str">
        <f ca="1">IF(Información1[[#This Row],[Fecha]]='Ajuste de fechas'!$A$2,"Día actual","Día anterior")</f>
        <v>Día actual</v>
      </c>
      <c r="C148" s="3" t="s">
        <v>8</v>
      </c>
      <c r="D148" t="s">
        <v>10</v>
      </c>
      <c r="E148" s="3" t="s">
        <v>288</v>
      </c>
      <c r="F148" s="3" t="s">
        <v>19</v>
      </c>
      <c r="G148" s="3" t="s">
        <v>71</v>
      </c>
      <c r="H148" s="3" t="s">
        <v>11</v>
      </c>
      <c r="I148" s="3" t="s">
        <v>25</v>
      </c>
      <c r="J148" s="3" t="s">
        <v>45</v>
      </c>
      <c r="K148" s="3" t="s">
        <v>9</v>
      </c>
      <c r="L148" s="3" t="s">
        <v>43</v>
      </c>
      <c r="M148">
        <v>1</v>
      </c>
    </row>
    <row r="149" spans="1:13" x14ac:dyDescent="0.25">
      <c r="A149" s="2">
        <v>46181</v>
      </c>
      <c r="B149" s="1" t="str">
        <f ca="1">IF(Información1[[#This Row],[Fecha]]='Ajuste de fechas'!$A$2,"Día actual","Día anterior")</f>
        <v>Día actual</v>
      </c>
      <c r="C149" s="3" t="s">
        <v>8</v>
      </c>
      <c r="D149" t="s">
        <v>10</v>
      </c>
      <c r="E149" s="3" t="s">
        <v>289</v>
      </c>
      <c r="F149" s="3" t="s">
        <v>17</v>
      </c>
      <c r="G149" s="3" t="s">
        <v>290</v>
      </c>
      <c r="H149" s="3" t="s">
        <v>11</v>
      </c>
      <c r="I149" s="3" t="s">
        <v>25</v>
      </c>
      <c r="J149" s="3" t="s">
        <v>41</v>
      </c>
      <c r="K149" s="3" t="s">
        <v>9</v>
      </c>
      <c r="L149" s="3" t="s">
        <v>43</v>
      </c>
      <c r="M149">
        <v>1</v>
      </c>
    </row>
    <row r="150" spans="1:13" x14ac:dyDescent="0.25">
      <c r="A150" s="2">
        <v>46181</v>
      </c>
      <c r="B150" s="1" t="str">
        <f ca="1">IF(Información1[[#This Row],[Fecha]]='Ajuste de fechas'!$A$2,"Día actual","Día anterior")</f>
        <v>Día actual</v>
      </c>
      <c r="C150" s="3" t="s">
        <v>8</v>
      </c>
      <c r="D150" t="s">
        <v>10</v>
      </c>
      <c r="E150" s="3" t="s">
        <v>291</v>
      </c>
      <c r="F150" s="3" t="s">
        <v>17</v>
      </c>
      <c r="G150" s="3" t="s">
        <v>292</v>
      </c>
      <c r="H150" s="3" t="s">
        <v>11</v>
      </c>
      <c r="I150" s="3" t="s">
        <v>25</v>
      </c>
      <c r="J150" s="3" t="s">
        <v>41</v>
      </c>
      <c r="K150" s="3" t="s">
        <v>9</v>
      </c>
      <c r="L150" s="3" t="s">
        <v>43</v>
      </c>
      <c r="M150">
        <v>1</v>
      </c>
    </row>
    <row r="151" spans="1:13" x14ac:dyDescent="0.25">
      <c r="A151" s="2">
        <v>46181</v>
      </c>
      <c r="B151" s="1" t="str">
        <f ca="1">IF(Información1[[#This Row],[Fecha]]='Ajuste de fechas'!$A$2,"Día actual","Día anterior")</f>
        <v>Día actual</v>
      </c>
      <c r="C151" s="3" t="s">
        <v>8</v>
      </c>
      <c r="D151" t="s">
        <v>10</v>
      </c>
      <c r="E151" s="3" t="s">
        <v>293</v>
      </c>
      <c r="F151" s="3" t="s">
        <v>6</v>
      </c>
      <c r="G151" s="3" t="s">
        <v>94</v>
      </c>
      <c r="H151" s="3" t="s">
        <v>11</v>
      </c>
      <c r="I151" s="3" t="s">
        <v>25</v>
      </c>
      <c r="J151" s="3" t="s">
        <v>41</v>
      </c>
      <c r="K151" s="3" t="s">
        <v>9</v>
      </c>
      <c r="L151" s="3" t="s">
        <v>43</v>
      </c>
      <c r="M151">
        <v>1</v>
      </c>
    </row>
    <row r="152" spans="1:13" x14ac:dyDescent="0.25">
      <c r="A152" s="2">
        <v>46181</v>
      </c>
      <c r="B152" s="1" t="str">
        <f ca="1">IF(Información1[[#This Row],[Fecha]]='Ajuste de fechas'!$A$2,"Día actual","Día anterior")</f>
        <v>Día actual</v>
      </c>
      <c r="C152" s="3" t="s">
        <v>8</v>
      </c>
      <c r="D152" t="s">
        <v>10</v>
      </c>
      <c r="E152" s="3" t="s">
        <v>294</v>
      </c>
      <c r="F152" s="3" t="s">
        <v>26</v>
      </c>
      <c r="G152" s="3" t="s">
        <v>295</v>
      </c>
      <c r="H152" s="3" t="s">
        <v>11</v>
      </c>
      <c r="I152" s="3" t="s">
        <v>25</v>
      </c>
      <c r="J152" s="3" t="s">
        <v>41</v>
      </c>
      <c r="K152" s="3" t="s">
        <v>9</v>
      </c>
      <c r="L152" s="3" t="s">
        <v>43</v>
      </c>
      <c r="M152">
        <v>1</v>
      </c>
    </row>
    <row r="153" spans="1:13" x14ac:dyDescent="0.25">
      <c r="A153" s="2">
        <v>46181</v>
      </c>
      <c r="B153" s="1" t="str">
        <f ca="1">IF(Información1[[#This Row],[Fecha]]='Ajuste de fechas'!$A$2,"Día actual","Día anterior")</f>
        <v>Día actual</v>
      </c>
      <c r="C153" s="3" t="s">
        <v>8</v>
      </c>
      <c r="D153" t="s">
        <v>10</v>
      </c>
      <c r="E153" s="3" t="s">
        <v>296</v>
      </c>
      <c r="F153" s="3" t="s">
        <v>19</v>
      </c>
      <c r="G153" s="3" t="s">
        <v>92</v>
      </c>
      <c r="H153" s="3" t="s">
        <v>11</v>
      </c>
      <c r="I153" s="3" t="s">
        <v>7</v>
      </c>
      <c r="J153" s="3" t="s">
        <v>45</v>
      </c>
      <c r="K153" s="3" t="s">
        <v>14</v>
      </c>
      <c r="L153" s="3" t="s">
        <v>42</v>
      </c>
      <c r="M153">
        <v>1</v>
      </c>
    </row>
    <row r="154" spans="1:13" x14ac:dyDescent="0.25">
      <c r="A154" s="2">
        <v>46181</v>
      </c>
      <c r="B154" s="1" t="str">
        <f ca="1">IF(Información1[[#This Row],[Fecha]]='Ajuste de fechas'!$A$2,"Día actual","Día anterior")</f>
        <v>Día actual</v>
      </c>
      <c r="C154" s="3" t="s">
        <v>8</v>
      </c>
      <c r="D154" t="s">
        <v>10</v>
      </c>
      <c r="E154" s="3" t="s">
        <v>297</v>
      </c>
      <c r="F154" s="3" t="s">
        <v>22</v>
      </c>
      <c r="G154" s="3" t="s">
        <v>298</v>
      </c>
      <c r="H154" s="3" t="s">
        <v>11</v>
      </c>
      <c r="I154" s="3" t="s">
        <v>7</v>
      </c>
      <c r="J154" s="3" t="s">
        <v>46</v>
      </c>
      <c r="K154" s="3" t="s">
        <v>14</v>
      </c>
      <c r="L154" s="3" t="s">
        <v>42</v>
      </c>
      <c r="M154">
        <v>1</v>
      </c>
    </row>
    <row r="155" spans="1:13" x14ac:dyDescent="0.25">
      <c r="A155" s="2">
        <v>46181</v>
      </c>
      <c r="B155" s="1" t="str">
        <f ca="1">IF(Información1[[#This Row],[Fecha]]='Ajuste de fechas'!$A$2,"Día actual","Día anterior")</f>
        <v>Día actual</v>
      </c>
      <c r="C155" s="3" t="s">
        <v>8</v>
      </c>
      <c r="D155" t="s">
        <v>10</v>
      </c>
      <c r="E155" s="3" t="s">
        <v>299</v>
      </c>
      <c r="F155" s="3" t="s">
        <v>60</v>
      </c>
      <c r="G155" s="3" t="s">
        <v>300</v>
      </c>
      <c r="H155" s="3" t="s">
        <v>11</v>
      </c>
      <c r="I155" s="3" t="s">
        <v>7</v>
      </c>
      <c r="J155" s="3" t="s">
        <v>41</v>
      </c>
      <c r="K155" s="3" t="s">
        <v>14</v>
      </c>
      <c r="L155" s="3" t="s">
        <v>42</v>
      </c>
      <c r="M155">
        <v>1</v>
      </c>
    </row>
    <row r="156" spans="1:13" x14ac:dyDescent="0.25">
      <c r="A156" s="2">
        <v>46181</v>
      </c>
      <c r="B156" s="1" t="str">
        <f ca="1">IF(Información1[[#This Row],[Fecha]]='Ajuste de fechas'!$A$2,"Día actual","Día anterior")</f>
        <v>Día actual</v>
      </c>
      <c r="C156" s="3" t="s">
        <v>8</v>
      </c>
      <c r="D156" t="s">
        <v>10</v>
      </c>
      <c r="E156" s="3" t="s">
        <v>301</v>
      </c>
      <c r="F156" s="3" t="s">
        <v>21</v>
      </c>
      <c r="G156" s="3" t="s">
        <v>56</v>
      </c>
      <c r="H156" s="3" t="s">
        <v>11</v>
      </c>
      <c r="I156" s="3" t="s">
        <v>7</v>
      </c>
      <c r="J156" s="3" t="s">
        <v>41</v>
      </c>
      <c r="K156" s="3" t="s">
        <v>14</v>
      </c>
      <c r="L156" s="3" t="s">
        <v>42</v>
      </c>
      <c r="M156">
        <v>1</v>
      </c>
    </row>
    <row r="157" spans="1:13" x14ac:dyDescent="0.25">
      <c r="A157" s="2">
        <v>46181</v>
      </c>
      <c r="B157" s="1" t="str">
        <f ca="1">IF(Información1[[#This Row],[Fecha]]='Ajuste de fechas'!$A$2,"Día actual","Día anterior")</f>
        <v>Día actual</v>
      </c>
      <c r="C157" s="3" t="s">
        <v>8</v>
      </c>
      <c r="D157" t="s">
        <v>10</v>
      </c>
      <c r="E157" s="3" t="s">
        <v>302</v>
      </c>
      <c r="F157" s="3" t="s">
        <v>97</v>
      </c>
      <c r="G157" s="3" t="s">
        <v>303</v>
      </c>
      <c r="H157" s="3" t="s">
        <v>11</v>
      </c>
      <c r="I157" s="3" t="s">
        <v>7</v>
      </c>
      <c r="J157" s="3" t="s">
        <v>41</v>
      </c>
      <c r="K157" s="3" t="s">
        <v>14</v>
      </c>
      <c r="L157" s="3" t="s">
        <v>44</v>
      </c>
      <c r="M157">
        <v>1</v>
      </c>
    </row>
    <row r="158" spans="1:13" x14ac:dyDescent="0.25">
      <c r="A158" s="2">
        <v>46181</v>
      </c>
      <c r="B158" s="1" t="str">
        <f ca="1">IF(Información1[[#This Row],[Fecha]]='Ajuste de fechas'!$A$2,"Día actual","Día anterior")</f>
        <v>Día actual</v>
      </c>
      <c r="C158" s="3" t="s">
        <v>8</v>
      </c>
      <c r="D158" t="s">
        <v>10</v>
      </c>
      <c r="E158" s="3" t="s">
        <v>304</v>
      </c>
      <c r="F158" s="3" t="s">
        <v>23</v>
      </c>
      <c r="G158" s="3" t="s">
        <v>95</v>
      </c>
      <c r="H158" s="3" t="s">
        <v>11</v>
      </c>
      <c r="I158" s="3" t="s">
        <v>7</v>
      </c>
      <c r="J158" s="3" t="s">
        <v>41</v>
      </c>
      <c r="K158" s="3" t="s">
        <v>14</v>
      </c>
      <c r="L158" s="3" t="s">
        <v>42</v>
      </c>
      <c r="M158">
        <v>1</v>
      </c>
    </row>
    <row r="159" spans="1:13" x14ac:dyDescent="0.25">
      <c r="A159" s="2">
        <v>46181</v>
      </c>
      <c r="B159" s="1" t="str">
        <f ca="1">IF(Información1[[#This Row],[Fecha]]='Ajuste de fechas'!$A$2,"Día actual","Día anterior")</f>
        <v>Día actual</v>
      </c>
      <c r="C159" s="3" t="s">
        <v>8</v>
      </c>
      <c r="D159" t="s">
        <v>10</v>
      </c>
      <c r="E159" s="3" t="s">
        <v>20</v>
      </c>
      <c r="F159" s="3" t="s">
        <v>19</v>
      </c>
      <c r="G159" s="3" t="s">
        <v>34</v>
      </c>
      <c r="H159" s="3" t="s">
        <v>11</v>
      </c>
      <c r="I159" s="3" t="s">
        <v>12</v>
      </c>
      <c r="J159" s="3" t="s">
        <v>45</v>
      </c>
      <c r="K159" s="3" t="s">
        <v>14</v>
      </c>
      <c r="L159" s="3" t="s">
        <v>43</v>
      </c>
      <c r="M159">
        <v>1</v>
      </c>
    </row>
    <row r="160" spans="1:13" x14ac:dyDescent="0.25">
      <c r="A160" s="2">
        <v>46181</v>
      </c>
      <c r="B160" s="1" t="str">
        <f ca="1">IF(Información1[[#This Row],[Fecha]]='Ajuste de fechas'!$A$2,"Día actual","Día anterior")</f>
        <v>Día actual</v>
      </c>
      <c r="C160" s="3" t="s">
        <v>8</v>
      </c>
      <c r="D160" t="s">
        <v>10</v>
      </c>
      <c r="E160" s="3" t="s">
        <v>18</v>
      </c>
      <c r="F160" s="3" t="s">
        <v>19</v>
      </c>
      <c r="G160" s="3" t="s">
        <v>34</v>
      </c>
      <c r="H160" s="3" t="s">
        <v>11</v>
      </c>
      <c r="I160" s="3" t="s">
        <v>12</v>
      </c>
      <c r="J160" s="3" t="s">
        <v>45</v>
      </c>
      <c r="K160" s="3" t="s">
        <v>14</v>
      </c>
      <c r="L160" s="3" t="s">
        <v>43</v>
      </c>
      <c r="M160">
        <v>1</v>
      </c>
    </row>
    <row r="161" spans="1:13" x14ac:dyDescent="0.25">
      <c r="A161" s="2">
        <v>46181</v>
      </c>
      <c r="B161" s="1" t="str">
        <f ca="1">IF(Información1[[#This Row],[Fecha]]='Ajuste de fechas'!$A$2,"Día actual","Día anterior")</f>
        <v>Día actual</v>
      </c>
      <c r="C161" s="3" t="s">
        <v>8</v>
      </c>
      <c r="D161" t="s">
        <v>10</v>
      </c>
      <c r="E161" s="3" t="s">
        <v>96</v>
      </c>
      <c r="F161" s="3" t="s">
        <v>59</v>
      </c>
      <c r="G161" s="3" t="s">
        <v>34</v>
      </c>
      <c r="H161" s="3" t="s">
        <v>11</v>
      </c>
      <c r="I161" s="3" t="s">
        <v>12</v>
      </c>
      <c r="J161" s="3" t="s">
        <v>24</v>
      </c>
      <c r="K161" s="3" t="s">
        <v>14</v>
      </c>
      <c r="L161" s="3" t="s">
        <v>43</v>
      </c>
      <c r="M161">
        <v>1</v>
      </c>
    </row>
    <row r="162" spans="1:13" x14ac:dyDescent="0.25">
      <c r="A162" s="2">
        <v>46181</v>
      </c>
      <c r="B162" s="1" t="str">
        <f ca="1">IF(Información1[[#This Row],[Fecha]]='Ajuste de fechas'!$A$2,"Día actual","Día anterior")</f>
        <v>Día actual</v>
      </c>
      <c r="C162" s="3" t="s">
        <v>8</v>
      </c>
      <c r="D162" t="s">
        <v>10</v>
      </c>
      <c r="E162" s="3" t="s">
        <v>57</v>
      </c>
      <c r="F162" s="3" t="s">
        <v>21</v>
      </c>
      <c r="G162" s="3" t="s">
        <v>34</v>
      </c>
      <c r="H162" s="3" t="s">
        <v>11</v>
      </c>
      <c r="I162" s="3" t="s">
        <v>12</v>
      </c>
      <c r="J162" s="3" t="s">
        <v>41</v>
      </c>
      <c r="K162" s="3" t="s">
        <v>14</v>
      </c>
      <c r="L162" s="3" t="s">
        <v>43</v>
      </c>
      <c r="M162">
        <v>1</v>
      </c>
    </row>
    <row r="163" spans="1:13" x14ac:dyDescent="0.25">
      <c r="A163" s="2">
        <v>46181</v>
      </c>
      <c r="B163" s="1" t="str">
        <f ca="1">IF(Información1[[#This Row],[Fecha]]='Ajuste de fechas'!$A$2,"Día actual","Día anterior")</f>
        <v>Día actual</v>
      </c>
      <c r="C163" s="3" t="s">
        <v>8</v>
      </c>
      <c r="D163" t="s">
        <v>10</v>
      </c>
      <c r="E163" s="3" t="s">
        <v>13</v>
      </c>
      <c r="F163" s="3" t="s">
        <v>15</v>
      </c>
      <c r="G163" s="3" t="s">
        <v>34</v>
      </c>
      <c r="H163" s="3" t="s">
        <v>11</v>
      </c>
      <c r="I163" s="3" t="s">
        <v>12</v>
      </c>
      <c r="J163" s="3" t="s">
        <v>41</v>
      </c>
      <c r="K163" s="3" t="s">
        <v>14</v>
      </c>
      <c r="L163" s="3" t="s">
        <v>43</v>
      </c>
      <c r="M163">
        <v>1</v>
      </c>
    </row>
    <row r="164" spans="1:13" x14ac:dyDescent="0.25">
      <c r="A164" s="2">
        <v>46181</v>
      </c>
      <c r="B164" s="1" t="str">
        <f ca="1">IF(Información1[[#This Row],[Fecha]]='Ajuste de fechas'!$A$2,"Día actual","Día anterior")</f>
        <v>Día actual</v>
      </c>
      <c r="C164" s="3" t="s">
        <v>8</v>
      </c>
      <c r="D164" t="s">
        <v>10</v>
      </c>
      <c r="E164" s="3" t="s">
        <v>16</v>
      </c>
      <c r="F164" s="3" t="s">
        <v>17</v>
      </c>
      <c r="G164" s="3" t="s">
        <v>34</v>
      </c>
      <c r="H164" s="3" t="s">
        <v>11</v>
      </c>
      <c r="I164" s="3" t="s">
        <v>12</v>
      </c>
      <c r="J164" s="3" t="s">
        <v>41</v>
      </c>
      <c r="K164" s="3" t="s">
        <v>14</v>
      </c>
      <c r="L164" s="3" t="s">
        <v>43</v>
      </c>
      <c r="M164">
        <v>1</v>
      </c>
    </row>
    <row r="165" spans="1:13" x14ac:dyDescent="0.25">
      <c r="A165" s="2">
        <v>46181</v>
      </c>
      <c r="B165" s="1" t="str">
        <f ca="1">IF(Información1[[#This Row],[Fecha]]='Ajuste de fechas'!$A$2,"Día actual","Día anterior")</f>
        <v>Día actual</v>
      </c>
      <c r="C165" s="3" t="s">
        <v>8</v>
      </c>
      <c r="D165" t="s">
        <v>10</v>
      </c>
      <c r="E165" s="3" t="s">
        <v>58</v>
      </c>
      <c r="F165" s="3" t="s">
        <v>6</v>
      </c>
      <c r="G165" s="3" t="s">
        <v>34</v>
      </c>
      <c r="H165" s="3" t="s">
        <v>11</v>
      </c>
      <c r="I165" s="3" t="s">
        <v>12</v>
      </c>
      <c r="J165" s="3" t="s">
        <v>41</v>
      </c>
      <c r="K165" s="3" t="s">
        <v>14</v>
      </c>
      <c r="L165" s="3" t="s">
        <v>43</v>
      </c>
      <c r="M165">
        <v>1</v>
      </c>
    </row>
    <row r="166" spans="1:13" x14ac:dyDescent="0.25">
      <c r="A166" s="2">
        <v>46178</v>
      </c>
      <c r="B166" s="1" t="str">
        <f ca="1">IF(Información1[[#This Row],[Fecha]]='Ajuste de fechas'!$A$2,"Día actual","Día anterior")</f>
        <v>Día anterior</v>
      </c>
      <c r="C166" s="3" t="s">
        <v>98</v>
      </c>
      <c r="D166" t="s">
        <v>99</v>
      </c>
      <c r="E166" s="3" t="s">
        <v>113</v>
      </c>
      <c r="F166" s="3" t="s">
        <v>51</v>
      </c>
      <c r="G166" s="3" t="s">
        <v>95</v>
      </c>
      <c r="H166" s="3" t="s">
        <v>63</v>
      </c>
      <c r="I166" s="3" t="s">
        <v>7</v>
      </c>
      <c r="J166" s="3" t="s">
        <v>41</v>
      </c>
      <c r="K166" s="3" t="s">
        <v>52</v>
      </c>
      <c r="L166" s="3" t="s">
        <v>44</v>
      </c>
      <c r="M166">
        <v>1</v>
      </c>
    </row>
    <row r="167" spans="1:13" x14ac:dyDescent="0.25">
      <c r="A167" s="2">
        <v>46178</v>
      </c>
      <c r="B167" s="1" t="str">
        <f ca="1">IF(Información1[[#This Row],[Fecha]]='Ajuste de fechas'!$A$2,"Día actual","Día anterior")</f>
        <v>Día anterior</v>
      </c>
      <c r="C167" s="3" t="s">
        <v>98</v>
      </c>
      <c r="D167" t="s">
        <v>99</v>
      </c>
      <c r="E167" s="3" t="s">
        <v>115</v>
      </c>
      <c r="F167" s="3" t="s">
        <v>23</v>
      </c>
      <c r="G167" s="3" t="s">
        <v>116</v>
      </c>
      <c r="H167" s="3" t="s">
        <v>63</v>
      </c>
      <c r="I167" s="3" t="s">
        <v>7</v>
      </c>
      <c r="J167" s="3" t="s">
        <v>41</v>
      </c>
      <c r="K167" s="3" t="s">
        <v>52</v>
      </c>
      <c r="L167" s="3" t="s">
        <v>44</v>
      </c>
      <c r="M167">
        <v>1</v>
      </c>
    </row>
    <row r="168" spans="1:13" x14ac:dyDescent="0.25">
      <c r="A168" s="2">
        <v>46178</v>
      </c>
      <c r="B168" s="1" t="str">
        <f ca="1">IF(Información1[[#This Row],[Fecha]]='Ajuste de fechas'!$A$2,"Día actual","Día anterior")</f>
        <v>Día anterior</v>
      </c>
      <c r="C168" s="3" t="s">
        <v>98</v>
      </c>
      <c r="D168" t="s">
        <v>99</v>
      </c>
      <c r="E168" s="3" t="s">
        <v>305</v>
      </c>
      <c r="F168" s="3" t="s">
        <v>306</v>
      </c>
      <c r="G168" s="3" t="s">
        <v>307</v>
      </c>
      <c r="H168" s="3" t="s">
        <v>63</v>
      </c>
      <c r="I168" s="3" t="s">
        <v>7</v>
      </c>
      <c r="J168" s="3" t="s">
        <v>41</v>
      </c>
      <c r="K168" s="3" t="s">
        <v>52</v>
      </c>
      <c r="L168" s="3" t="s">
        <v>44</v>
      </c>
      <c r="M168">
        <v>1</v>
      </c>
    </row>
    <row r="169" spans="1:13" x14ac:dyDescent="0.25">
      <c r="A169" s="2">
        <v>46178</v>
      </c>
      <c r="B169" s="1" t="str">
        <f ca="1">IF(Información1[[#This Row],[Fecha]]='Ajuste de fechas'!$A$2,"Día actual","Día anterior")</f>
        <v>Día anterior</v>
      </c>
      <c r="C169" s="3" t="s">
        <v>98</v>
      </c>
      <c r="D169" t="s">
        <v>99</v>
      </c>
      <c r="E169" s="3" t="s">
        <v>308</v>
      </c>
      <c r="F169" s="3" t="s">
        <v>166</v>
      </c>
      <c r="G169" s="3" t="s">
        <v>167</v>
      </c>
      <c r="H169" s="3" t="s">
        <v>63</v>
      </c>
      <c r="I169" s="3" t="s">
        <v>7</v>
      </c>
      <c r="J169" s="3" t="s">
        <v>41</v>
      </c>
      <c r="K169" s="3" t="s">
        <v>52</v>
      </c>
      <c r="L169" s="3" t="s">
        <v>44</v>
      </c>
      <c r="M169">
        <v>1</v>
      </c>
    </row>
    <row r="170" spans="1:13" x14ac:dyDescent="0.25">
      <c r="A170" s="2">
        <v>46178</v>
      </c>
      <c r="B170" s="1" t="str">
        <f ca="1">IF(Información1[[#This Row],[Fecha]]='Ajuste de fechas'!$A$2,"Día actual","Día anterior")</f>
        <v>Día anterior</v>
      </c>
      <c r="C170" s="3" t="s">
        <v>98</v>
      </c>
      <c r="D170" t="s">
        <v>99</v>
      </c>
      <c r="E170" s="3" t="s">
        <v>143</v>
      </c>
      <c r="F170" s="3" t="s">
        <v>33</v>
      </c>
      <c r="G170" s="3" t="s">
        <v>144</v>
      </c>
      <c r="H170" s="3" t="s">
        <v>63</v>
      </c>
      <c r="I170" s="3" t="s">
        <v>7</v>
      </c>
      <c r="J170" s="3" t="s">
        <v>41</v>
      </c>
      <c r="K170" s="3" t="s">
        <v>52</v>
      </c>
      <c r="L170" s="3" t="s">
        <v>44</v>
      </c>
      <c r="M170">
        <v>1</v>
      </c>
    </row>
    <row r="171" spans="1:13" x14ac:dyDescent="0.25">
      <c r="A171" s="2">
        <v>46178</v>
      </c>
      <c r="B171" s="1" t="str">
        <f ca="1">IF(Información1[[#This Row],[Fecha]]='Ajuste de fechas'!$A$2,"Día actual","Día anterior")</f>
        <v>Día anterior</v>
      </c>
      <c r="C171" s="3" t="s">
        <v>98</v>
      </c>
      <c r="D171" t="s">
        <v>99</v>
      </c>
      <c r="E171" s="3" t="s">
        <v>107</v>
      </c>
      <c r="F171" s="3" t="s">
        <v>21</v>
      </c>
      <c r="G171" s="3" t="s">
        <v>108</v>
      </c>
      <c r="H171" s="3" t="s">
        <v>63</v>
      </c>
      <c r="I171" s="3" t="s">
        <v>7</v>
      </c>
      <c r="J171" s="3" t="s">
        <v>41</v>
      </c>
      <c r="K171" s="3" t="s">
        <v>52</v>
      </c>
      <c r="L171" s="3" t="s">
        <v>44</v>
      </c>
      <c r="M171">
        <v>1</v>
      </c>
    </row>
    <row r="172" spans="1:13" x14ac:dyDescent="0.25">
      <c r="A172" s="2">
        <v>46178</v>
      </c>
      <c r="B172" s="1" t="str">
        <f ca="1">IF(Información1[[#This Row],[Fecha]]='Ajuste de fechas'!$A$2,"Día actual","Día anterior")</f>
        <v>Día anterior</v>
      </c>
      <c r="C172" s="3" t="s">
        <v>98</v>
      </c>
      <c r="D172" t="s">
        <v>99</v>
      </c>
      <c r="E172" s="3" t="s">
        <v>309</v>
      </c>
      <c r="F172" s="3" t="s">
        <v>15</v>
      </c>
      <c r="G172" s="3" t="s">
        <v>56</v>
      </c>
      <c r="H172" s="3" t="s">
        <v>63</v>
      </c>
      <c r="I172" s="3" t="s">
        <v>7</v>
      </c>
      <c r="J172" s="3" t="s">
        <v>41</v>
      </c>
      <c r="K172" s="3" t="s">
        <v>52</v>
      </c>
      <c r="L172" s="3" t="s">
        <v>44</v>
      </c>
      <c r="M172">
        <v>1</v>
      </c>
    </row>
    <row r="173" spans="1:13" x14ac:dyDescent="0.25">
      <c r="A173" s="2">
        <v>46178</v>
      </c>
      <c r="B173" s="1" t="str">
        <f ca="1">IF(Información1[[#This Row],[Fecha]]='Ajuste de fechas'!$A$2,"Día actual","Día anterior")</f>
        <v>Día anterior</v>
      </c>
      <c r="C173" s="3" t="s">
        <v>98</v>
      </c>
      <c r="D173" t="s">
        <v>99</v>
      </c>
      <c r="E173" s="3" t="s">
        <v>111</v>
      </c>
      <c r="F173" s="3" t="s">
        <v>66</v>
      </c>
      <c r="G173" s="3" t="s">
        <v>110</v>
      </c>
      <c r="H173" s="3" t="s">
        <v>63</v>
      </c>
      <c r="I173" s="3" t="s">
        <v>7</v>
      </c>
      <c r="J173" s="3" t="s">
        <v>41</v>
      </c>
      <c r="K173" s="3" t="s">
        <v>52</v>
      </c>
      <c r="L173" s="3" t="s">
        <v>44</v>
      </c>
      <c r="M173">
        <v>1</v>
      </c>
    </row>
    <row r="174" spans="1:13" x14ac:dyDescent="0.25">
      <c r="A174" s="2">
        <v>46178</v>
      </c>
      <c r="B174" s="1" t="str">
        <f ca="1">IF(Información1[[#This Row],[Fecha]]='Ajuste de fechas'!$A$2,"Día actual","Día anterior")</f>
        <v>Día anterior</v>
      </c>
      <c r="C174" s="3" t="s">
        <v>98</v>
      </c>
      <c r="D174" t="s">
        <v>99</v>
      </c>
      <c r="E174" s="3" t="s">
        <v>310</v>
      </c>
      <c r="F174" s="3" t="s">
        <v>19</v>
      </c>
      <c r="G174" s="3" t="s">
        <v>86</v>
      </c>
      <c r="H174" s="3" t="s">
        <v>63</v>
      </c>
      <c r="I174" s="3" t="s">
        <v>7</v>
      </c>
      <c r="J174" s="3" t="s">
        <v>45</v>
      </c>
      <c r="K174" s="3" t="s">
        <v>52</v>
      </c>
      <c r="L174" s="3" t="s">
        <v>42</v>
      </c>
      <c r="M174">
        <v>1</v>
      </c>
    </row>
    <row r="175" spans="1:13" x14ac:dyDescent="0.25">
      <c r="A175" s="2">
        <v>46178</v>
      </c>
      <c r="B175" s="1" t="str">
        <f ca="1">IF(Información1[[#This Row],[Fecha]]='Ajuste de fechas'!$A$2,"Día actual","Día anterior")</f>
        <v>Día anterior</v>
      </c>
      <c r="C175" s="3" t="s">
        <v>98</v>
      </c>
      <c r="D175" t="s">
        <v>99</v>
      </c>
      <c r="E175" s="3" t="s">
        <v>311</v>
      </c>
      <c r="F175" s="3" t="s">
        <v>22</v>
      </c>
      <c r="G175" s="3" t="s">
        <v>103</v>
      </c>
      <c r="H175" s="3" t="s">
        <v>63</v>
      </c>
      <c r="I175" s="3" t="s">
        <v>7</v>
      </c>
      <c r="J175" s="3" t="s">
        <v>46</v>
      </c>
      <c r="K175" s="3" t="s">
        <v>52</v>
      </c>
      <c r="L175" s="3" t="s">
        <v>42</v>
      </c>
      <c r="M175">
        <v>1</v>
      </c>
    </row>
    <row r="176" spans="1:13" x14ac:dyDescent="0.25">
      <c r="A176" s="2">
        <v>46178</v>
      </c>
      <c r="B176" s="1" t="str">
        <f ca="1">IF(Información1[[#This Row],[Fecha]]='Ajuste de fechas'!$A$2,"Día actual","Día anterior")</f>
        <v>Día anterior</v>
      </c>
      <c r="C176" s="3" t="s">
        <v>98</v>
      </c>
      <c r="D176" t="s">
        <v>99</v>
      </c>
      <c r="E176" s="3" t="s">
        <v>312</v>
      </c>
      <c r="F176" s="3" t="s">
        <v>257</v>
      </c>
      <c r="G176" s="3" t="s">
        <v>313</v>
      </c>
      <c r="H176" s="3" t="s">
        <v>63</v>
      </c>
      <c r="I176" s="3" t="s">
        <v>7</v>
      </c>
      <c r="J176" s="3" t="s">
        <v>41</v>
      </c>
      <c r="K176" s="3" t="s">
        <v>52</v>
      </c>
      <c r="L176" s="3" t="s">
        <v>42</v>
      </c>
      <c r="M176">
        <v>1</v>
      </c>
    </row>
    <row r="177" spans="1:13" x14ac:dyDescent="0.25">
      <c r="A177" s="2">
        <v>46178</v>
      </c>
      <c r="B177" s="1" t="str">
        <f ca="1">IF(Información1[[#This Row],[Fecha]]='Ajuste de fechas'!$A$2,"Día actual","Día anterior")</f>
        <v>Día anterior</v>
      </c>
      <c r="C177" s="3" t="s">
        <v>98</v>
      </c>
      <c r="D177" t="s">
        <v>99</v>
      </c>
      <c r="E177" s="3" t="s">
        <v>314</v>
      </c>
      <c r="F177" s="3" t="s">
        <v>257</v>
      </c>
      <c r="G177" s="3" t="s">
        <v>313</v>
      </c>
      <c r="H177" s="3" t="s">
        <v>63</v>
      </c>
      <c r="I177" s="3" t="s">
        <v>7</v>
      </c>
      <c r="J177" s="3" t="s">
        <v>41</v>
      </c>
      <c r="K177" s="3" t="s">
        <v>52</v>
      </c>
      <c r="L177" s="3" t="s">
        <v>42</v>
      </c>
      <c r="M177">
        <v>1</v>
      </c>
    </row>
    <row r="178" spans="1:13" x14ac:dyDescent="0.25">
      <c r="A178" s="2">
        <v>46178</v>
      </c>
      <c r="B178" s="1" t="str">
        <f ca="1">IF(Información1[[#This Row],[Fecha]]='Ajuste de fechas'!$A$2,"Día actual","Día anterior")</f>
        <v>Día anterior</v>
      </c>
      <c r="C178" s="3" t="s">
        <v>98</v>
      </c>
      <c r="D178" t="s">
        <v>99</v>
      </c>
      <c r="E178" s="3" t="s">
        <v>147</v>
      </c>
      <c r="F178" s="3" t="s">
        <v>26</v>
      </c>
      <c r="G178" s="3" t="s">
        <v>131</v>
      </c>
      <c r="H178" s="3" t="s">
        <v>63</v>
      </c>
      <c r="I178" s="3" t="s">
        <v>7</v>
      </c>
      <c r="J178" s="3" t="s">
        <v>41</v>
      </c>
      <c r="K178" s="3" t="s">
        <v>52</v>
      </c>
      <c r="L178" s="3" t="s">
        <v>44</v>
      </c>
      <c r="M178">
        <v>1</v>
      </c>
    </row>
    <row r="179" spans="1:13" x14ac:dyDescent="0.25">
      <c r="A179" s="2">
        <v>46178</v>
      </c>
      <c r="B179" s="1" t="str">
        <f ca="1">IF(Información1[[#This Row],[Fecha]]='Ajuste de fechas'!$A$2,"Día actual","Día anterior")</f>
        <v>Día anterior</v>
      </c>
      <c r="C179" s="3" t="s">
        <v>98</v>
      </c>
      <c r="D179" t="s">
        <v>99</v>
      </c>
      <c r="E179" s="3" t="s">
        <v>148</v>
      </c>
      <c r="F179" s="3" t="s">
        <v>26</v>
      </c>
      <c r="G179" s="3" t="s">
        <v>131</v>
      </c>
      <c r="H179" s="3" t="s">
        <v>63</v>
      </c>
      <c r="I179" s="3" t="s">
        <v>7</v>
      </c>
      <c r="J179" s="3" t="s">
        <v>41</v>
      </c>
      <c r="K179" s="3" t="s">
        <v>52</v>
      </c>
      <c r="L179" s="3" t="s">
        <v>44</v>
      </c>
      <c r="M179">
        <v>1</v>
      </c>
    </row>
    <row r="180" spans="1:13" x14ac:dyDescent="0.25">
      <c r="A180" s="2">
        <v>46181</v>
      </c>
      <c r="B180" s="1" t="str">
        <f ca="1">IF(Información1[[#This Row],[Fecha]]='Ajuste de fechas'!$A$2,"Día actual","Día anterior")</f>
        <v>Día actual</v>
      </c>
      <c r="C180" s="3" t="s">
        <v>67</v>
      </c>
      <c r="D180" t="s">
        <v>68</v>
      </c>
      <c r="E180" s="3" t="s">
        <v>315</v>
      </c>
      <c r="F180" s="3" t="s">
        <v>23</v>
      </c>
      <c r="G180" s="3" t="s">
        <v>316</v>
      </c>
      <c r="H180" s="3" t="s">
        <v>11</v>
      </c>
      <c r="I180" s="3" t="s">
        <v>7</v>
      </c>
      <c r="J180" s="3" t="s">
        <v>41</v>
      </c>
      <c r="K180" s="3" t="s">
        <v>69</v>
      </c>
      <c r="L180" s="3" t="s">
        <v>42</v>
      </c>
      <c r="M180">
        <v>1</v>
      </c>
    </row>
    <row r="181" spans="1:13" x14ac:dyDescent="0.25">
      <c r="A181" s="2">
        <v>46181</v>
      </c>
      <c r="B181" s="1" t="str">
        <f ca="1">IF(Información1[[#This Row],[Fecha]]='Ajuste de fechas'!$A$2,"Día actual","Día anterior")</f>
        <v>Día actual</v>
      </c>
      <c r="C181" s="3" t="s">
        <v>67</v>
      </c>
      <c r="D181" t="s">
        <v>68</v>
      </c>
      <c r="E181" s="3" t="s">
        <v>317</v>
      </c>
      <c r="F181" s="3" t="s">
        <v>21</v>
      </c>
      <c r="G181" s="3" t="s">
        <v>318</v>
      </c>
      <c r="H181" s="3" t="s">
        <v>11</v>
      </c>
      <c r="I181" s="3" t="s">
        <v>7</v>
      </c>
      <c r="J181" s="3" t="s">
        <v>41</v>
      </c>
      <c r="K181" s="3" t="s">
        <v>69</v>
      </c>
      <c r="L181" s="3" t="s">
        <v>44</v>
      </c>
      <c r="M181">
        <v>1</v>
      </c>
    </row>
    <row r="182" spans="1:13" x14ac:dyDescent="0.25">
      <c r="A182" s="2">
        <v>46181</v>
      </c>
      <c r="B182" s="1" t="str">
        <f ca="1">IF(Información1[[#This Row],[Fecha]]='Ajuste de fechas'!$A$2,"Día actual","Día anterior")</f>
        <v>Día actual</v>
      </c>
      <c r="C182" s="3" t="s">
        <v>67</v>
      </c>
      <c r="D182" t="s">
        <v>68</v>
      </c>
      <c r="E182" s="3" t="s">
        <v>319</v>
      </c>
      <c r="F182" s="3" t="s">
        <v>19</v>
      </c>
      <c r="G182" s="3" t="s">
        <v>320</v>
      </c>
      <c r="H182" s="3" t="s">
        <v>11</v>
      </c>
      <c r="I182" s="3" t="s">
        <v>7</v>
      </c>
      <c r="J182" s="3" t="s">
        <v>45</v>
      </c>
      <c r="K182" s="3" t="s">
        <v>69</v>
      </c>
      <c r="L182" s="3" t="s">
        <v>42</v>
      </c>
      <c r="M182">
        <v>1</v>
      </c>
    </row>
    <row r="183" spans="1:13" x14ac:dyDescent="0.25">
      <c r="A183" s="2">
        <v>46181</v>
      </c>
      <c r="B183" s="1" t="str">
        <f ca="1">IF(Información1[[#This Row],[Fecha]]='Ajuste de fechas'!$A$2,"Día actual","Día anterior")</f>
        <v>Día actual</v>
      </c>
      <c r="C183" s="3" t="s">
        <v>67</v>
      </c>
      <c r="D183" t="s">
        <v>68</v>
      </c>
      <c r="E183" s="3" t="s">
        <v>321</v>
      </c>
      <c r="F183" s="3" t="s">
        <v>51</v>
      </c>
      <c r="G183" s="3" t="s">
        <v>267</v>
      </c>
      <c r="H183" s="3" t="s">
        <v>11</v>
      </c>
      <c r="I183" s="3" t="s">
        <v>7</v>
      </c>
      <c r="J183" s="3" t="s">
        <v>41</v>
      </c>
      <c r="K183" s="3" t="s">
        <v>69</v>
      </c>
      <c r="L183" s="3" t="s">
        <v>42</v>
      </c>
      <c r="M183">
        <v>1</v>
      </c>
    </row>
    <row r="184" spans="1:13" x14ac:dyDescent="0.25">
      <c r="A184" s="2">
        <v>46181</v>
      </c>
      <c r="B184" s="1" t="str">
        <f ca="1">IF(Información1[[#This Row],[Fecha]]='Ajuste de fechas'!$A$2,"Día actual","Día anterior")</f>
        <v>Día actual</v>
      </c>
      <c r="C184" s="3" t="s">
        <v>67</v>
      </c>
      <c r="D184" t="s">
        <v>68</v>
      </c>
      <c r="E184" s="3" t="s">
        <v>322</v>
      </c>
      <c r="F184" s="3" t="s">
        <v>19</v>
      </c>
      <c r="G184" s="3" t="s">
        <v>323</v>
      </c>
      <c r="H184" s="3" t="s">
        <v>11</v>
      </c>
      <c r="I184" s="3" t="s">
        <v>7</v>
      </c>
      <c r="J184" s="3" t="s">
        <v>45</v>
      </c>
      <c r="K184" s="3" t="s">
        <v>69</v>
      </c>
      <c r="L184" s="3" t="s">
        <v>42</v>
      </c>
      <c r="M184">
        <v>1</v>
      </c>
    </row>
    <row r="185" spans="1:13" x14ac:dyDescent="0.25">
      <c r="A185" s="2">
        <v>46181</v>
      </c>
      <c r="B185" s="1" t="str">
        <f ca="1">IF(Información1[[#This Row],[Fecha]]='Ajuste de fechas'!$A$2,"Día actual","Día anterior")</f>
        <v>Día actual</v>
      </c>
      <c r="C185" s="3" t="s">
        <v>67</v>
      </c>
      <c r="D185" t="s">
        <v>68</v>
      </c>
      <c r="E185" s="3" t="s">
        <v>324</v>
      </c>
      <c r="F185" s="3" t="s">
        <v>51</v>
      </c>
      <c r="G185" s="3" t="s">
        <v>269</v>
      </c>
      <c r="H185" s="3" t="s">
        <v>11</v>
      </c>
      <c r="I185" s="3" t="s">
        <v>25</v>
      </c>
      <c r="J185" s="3" t="s">
        <v>41</v>
      </c>
      <c r="K185" s="3" t="s">
        <v>69</v>
      </c>
      <c r="L185" s="3" t="s">
        <v>42</v>
      </c>
      <c r="M185">
        <v>1</v>
      </c>
    </row>
    <row r="186" spans="1:13" x14ac:dyDescent="0.25">
      <c r="A186" s="2">
        <v>46181</v>
      </c>
      <c r="B186" s="1" t="str">
        <f ca="1">IF(Información1[[#This Row],[Fecha]]='Ajuste de fechas'!$A$2,"Día actual","Día anterior")</f>
        <v>Día actual</v>
      </c>
      <c r="C186" s="3" t="s">
        <v>67</v>
      </c>
      <c r="D186" t="s">
        <v>68</v>
      </c>
      <c r="E186" s="3" t="s">
        <v>325</v>
      </c>
      <c r="F186" s="3" t="s">
        <v>51</v>
      </c>
      <c r="G186" s="3" t="s">
        <v>263</v>
      </c>
      <c r="H186" s="3" t="s">
        <v>11</v>
      </c>
      <c r="I186" s="3" t="s">
        <v>25</v>
      </c>
      <c r="J186" s="3" t="s">
        <v>41</v>
      </c>
      <c r="K186" s="3" t="s">
        <v>69</v>
      </c>
      <c r="L186" s="3" t="s">
        <v>42</v>
      </c>
      <c r="M186">
        <v>1</v>
      </c>
    </row>
    <row r="187" spans="1:13" x14ac:dyDescent="0.25">
      <c r="A187" s="2">
        <v>46181</v>
      </c>
      <c r="B187" s="1" t="str">
        <f ca="1">IF(Información1[[#This Row],[Fecha]]='Ajuste de fechas'!$A$2,"Día actual","Día anterior")</f>
        <v>Día actual</v>
      </c>
      <c r="C187" s="3" t="s">
        <v>67</v>
      </c>
      <c r="D187" t="s">
        <v>68</v>
      </c>
      <c r="E187" s="3" t="s">
        <v>326</v>
      </c>
      <c r="F187" s="3" t="s">
        <v>23</v>
      </c>
      <c r="G187" s="3" t="s">
        <v>118</v>
      </c>
      <c r="H187" s="3" t="s">
        <v>11</v>
      </c>
      <c r="I187" s="3" t="s">
        <v>25</v>
      </c>
      <c r="J187" s="3" t="s">
        <v>41</v>
      </c>
      <c r="K187" s="3" t="s">
        <v>69</v>
      </c>
      <c r="L187" s="3" t="s">
        <v>43</v>
      </c>
      <c r="M187">
        <v>1</v>
      </c>
    </row>
    <row r="188" spans="1:13" x14ac:dyDescent="0.25">
      <c r="A188" s="2">
        <v>46181</v>
      </c>
      <c r="B188" s="1" t="str">
        <f ca="1">IF(Información1[[#This Row],[Fecha]]='Ajuste de fechas'!$A$2,"Día actual","Día anterior")</f>
        <v>Día actual</v>
      </c>
      <c r="C188" s="3" t="s">
        <v>67</v>
      </c>
      <c r="D188" t="s">
        <v>68</v>
      </c>
      <c r="E188" s="3" t="s">
        <v>327</v>
      </c>
      <c r="F188" s="3" t="s">
        <v>15</v>
      </c>
      <c r="G188" s="3" t="s">
        <v>118</v>
      </c>
      <c r="H188" s="3" t="s">
        <v>11</v>
      </c>
      <c r="I188" s="3" t="s">
        <v>7</v>
      </c>
      <c r="J188" s="3" t="s">
        <v>41</v>
      </c>
      <c r="K188" s="3" t="s">
        <v>69</v>
      </c>
      <c r="L188" s="3" t="s">
        <v>42</v>
      </c>
      <c r="M188">
        <v>1</v>
      </c>
    </row>
    <row r="189" spans="1:13" x14ac:dyDescent="0.25">
      <c r="A189" s="2">
        <v>46181</v>
      </c>
      <c r="B189" s="1" t="str">
        <f ca="1">IF(Información1[[#This Row],[Fecha]]='Ajuste de fechas'!$A$2,"Día actual","Día anterior")</f>
        <v>Día actual</v>
      </c>
      <c r="C189" s="3" t="s">
        <v>67</v>
      </c>
      <c r="D189" t="s">
        <v>68</v>
      </c>
      <c r="E189" s="3" t="s">
        <v>328</v>
      </c>
      <c r="F189" s="3" t="s">
        <v>22</v>
      </c>
      <c r="G189" s="3" t="s">
        <v>72</v>
      </c>
      <c r="H189" s="3" t="s">
        <v>11</v>
      </c>
      <c r="I189" s="3" t="s">
        <v>7</v>
      </c>
      <c r="J189" s="3" t="s">
        <v>46</v>
      </c>
      <c r="K189" s="3" t="s">
        <v>69</v>
      </c>
      <c r="L189" s="3" t="s">
        <v>42</v>
      </c>
      <c r="M189">
        <v>1</v>
      </c>
    </row>
    <row r="190" spans="1:13" x14ac:dyDescent="0.25">
      <c r="A190" s="2">
        <v>46181</v>
      </c>
      <c r="B190" s="1" t="str">
        <f ca="1">IF(Información1[[#This Row],[Fecha]]='Ajuste de fechas'!$A$2,"Día actual","Día anterior")</f>
        <v>Día actual</v>
      </c>
      <c r="C190" s="3" t="s">
        <v>67</v>
      </c>
      <c r="D190" t="s">
        <v>68</v>
      </c>
      <c r="E190" s="3" t="s">
        <v>329</v>
      </c>
      <c r="F190" s="3" t="s">
        <v>330</v>
      </c>
      <c r="G190" s="3" t="s">
        <v>122</v>
      </c>
      <c r="H190" s="3" t="s">
        <v>11</v>
      </c>
      <c r="I190" s="3" t="s">
        <v>7</v>
      </c>
      <c r="J190" s="3" t="s">
        <v>24</v>
      </c>
      <c r="K190" s="3" t="s">
        <v>69</v>
      </c>
      <c r="L190" s="3" t="s">
        <v>42</v>
      </c>
      <c r="M190">
        <v>1</v>
      </c>
    </row>
    <row r="191" spans="1:13" x14ac:dyDescent="0.25">
      <c r="A191" s="2">
        <v>46181</v>
      </c>
      <c r="B191" s="1" t="str">
        <f ca="1">IF(Información1[[#This Row],[Fecha]]='Ajuste de fechas'!$A$2,"Día actual","Día anterior")</f>
        <v>Día actual</v>
      </c>
      <c r="C191" s="3" t="s">
        <v>67</v>
      </c>
      <c r="D191" t="s">
        <v>68</v>
      </c>
      <c r="E191" s="3" t="s">
        <v>331</v>
      </c>
      <c r="F191" s="3" t="s">
        <v>330</v>
      </c>
      <c r="G191" s="3" t="s">
        <v>332</v>
      </c>
      <c r="H191" s="3" t="s">
        <v>11</v>
      </c>
      <c r="I191" s="3" t="s">
        <v>7</v>
      </c>
      <c r="J191" s="3" t="s">
        <v>24</v>
      </c>
      <c r="K191" s="3" t="s">
        <v>69</v>
      </c>
      <c r="L191" s="3" t="s">
        <v>42</v>
      </c>
      <c r="M191">
        <v>1</v>
      </c>
    </row>
    <row r="192" spans="1:13" x14ac:dyDescent="0.25">
      <c r="A192" s="2">
        <v>46181</v>
      </c>
      <c r="B192" s="1" t="str">
        <f ca="1">IF(Información1[[#This Row],[Fecha]]='Ajuste de fechas'!$A$2,"Día actual","Día anterior")</f>
        <v>Día actual</v>
      </c>
      <c r="C192" s="3" t="s">
        <v>67</v>
      </c>
      <c r="D192" t="s">
        <v>68</v>
      </c>
      <c r="E192" s="3" t="s">
        <v>333</v>
      </c>
      <c r="F192" s="3" t="s">
        <v>26</v>
      </c>
      <c r="G192" s="3" t="s">
        <v>248</v>
      </c>
      <c r="H192" s="3" t="s">
        <v>11</v>
      </c>
      <c r="I192" s="3" t="s">
        <v>7</v>
      </c>
      <c r="J192" s="3" t="s">
        <v>41</v>
      </c>
      <c r="K192" s="3" t="s">
        <v>69</v>
      </c>
      <c r="L192" s="3" t="s">
        <v>42</v>
      </c>
      <c r="M192">
        <v>1</v>
      </c>
    </row>
    <row r="193" spans="1:13" x14ac:dyDescent="0.25">
      <c r="A193" s="2">
        <v>46181</v>
      </c>
      <c r="B193" s="1" t="str">
        <f ca="1">IF(Información1[[#This Row],[Fecha]]='Ajuste de fechas'!$A$2,"Día actual","Día anterior")</f>
        <v>Día actual</v>
      </c>
      <c r="C193" s="3" t="s">
        <v>67</v>
      </c>
      <c r="D193" t="s">
        <v>68</v>
      </c>
      <c r="E193" s="3" t="s">
        <v>334</v>
      </c>
      <c r="F193" s="3" t="s">
        <v>26</v>
      </c>
      <c r="G193" s="3" t="s">
        <v>246</v>
      </c>
      <c r="H193" s="3" t="s">
        <v>11</v>
      </c>
      <c r="I193" s="3" t="s">
        <v>7</v>
      </c>
      <c r="J193" s="3" t="s">
        <v>41</v>
      </c>
      <c r="K193" s="3" t="s">
        <v>69</v>
      </c>
      <c r="L193" s="3" t="s">
        <v>44</v>
      </c>
      <c r="M193">
        <v>1</v>
      </c>
    </row>
    <row r="194" spans="1:13" x14ac:dyDescent="0.25">
      <c r="A194" s="2">
        <v>46181</v>
      </c>
      <c r="B194" s="1" t="str">
        <f ca="1">IF(Información1[[#This Row],[Fecha]]='Ajuste de fechas'!$A$2,"Día actual","Día anterior")</f>
        <v>Día actual</v>
      </c>
      <c r="C194" s="3" t="s">
        <v>67</v>
      </c>
      <c r="D194" t="s">
        <v>68</v>
      </c>
      <c r="E194" s="3" t="s">
        <v>335</v>
      </c>
      <c r="F194" s="3" t="s">
        <v>21</v>
      </c>
      <c r="G194" s="3" t="s">
        <v>56</v>
      </c>
      <c r="H194" s="3" t="s">
        <v>11</v>
      </c>
      <c r="I194" s="3" t="s">
        <v>25</v>
      </c>
      <c r="J194" s="3" t="s">
        <v>41</v>
      </c>
      <c r="K194" s="3" t="s">
        <v>69</v>
      </c>
      <c r="L194" s="3" t="s">
        <v>43</v>
      </c>
      <c r="M194">
        <v>1</v>
      </c>
    </row>
    <row r="195" spans="1:13" x14ac:dyDescent="0.25">
      <c r="A195" s="2">
        <v>46181</v>
      </c>
      <c r="B195" s="1" t="str">
        <f ca="1">IF(Información1[[#This Row],[Fecha]]='Ajuste de fechas'!$A$2,"Día actual","Día anterior")</f>
        <v>Día actual</v>
      </c>
      <c r="C195" s="3" t="s">
        <v>67</v>
      </c>
      <c r="D195" t="s">
        <v>68</v>
      </c>
      <c r="E195" s="3" t="s">
        <v>336</v>
      </c>
      <c r="F195" s="3" t="s">
        <v>21</v>
      </c>
      <c r="G195" s="3" t="s">
        <v>56</v>
      </c>
      <c r="H195" s="3" t="s">
        <v>11</v>
      </c>
      <c r="I195" s="3" t="s">
        <v>7</v>
      </c>
      <c r="J195" s="3" t="s">
        <v>41</v>
      </c>
      <c r="K195" s="3" t="s">
        <v>69</v>
      </c>
      <c r="L195" s="3" t="s">
        <v>42</v>
      </c>
      <c r="M195">
        <v>1</v>
      </c>
    </row>
    <row r="196" spans="1:13" x14ac:dyDescent="0.25">
      <c r="A196" s="2">
        <v>46181</v>
      </c>
      <c r="B196" s="1" t="str">
        <f ca="1">IF(Información1[[#This Row],[Fecha]]='Ajuste de fechas'!$A$2,"Día actual","Día anterior")</f>
        <v>Día actual</v>
      </c>
      <c r="C196" s="3" t="s">
        <v>67</v>
      </c>
      <c r="D196" t="s">
        <v>68</v>
      </c>
      <c r="E196" s="3" t="s">
        <v>70</v>
      </c>
      <c r="F196" s="3" t="s">
        <v>19</v>
      </c>
      <c r="G196" s="3" t="s">
        <v>62</v>
      </c>
      <c r="H196" s="3" t="s">
        <v>11</v>
      </c>
      <c r="I196" s="3" t="s">
        <v>7</v>
      </c>
      <c r="J196" s="3" t="s">
        <v>45</v>
      </c>
      <c r="K196" s="3" t="s">
        <v>69</v>
      </c>
      <c r="L196" s="3" t="s">
        <v>42</v>
      </c>
      <c r="M196">
        <v>1</v>
      </c>
    </row>
    <row r="197" spans="1:13" x14ac:dyDescent="0.25">
      <c r="A197" s="2">
        <v>46181</v>
      </c>
      <c r="B197" s="1" t="str">
        <f ca="1">IF(Información1[[#This Row],[Fecha]]='Ajuste de fechas'!$A$2,"Día actual","Día anterior")</f>
        <v>Día actual</v>
      </c>
      <c r="C197" s="3" t="s">
        <v>67</v>
      </c>
      <c r="D197" t="s">
        <v>68</v>
      </c>
      <c r="E197" s="3" t="s">
        <v>337</v>
      </c>
      <c r="F197" s="3" t="s">
        <v>19</v>
      </c>
      <c r="G197" s="3" t="s">
        <v>338</v>
      </c>
      <c r="H197" s="3" t="s">
        <v>11</v>
      </c>
      <c r="I197" s="3" t="s">
        <v>7</v>
      </c>
      <c r="J197" s="3" t="s">
        <v>45</v>
      </c>
      <c r="K197" s="3" t="s">
        <v>69</v>
      </c>
      <c r="L197" s="3" t="s">
        <v>42</v>
      </c>
      <c r="M197">
        <v>1</v>
      </c>
    </row>
    <row r="198" spans="1:13" x14ac:dyDescent="0.25">
      <c r="A198" s="2">
        <v>46181</v>
      </c>
      <c r="B198" s="1" t="str">
        <f ca="1">IF(Información1[[#This Row],[Fecha]]='Ajuste de fechas'!$A$2,"Día actual","Día anterior")</f>
        <v>Día actual</v>
      </c>
      <c r="C198" s="3" t="s">
        <v>67</v>
      </c>
      <c r="D198" t="s">
        <v>68</v>
      </c>
      <c r="E198" s="3" t="s">
        <v>339</v>
      </c>
      <c r="F198" s="3" t="s">
        <v>340</v>
      </c>
      <c r="G198" s="3" t="s">
        <v>271</v>
      </c>
      <c r="H198" s="3" t="s">
        <v>11</v>
      </c>
      <c r="I198" s="3" t="s">
        <v>7</v>
      </c>
      <c r="J198" s="3" t="s">
        <v>24</v>
      </c>
      <c r="K198" s="3" t="s">
        <v>69</v>
      </c>
      <c r="L198" s="3" t="s">
        <v>42</v>
      </c>
      <c r="M198">
        <v>1</v>
      </c>
    </row>
    <row r="199" spans="1:13" x14ac:dyDescent="0.25">
      <c r="A199" s="2">
        <v>46181</v>
      </c>
      <c r="B199" s="1" t="str">
        <f ca="1">IF(Información1[[#This Row],[Fecha]]='Ajuste de fechas'!$A$2,"Día actual","Día anterior")</f>
        <v>Día actual</v>
      </c>
      <c r="C199" s="3" t="s">
        <v>67</v>
      </c>
      <c r="D199" t="s">
        <v>68</v>
      </c>
      <c r="E199" s="3" t="s">
        <v>341</v>
      </c>
      <c r="F199" s="3" t="s">
        <v>19</v>
      </c>
      <c r="G199" s="3" t="s">
        <v>77</v>
      </c>
      <c r="H199" s="3" t="s">
        <v>11</v>
      </c>
      <c r="I199" s="3" t="s">
        <v>7</v>
      </c>
      <c r="J199" s="3" t="s">
        <v>45</v>
      </c>
      <c r="K199" s="3" t="s">
        <v>69</v>
      </c>
      <c r="L199" s="3" t="s">
        <v>42</v>
      </c>
      <c r="M199">
        <v>1</v>
      </c>
    </row>
    <row r="200" spans="1:13" x14ac:dyDescent="0.25">
      <c r="A200" s="2">
        <v>46181</v>
      </c>
      <c r="B200" s="1" t="str">
        <f ca="1">IF(Información1[[#This Row],[Fecha]]='Ajuste de fechas'!$A$2,"Día actual","Día anterior")</f>
        <v>Día actual</v>
      </c>
      <c r="C200" s="3" t="s">
        <v>31</v>
      </c>
      <c r="D200" t="s">
        <v>32</v>
      </c>
      <c r="E200" s="3" t="s">
        <v>342</v>
      </c>
      <c r="F200" s="3" t="s">
        <v>22</v>
      </c>
      <c r="G200" s="3" t="s">
        <v>122</v>
      </c>
      <c r="H200" s="3" t="s">
        <v>63</v>
      </c>
      <c r="I200" s="3" t="s">
        <v>12</v>
      </c>
      <c r="J200" s="3" t="s">
        <v>46</v>
      </c>
      <c r="K200" s="3" t="s">
        <v>27</v>
      </c>
      <c r="L200" s="3" t="s">
        <v>42</v>
      </c>
      <c r="M200">
        <v>1</v>
      </c>
    </row>
    <row r="201" spans="1:13" x14ac:dyDescent="0.25">
      <c r="A201" s="2">
        <v>46181</v>
      </c>
      <c r="B201" s="1" t="str">
        <f ca="1">IF(Información1[[#This Row],[Fecha]]='Ajuste de fechas'!$A$2,"Día actual","Día anterior")</f>
        <v>Día actual</v>
      </c>
      <c r="C201" s="3" t="s">
        <v>31</v>
      </c>
      <c r="D201" t="s">
        <v>32</v>
      </c>
      <c r="E201" s="3" t="s">
        <v>343</v>
      </c>
      <c r="F201" s="3" t="s">
        <v>256</v>
      </c>
      <c r="G201" s="3" t="s">
        <v>344</v>
      </c>
      <c r="H201" s="3" t="s">
        <v>63</v>
      </c>
      <c r="I201" s="3" t="s">
        <v>12</v>
      </c>
      <c r="J201" s="3" t="s">
        <v>41</v>
      </c>
      <c r="K201" s="3" t="s">
        <v>27</v>
      </c>
      <c r="L201" s="3" t="s">
        <v>43</v>
      </c>
      <c r="M201">
        <v>1</v>
      </c>
    </row>
    <row r="202" spans="1:13" x14ac:dyDescent="0.25">
      <c r="A202" s="2">
        <v>46181</v>
      </c>
      <c r="B202" s="1" t="str">
        <f ca="1">IF(Información1[[#This Row],[Fecha]]='Ajuste de fechas'!$A$2,"Día actual","Día anterior")</f>
        <v>Día actual</v>
      </c>
      <c r="C202" s="3" t="s">
        <v>31</v>
      </c>
      <c r="D202" t="s">
        <v>32</v>
      </c>
      <c r="E202" s="3" t="s">
        <v>345</v>
      </c>
      <c r="F202" s="3" t="s">
        <v>21</v>
      </c>
      <c r="G202" s="3" t="s">
        <v>56</v>
      </c>
      <c r="H202" s="3" t="s">
        <v>63</v>
      </c>
      <c r="I202" s="3" t="s">
        <v>7</v>
      </c>
      <c r="J202" s="3" t="s">
        <v>41</v>
      </c>
      <c r="K202" s="3" t="s">
        <v>27</v>
      </c>
      <c r="L202" s="3" t="s">
        <v>42</v>
      </c>
      <c r="M202">
        <v>1</v>
      </c>
    </row>
    <row r="203" spans="1:13" x14ac:dyDescent="0.25">
      <c r="A203" s="2">
        <v>46181</v>
      </c>
      <c r="B203" s="1" t="str">
        <f ca="1">IF(Información1[[#This Row],[Fecha]]='Ajuste de fechas'!$A$2,"Día actual","Día anterior")</f>
        <v>Día actual</v>
      </c>
      <c r="C203" s="3" t="s">
        <v>31</v>
      </c>
      <c r="D203" t="s">
        <v>32</v>
      </c>
      <c r="E203" s="3" t="s">
        <v>324</v>
      </c>
      <c r="F203" s="3" t="s">
        <v>51</v>
      </c>
      <c r="G203" s="3" t="s">
        <v>100</v>
      </c>
      <c r="H203" s="3" t="s">
        <v>63</v>
      </c>
      <c r="I203" s="3" t="s">
        <v>7</v>
      </c>
      <c r="J203" s="3" t="s">
        <v>41</v>
      </c>
      <c r="K203" s="3" t="s">
        <v>27</v>
      </c>
      <c r="L203" s="3" t="s">
        <v>42</v>
      </c>
      <c r="M203">
        <v>1</v>
      </c>
    </row>
    <row r="204" spans="1:13" x14ac:dyDescent="0.25">
      <c r="A204" s="2">
        <v>46181</v>
      </c>
      <c r="B204" s="1" t="str">
        <f ca="1">IF(Información1[[#This Row],[Fecha]]='Ajuste de fechas'!$A$2,"Día actual","Día anterior")</f>
        <v>Día actual</v>
      </c>
      <c r="C204" s="3" t="s">
        <v>31</v>
      </c>
      <c r="D204" t="s">
        <v>32</v>
      </c>
      <c r="E204" s="3" t="s">
        <v>262</v>
      </c>
      <c r="F204" s="3" t="s">
        <v>19</v>
      </c>
      <c r="G204" s="3" t="s">
        <v>263</v>
      </c>
      <c r="H204" s="3" t="s">
        <v>63</v>
      </c>
      <c r="I204" s="3" t="s">
        <v>25</v>
      </c>
      <c r="J204" s="3" t="s">
        <v>45</v>
      </c>
      <c r="K204" s="3" t="s">
        <v>27</v>
      </c>
      <c r="L204" s="3" t="s">
        <v>42</v>
      </c>
      <c r="M204">
        <v>1</v>
      </c>
    </row>
    <row r="205" spans="1:13" x14ac:dyDescent="0.25">
      <c r="A205" s="2">
        <v>46181</v>
      </c>
      <c r="B205" s="1" t="str">
        <f ca="1">IF(Información1[[#This Row],[Fecha]]='Ajuste de fechas'!$A$2,"Día actual","Día anterior")</f>
        <v>Día actual</v>
      </c>
      <c r="C205" s="3" t="s">
        <v>31</v>
      </c>
      <c r="D205" t="s">
        <v>32</v>
      </c>
      <c r="E205" s="3" t="s">
        <v>346</v>
      </c>
      <c r="F205" s="3" t="s">
        <v>19</v>
      </c>
      <c r="G205" s="3" t="s">
        <v>347</v>
      </c>
      <c r="H205" s="3" t="s">
        <v>63</v>
      </c>
      <c r="I205" s="3" t="s">
        <v>7</v>
      </c>
      <c r="J205" s="3" t="s">
        <v>45</v>
      </c>
      <c r="K205" s="3" t="s">
        <v>27</v>
      </c>
      <c r="L205" s="3" t="s">
        <v>42</v>
      </c>
      <c r="M205">
        <v>1</v>
      </c>
    </row>
    <row r="206" spans="1:13" x14ac:dyDescent="0.25">
      <c r="A206" s="2">
        <v>46181</v>
      </c>
      <c r="B206" s="1" t="str">
        <f ca="1">IF(Información1[[#This Row],[Fecha]]='Ajuste de fechas'!$A$2,"Día actual","Día anterior")</f>
        <v>Día actual</v>
      </c>
      <c r="C206" s="3" t="s">
        <v>31</v>
      </c>
      <c r="D206" t="s">
        <v>32</v>
      </c>
      <c r="E206" s="3" t="s">
        <v>348</v>
      </c>
      <c r="F206" s="3" t="s">
        <v>51</v>
      </c>
      <c r="G206" s="3" t="s">
        <v>267</v>
      </c>
      <c r="H206" s="3" t="s">
        <v>63</v>
      </c>
      <c r="I206" s="3" t="s">
        <v>7</v>
      </c>
      <c r="J206" s="3" t="s">
        <v>41</v>
      </c>
      <c r="K206" s="3" t="s">
        <v>27</v>
      </c>
      <c r="L206" s="3" t="s">
        <v>42</v>
      </c>
      <c r="M206">
        <v>1</v>
      </c>
    </row>
    <row r="207" spans="1:13" x14ac:dyDescent="0.25">
      <c r="A207" s="2">
        <v>46181</v>
      </c>
      <c r="B207" s="1" t="str">
        <f ca="1">IF(Información1[[#This Row],[Fecha]]='Ajuste de fechas'!$A$2,"Día actual","Día anterior")</f>
        <v>Día actual</v>
      </c>
      <c r="C207" s="3" t="s">
        <v>31</v>
      </c>
      <c r="D207" t="s">
        <v>32</v>
      </c>
      <c r="E207" s="3" t="s">
        <v>349</v>
      </c>
      <c r="F207" s="3" t="s">
        <v>15</v>
      </c>
      <c r="G207" s="3" t="s">
        <v>350</v>
      </c>
      <c r="H207" s="3" t="s">
        <v>63</v>
      </c>
      <c r="I207" s="3" t="s">
        <v>7</v>
      </c>
      <c r="J207" s="3" t="s">
        <v>41</v>
      </c>
      <c r="K207" s="3" t="s">
        <v>27</v>
      </c>
      <c r="L207" s="3" t="s">
        <v>44</v>
      </c>
      <c r="M207">
        <v>1</v>
      </c>
    </row>
    <row r="208" spans="1:13" x14ac:dyDescent="0.25">
      <c r="A208" s="2">
        <v>46181</v>
      </c>
      <c r="B208" s="1" t="str">
        <f ca="1">IF(Información1[[#This Row],[Fecha]]='Ajuste de fechas'!$A$2,"Día actual","Día anterior")</f>
        <v>Día actual</v>
      </c>
      <c r="C208" s="3" t="s">
        <v>31</v>
      </c>
      <c r="D208" t="s">
        <v>32</v>
      </c>
      <c r="E208" s="3" t="s">
        <v>351</v>
      </c>
      <c r="F208" s="3" t="s">
        <v>21</v>
      </c>
      <c r="G208" s="3" t="s">
        <v>244</v>
      </c>
      <c r="H208" s="3" t="s">
        <v>63</v>
      </c>
      <c r="I208" s="3" t="s">
        <v>7</v>
      </c>
      <c r="J208" s="3" t="s">
        <v>41</v>
      </c>
      <c r="K208" s="3" t="s">
        <v>27</v>
      </c>
      <c r="L208" s="3" t="s">
        <v>44</v>
      </c>
      <c r="M208">
        <v>1</v>
      </c>
    </row>
    <row r="209" spans="1:13" x14ac:dyDescent="0.25">
      <c r="A209" s="2">
        <v>46181</v>
      </c>
      <c r="B209" s="1" t="str">
        <f ca="1">IF(Información1[[#This Row],[Fecha]]='Ajuste de fechas'!$A$2,"Día actual","Día anterior")</f>
        <v>Día actual</v>
      </c>
      <c r="C209" s="3" t="s">
        <v>31</v>
      </c>
      <c r="D209" t="s">
        <v>32</v>
      </c>
      <c r="E209" s="3" t="s">
        <v>241</v>
      </c>
      <c r="F209" s="3" t="s">
        <v>21</v>
      </c>
      <c r="G209" s="3" t="s">
        <v>242</v>
      </c>
      <c r="H209" s="3" t="s">
        <v>63</v>
      </c>
      <c r="I209" s="3" t="s">
        <v>7</v>
      </c>
      <c r="J209" s="3" t="s">
        <v>41</v>
      </c>
      <c r="K209" s="3" t="s">
        <v>27</v>
      </c>
      <c r="L209" s="3" t="s">
        <v>44</v>
      </c>
      <c r="M209">
        <v>1</v>
      </c>
    </row>
    <row r="210" spans="1:13" x14ac:dyDescent="0.25">
      <c r="A210" s="2">
        <v>46181</v>
      </c>
      <c r="B210" s="1" t="str">
        <f ca="1">IF(Información1[[#This Row],[Fecha]]='Ajuste de fechas'!$A$2,"Día actual","Día anterior")</f>
        <v>Día actual</v>
      </c>
      <c r="C210" s="3" t="s">
        <v>31</v>
      </c>
      <c r="D210" t="s">
        <v>32</v>
      </c>
      <c r="E210" s="3" t="s">
        <v>352</v>
      </c>
      <c r="F210" s="3" t="s">
        <v>15</v>
      </c>
      <c r="G210" s="3" t="s">
        <v>353</v>
      </c>
      <c r="H210" s="3" t="s">
        <v>63</v>
      </c>
      <c r="I210" s="3" t="s">
        <v>7</v>
      </c>
      <c r="J210" s="3" t="s">
        <v>41</v>
      </c>
      <c r="K210" s="3" t="s">
        <v>27</v>
      </c>
      <c r="L210" s="3" t="s">
        <v>42</v>
      </c>
      <c r="M210">
        <v>1</v>
      </c>
    </row>
    <row r="211" spans="1:13" x14ac:dyDescent="0.25">
      <c r="A211" s="2">
        <v>46181</v>
      </c>
      <c r="B211" s="1" t="str">
        <f ca="1">IF(Información1[[#This Row],[Fecha]]='Ajuste de fechas'!$A$2,"Día actual","Día anterior")</f>
        <v>Día actual</v>
      </c>
      <c r="C211" s="3" t="s">
        <v>31</v>
      </c>
      <c r="D211" t="s">
        <v>32</v>
      </c>
      <c r="E211" s="3" t="s">
        <v>354</v>
      </c>
      <c r="F211" s="3" t="s">
        <v>22</v>
      </c>
      <c r="G211" s="3" t="s">
        <v>122</v>
      </c>
      <c r="H211" s="3" t="s">
        <v>63</v>
      </c>
      <c r="I211" s="3" t="s">
        <v>7</v>
      </c>
      <c r="J211" s="3" t="s">
        <v>46</v>
      </c>
      <c r="K211" s="3" t="s">
        <v>27</v>
      </c>
      <c r="L211" s="3" t="s">
        <v>42</v>
      </c>
      <c r="M211">
        <v>1</v>
      </c>
    </row>
    <row r="212" spans="1:13" x14ac:dyDescent="0.25">
      <c r="A212" s="2">
        <v>46181</v>
      </c>
      <c r="B212" s="1" t="str">
        <f ca="1">IF(Información1[[#This Row],[Fecha]]='Ajuste de fechas'!$A$2,"Día actual","Día anterior")</f>
        <v>Día actual</v>
      </c>
      <c r="C212" s="3" t="s">
        <v>31</v>
      </c>
      <c r="D212" t="s">
        <v>32</v>
      </c>
      <c r="E212" s="3" t="s">
        <v>355</v>
      </c>
      <c r="F212" s="3" t="s">
        <v>15</v>
      </c>
      <c r="G212" s="3" t="s">
        <v>65</v>
      </c>
      <c r="H212" s="3" t="s">
        <v>63</v>
      </c>
      <c r="I212" s="3" t="s">
        <v>25</v>
      </c>
      <c r="J212" s="3" t="s">
        <v>41</v>
      </c>
      <c r="K212" s="3" t="s">
        <v>27</v>
      </c>
      <c r="L212" s="3" t="s">
        <v>43</v>
      </c>
      <c r="M212">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48</v>
      </c>
      <c r="B1" t="s">
        <v>49</v>
      </c>
    </row>
    <row r="2" spans="1:2" x14ac:dyDescent="0.25">
      <c r="A2" s="2">
        <f ca="1">TODAY()</f>
        <v>46181</v>
      </c>
      <c r="B2" s="2">
        <f ca="1">A2-1</f>
        <v>46180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2026-06-09T00:47:20Z</dcterms:modified>
</cp:coreProperties>
</file>