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13DC8C39-54C4-400B-900D-AC8E9EE60F3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188" i="2"/>
  <c r="B49"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<sst xmlns="http://schemas.openxmlformats.org/spreadsheetml/2006/main" count="1883" uniqueCount="332">
  <si>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</si>
  <si>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</si>
  <si>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</si>
  <si>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</si>
  <si>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</si>
  <si>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</si>
  <si>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</si>
  <si>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</si>
  <si>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</si>
  <si>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</si>
  <si>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</si>
  <si>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</si>
  <si>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</si>
  <si>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</si>
  <si>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</si>
  <si>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</si>
  <si>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</si>
  <si>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</si>
  <si>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</si>
  <si>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</si>
  <si>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</si>
  <si>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</si>
  <si>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</si>
  <si>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</si>
  <si>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</si>
  <si>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</si>
  <si>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</si>
  <si>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</si>
  <si>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</si>
  <si>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</si>
  <si>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</si>
  <si>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</si>
  <si>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</si>
  <si>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</si>
  <si>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</si>
  <si>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</si>
  <si>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</si>
  <si>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</si>
  <si>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</si>
  <si>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</si>
  <si>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</si>
  <si>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</si>
  <si>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</si>
  <si>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</si>
  <si>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</si>
  <si>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</si>
  <si>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</si>
  <si>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</si>
  <si>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</si>
  <si>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</si>
  <si>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</si>
  <si>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</si>
  <si>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</si>
  <si>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</si>
  <si>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</si>
  <si>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</si>
  <si>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</si>
  <si>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</si>
  <si>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</si>
  <si>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</si>
  <si>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</si>
  <si>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Abasto De Agua</t>
  </si>
  <si>
    <t>Enfoque Regional Matutino</t>
  </si>
  <si>
    <t>Rodolfo López</t>
  </si>
  <si>
    <t>DIFH</t>
  </si>
  <si>
    <t>Radio Lobo 96.7 FM</t>
  </si>
  <si>
    <t>Enlace Noticias</t>
  </si>
  <si>
    <t>Gina Lorenzo</t>
  </si>
  <si>
    <t>Juan Carlos Santamaria</t>
  </si>
  <si>
    <t>Contraloría</t>
  </si>
  <si>
    <t>Radiodifusoras</t>
  </si>
  <si>
    <t>SSH</t>
  </si>
  <si>
    <t>NQ 90.1 FM</t>
  </si>
  <si>
    <t>Enlace Hidalgo2</t>
  </si>
  <si>
    <t>Jesús Riveros</t>
  </si>
  <si>
    <t>Ke Buena 106.7 FM</t>
  </si>
  <si>
    <t>Noticias 106.7</t>
  </si>
  <si>
    <t>David Cárdenas</t>
  </si>
  <si>
    <t>Enlace Hidalgo1</t>
  </si>
  <si>
    <t>Combate Al Narcomenudeo</t>
  </si>
  <si>
    <t>Observaciones ASEH</t>
  </si>
  <si>
    <t>Vialidad En Mal Estado</t>
  </si>
  <si>
    <t>Atención Afectaciones Por Lluvias</t>
  </si>
  <si>
    <t>Bienestar</t>
  </si>
  <si>
    <t>Programas Del Pueblo</t>
  </si>
  <si>
    <t>OCSAD</t>
  </si>
  <si>
    <t>Feria Patronal</t>
  </si>
  <si>
    <t>Combate Al Huachicol</t>
  </si>
  <si>
    <t>Localización de cuerpo</t>
  </si>
  <si>
    <t>Accidente transporte público</t>
  </si>
  <si>
    <t>Fuga de hidrocarburo</t>
  </si>
  <si>
    <t>Alerta Meteorológica</t>
  </si>
  <si>
    <t>La Auditoría Superior del Estado de Hidalgo (ASEH) detectó cobros excesivos e irregulares en el estacionamiento municipal de la Explanada de Dolores en Real del Monte. Durante los fines de semana y días festivos, el ayuntamiento cobraba a los turistas tarifas superiores a las autorizadas en su propia Ley de Ingreso.</t>
  </si>
  <si>
    <t>Combate a la delincuencia</t>
  </si>
  <si>
    <t>Reforestación</t>
  </si>
  <si>
    <t>Gobierno</t>
  </si>
  <si>
    <t>Repatriación</t>
  </si>
  <si>
    <t>Atención médica</t>
  </si>
  <si>
    <t>El secretario de Educación Pública de Hidalgo, Natividad Castrejón Valdez, dio el banderazo de salida para la distribución de 3 millones 712 mil 142 Libros de Texto Gratuitos del ciclo escolar 2026-2027, que beneficiarán a 567 mil 191 estudiantes de educación básica en la entidad. Durante el acto protocolario, el funcionario estatal destacó que esta acción reafirma el compromiso de la administración que encabeza el gobernador Julio Menchaca Salazar de garantizar que las y los estudiantes cuenten con sus libros de texto desde el primer día de clases, en congruencia con los principios de la Nueva Escuela Mexicana (NEM). El también titular del Instituto Hidalguense de Educación (IHE) señaló que la entrega oportuna de los libros garantiza que todas y todos los estudiantes, sin importar su condición económica o lugar de residencia, dispongan de los mismos materiales educativos desde el inicio del ciclo escolar, lo que fortalece la equidad, la inclusión y la justicia social.</t>
  </si>
  <si>
    <t>Libros de texto</t>
  </si>
  <si>
    <t>Turismo inclusivo</t>
  </si>
  <si>
    <t>Despacho</t>
  </si>
  <si>
    <t>Intervención Gráfica</t>
  </si>
  <si>
    <t>TSJEH</t>
  </si>
  <si>
    <t>Hidalgo avanza en la preservación de saberes tradicionales con prueba piloto sobre extracción de pigmentos naturales.</t>
  </si>
  <si>
    <t>Cultura</t>
  </si>
  <si>
    <t>Turismo</t>
  </si>
  <si>
    <t>Mundial De Futbol</t>
  </si>
  <si>
    <t>Desarticula SSPH dos puntos de venta de narcóticos en Tepeapulco</t>
  </si>
  <si>
    <t>Una balacera se registró la madrugada de este martes 7 de julio en la carretera federal Pachuca-Querétaro, específicamente en el tramo Palmillas-Portezuelo. Huichapan de los Mártires de la Independencia Nacional, Hidalgo.- El incidente ocurrió en la zona límite entre el municipio de Huichapan, Hidalgo, y San Juan del Río, Querétaro, culminando en un despliegue policial y la detención de varias personas. De acuerdo con los reportes iniciales, elementos de seguridad pública intentaron marcarle el alto a los ocupantes de dos vehículos que circulaban de manera sospechosa por la zona. Sin embargo, los civiles armados recibieron a los uniformados a balazos, lo que desencadenó una persecución con intercambio de disparos. Tras controlar la situación, las fuerzas de seguridad federales y estatales lograron la captura de varios de los presuntos agresores; en el lugar fueron aseguradas dos camionetas: una Chevrolet Avalanche y una Mitsubishi, ambas con placas de circulación del Estado de México. Hasta el momento, las autoridades no han reportado personas lesionadas, ni de oficiales policiacos, como de civiles.</t>
  </si>
  <si>
    <t>Elementos de Protección Civil de Singuilucan atendieron la mañana de este miércoles el reporte de una persona tirada sobre la carretera México-Tuxpan, a la altura de la comunidad de Mirasoles. De acuerdo con el informe de la corporación, al arribar al sitio localizaron a un hombre de aproximadamente 40 años de edad, quien se encontraba con cinta en el rostro y las manos. Como características, vestía pantalón de mezclilla azul, botines color café y tenía cabello negro. Hasta el momento no se han dado a conocer mayores datos sobre la identidad del masculino ni las circunstancias en las que fue localizado.</t>
  </si>
  <si>
    <t>Un operador de la ruta 11 Julio–Centro atropelló a tres personas que cruzaban cerca de la Iglesia de La Asunción, en Pachuca, Hidalgo. Los lesionados fueron atendidos por cuerpos de emergencia, mientras que el conductor fue detenido por la Policía Municipal. De acuerdo con testigos, el chofer presuntamente manejaba distraído con su teléfono celular al momento del accidente. el video del hecho se difundió en redes sociales, lo que provocó preocupación. hasta el momento no se abe el estado de salud de los lesionados.</t>
  </si>
  <si>
    <t>Dos elementos policiacos fueron sancionados por su actuación durante la protesta realizada por parte del personal del Hospital ISSSTE Pachuca, ocurrido el pasado 5 de junio. El titular de la Secretaría de Seguridad Pública de Hidalgo (SSPH), Salvador Cruz Neri, confirmó la sanción, recordando que la Unidad de Asuntos Internos inició dos procedimientos administrativos. Tras analizar más de 20 videos y fotografías, determinó imponer una separación del cargo a un policía, mientras que otro recibió una amonestación verbal. “Nosotros no vamos a permitir un acto de violencia ni mucho menos. Estamos siempre en la libre expresión y la manifestación”, aseguró el mando policiaco estatal. Las sanciones derivan del operativo desplegado a principios de junio, cuando policías estatales retiraron por la fuerza a un grupo de manifestantes que mantenía un bloqueo en el acceso principal del Hospital Columba Rivera Osorio del ISSSTE en Pachuca. Durante la intervención se observaron empujones y abuso en contra de las personas que exigían el pago de guardias y suplencias. Además de esta sanción, la Comisión de Derechos Humanos del Estado de Hidalgo, informó que inició una queja, cuyas investigaciones siguen vigentes.</t>
  </si>
  <si>
    <t>Agresión a periodista</t>
  </si>
  <si>
    <t>Obtuvo PGJEH fallo condenatorio para responsable de feminicidio, homicidio doloso calificado y homicidio doloso calificado en grado de tentativa</t>
  </si>
  <si>
    <t>Detención multihomicida</t>
  </si>
  <si>
    <t>Una persona fue localizada sin vida durante la tarde del martes 7 de julio en la colonia El Saucillo, del municipio de Mineral de la Reforma, donde presuntamente fueron localizados los responsables de dicho fallecimiento. Elementos policiacos arribaron al sitio tras recibir reporte al respecto, localizando a la persona, quien tras revisión, se confirmó que ya no contaba con signos vitales. En el cuerpo de dicha persona le fueron localizadas lesiones que habrían sido provocadas por impacto realizado con arma de fuego. De acuerdo con la información recabada, la víctima había acordado reunirse con un supuesto comprador de la camioneta que ofrecía en venta. Durante la prueba de manejo, los presuntos responsables lo trasladaron a un lugar despoblado donde, al intentar despojarlo de la unidad, accionaron un arma de fuego en su contra, privándole de la vida. Tras la agresión, el probable responsable huyó a bordo de la camioneta robada. Mediante el sistema de videovigilancia del Centro de Control, Comando, Comunicaciones, Cómputo, Coordinación e Inteligencia (C5i), se dio seguimiento a la ruta de escape. Ello que permitió a elementos de la Policía Estatal ubicar la unidad e iniciar una persecución que culminó con el aseguramiento de una persona del sexo masculino quien resulto ser menor de edad, asegurándosele un arma corta con la que presuntamente le causó la muerte a la víctima. Personal de la Procuraduría General de Justicia del Estado de Hidalgo acudieron para iniciar las investigaciones respectivas al caso, mientras que personal del Servicio Médico Forense realizaron el levantamiento del cuerpo sin vida.</t>
  </si>
  <si>
    <t>Madres y padres de familia del área de preescolar de un colegio, en el municipio de Tizayuca, realizaron una manifestación a las afueras del plantel para denunciar presuntos actos de violencia física y psicológica contra varios menores, presuntamente cometidos por una docente suplente. Con pancartas y consignas, los tutores solicitaron la intervención de la Secretaría de Educación Pública (SEP), del Ministerio Público y de la Comisión de Derechos Humanos para que se investiguen los hechos y se garantice la seguridad de los estudiantes. De acuerdo con uno de los padres inconformes, al menos cinco niños habrían sido víctimas de conductas inadecuadas por parte de la profesora, quien presuntamente los reprendía de manera agresiva, los lastimaba con rasguños y los aislaba en un espacio que, según señalaron, era utilizado como un “salón de castigo”. Los manifestantes informaron que solicitaron revisar las grabaciones de las cámaras de videovigilancia del plantel para esclarecer lo ocurrido; sin embargo, aseguraron que inicialmente no se les permitió el acceso al material, por lo que presentaron una solicitud formal ante la dirección general de la institución. Como medida de protesta, varios padres decidieron no enviar a sus hijos a clases hasta que las autoridades correspondientes esclarezcan la situación. Además, pidieron que la SEP revise los protocolos de atención del colegio y la actuación del personal involucrado, con el fin de proteger la integridad física y emocional de los menores. Tras la manifestación, los tutores acudieron al Ministerio Público para presentar una denuncia formal y solicitar el inicio de una carpeta de investigación sobre los hechos denunciados.</t>
  </si>
  <si>
    <t>Violencia Escolar</t>
  </si>
  <si>
    <t>En el Parque Nacional El Chico hay 43 construcciones sin autorización que incluyen lotes, cercados, casetas y hasta casas. Una de estas edificaciones se ubica en la zona de preservación -área donde está prohibido construir- por lo que existe un procedimiento ante la Procuraduría Federal de Protección al Ambiente (Profepa). De acuerdo con Marco Antonio Castro Martínez, director regional del Centro y Eje Neovolcánico de la Comisión Nacional de Áreas Naturales Protegidas (Conanp), las edificaciones fueron localizadas durante recorridos de inspección. Del total de irregularidades detectadas, cinco obras en proceso de cimentación fueron suspendidas por la Secretaría de Obras Públicas de Pachuca por ubicarse dentro de la porción del Parque que corresponde a ese municipio. Además, una construcción en Mineral del Chico fue clausurada por la Profepa al encontrarse dentro de la subzona de preservación, donde la legislación ambiental prohíbe apertura de caminos, extracción de recursos naturales, cambios de uso de suelo o actividades que impliquen la remoción de vegetación y alteración del entorno. Este caso tiene antecedente en el 10 de junio, cuando la Procuraduría en una visita de inspección halló un estacionamiento con una superficie conjunta de mil 70 metros cuadrados, así como un camino de piedra, una cabaña de concreto en obra negra, una barda y trabajos de movimiento de tierra. Castro Martínez añadió que el Parque Nacional abarca una superficie de 2 mil 739.02 hectáreas, de las cuales el 86 % (2 mil 360 hectáreas) pertenecen a Mineral del Chico; el 13% a Pachuca (349 hectáreas) y 1% restante (28 hectáreas) se distribuye en Mineral del Monte. La extensión se divide en cinco subzonas: la de preservación ya enunciada, la de recuperación, de uso público, asentamientos humanos, así como de recuperación.</t>
  </si>
  <si>
    <t>Área Natural Protegida</t>
  </si>
  <si>
    <t>Los hidalguenses deportados de Estados Unidos no siempre son entregados en la frontera con México, en algunos casos, las autoridades migratorias los trasladan hasta Chiapas, Tabasco o Yucatán, una estrategia que dificulta su regreso a Hidalgo. Así lo informó Manuel Enrique Aranda Montero, director general de Atención al Migrante en la entidad, quien precisó que entre enero y mayo de 2026 suman 2 mil 365 repatriaciones; mientras que 2025 cerró con 4 mil 600 personas deportadas, cifra inferior a la observada en años previos. Señaló que el comportamiento a la baja es por la disminución de personas que intentan cruzar de manera irregular hacia Estados Unidos y a causa de las deportaciones, aunque descartó que estas sean masivas. Incluso, afirmó que los registros actuales son menores a los de las administraciones de Joe Biden y Barack Obama. Aranda Montero mencionó que la mayoría de los connacionales son repatriados por la frontera norte y posteriormente reciben apoyo del Gobierno de México para trasladarse a distintas ciudades del país, pero también existen casos donde son enviados a entidades del sur. "Hay otros que los vuelan hasta Tapachula, los vuelan a Tabasco o a Yucatán. Entonces, cuando nos avisan que un deportado ya está en Chiapas, tenemos que buscar apoyo con el gobierno de ese estado o con el DIF para que pueda regresar cuando no tiene recursos", explicó. Quienes sí son repatriados por la frontera norte generalmente reciben un apoyo por 2 mil pesos para viajar vía terrestre a ciudades como Monterrey, Guadalajara o Ciudad de México, desde donde continúan el retorno a sus lugares de origen.</t>
  </si>
  <si>
    <t>Fue presentada en el Congreso del Estado de Hidalgo, iniciativa para hacer obligatorio la transmisión de las sesiones de los Ayuntamientos en todos los municipios de la entidad. El diputado local Leonel Perusquía Muedano presentó dicha iniciativa, donde además de obligar a la transmisión en tiempo real de dichas sesiones, se establece también obligatorio que quienes acudan puedan documentar lo que ocurre en estas por medio de fotos o videos. El legislador señaló que hay casos donde ciudadanos o representantes de los medios de comunicación han encontrado incluso prohibición, así como dificultades para llevar a cabo el registro de lo que ocurre durante las sesiones públicas de Ayuntamiento. Mencionó que el hecho que los ayuntamientos no presenten mecanismos efectivos que permitan a la ciudadanía seguir las sesiones en tiempo real, provoca que muchas personas desconozcan cómo se toman las decisiones públicas y sólo conocen de ellas cuando ya fueron aprobadas. La iniciativa propone adicionar el artículo 49 Ter a la Ley Orgánica Municipal para Hidalgo, estableciendo la obligación para los 84 Ayuntamientos de la entidad transmitir en tiempo real sus sesiones públicas y a través de medios digitales oficiales.</t>
  </si>
  <si>
    <t>Iniciativa</t>
  </si>
  <si>
    <t>Entrega DIF Hidalgo 28 proyectos productivos y ayudas técnicas para familias del Valle de Tulancingo</t>
  </si>
  <si>
    <t>Entrega De Apoyos</t>
  </si>
  <si>
    <t>La Secretaría de Bienestar e Inclusión Social en Hidalgo (Sebisoh) inició este martes 7 de junio los operativos para la entrega de tarjetas de los programas Bienestar y Desarrollo, Madres Trabajadoras y Bienestar para Personas Artesanas, con el objetivo de acercar los apoyos a las y los beneficiarios en distintas regiones del estado. La dependencia llevará a cabo 62 operativos que no se limitarán a las cabeceras municipales, sino que también llegarán a comunidades, facilitando el acceso a los programas y evitando traslados innecesarios. El titular de la Sebisoh, Ricardo Gómez Moreno, destacó que este esfuerzo refleja el compromiso del gobierno de Hidalgo de garantizar que los recursos públicos lleguen de manera directa a la población. Los programas citados contemplan un apoyo anual total de 10 mil pesos, distribuidos en cuatro depósitos bimestrales de 2 mil 500 pesos, con el objetivo de fortalecer la economía de las familias beneficiarias. Como parte de la estrategia social, este año se dio prioridad a las familias de 307 comunidades de municipios afectados por la vaguada monzónica, donde se concentra el 44 por ciento de la población beneficiaria de estos programas; en el resto del Estado de Hidalgo se contempla el 56 por ciento de los apoyos. En esta primera etapa, se contempla que el programa Bienestar y Desarrollo beneficiará a más de 28 mil personas, mientras que el programa Madres Trabajadoras apoyará a más de 11 mil mujeres. En el caso del programa de Bienestar para Personas Artesanas, entregará más de mil 400 apoyos de 10 mil pesos que se entregarán en una sola exhibición. Las personas beneficiarias deberán mantenerse atentas a la página oficial de Facebook (https://www.facebook.com/Hidalgo.Bienestar/) donde se darán a conocer las sedes, fechas y horarios de entrega, así como la documentación requerida para el proceso. Es importante recordar que el trámite es personal e intransferible; quienes no puedan acudir en la primera fecha programada contarán con una segunda y última oportunidad para recoger su tarjeta; de no presentarse, podrían perder el acceso al apoyo económico.</t>
  </si>
  <si>
    <t>Con el objetivo de fortalecer un turismo accesible e incluyente, el Gobierno de Tulancingo, en coordinación con la Secretaría de Turismo del Estado de Hidalgo y la Dirección General de Inclusión para Personas con Discapacidad y Personas Cuidadoras del Estado de Hidalgo, llevó a cabo la capacitación “Turismo Inclusivo”, dirigida a prestadores de servicios turísticos y comerciales del municipio. La jornada tuvo como propósito sensibilizar y dotar de herramientas a quienes brindan atención al público, promoviendo una cultura de inclusión que vaya más allá de la eliminación de barreras y garantice una experiencia digna, segura y de calidad para las personas con discapacidad. Durante la capacitación, el trato respetuoso, contar con recursos que faciliten el acceso a bienes y servicios en igualdad de condiciones, atención adecuada a personas con discapacidad, la sensibilización sobre la inclusión, el uso de tecnologías para la consulta accesible de menús y servicios, así como la implementación de materiales y estrategias que favorezcan la autonomía de las y los usuarios, son herramientas importantes en el servicio. La presidenta municipal, Lorena García Cázares, reconoció la participación y compromiso del sector turístico y comercial para fortalecer una cultura de inclusión que contribuya al desarrollo económico del municipio y, al mismo tiempo, garantice el respeto pleno de los derechos humanos.</t>
  </si>
  <si>
    <t>Comerciantes establecidos sobre avenida 21 de marzo, entre las calles 20 de noviembre y Quinta Cabrera, en el centro de la ciudad de Tulancingo, solicitaron al gobierno municipal que se haga reacomodo de los puestos que se colocarán durante la celebración de la feria tradicional en honor a la Virgen de los Ángeles. En un documento dirigido a la alcaldesa Lorena García Cázares, a los integrantes de la Asamblea Municipal, así como al comité de feria, señalaron que la distribución y acomodo de los puestos, generaron problemáticas durante la feria celebrada el año pasado. La colocación de las carpas taparon las fachadas de los negocios establecidos durante las tres semanas de la feria, lo que además de generar posibles robos en la zona, provocaron disminución en ventas. Dicho acomodo además provocó bloqueo de salidas de emergencia en algunos de estos comercios establecidos, así como problemas de movilidad en banquetas para los peatones. Por lo que los comerciantes establecidos y vecinos de la zona solicitaron a las autoridades que el acomodo de los puestos a partir de este año sea viendo de frente, como ocurre en los puestos ubicados en otras calles cercanas al templo de Nuestra Señora de los Ángeles. Dicho acomodo se solicita en el perímetro ya señalado, de avenida 21 de marzo, entre las calles 20 de noviembre y Quinta Cabrera. En el escrito también se solicita a las autoridades que se agilice la recolección de basura, señalando que el año pasado dicho servicio fue deficiente, dejando los desechos sólidos por espacio de varias horas en calles muy transitadas.</t>
  </si>
  <si>
    <t>En el marco de la Séptima Sesión Ordinaria del Sistema Municipal de Protección Integral de Niñas, Niños y Adolescentes (SIPINNA), se tomó protesta a las y los 15 integrantes del Consejo Consultivo de Niñas, Niños y Adolescentes 2026, quienes participarán promoviendo que el interés superior de la niñez se coloque en el centro de la toma de decisiones. Durante la sesión, las y los consejeros presentaron diversas propuestas enfocadas en temas de gran relevancia social, como inclusión y accesibilidad, salud mental, bienestar animal, inteligencia artificial y tecnología, seguridad pública y mejora de los servicios públicos, demostrando una visión comprometida con la construcción de un municipio más seguro, equitativo e incluyente para todas y todos. Asimismo, se sometió a consideración la integración de la Primera Comisión para la Protección de la Primera Infancia, cuyo propósito es garantizar el desarrollo integral de niñas y niños de cero a seis años de edad,</t>
  </si>
  <si>
    <t>Toma de protesta</t>
  </si>
  <si>
    <t>Daniel Martínez comenta que él era incrédulo de que las procuradurías municipales de atención a niñas, niños y adolescentes funcionaran, pero ayer después de escuchar a Edda Vite Ramos explicando todos los lineamientos y como funcionarán estos lugares, su perspectiva ha cambiado, pues así quedan claras las responsabilidades y no se andarán "echando la bolita".</t>
  </si>
  <si>
    <t>Procuraduría municipal del menor</t>
  </si>
  <si>
    <t>La operación de las procuradurías municipales de atención a niñas, niños y adolescentes permitirá agilizar atención a las denuncias que se presenten, y con ello la atención adecuada. Así lo expresó Edda Vite Ramos, Presidenta del Sistema DIF Hidalgo durante la instalación de la procuraduría municipal para Tulancingo, este martes 7 de julio. Enfatizó que con las reformas a modificó la Ley de Derechos de Niñas, Niños y Adolescentes, la Ley de Asistencia Social y la Ley Orgánica Municipal, se fortalecen los esquemas legales para atender las denuncias. Sobre todo se establece que precisamente las procuradurías municipales de atención a niñas, niños y adolescentes son las instancias que atienden dichas denuncias. Reiteró que se agiliza la atención, pues las reformas de ley establecen a quién corresponde las atenciones y seguimiento, evitando incluso la revictimización. Laura Karina Ramírez Jiménez, titular de la Procuraduría de Protección de Niñas, Niños, Adolescentes y la Familia del Estado de Hidalgo, señaló que los principales delitos denunciados en el estado de Hidalgo a dicho sector social, son la violencia familiar, lesiones, y los delitos de carácter sexual. Señaló que ya se ha tenido reuniones con instancias como la Procuraduría General de Justicia del Estado de Hidalgo, el Tribunal Superior de Justicia estatal, entre otras, para garantizar la agilidad en la atención a las denuncias, y seguimiento a estas, incluso desde una perspectiva de género. Hasta el momento, se han instalado 15 procuradurías municipales de atención a niñas, niños y adolescentes, mientras que 52 están en espera de concretar el proceso legal. En la jornada de este martes 7 de julio, fueron también instaladas procuradurías municipales de atención a niñas, niños y adolescentes en Acaxochitlán, Santiago Tulantepec y Singuilucan.</t>
  </si>
  <si>
    <t>Andrés Torres da lectura a su columna "Las Vocales Extraviadas que se intitula: Crece la confianza. El Estado de Hidalgo se destaca en México por su transparencia y disciplina financiera, ocupando el segundo lugar nacional en el Índice de Calidad de la Información de la SHCP. Bajo el liderazgo del gobernador Julio Menchaca, se ha mejorado el manejo de recursos públicos y la fiscalización, lo que aumenta la confianza de la ciudadanía. Julio Menchaca tiene un 61.1% de aprobación en la zona centro y es cuarto a nivel nacional. Esto también beneficia la aprobación de la presidenta Claudia Sheinbaum, alcanzando un 79.5%. Además, Hidalgo ha recibido calificación perfecta en la consistencia de recursos y gestión de proyectos. La Auditoría Superior de la Federación no encontró observaciones en la revisión de participaciones federales. Se implementaron estrategias de transparencia que incluyen un sistema digital para concentrar información. También se involucraron dependencias locales en la auditoría continua del presupuesto de los ayuntamientos.</t>
  </si>
  <si>
    <t>Aprobación Gobernador</t>
  </si>
  <si>
    <t>Ayer se presentaron dos importantes encestas una es de Mitofsky y la otra de REBRUM, respecto al posicionamiento y aprobación de las y los mandatarios y el gobernador julio Menchaca se posiciona en el primer lugar de la zona centro como el gobernador con mayor aceptación alcanzando el 61.1%, mientras que a nivel nacional alcanza el cuarto lugar en posicionamiento de los 23 gobernadoras y gobernadores encuestados.</t>
  </si>
  <si>
    <t>Fueron ya sancionados por la Secretaría de Seguridad Pública del Estado de Hidalgo, los responsables de las agresiones a la reportera Maripaz Roldán y el camarógrafo de Radio y Televisión de Hidalgo, Danilo Badillo, esto durante una protesta de trabajadores de la salud frente al hospital del ISSSTE en Pachuca.</t>
  </si>
  <si>
    <t>Radioescucha: llega un comunicado de Caasim del corte de agua en el centro de Pachuca por las obras del Tren AIFA- Pachuca, eso no les interesa por el corte de dinero (sic). Por otro lado no hay un recorte, eso es falta de interés del gobierno federal y que el pueblo sufra.</t>
  </si>
  <si>
    <t>Abasto de agua</t>
  </si>
  <si>
    <t>SEPH entrega certificados de inglés a más de 22 mil estudiantes de bachillerato</t>
  </si>
  <si>
    <t>Certificación de idioma</t>
  </si>
  <si>
    <t>Andrés Torres en respuesta a un radioescucha que menciona el reconocimiento del Congreso a Radio y Televisión de Hidalgo, Señala que coincide con el Congreso y que los 208 trabajadores de este organismo ponen hasta su dinero para poder trabajar, lo que le consta, y lo hacen de manera desinteresada, con mucha vocación e ímpetu. Asevera que es muy merecido el reconocimiento que se hace a las personas que están trabajando desde las 6 de la mañana y que se van después de media noche, que trabajan sábados y domingos, que trabajan en las antenas, en casetas. Un reconocimiento, venga de donde venda es muy merecido y también es de reconocer. Señala que las interpretaciones se las deja a quienes les gusta hacer interpretaciones y quien quiera creer, colgarse o decir está en todo su derecho, pero quienes saben de estos asuntos conocen perfectamente quién originó la recuperación de nuevas concesiones, porque ahí está mal el Congreso, no se recuperaran las anteriores, son nuevas y lo que también hay que reconocer, y ayer se les olvidó mencionarlo, es la visión de Julio Menchaca gobernador del estado al reconocer a la radio pública como un ente eficaz y efectivo de comunicación, porque donde no llega el Internet y los periódicos ahí llega la radio pública hidalguense. Felicita a todos sus compañeros y compañeras por su trabajo y esfuerzo.</t>
  </si>
  <si>
    <t>Recuperación de radiodifusoras</t>
  </si>
  <si>
    <t>Gobierno de Julio Menchaca fortalece la participación ciudadana en la toma de decisiones</t>
  </si>
  <si>
    <t>Copladem</t>
  </si>
  <si>
    <t>El día de hoy el gobernador Julio Menchaca hará la entrega del nuevo Centro Administrativo del Bienestar y Desarrollo Rural, esto se desarrollará en la calle Vicente Segura de la Colonia Periodistas en Pachuca.</t>
  </si>
  <si>
    <t>Agenda gobernador</t>
  </si>
  <si>
    <t>Refuerzan protección del Parque Nacional El Chico/ Segobh</t>
  </si>
  <si>
    <t>Segobh/Bol.077/2026</t>
  </si>
  <si>
    <t>En la comunidad de San Ildefonso, en Tepeji del Río no solo tienen problemas de la falta de servicios y en el ayuntamiento, sino también con al ex secretaria de Cultura Tania Meza, que estuvo involucrada en un tema de 14 millones de pesos que anduvieron volando y que al final no recibieron este beneficio; ente otras cosas. Está muy molesta la gente con sus recientes autoridades.</t>
  </si>
  <si>
    <t>Desvío de recursos</t>
  </si>
  <si>
    <t>El seguimiento mediante el C5i y la respuesta de la Policía Estatal derivaron en la detención del probable responsable. En atención a un reporte recibido mediante el número de emergencia 911, en el que se informó sobre detonaciones de arma de fuego en la colonia El Saucillo, municipio de Mineral de la Reforma, la Secretaría de Seguridad Pública de Hidalgo (SSPH), implementó un operativo para la búsqueda y localización del probable responsable. De acuerdo con la información recabada, la víctima había acordado reunirse con un supuesto comprador de la camioneta que ofrecía en venta. Durante la prueba de manejo, los presuntos responsables lo trasladaron a un lugar despoblado donde, al intentar despojarlo de la unidad, accionaron un arma de fuego en su contra, privándole de la vida. Tras la agresión, el probable responsable huyó a bordo de la camioneta robada. Mediante el sistema de videovigilancia del Centro de Control, Comando, Comunicaciones, Cómputo, Coordinación e Inteligencia (C5i), se dio seguimiento a la ruta de escape, lo que permitió a elementos de la Policía Estatal ubicar la unidad e iniciar una persecución que culminó con el aseguramiento de una persona del sexo masculino quien resulto ser menor de edad, asegurándosele un arma corta con la que presuntamente le causó la muerte a la víctima. El sujeto y los indicios quedaron a disposición de la autoridad competente, que continuará con las investigaciones correspondientes. La SSPH mantiene estrecha coordinación con las autoridades ministeriales para coadyuvar en las investigaciones y fortalecer las acciones encaminadas a la procuración de justicia. Asimismo, exhorta a la ciudadanía a reportar cualquier hecho constitutivo de delito mediante el 911 de emergencias o al 089 de denuncia anónima.</t>
  </si>
  <si>
    <t>La SEPH ya anunció el reparto de libros de texto, para que el próximo ciclo escolar desde el primer día de clases los niños, niñas y jóvenes inicien el ciclo con sus libros y todo lo necesario, porque la educación es uno de los pilares del gobierno de Julio Menchaca</t>
  </si>
  <si>
    <t>Prevalece la alerta por parte de la Subsecretaría de Protección Civil del Estado, ante las fuertes lluvias y rachas de viento acompañadas de granizo en varias regiones del estado.</t>
  </si>
  <si>
    <t>Andrés Torres comenta que ya casi se cumplen 3 meses sin señal en el 1010 de AM El Vocero Huasteco. Tenemos un tema de energía, administrativo que no han podio resolver y estamos a punto de cumplir tres meses.</t>
  </si>
  <si>
    <t>La Casa de las Artesanías Hidarte Tulancingo registra avances importantes para consolidar su apertura, al adquirir el software y el punto de venta con los que se comercializarán las piezas artesanales que serán exhibidas en este nuevo espacio. El proyecto, aprobado por el Ayuntamiento de Tulancingo en septiembre de 2025, contempla la instalación de la tienda Hidarte en el Centro Cultural Ricardo Garibay, donde se desarrollan las etapas finales de rehabilitación del inmueble, la integración del padrón de expositores y la capacitación del personal que estará a cargo de la operación del establecimiento, privilegiando una atención de calidad y un servicio especializado. La presidenta municipal, Lorena García Cázares, destacó que la apertura de la tienda representa un proyecto de gran relevancia para el municipio y la región, al convertirse en un escaparate permanente para la promoción y comercialización del trabajo artesanal. Hasta el momento, más de 30 personas artesanas han manifestado su interés en formar parte del padrón de expositores; sin embargo, para ser seleccionadas, deberán cumplir con los lineamientos establecidos por el Distintivo de Artesanía Mexicana (DAM), criterio que aplica Hidarte Hidalgo para garantizar que los productos correspondan a procesos artesanales y no sean considerados manualidades o artículos de producción seriada. Consciente de que muchos artesanos aún se encuentran en proceso de cumplir con estas disposiciones, la administración municipal decidió implementar un programa de capacitación y acompañamiento técnico. Las acciones de formación abarcan temas de identidad de marca, comercialización, presentación del producto, requisitos normativos, procesos administrativos y estrategias de venta, con el propósito de que las y los participantes cumplan con los estándares que exige Hidarte Hidalgo.</t>
  </si>
  <si>
    <t>Hidarte</t>
  </si>
  <si>
    <t>El trabajo coordinado entre la ciudadanía y el gobierno de Cuautepec de Hinojosa continúa dando resultados que transforman la vida de las familias. En esta ocasión, el presidente municipal Jorge Hernández Araus encabezó la inauguración de la pavimentación hidráulica de la calle San Juan Bautista, en la localidad de San Juan Hueyapan, una obra que representa un paso importante para el desarrollo y la movilidad de la comunidad. Con una inversión superior a los 5.9 millones de pesos, la obra contempló la construcción de más de cuatro mil metros cuadrados de pavimento hidráulico, así como acciones complementarias para fortalecer la infraestructura urbana, entre ellas la renivelación de pozos de visita, la construcción de bocas de tormenta y la aplicación de señalamiento horizontal, mejorando las condiciones de seguridad y funcionalidad de esta importante vialidad.</t>
  </si>
  <si>
    <t>Pavimentación hidráulica</t>
  </si>
  <si>
    <t>Respecto a la nota de las observaciones de la ASEH realizadas a la Presidencia Municipal de Mineral del Monte sobre irregulares en el estacionamiento municipal, David Cárdenas comentó que, cuándo el Gobierno del Estado invierte para que haya eventos como los pueblos mágicos, como acudir con cocineras tradicionales a Los Pinos, que hay una difusión para que venga el turismo y cuándo llegan a municipios donde no son bien atendidos, se les cobra de manera discrecional la estancia en un estacionamiento, todo esto debe de ser subsanado.</t>
  </si>
  <si>
    <t>Las intensas lluvias registradas en los últimos días provocaron que dos de las tres presas del municipio de Nopala de Villagrán se encuentren al 100 por ciento de su capacidad, comenzando a verter agua de manera controlada. De acuerdo con información de Protección Civil Municipal, los embalses Nopala y Doxixho alcanzaron ya su máximo nivel. Las autoridades confirmaron que, aunque presentan escurrimientos, el desfogue controlado se mantiene dentro de los parámetros normales y no representa un riesgo para la población. La dependencia resaltó que en años anteriores se ha registrado la misma situación sin que derive en contingencias. Sin embargo, se mantiene el llamado a la ciudadanía a mantenerse informada por los canales oficiales. Por otra parte, la presa San Lorenzo continúa bajo monitoreo permanente debido a que actualmente registra alrededor del 60 por ciento de su capacidad de almacenamiento. A pesar de no estar llena, las autoridades la consideran la de mayor riesgo en el municipio. Un eventual derrame o contingencia en este cuerpo de agua podría afectar a más de 30 familias que habitan en las zonas cercanas.</t>
  </si>
  <si>
    <t>Monitoreo De Presas</t>
  </si>
  <si>
    <t>A casi un mes del accidente ocurrido en la presa Zimapán —donde cuatro personas perdieron la vida y cinco más lograron sobrevivir luego de que la lancha en la que viajaban se volcara—, el torneo de pesca que fue suspendido a raíz de esa tragedia será retomado el próximo 11 de julio. Sin embargo, a pocos días de su realización, se desconoce si se reforzarán las medidas de seguridad para proteger a los participantes. El evento originalmente estaba programado para el 20 de junio, pero fue cancelado tras los hechos registrados días antes en el embalse, en el que se mantuvieron labores de búsqueda y rescate de los cuerpos durante tres días. Aunque en este tipo de competencias habitualmente los organizadores implementan algunas acciones de seguridad, hasta el momento no se ha informado si, derivado de lo ocurrido, se aplicará un protocolo más estricto o si se contará con el respaldo de corporaciones como Protección Civil o Seguridad Pública. Este medio intentó buscar una postura oficial sobre las medidas que se implementarán, sin que se obtuviera respuesta por parte de los organizadores. Por su parte, la Dirección de Seguridad Pública municipal mencionó a este medio no tener conocimiento de alguna solicitud de apoyo para el desarrollo del evento, lo que incrementa las dudas sobre la coordinación que pudiera existir para atender cualquier eventualidad.</t>
  </si>
  <si>
    <t>Turismo Deportivo</t>
  </si>
  <si>
    <t>Respecto a la nota de las observaciones de la ASEH realizadas a la Presidencia Municipal de Mineral del Monte sobre irregulares en el estacionamiento municipal, David Cárdenas comentó que, cuándo el Gobierno del Estado invierte para que haya eventos coomo los pueblos mágicos, como acudir con cocineras tradicionales a Los Pinos, que hay una difusión para que venga el turismo y cuándo llegan a municipios donde no son bien atendidos, se les cobra de manera discrecional la estancia en un estacionamiento, todo esto debe de ser subsanado.</t>
  </si>
  <si>
    <t>Al llevar a cabo la entrega de este nuevo Centro Administrativo del Bienestar y Desarrollo Rural, el gobernador Julio Mechaca hizo memoria de que este espacio fue espacio de la vivienda de gobernadores, hoy, es un espacio para el servicio público. (AUDIO JMS).</t>
  </si>
  <si>
    <t>Recuperación Del Patrimonio</t>
  </si>
  <si>
    <t>gobernador de hidalgo, Julio Menchaca Salazar entregó en nuevo Centro Administrativo del Bienestar y Desarrollo Rural, destacó también a su equipo de trabajo, al gabinete, que señala, viene. Trabajando muy fuerte y con esfuerzo, pero, los rezagos también han sido mayúsculos, por lo que, en ocasiones, cuesta trabajo hacer una evaluación objetiva de lo que se está realizando en Hidalgo. (AUDIO JMS).</t>
  </si>
  <si>
    <t>El legislador Avelino Tovar Iglesias (PVEM) presentó la iniciativa que reforma la Ley de Movilidad y Transporte para el Estado de Hidalgo, con el objetivo de fortalecer el marco jurídico aplicable a los servicios auxiliares de arrastre, salvamento y depósito vehicular en el estado de, mediante la incorporación de los principios de legalidad, transparencia y certeza jurídica en la prestación de dichos servicios.</t>
  </si>
  <si>
    <t>El legislador Leonel Perusquía Muedano (PRD) propuso la iniciativa que modifica la Ley Orgánica Municipal para el Estado de Hidalgo, con la finalidad de garantizar la máxima publicidad de las sesiones públicas de los ayuntamientos mediante su transmisión obligatoria en tiempo real a través de medios electrónicos oficiales.</t>
  </si>
  <si>
    <t>En sesión ordinaria, diputadas y diputados integrantes de la LXVI Legislatura avalaron con 21 votos a favor, cero en contra y cero abstenciones, el dictamen que aprueba con modificaciones la iniciativa que reforma la Ley de Acceso de las Mujeres a una Vida Libre de Violencia, en materia de violencia laboral horizontal y ascendente, promovido por el diputado Francisco Javier Téllez Sánchez (PT), emitido por la primera Comisión Permanente de Legislación y Puntos Constitucionales. La diputada Alma Rosa Elías Paso (Morena) precisó que el propósito es reconocer y visibilizar una forma específica de violencia laboral que puede ser ejercida por subordinados hacia una superior jerárquica por su condición de mujer. La propuesta busca ampliar la definición de violencia laboral para incluir no solo actos tradicionales de hostigamiento o agresión, también conductas como el cuestionamiento injustificado de la autoridad y el desacato a órdenes legítimas, cuando estas acciones tienen un trasfondo de género.</t>
  </si>
  <si>
    <t>Reforma De Ley</t>
  </si>
  <si>
    <t>El Congreso del Estado de Hidalgo entregó la distinción "La Mina del Tiempo" a José Acosta Hernández, fundador del Movimiento Nacional por la Diversidad Cultural en México, capítulo Hidalgo, en reconocimiento a su labor en favor de la promoción, preservación y fortalecimiento de la diversidad cultural en la entidad. Durante la ceremonia también se llevó a cabo la décima entrega de la Medalla al Mérito por la Diversidad Cultural, un reconocimiento que busca destacar a personas e iniciativas que impulsan la inclusión, la interculturalidad y la protección del patrimonio cultural de Hidalgo. En el acto se destacó la importancia de fortalecer la identidad de los pueblos y comunidades, así como de promover acciones que contribuyan al respeto de la diversidad cultural como un elemento de cohesión social y desarrollo.</t>
  </si>
  <si>
    <t>Medalla al mérito</t>
  </si>
  <si>
    <t>Estudiantes del Colegio de Bachilleres del Estado de Hidalgo obtuvieron un reconocimiento por su participación en el programa “Tecnolochicas”, iniciativa que se enfoca en desarrollar y promover el interés por las ciencias e ingenierías computacionales entre mujeres jóvenes, fortaleciendo la seguridad en sí mismas y dotándolas de herramientas clave para el siglo XXI. Dicho evento se llevó a cabo en las instalaciones del plantel Tepeapulco, y contó con la presencia del Director General de Cobaeh, Rubén López Valdez, y la Directora del Programa “Tecnolochicas” Astrid Viveros, quienes en compañía de personal docente y administrativo les entregaron reconocimientos a las 41 alumnas que formaron parte de esta iniciativa, de las cuales 24 pertenecen al centro educativo anfitrión y 16 más están adscritas al CEMSaD Tlanalapa.</t>
  </si>
  <si>
    <t>Justa Académica</t>
  </si>
  <si>
    <t>Patrimonio cultural</t>
  </si>
  <si>
    <t>SSPH detiene a presunto homicida</t>
  </si>
  <si>
    <t>Gobierno de Hidalgo, federación y municipios fortalecen acciones para proteger el Parque Nacional El Chico</t>
  </si>
  <si>
    <t>Coordinación Interinstitucional</t>
  </si>
  <si>
    <t>Locutor Jesús Riveros da lectura a comentario de radioescucha que reporta falta de medicamentos en el Hospital General de Pachuca, locutor Jesús Riveros responde que pasara el reporte a la SSH.</t>
  </si>
  <si>
    <t>Abasto De Medicamentos</t>
  </si>
  <si>
    <t>En Singuilucan se dio un paso importante en el fortalecimiento de los derechos de la niñez y adolescencia con la formalización de la Procuraduría Municipal, instancia encargada de garantizar la protección, atención y restitución de los derechos de la infancia y la adolescencia. La formalización fue encabezada por la presidenta del Patronato del Sistema DIFH, Edda Vite Ramos junto con la presidenta municipal de Singuilucan, Yazmin Dávila López.</t>
  </si>
  <si>
    <t>Mediante enlace telefónico desde el notimóvil, Rene Aguilar informó sobre el hallazgo de un cuerpo de un masculino de aproximadamente 40 años sobre la carretera México-Tuxpan,, el reporte lo recibieron elementos de la Policía Estatal y al llegar a la zona ya estaba el cuerpo tirado que presentaba huellas de violencia y maniatado, ya realizaron el levantamiento del cuerpo.</t>
  </si>
  <si>
    <t>Brigadas de la Salud acercarán atención médica gratuita a Alfajayucan</t>
  </si>
  <si>
    <t>Brigadas De Salud</t>
  </si>
  <si>
    <t>Despacho del Gobernador abre convocatoria para la sexta edición de Intervención Gráfica</t>
  </si>
  <si>
    <t>Sebiso inicia operativos de entrega de tarjetas de los Programas del Pueblo</t>
  </si>
  <si>
    <t>Radioescucha reporta muchos baches en Bosques del Peñar en Eucalipto, pide a las autoridades que chequen eso.</t>
  </si>
  <si>
    <t>Enfoque Regional Meridiano</t>
  </si>
  <si>
    <t>La construcción del nuevo pleno del Congreso de Hidalgo tendrá como reto mantenerse dentro del presupuesto establecido y evitar que los costos superen los 100 millones de pesos, aseguró el presidente de la Junta de Gobierno del Poder Legislativo, Andrés Velázquez Vázquez, AUDIO APOYO</t>
  </si>
  <si>
    <t>Salón De Plenos</t>
  </si>
  <si>
    <t>Jesús González</t>
  </si>
  <si>
    <t>El Congreso de Hidalgo aprobó reformas a la Ley de Acceso de las Mujeres a una Vida Libre de Violencia para ampliar la protección contra la violencia laboral por razones de género, al incorporar las modalidades de violencia horizontal y ascendente dentro del ámbito laboral.</t>
  </si>
  <si>
    <t>En el marco del aniversario 44 del decreto del Parque Nacional El Chico, la Secretaría Medio Ambiente y Recursos Naturales de Hidalgo (Semarnath), llevó a cabo la tercera etapa de reforestación al plantar 3 mil 500 especies, en el Paraje Cruz de Negro.Para realizar esta estrategia, que forma parte del programa “Reforestar para Transformar”, la dependencia tuvo el apoyo de 400 participantes, para continuar con las acciones de restauración de ecosistemas y promover el desarrollo sustentable.Cabe destacar que el Parque Nacional El Chico, es el primer bosque protegido de México y se constituye como un referente de conservación, por ello la dependencia señaló que con esta tercera jornada de reforestación se suman 17 mil árboles plantados, para fortalecer un ecosistema vital para el agua, la biodiversidad y el bienestar de Hidalgo.Es importante recordar que este espacio constituye una de las áreas naturales protegidas más importantes del país, debido a su riqueza forestal, su biodiversidad y su función estratégica en la captación y conservación de recursos hídricos que benefician a diversos municipios de Hidalgo y de la región centro del país y su preservación representa una responsabilidad compartida entre autoridades y sociedad.</t>
  </si>
  <si>
    <t>La Poderosa Tuxpan 93.1 FM</t>
  </si>
  <si>
    <t>NN Nuestras Noticias Zona Norte</t>
  </si>
  <si>
    <t>Programas sociales transforman la vida de más de 51 mil familias en Hidalgo, AUDIO APOYO</t>
  </si>
  <si>
    <t>Liz Argüelles</t>
  </si>
  <si>
    <t>Laura Karina Ramírez Jiménez, titular de la Procuraduría de Protección de Niñas, Niños, Adolescentes y la Familia del Estado de Hidalgo, mantiene acercamientos con los municipios para compartir información y aclarar que la atención es la misma que ofrecían las unidades de primer contacto, AUDIO APOYO</t>
  </si>
  <si>
    <t>Hasta ayer sumaban 17 Procuradurías Municipales de Protección de Niñas, Niños y Adolescentes debidamente formalizadas, y existen 52 en espera de esta situación, informó la Presidenta del Patronato del Sistema DIF Hidalgo, Edda Vite Ramos, AUDIO APOYO</t>
  </si>
  <si>
    <t>La presidenta del Patronato del Sistema de Hidalgo, Edda Vite Ramos, lamentó que la violencia contra niñas, niños y adolescentes se haya normalizado en la sociedad, exhortó a madres y padres de familia a recuperar la formación en valores desde el hogar, advirtió también que el entorno familiar se ha convertido en el principal espacio donde se vulneran los derechos de las infancias, un tema delicado e importante abordar. Durante la formalización de la Procuraduría Municipal de Protección de Niñas, Niños y Adolescentes de Tulancingo, la titular del Patronato del DIF estatal sostuvo que la violencia ha escalado a niveles preocupantes debido a la indiferencia social. Y ella me decía pues que cada vez había más niños, niñas y adolescentes violentados. Yo le pregunto, bueno, ¿y dónde está la mamá? Yo con la idea de que la mamá es así como la defensora de los hijos, ¿no?...Y sin duda, ya lo comentó la presidenta del patronato de David Ramos, que la violencia en los hogares va en aumento y es preocupante. Ojalá, ojalá que se pueda priorizar el diálogo en las familias, que se pueda velar siempre a la escucha de las infancias y que pues sin duda, se garantice que crezcan, se desarrollen en entornos seguros. AUDIO DE APOYO</t>
  </si>
  <si>
    <t>La Secretaría de Seguridad Pública, Tránsito y Vialidad (SSPTyV) de Pachuca exhortó a la ciudadanía a tomar precauciones al realizar operaciones de compra o venta de vehículos, con el objetivo de evitar fraudes que puedan poner en riesgo el patrimonio de las personas.A través de una campaña informativa, la dependencia recordó que cuenta con el programa Compra Segura, un servicio gratuito mediante el cual personal especializado acompaña a compradores y vendedores durante la transacción y realiza verificaciones para brindar mayor certeza sobre la operación.</t>
  </si>
  <si>
    <t>Prevención del delito</t>
  </si>
  <si>
    <t>Participación semanal vía telefónica Lamán Carranza con el tema: Mundial de Futbol</t>
  </si>
  <si>
    <t>Elementos de Protección Civil de Singuilucan atendieron la mañana de este miércoles el reporte de una persona tirada sobre la carretera México-Tuxpan, a la altura de la comunidad de Mirasoles. De acuerdo con el informe de la corporación, al arribar al sitio localizaron a un hombre de aproximadamente 40 años de edad, quien se encontraba con cinta en el rostro y las manos. Como características, vestía pantalón de mezclilla azul, botines color café y tenía cabello negro</t>
  </si>
  <si>
    <t>La Unidad de Rehabilitación de Fauna Silvestre de Pachuca concretó una nueva jornada de liberación de animales rehabilitados, con la que 32 ejemplares de distintas especies regresaron a su entorno natural después de recibir atención especializada.Se trata de la quinta liberación realizada durante 2026, resultado del trabajo coordinado entre la unidad municipal, la Procuraduría Federal de Protección al Ambiente (Profepa), la Reserva de la Biósfera de la Barranca de Metztitlán y la dirección de Ecología de San Agustín Metzquititlán. Los ejemplares fueron trasladados a un área adecuada para su reintegración, luego de concluir satisfactoriamente su proceso de recuperación. Entre ellos se encuentran dos garzas, un aguililla aliancho, un ardillón de roca, un aguililla cola corta, un halcón peregrino, una lechuza, un tecolote llanero, un búho cornudo, 20 tlacuaches y tres cincuates.</t>
  </si>
  <si>
    <t>Liberación Fauna Silvestre</t>
  </si>
  <si>
    <t>El despacho del gobernador abre convocatoria para la sexta edición de Intervención Gráfica 4.2. Los detalles con Claudia Alcántara. Gracias, La Secretaría del Despacho del Poder Ejecutivo de Hidalgo abrió la convocatoria para la Intervención Gráfica 4.2, dirigida a artistas mayores de 18 años con residencia o trayectoria en la entidad. Las y los interesados podrán registrar hasta 8 obras o series de disciplinas como pintura, fotografía, ilustración, grabado, escultura e instalación.La recepción de propuestas estará abierta hasta el 31 de agosto. Ya está abierta la convocatoria Intervención Gráfica 4.2. 12 propuestas serán seleccionadas para brillar en la sexta exposición del Edificio de Gobierno en octubre. Si quieres conocer las bases, visita la página intervenciongráfica.hidalgo.gov.mx y las redes sociales de Secretaría del Despacho del Gobernador. En esta edición se seleccionarán 12 proyectos, 6 de mujeres y 6 de hombres, que integrarán una exposición a inaugurarse en octubre en el Edificio de Gobierno del Estado, donde permanecerá abierta durante seis meses. El secretario del Despacho del Gobernador, Alejandro Velázquez Mendoza, destacó que este programa busca fortalecer el acceso al arte, impulsar el talento hidalguense y convertir los espacios públicos en puntos de encuentro entre la cultura y la ciudadanía</t>
  </si>
  <si>
    <t>La Delegación de Programas para el Bienestar en Hidalgo realizó la entrega de tarjetas del programa federal FISPAIM, dirigido a comunidades y pueblos indígenas. Este martes tocó el turno a localidades de la región del Valle del Mezquital, de municipios como Atotonilco, El Grande y Zacualtipán, cuyos comités acudieron a las oficinas de la dependencia federal ubicadas en Pachuca, donde las tesoreras recibieron sus tarjetas para que puedan cobrar los recursos destinados a obras y acciones de mejora en sus comunidades.</t>
  </si>
  <si>
    <t>Delegación</t>
  </si>
  <si>
    <t>Fondo Indígena</t>
  </si>
  <si>
    <t>Radioescucha manda audio y comenta que está un cuerpo tirado sobre la carretera en la carretera México-Tuxpan a la altura de Los Girasoles en el municipio de Singuilucan, al parecer es el cuerpo de una persona que fue ejecutada.</t>
  </si>
  <si>
    <t>Ejecuciones</t>
  </si>
  <si>
    <t>La Procuraduría General de Justicia de Hidalgo obtuvo un fallo condenatorio contra un hombre identificado con las iniciales MAMG, al ser declarado responsable de feminicidio, homicidio doloso calificado y homicidio doloso calificado en grado de tentativa. Este caso corresponde al ataque ocurrido el 5 de febrero de este año en la comunidad de Azoyatla, municipio de Mineral de la Reforma, donde cinco personas fueron agredidas con un objeto punzocortante por un ex policía. Como resultado, dos mujeres y un hombre perdieron la vida, mientras que otros dos hombres sobrevivieron con lesiones. Ahora ya, tras el desahogo del juicio, pues un tribunal de enjuiciamiento emitió el fallo condenatorio. Pero la audiencia para individualizar las acciones quedó programada para mañana 9 de julio. El procurador de Hidalgo, Francisco Fernández Hasbun, espera que la sentencia deje satisfecha a las víctimas: AUDIOS DE APOYO</t>
  </si>
  <si>
    <t>Personal ministerial adscrito a la Fiscalía de Delitos de Género y Trata de Personas de la Procuraduría General de Justicia del Estado de Hidalgo, obtuvo fallo condenatorio en contra de Marco Antonio N., declarándolo responsable de feminicidio, homicidio doloso calificado y homicidio doloso calificado en grado de tentativa. Los hechos investigados ocurrieron el 5 de febrero de 2025 en la localidad de Asoyetla, en Mineral de la Reforma, donde cinco personas fueron atacadas con un objeto punzocortante y, derivado de la agresión, perdieron la vida dos mujeres y un hombre, y otros dos hombres resultaron lesionados. Con base en los datos de prueba aportados por el Ministerio Público, la Procuraduría formuló la imputación y obtuvo su vinculación al proceso. Una vez agotadas las etapas del proceso penal, un tribunal de enjuiciamiento determinó la responsabilidad de Marco N. en los hechos que le fueron imputados por parte de la Fiscalía de Delitos de Género y Trata de Personas, y se obtuvo fallo condenatorio. El próximo 9 de julio está programada la audiencia de individualización de sanciones.</t>
  </si>
  <si>
    <t>La Comisión Nacional del Agua inició un desfogue controlado de la Presa Requena hacia el Río Tula, luego de que el embalse alcanzó 103.7% de su capacidad.De acuerdo con la dependencia federal, la maniobra consiste en liberar 10 metros cúbicos por segundo como medida preventiva y se realiza bajo protocolos de seguridad que no representan riesgo para la población.La Conagua informó que la presa almacena 37.369 millones de metros cúbicos de agua.</t>
  </si>
  <si>
    <t>Desfogue De Presa</t>
  </si>
  <si>
    <t>Con el objetivo de brindar a niñas y niños un espacio seguro, recreativo y de aprendizaje durante el periodo vacacional, el Sistema DIF Pachuca abrió las inscripciones para el Curso de Verano “Exploradores del Futuro”, una iniciativa que promueve el desarrollo de habilidades, la convivencia y la diversión a través de actividades formativas.El periodo de inscripción será hasta el 23 de julio, de lunes a viernes, de 9:00 a 14:00 horas, en las instalaciones del Sistema DIF Pachuca, ubicadas en Parque Hidalgo No. 120, colonia Centro.</t>
  </si>
  <si>
    <t>Curso de verano</t>
  </si>
  <si>
    <t>La participación ciudadana fortalece la actualización del Plan Municipal de Desarrollo de Tula de Allende. Con el propósito de construir un municipio con una visión compartida y un desarrollo acorde a las necesidades de la población, el gobierno municipal de Tula de Allende llevó a cabo el Foro de Consulta Pública para la Actualización del Plan Municipal de Desarrollo 2024 - 2027, encabezado por el presidente municipal, Cristhian Martínez y el director general de Vinculación y Participación Ciudadana de la Unidad de Planeación y Prospectiva del Estado de Hidalgo, David Arturo Rodríguez Calzadíaz en representación de la dependencia, AUDIO APOYO</t>
  </si>
  <si>
    <t>COPLADEM</t>
  </si>
  <si>
    <t>Autoridades federales, estatales y municipales acordaron aplicar el Plan Cero Construcciones sin Autorización, esto en el Parque Nacional El Chico, con el objetivo de frenar los asentamientos irregulares y garantizar que cualquier obra cumpla con la legislación ambiental. El secretario de gobierno de Hidalgo, Guillermo Olivares Reyna, informó que toda construcción dentro del área protegida deberá contar previamente con autorización de impacto ambiental emitida por la Semarnat, de lo contrario podrá ser sancionada con multas de hasta 50 mil humas y clausuradas. En esta estrategia participan dependencias de los tres órdenes de gobierno, entre ellas Semarnat, Guardia Nacional, Sedena, Profepa, CONAMP, la Secretaría de Gobierno y la Secretaría de Medio Ambiente de Hidalgo, además de los municipios de Pachuca, Mineral del Chico, Mineral del Monte, para fortalecer la protección de una de las áreas naturales más importantes del estado. Y eso desde luego abona el propósito, visibilizar esta problemática que debe de detenerse, la problemática de invasión de espacios del Parque Nacional El Chico y desde luego en su caso lo que es evitar continúen los asentamientos irregulares. AUDIO APOYO GOR</t>
  </si>
  <si>
    <t>Ejidatarios de la comunidad de Cieneguillas, en San Agustín Mezquititlán denunciaron la presunta invasión de 60 hectáreas de tierras ejidales por parte de un particular a quien acusan de talar más de 250 árboles de pino y provocar daños en la cerca perimetral del predio. Los afectados estiman los daños en alrededor de dos millones de pesos y exigieron a la Procuraduría General de Justicia de Hidalgo agilizar la carpeta de investigación al señalar que el caso permanece sin avances desde hace dos años.</t>
  </si>
  <si>
    <t>Conflicto Ejidal</t>
  </si>
  <si>
    <t>La Secretaría de Seguridad Pública de Hidalgo desarticuló dos puntos de droga en el municipio de Tepeapulco y detuvo a un hombre durante un operativo coordinado con la Sedena, la Guardia Nacional y la Procuraduría Estatal. Las autoridades ejecutaron dos cateos en inmuebles de la Colonia Constitución de 1917, donde aseguraron un arma corta con cartuchos útiles, un vehículo con reporte de robo, 370 dosis de presunta marihuana, 280 dosis de probable cristal, una báscula gramera y un chaleco balístico. El detenido y los objetos asegurados quedaron a disposición del Ministerio Público, que continuará con las investigaciones para definir su situación jurídica.</t>
  </si>
  <si>
    <t>Una persecución con intercambio de disparos entre presuntos civiles armados y corporaciones de seguridad culminó con la detención de seis personas y el aseguramiento de una camioneta tras un operativo desplegado en la zona limítrofe entre Querétaro e Hidalgo. De acuerdo con los primeros reportes, la movilización inició luego de que se alertara sobre la presunta presencia de un convoy de hombres armados que circulaban sobre la carretera Portezuelo-Palmillas. El seguimiento se desarrolló entre la comunidad del Carmen, en el municipio de Huchapan, Hidalgo, y el cazadero, en San Juan del Río, Querétaro. En el operativo participaron elementos de la Guardia Nacional, quienes extendieron la persecución hasta las comunidades de Paso de Mata y Puerta de Palmillas, donde lograron interceptar una camioneta tipo Suburban. El aseguramiento se realizó en la autopista México-Querétaro con dirección a Querétaro y, de acuerdo con información, los seis ocupantes descendieron de la unidad e intentaron huir hacia una zona cerril, pero fueron alcanzados y detenidos por los elementos de seguridad. De manera extraoficial se informó que la camioneta portaba placas del Estado de México y que en su interior fueron localizadas armas cortas, rifles de uso exclusivo de las Fuerzas Armadas, cartuchos útiles, chalecos balísticos, equipo de radiocomunicación y artefactos conocidos como ponchallantas. Los seis detenidos son originarios del Estado de Hidalgo y, presuntamente, formaban parte de una red de halcones que opera en San Juan del Río para una organización criminal vinculada de manera preliminar al robo de hidrocarburo.</t>
  </si>
  <si>
    <t>En atención a un reporte recibido al 911 en el que se informó sobre detonaciones de armas de fuego en la localidad del Saucillo en Mineral de la Reforma. La SSPH implementó un operativo para la búsqueda y localización de un presunto responsable, según la información recabada, la víctima había acordado reunirse con un supuesto comprador de una camioneta que ofrecía en venta. Durante la prueba de manejo, los presuntos responsables lo trasladaron a un lugar despoblado donde, al intentar despojarlo de la unidad, accionaron un arma de fuego en su contra, privándole de la vida, matándolo, pues. Tras la agresión, el presunto responsable huyó a bordo de una camioneta robada, se dio seguimiento a la ruta de escape, lo que permitió a elementos de la Policía Estatal ubicar la unidad e iniciar una persecución que culminó con el aseguramiento de un hombre, quien resultó ser menor de edad. Lo aseguraron, le quitaron también un arma corta con la que presuntamente causó la muerte a la víctima.</t>
  </si>
  <si>
    <t>Continuando con los temas de seguridad, la Secretaría de Seguridad Pública de Hidalgo detuvo a un menor de edad, presuntamente relacionado con el homicidio de un hombre durante el supuesto intento de compra de una camioneta en Mineral de la Reforma. De acuerdo con el reporte, la víctima acudió a una prueba de manejo, pero fue llevada a un lugar despoblado, donde presuntamente intentaron despojarlo del vehículo y le dispararon. Tras la agresión, el presunto responsable huyó en la camioneta robada. Sin embargo, gracias al sistema de videovigilancia del C5I y policías estatales, dieron seguimiento a la ruta de escape iniciaron una persecución y lograron su aseguramiento. Al detenido le fue asegurada un arma corta, presuntamente utilizada en el homicidio. Tanto el menor como los indicios quedaron a disposición de la autoridad competente, que va a continuar con las investigaciones.</t>
  </si>
  <si>
    <t>Fue un fuerte operativo, se registró la tarde de ayer martes en la zona metropolitana de Pachuca, luego de que un elemento de la Policía Estatal fuera asesinado a balazos durante un ataque armado en la colonia El Saucillo, en el municipio de Mineral de la Reforma. Tras cometer el crimen, él o los agresores despojaron al oficial de su patrulla y escaparon a toda velocidad, lo que provocó un impresionante despliegue de corporaciones de los tres niveles de gobierno en búsqueda de los responsables. De acuerdo con los primeros reportes, el ataque ocurrió sobre la calle Bicentenario, donde sujetos armados sorprendieron al uniformado y le dispararon en repetidas ocasiones. Luego del homicidio, los delincuentes abordaron la unidad oficial y emprendieron la huida, por lo que se activó un operativo de emergencia a través del C5I e instalaron filtros y recorridos sobre el bulevar Nuevo Hidalgo, Luis Donaldo Colosio, y la carretera Pachuca-Ciudad Sahagún para tratar de cerrarles el paso. De manera extraoficial, trascendió que la patrulla robada fue localizada abandonada minutos después en las inmediaciones de la Universidad Politécnica de Pachuca, donde presuntamente los responsables descendieron del vehiculo</t>
  </si>
  <si>
    <t>Conductor Eulalio Larrieta mencionó la noticia de la tarde de ayer 7 de julio en donde un vendedor de camionetas fue asesinado en el fraccionamiento El Saucillo. Las autoridades informaron que la víctima acudió a una cita de compraventa y, durante una prueba de manejo, el supuesto comprador lo llevó a una zona despoblada para robarle la unidad. El propietario fue asesinado con un arma de fuego.</t>
  </si>
  <si>
    <t>Radioescucha comenta que no deberían cobrar el estacionamiento de algunas plazas, ya que están muy caras y uno va a los establecimientos a consumirles.</t>
  </si>
  <si>
    <t>Cobro de estacionamiento</t>
  </si>
  <si>
    <t>SEPH entrega certificados de inglés a más de 22 mil estudiantes de bachillerato, AUDIO APOYO</t>
  </si>
  <si>
    <t>El sistema integral de enseñanza, aprendizaje y certificación del idioma inglés benefició a 22.491 estudiantes de educación media superior en Hidalgo, con la entrega simbólica de certificados de reconocimiento internacional. Durante la ceremonia, el secretario de Educación Pública Estatal Natividad Castrejón Valdés destacó que la certificación fortalece las competencias de las y los jóvenes y amplía sus oportunidades académicas y laborales. Las autoridades educativas señalaron que esta estrategia busca que las y los estudiantes concluyan el bachillerato con una mejor preparación y herramientas para su desarrollo profesional, mediante un modelo que integra aprendizaje del inglés y certificación con validez internacional. Aprender un segundo idioma, y para muchos de ustedes un tercer idioma, representa mucho más adquirir una nueva habilidad de comunicación. Significa ampliar horizontes y generar mayores oportunidades de desarrollo personal. También fortalece el bienestar de las familias y el progreso de las comunidades. Facilita el acceso al conocimiento, a la ciencia, a la cultura, la cooperación internacional y la competitividad profesional. Por esta razón, la formación en idiomas constituye actualmente una prioridad para los sistemas educativos más avanzados del mundo. AUDIO DE APOYO</t>
  </si>
  <si>
    <t>El encargado del despacho de la Procuraduría General de Justicia del Estado de Hidalgo, Francisco Fernández Hasbún, informó que aún continúa la búsqueda de los dos trabajadores de la Comisión Federal de Electricidad que desaparecieron desde el pasado 26 de junio en la zona limítrofe entre Puebla e Hidalgo. AUDIO DE APOYO</t>
  </si>
  <si>
    <t>Búsqueda de personas</t>
  </si>
  <si>
    <t>Usted puede revisar las redes sociales de la Secretaría de Salud de Hidalgo para ver dónde van a estar estas brigadas, poder acercarse a estos servicios gratuitos y sino también acercarse a su municipio, al ayuntamiento, para que le puedan informar si está próxima una visita de estas brigadas de salud para que usted pueda pues tener este acceso, este derecho a estos servicios gratuitos por parte del gobierno estatal.</t>
  </si>
  <si>
    <t>Brigadas de la salud se acercaron a Alfajayucan, brindaron atención gratuita en este municipio. La información con Jocelyn Sánchez. La Secretaría de Salud de Hidalgo llevó este martes una brigada de salud al municipio de Alfajayucan, con el objetivo de acercar servicios médicos gratuitos y fortalecer la prevención de enfermedades. La población pudo acceder sin costo a consultas de medicina general, ginecología, pediatría, nutrición, psicología, odontología y fisioterapia. Además de mastografías, pruebas de glucosa y detección de antígeno prostático. También se entregaron medicamentos y previa valoración médica, apoyos funcionales como bastones, muletas, andaderas y sillas de ruedas. De manera complementaria, se ofreció servicios veterinarios gratuitos de esterilización, vacunación y revisión para perros y gatos. Para Enfoque Regional informó Joselyn Sánchez.</t>
  </si>
  <si>
    <t>Este miércoles se prevén lluvias fuertes en las regiones norte y este de Hidalgo, acompañadas con rachas de viento de hasta 50 kilómetros por hora. Protección civil llama a extremar precauciones ante posibles encharcamientos, crecida de ríos y arroyos, deslaves y caída de ramas u objetos, así que hay que evitar cruzar corrientes de agua y mantenerse informado.</t>
  </si>
  <si>
    <t>Radioescucha reporta la coladera de Boulevard Rojo Gómez</t>
  </si>
  <si>
    <t>Alcantarillado</t>
  </si>
  <si>
    <t>Un motociclista resultó lesionado la mañana de este miércoles luego de verse involucrado en un accidente con un vehículo particular sobre la carretera Jorobas–Tula, a la altura del paraje conocido como Aguas Negras, en el municipio de Atitalaquia.De acuerdo con información de Protección Civil y Bomberos de Atitalaquia, tras recibir el reporte de emergencia, paramédicos acudieron al lugar en coordinación con elementos de Seguridad Pública y Tránsito Municipal.En el sitio, el motociclista recibió atención prehospitalaria para estabilizar sus lesiones y posteriormente fue trasladado al Hospital Pemex Tula, donde quedó bajo valoración médica y recibiría atención especializada.</t>
  </si>
  <si>
    <t>Accidente Carretero</t>
  </si>
  <si>
    <t>La actuación de los policías que participaron en el desalojo de la manifestación de trabajadores del Hospital Columba Rivera Osorio del ISSSTE, en Pachuca, ya derivó en sanciones administrativas, informó el secretario de Seguridad Pública de Hidalgo, Salvador Cruz Neri, quien confirmó que un elemento fue separado de su cargo y otro recibió una amonestación verbal.El funcionario explicó que, tras los hechos registrados durante la protesta del pasado 5 de junio, la Unidad de Asuntos Internos abrió dos carpetas administrativas para investigar el actuar de los uniformados.</t>
  </si>
  <si>
    <t>Abuso Policiaco</t>
  </si>
  <si>
    <t>El titular de la Secretaría de Seguridad Pública de Hidalgo, Salvador Cruz Neri, confirmó la separación del cargo de un policía estatal tras comprobarse agresiones durante la protesta del Issste en el Boulevard Felipe Ángeles. El secretario detalló que la Unidad de Asuntos Internos analizó más de 20 vídeos y fotografías de la barrera de contención antimotín, aplicando la baja del implicado y una amonestación verbal a otro elemento. Que bueno que se dan ese tipo de investigaciones.</t>
  </si>
  <si>
    <t>Comenta conductor Jesús Gonzalez que ayer por la noche ya se restablecio el servicio de agua potable, el centro de Tula , La Malinche y otras colonias ya tiene agua potable en algunas comunidades afectadas, si en algunas colonias aun no tiene agua, pueden comunicarse a los telefonos de a estación y poder dar la informacion al ayuntamiento</t>
  </si>
  <si>
    <t>Radioescucha reporta falta de agua en Tulipanes; ya llevan varios días sin el líquido y, por las obras, nos quedaremos otros días más.</t>
  </si>
  <si>
    <t>Radioescucha Sra. Alva García, vivo en el Fraccionamiento Río de la Soledad, mi colonia siempre es afectada en el abasto de agua y mala presión.</t>
  </si>
  <si>
    <t>Hoy apartir la Caasim informó que habrá afectaciones en el suministro de agua potable en los sectores Oriente, Sur Oriente y Centro de la Zona Metropolitana de Pachuca, debido a los trabajos de construcción del tren AIFA-Pachuca, Los trabajos iniciarán a las 05:00 horas y tendrán una duración estimada de hasta 40 horas.</t>
  </si>
  <si>
    <t>La Comisión de Agua Potable, Alcantarillado y Saneamiento de Cuautepec de Hinojosa (CAPASCHH) implementó un nuevo sistema comercial para modernizar sus procesos internos y mejorar la atención a las personas usuarias. La actualización permitirá fortalecer la gestión y seguimiento de la información administrativa y comercial, además de agilizar la operación del organismo. A corto plazo, se contempla incorporar opciones de pago mediante plataformas digitales para facilitar trámites y servicios. Como parte de este proceso, la CAPASCHH recibió siete computadoras portátiles, seis equipos No Break y seis impresoras, con respaldo del gobierno estatal, a través de la Comisión Estatal de Agua y Alcantarillado (CEAA). La directora general, Diana Castelán, señaló que estas acciones buscan consolidar una administración más eficiente y orientada a mejorar el servicio a la ciudadanía.</t>
  </si>
  <si>
    <t>Entrega De Equipo</t>
  </si>
  <si>
    <t>La fuerte lluvia registrada este día en Tizayuca provocó inundaciones en distintos fraccionamientos de la zona de Tepojaco e inmediaciones del área industrial, donde autoridades municipales activaron un operativo para atender los puntos con mayor afectación. Entre las zonas con inundaciones significativas se encuentran los fraccionamientos El Recinto, Marbella y Villa los Milagros, donde el agua cubrió calles y complicó la circulación de vehículos y peatones. Ante esta situación, la Dirección de Protección Civil y Bomberos de Tizayuca activó el Plan de Contingencia para mantener vigilancia en las colonias afectadas, atender reportes ciudadanos y reducir riesgos mientras continuaba la lluvia y el escurrimiento de agua. Elementos de la corporación realizaron recorridos de supervisión en vialidades con mayor acumulación de agua, además de brindar apoyo en puntos donde se reportaron afectaciones. rotección Civil pidió a la población no circular por calles inundadas, no intentar cruzar corrientes de agua caminando ni en automóvil, reducir la velocidad y manejar con precaución en las zonas donde aún hay encharcamientos. La dependencia municipal informó que el monitoreo se mantiene activo y que continúa el conteo para conocer el nivel de afectaciones provocado por la lluvia, por lo que podrían actualizarse los reportes conforme avancen las labores en campo.</t>
  </si>
  <si>
    <t>El Poder Judicial del Estado de Hidalgo hizo públicas, en los últimos 16 meses, las sentencias del Juzgado Especializado para Adolescentes en el Sistema Acusatorio y Oral en contra de adolescentes por el delito de homicidio en las que las penas no rebasan los cinco años de internamiento pues así lo establece la ley en la materia.</t>
  </si>
  <si>
    <t>Respecto al boletín de la SSH en donde se informa sobre las metas de vacunación y prevención de enfermedades, locutor David Cárdenas comentó que, gracias a la participación de la ciudadanía de acudir a complementar el cuadro básico de vacunación, permite el noble ejercicio de quien, al frente de toda persona, entrega su tiempo, conocimiento y generosidad para aplicarnos una vacuna o para darnos ánimo y para devolvernos la salud. Sin duda, estos resultados de la profesionalización de médicas y médicos de la SSH permiten que podamos estar bien, que podamos estar sanos y por supuesto, mantenernos atentos de las recomendaciones que son en favor de cada uno de nosotros.</t>
  </si>
  <si>
    <t>Vacunación</t>
  </si>
  <si>
    <t>La contralora municipal de Nopala de Villagrán, Erika Yazmin Monter Portes, solicitó por segunda ocasión aplazar su comparecencia ante el cabildo para informar sobre diversos asuntos relacionados con el Órgano Interno de Control; sin embargo, la recién creada Comisión Dictaminadora rechazó otorgarle los 15 días hábiles que pidió y únicamente aprobó un plazo de cinco días hábiles para que rinda cuentas.</t>
  </si>
  <si>
    <t>Comparecencias</t>
  </si>
  <si>
    <t>La camioneta tipo Van que fue robada en abril pasado del estacionamiento de una tienda de autoservicio en Ixmiquilpan fue localizada este jueves por elementos de Seguridad Pública Municipal en un predio ubicado en la colonia Benito Juárez.</t>
  </si>
  <si>
    <t>Recuperación De Vehículos Robados</t>
  </si>
  <si>
    <t>El Congreso de Hidalgo aprobó una reforma al Código Fiscal Municipal con la que se busca fortalecer la capacidad de recaudación de los ayuntamientos y dotar a las autoridades hacendarias de mayores herramientas para ejercer sus facultades fiscales. Durante la sesión ordinaria de la LXVI Legislatura, diputadas y diputados avalaron por unanimidad —con 19 votos a favor— el dictamen que modifica el Código Fiscal Municipal para el Estado de Hidalgo en materia de recaudación e ingresos municipales.</t>
  </si>
  <si>
    <t>Supera Hidalgo metas de vacunación y fortalece la prevención de enfermedades</t>
  </si>
  <si>
    <t>El secretario de Educación Pública de Hidalgo, Natividad Castrejón Valdez, encabezó el Recital Poético: Vida y Obra del Mtro. Efrén Rebolledo, realizado en el Colegio de Estudios Científicos y Tecnológicos del Estado de Hidalgo (CECyTEH), plantel Actopan, como parte de las acciones para reconocer el legado de uno de los máximos exponentes de la literatura hidalguense. Durante el encuentro, el titular de la Secretaría de Educación Pública de Hidalgo (SEPH) destacó que Efrén Rebolledo fue un poeta que convirtió la pasión y el deseo en una expresión artística de gran sensibilidad, cuya obra continúa enriqueciendo el patrimonio cultural de Hidalgo y de México.</t>
  </si>
  <si>
    <t>Evento académico</t>
  </si>
  <si>
    <t>Hidalgo fortalece la promoción turística regional en el Festival Internacional de las Luciérnagas 2026</t>
  </si>
  <si>
    <t>Promoción turística</t>
  </si>
  <si>
    <t>Huasteca hidalguense, región clave del Plan Prospectivo Hidalgo 2040</t>
  </si>
  <si>
    <t>Plan 2040</t>
  </si>
  <si>
    <t>Julio Menchaca pide a municipios colaboración permanente para fortalecer acciones en materia de seguridad. (AUDIO JMS).</t>
  </si>
  <si>
    <t>Consejo Estatal de Seguridad</t>
  </si>
  <si>
    <t>Menchaca Salazar entrega nuevo Centro Administrativo del Bienestar y Desarrollo Rural. (AUDIO JMS).</t>
  </si>
  <si>
    <t>Con el propósito de promover el conocimiento, la valoración y la preservación del patrimonio arqueológico de Huapalcalco, este viernes dará inicio el ciclo de conferencias "Ecos del Tiempo", una iniciativa impulsada de manera conjunta por el Centro INAH Hidalgo, la Secretaría de Cultura del Gobierno del Estado de Hidalgo y el Gobierno Municipal de Tulancingo, encabezado por la presidenta Lorena García Cázares. El programa contempla cinco conferencias que se desarrollarán en la Biblioteca Pública de Huapalcalco y estarán dirigidas a estudiantes, investigadores, docentes, promotores culturales y público en general.</t>
  </si>
  <si>
    <t>El Gobierno Municipal de Santiago Tulantepec dio a conocer la cartelera oficial de la Feria Santiago Tulantepec 2026, que se llevará a cabo del 20 al 26 de julio en el Teatro del pueblo. Como parte de las festividades patronales en honor a Santiago Apóstol, la administración informó que todos los espectáculos musicales serán de acceso gratuito para la población. El programa artístico contempla la participación de agrupaciones y solistas de distintos géneros musicales, desde regional mexicano y norteño hasta cumbia y música sonidera. El gobierno adelantó parte de las actividades que formarán parte de la feria, una de las celebraciones más importantes del municipio y que cada año reúne a miles de visitantes. Hasta el momento, las autoridades no han dado a conocer de manera oficial la fecha ni el horario en que se realizará la tradicional Santiagada y la Cucaña, eventos más esperados dentro de las festividades</t>
  </si>
  <si>
    <t>El gobierno municipal de Tulancingo informó que durante el primer semestre de 2026 la Jefatura de Bolsa de Trabajo concretó más de 5 mil vinculaciones laborales, como parte de las acciones para fortalecer el empleo formal en el municipio. Como parte de esta estrategia, este jueves 9 de julio se realizará una jornada de reclutamiento del Servicio de Protección Federal, en la que se ofertarán más de 500 plazas para el puesto de guardia. La actividad se llevará a cabo de 9:00 a 15:00 horas en la velaría del Jardín La Floresta.</t>
  </si>
  <si>
    <t>Vinculación Laboral</t>
  </si>
  <si>
    <t>Locutor Jesús Riveros da lectura a comentario a radioescucha que reporta, que los taxis no traen tarifarios y que cobran mucho, deberían de traer el tarifario pegado en sus unidades; Jesús Riveros responde que es un tema que aun tiene pendiente la secretaria de Movilidad.</t>
  </si>
  <si>
    <t>Queja transporte público</t>
  </si>
  <si>
    <t>Talleres para buscadores de empleo, herramientas para lograr colocación</t>
  </si>
  <si>
    <t>STPSH</t>
  </si>
  <si>
    <t>Empleabilidad</t>
  </si>
  <si>
    <t>Respecto al boletín de la SSH en donde se informa sobre las metas de vacunación y prevención de enfermedades, locutor Juan Carlos Santamaría comenta, que son datos interesantes estas metas que se logran superar y que mejor que ser parte de este lado de la estadística con metas que se van cumpliendo, incluso que se superan en materia de vacunación y no ser parte de la estadística de personas que enferman y menos aún, personas que enferman de gravedad. Sabemos que algunas de las vacunas que se aplican no son para evitar en su totalidad algún padecimiento, pero sí disminuyen de manera considerable los efectos que tienen algunas enfermedades, así que, importante que se tenga en cuenta la importancia de cumplir con los esquemas de vacunación, sobre todo con la población vulnerable.</t>
  </si>
  <si>
    <t>Julio Menchaca pide a municipios colaboración permanente para fortalecer acciones en materia de seguridad</t>
  </si>
  <si>
    <t>Radioescucha reporta falta de agua en Fraccionamiento Huixmi - Pitayas; ya varias semanas sin agua,solo mandan una vez al mes una pipa que no da abasto a todas las casas. Si no hacen caso, comentan que realizarán cierre de carreteras hasta que firmen que el agua les llegara minimo 3 veces a la semana. YA CASSIM TIENE ESTA INFO</t>
  </si>
  <si>
    <t>Radioescucha agradece que el dia de ayer se comunicaron de la Caasim, para saber de nuestro problema y gracias ya tenemos agua.</t>
  </si>
  <si>
    <t>Comentó el conductor Eulalio Larrieta que a partir de ayer la CAASIM informó que habrá afectaciones en el suministro de agua potable en los sectores Oriente, Sur Oriente y Centro de la Zona Metropolitana de Pachuca, debido a los trabajos de construcción del tren AIFA-Pachuca, tendrán una duración estimada de hasta 40 horas.</t>
  </si>
  <si>
    <t>Elementos de Protección Civil y Bomberos de Atitalaquia atendieron a un motociclista lesionado tras un accidente con un vehículo particular sobre la carretera Jorobas Tula, a la altura de Aguas Negras. El conductor recibió atención prehospitalaria y fue trasladado al hospital de Pemex Tula para su valoración médica.</t>
  </si>
  <si>
    <t>Reportan un accidente de transporte publico en el Blvr. Pachuca – Pachuquilla a la altura del crucero de la 11 de Julio</t>
  </si>
  <si>
    <t>Campesinos de Valle del Mezquital se manifestaron en las instalaciones de las oficinas de la Conagua en Mixquiahuala a manifestar su inconformidad por no cumplirse los acuerdos en la distribución del agua en sus parcelas. AUDIO AFECTADOS</t>
  </si>
  <si>
    <t>Aguas de riego</t>
  </si>
  <si>
    <t>Radioescucha Pedro Nieto agradece a personal de Caasim, por venir ayer al Barrio San Clemente y arreglar su reporte</t>
  </si>
  <si>
    <t>Una intervención médica oportuna permitió salvar el brazo derecho de una mujer de 52 años que sufrió la mordedura de una araña violinista en Hidalgo, informó el IMSS Bienestar. La paciente llegó al Hospital General de Apan con un cuadro clínico de alta gravedad que ponía en riesgo la viabilidad de la extremidad.De acuerdo con el reporte médico, la mujer presentaba una inflamación severa provocada por la picadura, además de síndrome compartimental, una condición que incrementa la presión dentro de los tejidos y puede bloquear el flujo sanguíneo, lo que eleva el riesgo de daño irreversible e incluso de amputación si no se atiende de inmediato.</t>
  </si>
  <si>
    <t>Entrevista grabada Lizbeth Robles Gutiérrez, titular de la SEMOT, sobre tarifas del transporte público . Tras cumplirse casi un mes desde que se dio el incremento del 20% a la tarifa del transporte público en su modalidad colectivo (autorizado en el acuerdo publicado el 5 de mayo de este año en el Periódico Oficial del Estado de Hidalgo), la titular de la dependencia reportó que se ha tenido una muy buena respuesta del sector transporte. Destacó que las personas concesionarias y las personas conductoras han respondido positivamente y están conscientes de que deben mejorar las condiciones y la calidad en la prestación del servicio.La postura y exigencia de las personas usuarias: La secretaria señaló que la ciudadanía exige una mejora justa y proporcional en la calidad del servicio; el público usuario plantea que, si ya se incrementó el pasaje, las personas concesionarias también deben mejorar la prestación del servicio e incluir la mejora en las unidades correspondientes. Robles Gutiérrez aclaró que tiene muy poco tiempo como para que de inmediato se vea reflejado en la flotilla vehicular, pero las personas concesionarias ya atienden el tema y necesitan estabilizar sus gastos para programar las mejoras y verificar las vigencias de las unidades que están por vencer.Anuncio de revisión extraordinaria de seguros: Aunque los transportistas deben cumplir con la calidad y los estándares que la misma ley de movilidad y transporte y su reglamento les exigen de forma inmediata y sin plazos de gracia, se adelantó que la secretaría generará una revisión extraordinaria. Este operativo se enfocará solamente en verificar que todas las unidades de transporte público cuenten con su seguro vigente, sin importar si han pasado o no la revista vehicular de este año.</t>
  </si>
  <si>
    <t>Aumento Tarifa De Transporte</t>
  </si>
  <si>
    <t>Radioescucha Señor Sánchez, ¿qué pasó con regular el cobro de estacionamientos en Pachuca?</t>
  </si>
  <si>
    <t>El gobernador Julio Menchaca habló sobre el tema del presunto responsable del homicidio del Saucillo, AUDIO APOYO</t>
  </si>
  <si>
    <t>Una nota que llamo mucho la atención es que hoy dan a conocer que el presunto responsable del homicidio del Saucillo no es menor de edad, tiene 18 años la persona que asesinó al conductor, a la persona que iba a vender una camioneta. Las investigaciones de la PGJEH determinan la verdadera identidad del detenido, quien es originario de Ecatepec, en el Estado de México, aunque actualmente tiene su domicilio en el municipio de Coacalco. Debido a que ya es un adulto, no enfrentará su procedimiento ante el sistema de justicia penal para adolescentes, que prevé penas máximas de cinco años de prisión.Por el contrario, está vigente el plazo de 48 horas para ser puesto a disposición de un juez de control, aunque todavía no se dan a conocer los delitos que el Ministerio Público le va a imputar, las conductas que hizo corresponden a homicidio doloso, calificado y robo de vehículo.</t>
  </si>
  <si>
    <t>El gobernador de Hidalgo, Julio Menchaca Salazar, llamó a fortalecer la coordinación entre los tres órdenes de gobierno para reforzar la seguridad y garantizar la tranquilidad de la población durante la primera sesión ordinaria del Consejo Estatal de Seguridad Pública. En este encuentro se informó que del año dos mil veintidós a la fecha, las autoridades han detenido a más de veinticinco mil personas, asegurando más de un millón trescientas mil dosis de droga, mil doscientas armas de fuego y recuperado casi cinco mil novecientos vehículos con reporte de robo. Además, en esta misma reunión, en este mismo encuentro, la Procuraduría destacó que de enero a mayo de este año, la extorsión disminuyó sesenta y siete punto veintisiete por ciento y el homicidio doloso veintiuno punto tres por ciento, en comparación con el mismo periodo de dos mil veinticinco. También se anunció una inversión superior a los trescientos veintinueve millones de pesos para fortalecer las instituciones de seguridad en la entidad. AUDIO DE APOYO</t>
  </si>
  <si>
    <t>EL Secretario de Seguridad Pública de Hidalgo, Salvador Cruz Nerí, informó que lo ideal será que el penal regional se construya en Ixmiquilpan, por lo que dijo que se analizan 2 predios con un presupuesto estimado de 70 millones de pesos.</t>
  </si>
  <si>
    <t>Construcción de Cereso</t>
  </si>
  <si>
    <t>El gobernador Julio Menchaca aseguró que no se ha definido el municipio en el que se va a construir el nuevo penal regional, debido a que se encuentran análisis previos en los que sean accesibles los servicios básicos como agua potable, por lo que se proyecta que sí se concreta este año, reiteró que se encuentra en análisis dicho proyecto que originalmente iba a construir en Tasquillo, pero la presión social lo canceló, por lo que se evalúan otras opciones, AUDIO APOYO</t>
  </si>
  <si>
    <t>Conagua reporta resultados favorables en la primera fase del Plan Maestro de Recuperación de la Presa Endhó. A dos meses del inicio de la campaña de fumigación, las evaluaciones técnicas muestran una disminución en la presencia del Mosco culex, tanto en la presa como en las comunidades ribereñas. Hay que recordar que son cuatro etapas, ya se está presentando el informe de esta primera fase. Los monitoreos indican que la densidad de larvas bajó de 180 a 95 por metro cuadrado, mientras que la población de moscos adultos pasó de un promedio de 143 a 76 ejemplares por trampa. Además, 23 de las 27 comunidades prioritarias ya recibieron siete ciclos de fumigación y las cuatro restantes avanzan en la sexta aplicación. La estrategia ha beneficiado a más de 27 mil habitantes e incluye fumigación terrestre, aplicaciones aéreas con drones sobre zonas con lirio acuático y monitoreo científico permanente. Conagua informó que esta campaña forma parte de la primera de cuatro etapas del Plan Maestro para la Recuperación Ambiental de la Presa Endhó. AUDIO DE APOYO</t>
  </si>
  <si>
    <t>Control lirio acuático</t>
  </si>
  <si>
    <t>Una presunta banda dedicada al fraude mediante la venta de vehículos por autofinanciamiento fue detenida la tarde del martes 7 de julio en Huejutla, donde, de acuerdo con las primeras investigaciones, habría defraudado al menos a 20 personas, aunque el número de víctimas podría aumentar en los próximos días.La empresa involucrada operaba bajo el esquema de autofinanciamiento y tenía su sucursal en la calle Generales Azuara, en la zona centro del municipio.</t>
  </si>
  <si>
    <t>Detención</t>
  </si>
  <si>
    <t>"NN Nuestras Noticias ""El Resumen"""</t>
  </si>
  <si>
    <t>Inhjuve publica resultados de la convocatoria “Embajadores Juventud 2026”</t>
  </si>
  <si>
    <t>Embajadores de la juventud</t>
  </si>
  <si>
    <t>Tomás Sosa</t>
  </si>
  <si>
    <t>El titular de la Auditoría Superior del Estado de Hidalgo (ASEH), Jorge Valverde Islas, anunció que entre octubre y noviembre se dará a conocer la resolución sobre la investigación a la exsecretaria de Finanzas, Jessica Blancas. En diciembre del año pasado, la exfuncionaria y el exgobernador Omar Fayad entregaron cinco a seis cajas con documentos para intentar solventar la observación de $59,208,069.10 pesos.</t>
  </si>
  <si>
    <t>Estafa Siniestra</t>
  </si>
  <si>
    <t>Galería Leo Acosta albergará exposición sobre la historia de la comunidad china en México</t>
  </si>
  <si>
    <t>Exposición Fotográfica</t>
  </si>
  <si>
    <t>Comentan que ayer se pasó el reporte de la Sra. Alva García y nos comentan que de Caasim se comunicaron con ella para resolver su problema, pero ella no quiso, ya que se puede dañar su pared que es de azulejo.</t>
  </si>
  <si>
    <t>Fuga De Agua</t>
  </si>
  <si>
    <t>Radioescucha reporta que sigue el olor a combustible desde el día domingo, en el lado de Real de Pachuca, Forjadores, C. Doria, en el ISSSTE; ya van varios días con ese fuerte olor.</t>
  </si>
  <si>
    <t>A un año del ataque que conmocionó a Pachuca, el caso de estos dos agentes de investigación asesinados en la colonia La Loma, en Pachuca, pues está por entrar la etapa de la sentencia para los implicados. No sé si usted recuerda este caso. Aquí se lo presentamos. Fue el caso de Los Angelitos Negros. Aquí en Hidalgo se refiere pues a este trágico asesinato de dos agentes de investigación, Paulino Castañeda y Vicente Monroy, que ocurrió el 5 de julio de 2025. Fueron lamentablemente secuestrados, torturados durante 15 horas por presuntos miembros de un culto conocido como Ángel Negro 666, ubicado en Pachuca. Aquí nos lo presenta Joselyn Sánchez. Francisco Fernández Hasbun, encargado del despacho de la Procuraduría General de Justicia del Estado de Hidalgo, señaló que considera como justa la pena de 286 años de prisión para cada uno de los cuatro acusados por el secuestro agravado y homicidio de los agentes de investigación Paulino Castañeda Aguilar y Vicente Monroy Ballesteros. El funcionario explicó que la petición realizada por el Ministerio Público contempla la pena máxima establecida para el delito de secuestro grabado, además de una sanción adicional por delitos contra la salud. Fernández Hasbun señaló que la Procuraduría busca que las víctimas obtengan sentencias acordes con la gravedad de los hechos y que las personas responsables reciban una sanción conforme a derecho. El proceso penal se encuentra en etapa intermedia y está próximo a llegar a juicio oral, donde se definirán las pruebas que serán presentadas ante el Tribunal de Enjuiciamiento. Estamos en etapa intermedia, recordemos que esta es una etapa que es la que ya estamos por terminar y entremos a juicio. Enfoque Regional, informó Jocelyn Sánchez. AUDIOS DE APOYO</t>
  </si>
  <si>
    <t>Homicidio de Policía</t>
  </si>
  <si>
    <t>Hoy en Mixquiahuala se cansaron de esperar a las autoridades y decidieron hacer justicia por propia mano. Habitantes de la comunidad de Motobatha retuvieron a dos presuntos asaltantes luego de que presuntamente robaran una tienda de la localidad. Ante la demora de la llegada de la policía municipal, pues vecinos iniciaron una persecución y lograron interceptar el vehículo en el que intentaban escapar los presuntos delincuentes, un Nissan March Blanco con placas del Estado de México. Los sospechosos fueron entregados a las autoridades y puestos a disposición del Ministerio Público. Habitantes solicitaron reforzar la vigilancia en las carreteras de Mixquiahuala, Tlahuelilpan y exigieron que el proceso se lleve con total transparencia para evitar que los detenidos queden en libertad.</t>
  </si>
  <si>
    <t>Justicia Por Propia Mano</t>
  </si>
  <si>
    <t>Contraloría de Hidalgo lleva el padrón de proveedores y contratistas al mundo digital</t>
  </si>
  <si>
    <t>Padrón de proveedores</t>
  </si>
  <si>
    <t>Huasteca hidalguense, región clave del Plan Prospectivo Hidalgo 2040, AUDIO APOYO</t>
  </si>
  <si>
    <t>La presidenta Claudia Sheinbaum informó este jueves 9 de julio que el Gobierno de México mantiene las acciones preventivas en Tula, Hidalgo, con el objetivo de disminuir el riesgo de inundaciones durante la actual temporada de lluvias y huracanes.Durante su conferencia matutina, la mandataria explicó que estas labores forman parte de una estrategia nacional de prevención que también se desarrolla en Guerrero, Oaxaca, Tabasco y la región de la Huasteca, donde las precipitaciones suelen incrementar el peligro de desbordamientos y afectaciones a la población</t>
  </si>
  <si>
    <t>Prevención de inundaciones</t>
  </si>
  <si>
    <t>Menchaca Salazar entrega nuevo Centro Administrativo del Bienestar y Desarrollo Rural, AUDIO APOYO</t>
  </si>
  <si>
    <t>Menchaca Salazar entrega nuevo Centro Administrativo del Bienestar y Desarrollo Rural</t>
  </si>
  <si>
    <t>El gobernador Julio Menchaca entregó el nuevo Centro Administrativo del Bienestar y Desarrollo Rural, construido en el predio que anteriormente ocupaba la residencia oficial del mandatario y que ahora será destinado a la atención de la ciudadanía. El complejo albergará a las Secretarías de Bienestar e Inclusión Social y de Agricultura y Desarrollo Rural, lo que permitirá un ahorro anual de diecisiete millones de pesos en rentas. Además, el gobierno estatal reiteró que busca concluir la Administración sin oficinas arrendadas en la zona metropolitana de Pachuca. El inmueble cuenta con más de seis mil novecientos metros cuadrados de construcción, noventa y seis oficinas, diez salas de juntas y más de setecientos espacios operativos, resultado de una inversión superior a los trescientos setenta y siete millones de pesos. Autoridades estatales señalaron que estas nuevas instalaciones fortalecerán la atención a la población y la operación de los programas sociales y del sector agropecuario. Vamos a terminar la administración sin tener rentas en la zona metropolitana de Pachuca. El compromiso que asumimos es que esos cuatrocientos cuarenta y cinco millones que se gastó la administración anterior en rentas se utilicen en programas sociales, en apoyos a las personas. AUDIO DE APOYO</t>
  </si>
  <si>
    <t>Radioescucha reporta vialidad en mal estado, tiene muchos baches; esto en calle Tomás de Verux, colonia Santa Julia</t>
  </si>
  <si>
    <t>Radioescucha reporta un gran bache en Andador manzana I en la Plutarco Elías Calles.</t>
  </si>
  <si>
    <t>Madres y padres de familia del área de preescolar de un colegio, en el municipio de Tizayuca, realizaron una manifestación a las afueras del plantel para denunciar presuntos actos de violencia física y psicológica contra varios menores, presuntamente cometidos por una docente suplente, AUIDO APOYO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</si>
</sst>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8" tableType="queryTable" totalsRowShown="0">
  <autoFilter ref="A1:M18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8"/>
  <sheetViews>
    <sheetView tabSelected="1" topLeftCell="A157" workbookViewId="0">
      <selection activeCell="C176" sqref="C176"/>
    </sheetView>
  </sheetViews>
  <sheetFormatPr baseColWidth="10" defaultRowHeight="15" x14ac:dyDescent="0.25"/>
  <cols>
    <col min="1" max="1" width="8.5703125" bestFit="1" customWidth="1"/>
    <col min="2" max="2" width="11.42578125" bestFit="1" customWidth="1"/>
    <col min="3" max="3" width="26" bestFit="1" customWidth="1"/>
    <col min="4" max="4" width="35.570312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46211</v>
      </c>
      <c r="B2" s="1" t="str">
        <f ca="1">IF(Información1[[#This Row],[Fecha]]='Ajuste de fechas'!$A$2,"Día actual","Día anterior")</f>
        <v>Día anterior</v>
      </c>
      <c r="C2" t="s">
        <v>36</v>
      </c>
      <c r="D2" t="s">
        <v>37</v>
      </c>
      <c r="E2" t="s">
        <v>108</v>
      </c>
      <c r="F2" t="s">
        <v>12</v>
      </c>
      <c r="G2" t="s">
        <v>79</v>
      </c>
      <c r="H2" t="s">
        <v>8</v>
      </c>
      <c r="I2" t="s">
        <v>7</v>
      </c>
      <c r="J2" t="s">
        <v>31</v>
      </c>
      <c r="K2" t="s">
        <v>60</v>
      </c>
      <c r="L2" t="s">
        <v>26</v>
      </c>
      <c r="M2">
        <v>1</v>
      </c>
    </row>
    <row r="3" spans="1:13" x14ac:dyDescent="0.25">
      <c r="A3" s="2">
        <v>46211</v>
      </c>
      <c r="B3" s="1" t="str">
        <f ca="1">IF(Información1[[#This Row],[Fecha]]='Ajuste de fechas'!$A$2,"Día actual","Día anterior")</f>
        <v>Día anterior</v>
      </c>
      <c r="C3" t="s">
        <v>36</v>
      </c>
      <c r="D3" t="s">
        <v>37</v>
      </c>
      <c r="E3" t="s">
        <v>109</v>
      </c>
      <c r="F3" t="s">
        <v>12</v>
      </c>
      <c r="G3" t="s">
        <v>93</v>
      </c>
      <c r="H3" t="s">
        <v>8</v>
      </c>
      <c r="I3" t="s">
        <v>7</v>
      </c>
      <c r="J3" t="s">
        <v>31</v>
      </c>
      <c r="K3" t="s">
        <v>60</v>
      </c>
      <c r="L3" t="s">
        <v>24</v>
      </c>
      <c r="M3">
        <v>1</v>
      </c>
    </row>
    <row r="4" spans="1:13" x14ac:dyDescent="0.25">
      <c r="A4" s="2">
        <v>46211</v>
      </c>
      <c r="B4" s="1" t="str">
        <f ca="1">IF(Información1[[#This Row],[Fecha]]='Ajuste de fechas'!$A$2,"Día actual","Día anterior")</f>
        <v>Día anterior</v>
      </c>
      <c r="C4" t="s">
        <v>36</v>
      </c>
      <c r="D4" t="s">
        <v>37</v>
      </c>
      <c r="E4" t="s">
        <v>98</v>
      </c>
      <c r="F4" t="s">
        <v>34</v>
      </c>
      <c r="G4" t="s">
        <v>99</v>
      </c>
      <c r="H4" t="s">
        <v>8</v>
      </c>
      <c r="I4" t="s">
        <v>7</v>
      </c>
      <c r="J4" t="s">
        <v>31</v>
      </c>
      <c r="K4" t="s">
        <v>60</v>
      </c>
      <c r="L4" t="s">
        <v>24</v>
      </c>
      <c r="M4">
        <v>1</v>
      </c>
    </row>
    <row r="5" spans="1:13" x14ac:dyDescent="0.25">
      <c r="A5" s="2">
        <v>46211</v>
      </c>
      <c r="B5" s="1" t="str">
        <f ca="1">IF(Información1[[#This Row],[Fecha]]='Ajuste de fechas'!$A$2,"Día actual","Día anterior")</f>
        <v>Día anterior</v>
      </c>
      <c r="C5" t="s">
        <v>36</v>
      </c>
      <c r="D5" t="s">
        <v>37</v>
      </c>
      <c r="E5" t="s">
        <v>110</v>
      </c>
      <c r="F5" t="s">
        <v>10</v>
      </c>
      <c r="G5" t="s">
        <v>88</v>
      </c>
      <c r="H5" t="s">
        <v>8</v>
      </c>
      <c r="I5" t="s">
        <v>14</v>
      </c>
      <c r="J5" t="s">
        <v>33</v>
      </c>
      <c r="K5" t="s">
        <v>60</v>
      </c>
      <c r="L5" t="s">
        <v>24</v>
      </c>
      <c r="M5">
        <v>1</v>
      </c>
    </row>
    <row r="6" spans="1:13" x14ac:dyDescent="0.25">
      <c r="A6" s="2">
        <v>46211</v>
      </c>
      <c r="B6" s="1" t="str">
        <f ca="1">IF(Información1[[#This Row],[Fecha]]='Ajuste de fechas'!$A$2,"Día actual","Día anterior")</f>
        <v>Día anterior</v>
      </c>
      <c r="C6" t="s">
        <v>36</v>
      </c>
      <c r="D6" t="s">
        <v>37</v>
      </c>
      <c r="E6" t="s">
        <v>111</v>
      </c>
      <c r="F6" t="s">
        <v>46</v>
      </c>
      <c r="G6" t="s">
        <v>89</v>
      </c>
      <c r="H6" t="s">
        <v>8</v>
      </c>
      <c r="I6" t="s">
        <v>14</v>
      </c>
      <c r="J6" t="s">
        <v>31</v>
      </c>
      <c r="K6" t="s">
        <v>60</v>
      </c>
      <c r="L6" t="s">
        <v>24</v>
      </c>
      <c r="M6">
        <v>1</v>
      </c>
    </row>
    <row r="7" spans="1:13" x14ac:dyDescent="0.25">
      <c r="A7" s="2">
        <v>46211</v>
      </c>
      <c r="B7" s="1" t="str">
        <f ca="1">IF(Información1[[#This Row],[Fecha]]='Ajuste de fechas'!$A$2,"Día actual","Día anterior")</f>
        <v>Día anterior</v>
      </c>
      <c r="C7" t="s">
        <v>36</v>
      </c>
      <c r="D7" t="s">
        <v>37</v>
      </c>
      <c r="E7" t="s">
        <v>112</v>
      </c>
      <c r="F7" t="s">
        <v>12</v>
      </c>
      <c r="G7" t="s">
        <v>113</v>
      </c>
      <c r="H7" t="s">
        <v>8</v>
      </c>
      <c r="I7" t="s">
        <v>7</v>
      </c>
      <c r="J7" t="s">
        <v>31</v>
      </c>
      <c r="K7" t="s">
        <v>60</v>
      </c>
      <c r="L7" t="s">
        <v>24</v>
      </c>
      <c r="M7">
        <v>1</v>
      </c>
    </row>
    <row r="8" spans="1:13" x14ac:dyDescent="0.25">
      <c r="A8" s="2">
        <v>46211</v>
      </c>
      <c r="B8" s="1" t="str">
        <f ca="1">IF(Información1[[#This Row],[Fecha]]='Ajuste de fechas'!$A$2,"Día actual","Día anterior")</f>
        <v>Día anterior</v>
      </c>
      <c r="C8" t="s">
        <v>36</v>
      </c>
      <c r="D8" t="s">
        <v>37</v>
      </c>
      <c r="E8" t="s">
        <v>114</v>
      </c>
      <c r="F8" t="s">
        <v>38</v>
      </c>
      <c r="G8" t="s">
        <v>115</v>
      </c>
      <c r="H8" t="s">
        <v>8</v>
      </c>
      <c r="I8" t="s">
        <v>7</v>
      </c>
      <c r="J8" t="s">
        <v>31</v>
      </c>
      <c r="K8" t="s">
        <v>60</v>
      </c>
      <c r="L8" t="s">
        <v>26</v>
      </c>
      <c r="M8">
        <v>1</v>
      </c>
    </row>
    <row r="9" spans="1:13" x14ac:dyDescent="0.25">
      <c r="A9" s="2">
        <v>46211</v>
      </c>
      <c r="B9" s="1" t="str">
        <f ca="1">IF(Información1[[#This Row],[Fecha]]='Ajuste de fechas'!$A$2,"Día actual","Día anterior")</f>
        <v>Día anterior</v>
      </c>
      <c r="C9" t="s">
        <v>36</v>
      </c>
      <c r="D9" t="s">
        <v>37</v>
      </c>
      <c r="E9" t="s">
        <v>116</v>
      </c>
      <c r="F9" t="s">
        <v>12</v>
      </c>
      <c r="G9" t="s">
        <v>93</v>
      </c>
      <c r="H9" t="s">
        <v>8</v>
      </c>
      <c r="I9" t="s">
        <v>7</v>
      </c>
      <c r="J9" t="s">
        <v>31</v>
      </c>
      <c r="K9" t="s">
        <v>60</v>
      </c>
      <c r="L9" t="s">
        <v>24</v>
      </c>
      <c r="M9">
        <v>1</v>
      </c>
    </row>
    <row r="10" spans="1:13" x14ac:dyDescent="0.25">
      <c r="A10" s="2">
        <v>46211</v>
      </c>
      <c r="B10" s="1" t="str">
        <f ca="1">IF(Información1[[#This Row],[Fecha]]='Ajuste de fechas'!$A$2,"Día actual","Día anterior")</f>
        <v>Día anterior</v>
      </c>
      <c r="C10" t="s">
        <v>36</v>
      </c>
      <c r="D10" t="s">
        <v>37</v>
      </c>
      <c r="E10" t="s">
        <v>117</v>
      </c>
      <c r="F10" t="s">
        <v>34</v>
      </c>
      <c r="G10" t="s">
        <v>118</v>
      </c>
      <c r="H10" t="s">
        <v>8</v>
      </c>
      <c r="I10" t="s">
        <v>14</v>
      </c>
      <c r="J10" t="s">
        <v>31</v>
      </c>
      <c r="K10" t="s">
        <v>60</v>
      </c>
      <c r="L10" t="s">
        <v>24</v>
      </c>
      <c r="M10">
        <v>1</v>
      </c>
    </row>
    <row r="11" spans="1:13" x14ac:dyDescent="0.25">
      <c r="A11" s="2">
        <v>46211</v>
      </c>
      <c r="B11" s="1" t="str">
        <f ca="1">IF(Información1[[#This Row],[Fecha]]='Ajuste de fechas'!$A$2,"Día actual","Día anterior")</f>
        <v>Día anterior</v>
      </c>
      <c r="C11" t="s">
        <v>36</v>
      </c>
      <c r="D11" t="s">
        <v>37</v>
      </c>
      <c r="E11" t="s">
        <v>119</v>
      </c>
      <c r="F11" t="s">
        <v>11</v>
      </c>
      <c r="G11" t="s">
        <v>120</v>
      </c>
      <c r="H11" t="s">
        <v>8</v>
      </c>
      <c r="I11" t="s">
        <v>7</v>
      </c>
      <c r="J11" t="s">
        <v>32</v>
      </c>
      <c r="K11" t="s">
        <v>60</v>
      </c>
      <c r="L11" t="s">
        <v>24</v>
      </c>
      <c r="M11">
        <v>1</v>
      </c>
    </row>
    <row r="12" spans="1:13" x14ac:dyDescent="0.25">
      <c r="A12" s="2">
        <v>46211</v>
      </c>
      <c r="B12" s="1" t="str">
        <f ca="1">IF(Información1[[#This Row],[Fecha]]='Ajuste de fechas'!$A$2,"Día actual","Día anterior")</f>
        <v>Día anterior</v>
      </c>
      <c r="C12" t="s">
        <v>36</v>
      </c>
      <c r="D12" t="s">
        <v>37</v>
      </c>
      <c r="E12" t="s">
        <v>121</v>
      </c>
      <c r="F12" t="s">
        <v>83</v>
      </c>
      <c r="G12" t="s">
        <v>96</v>
      </c>
      <c r="H12" t="s">
        <v>8</v>
      </c>
      <c r="I12" t="s">
        <v>7</v>
      </c>
      <c r="J12" t="s">
        <v>31</v>
      </c>
      <c r="K12" t="s">
        <v>60</v>
      </c>
      <c r="L12" t="s">
        <v>24</v>
      </c>
      <c r="M12">
        <v>1</v>
      </c>
    </row>
    <row r="13" spans="1:13" x14ac:dyDescent="0.25">
      <c r="A13" s="2">
        <v>46211</v>
      </c>
      <c r="B13" s="1" t="str">
        <f ca="1">IF(Información1[[#This Row],[Fecha]]='Ajuste de fechas'!$A$2,"Día actual","Día anterior")</f>
        <v>Día anterior</v>
      </c>
      <c r="C13" t="s">
        <v>36</v>
      </c>
      <c r="D13" t="s">
        <v>37</v>
      </c>
      <c r="E13" t="s">
        <v>122</v>
      </c>
      <c r="F13" t="s">
        <v>30</v>
      </c>
      <c r="G13" t="s">
        <v>123</v>
      </c>
      <c r="H13" t="s">
        <v>8</v>
      </c>
      <c r="I13" t="s">
        <v>7</v>
      </c>
      <c r="J13" t="s">
        <v>13</v>
      </c>
      <c r="K13" t="s">
        <v>60</v>
      </c>
      <c r="L13" t="s">
        <v>24</v>
      </c>
      <c r="M13">
        <v>1</v>
      </c>
    </row>
    <row r="14" spans="1:13" x14ac:dyDescent="0.25">
      <c r="A14" s="2">
        <v>46211</v>
      </c>
      <c r="B14" s="1" t="str">
        <f ca="1">IF(Información1[[#This Row],[Fecha]]='Ajuste de fechas'!$A$2,"Día actual","Día anterior")</f>
        <v>Día anterior</v>
      </c>
      <c r="C14" t="s">
        <v>36</v>
      </c>
      <c r="D14" t="s">
        <v>37</v>
      </c>
      <c r="E14" t="s">
        <v>124</v>
      </c>
      <c r="F14" t="s">
        <v>64</v>
      </c>
      <c r="G14" t="s">
        <v>125</v>
      </c>
      <c r="H14" t="s">
        <v>8</v>
      </c>
      <c r="I14" t="s">
        <v>7</v>
      </c>
      <c r="J14" t="s">
        <v>31</v>
      </c>
      <c r="K14" t="s">
        <v>60</v>
      </c>
      <c r="L14" t="s">
        <v>26</v>
      </c>
      <c r="M14">
        <v>1</v>
      </c>
    </row>
    <row r="15" spans="1:13" x14ac:dyDescent="0.25">
      <c r="A15" s="2">
        <v>46211</v>
      </c>
      <c r="B15" s="1" t="str">
        <f ca="1">IF(Información1[[#This Row],[Fecha]]='Ajuste de fechas'!$A$2,"Día actual","Día anterior")</f>
        <v>Día anterior</v>
      </c>
      <c r="C15" t="s">
        <v>36</v>
      </c>
      <c r="D15" t="s">
        <v>37</v>
      </c>
      <c r="E15" t="s">
        <v>126</v>
      </c>
      <c r="F15" t="s">
        <v>83</v>
      </c>
      <c r="G15" t="s">
        <v>84</v>
      </c>
      <c r="H15" t="s">
        <v>8</v>
      </c>
      <c r="I15" t="s">
        <v>7</v>
      </c>
      <c r="J15" t="s">
        <v>31</v>
      </c>
      <c r="K15" t="s">
        <v>60</v>
      </c>
      <c r="L15" t="s">
        <v>24</v>
      </c>
      <c r="M15">
        <v>1</v>
      </c>
    </row>
    <row r="16" spans="1:13" x14ac:dyDescent="0.25">
      <c r="A16" s="2">
        <v>46211</v>
      </c>
      <c r="B16" s="1" t="str">
        <f ca="1">IF(Información1[[#This Row],[Fecha]]='Ajuste de fechas'!$A$2,"Día actual","Día anterior")</f>
        <v>Día anterior</v>
      </c>
      <c r="C16" t="s">
        <v>36</v>
      </c>
      <c r="D16" t="s">
        <v>37</v>
      </c>
      <c r="E16" t="s">
        <v>127</v>
      </c>
      <c r="F16" t="s">
        <v>10</v>
      </c>
      <c r="G16" t="s">
        <v>100</v>
      </c>
      <c r="H16" t="s">
        <v>8</v>
      </c>
      <c r="I16" t="s">
        <v>7</v>
      </c>
      <c r="J16" t="s">
        <v>33</v>
      </c>
      <c r="K16" t="s">
        <v>60</v>
      </c>
      <c r="L16" t="s">
        <v>24</v>
      </c>
      <c r="M16">
        <v>1</v>
      </c>
    </row>
    <row r="17" spans="1:13" x14ac:dyDescent="0.25">
      <c r="A17" s="2">
        <v>46211</v>
      </c>
      <c r="B17" s="1" t="str">
        <f ca="1">IF(Información1[[#This Row],[Fecha]]='Ajuste de fechas'!$A$2,"Día actual","Día anterior")</f>
        <v>Día anterior</v>
      </c>
      <c r="C17" t="s">
        <v>36</v>
      </c>
      <c r="D17" t="s">
        <v>37</v>
      </c>
      <c r="E17" t="s">
        <v>39</v>
      </c>
      <c r="F17" t="s">
        <v>10</v>
      </c>
      <c r="G17" t="s">
        <v>43</v>
      </c>
      <c r="H17" t="s">
        <v>8</v>
      </c>
      <c r="I17" t="s">
        <v>7</v>
      </c>
      <c r="J17" t="s">
        <v>33</v>
      </c>
      <c r="K17" t="s">
        <v>60</v>
      </c>
      <c r="L17" t="s">
        <v>24</v>
      </c>
      <c r="M17">
        <v>1</v>
      </c>
    </row>
    <row r="18" spans="1:13" x14ac:dyDescent="0.25">
      <c r="A18" s="2">
        <v>46211</v>
      </c>
      <c r="B18" s="1" t="str">
        <f ca="1">IF(Información1[[#This Row],[Fecha]]='Ajuste de fechas'!$A$2,"Día actual","Día anterior")</f>
        <v>Día anterior</v>
      </c>
      <c r="C18" t="s">
        <v>36</v>
      </c>
      <c r="D18" t="s">
        <v>37</v>
      </c>
      <c r="E18" t="s">
        <v>128</v>
      </c>
      <c r="F18" t="s">
        <v>10</v>
      </c>
      <c r="G18" t="s">
        <v>86</v>
      </c>
      <c r="H18" t="s">
        <v>8</v>
      </c>
      <c r="I18" t="s">
        <v>7</v>
      </c>
      <c r="J18" t="s">
        <v>33</v>
      </c>
      <c r="K18" t="s">
        <v>60</v>
      </c>
      <c r="L18" t="s">
        <v>24</v>
      </c>
      <c r="M18">
        <v>1</v>
      </c>
    </row>
    <row r="19" spans="1:13" x14ac:dyDescent="0.25">
      <c r="A19" s="2">
        <v>46211</v>
      </c>
      <c r="B19" s="1" t="str">
        <f ca="1">IF(Información1[[#This Row],[Fecha]]='Ajuste de fechas'!$A$2,"Día actual","Día anterior")</f>
        <v>Día anterior</v>
      </c>
      <c r="C19" t="s">
        <v>36</v>
      </c>
      <c r="D19" t="s">
        <v>37</v>
      </c>
      <c r="E19" t="s">
        <v>129</v>
      </c>
      <c r="F19" t="s">
        <v>10</v>
      </c>
      <c r="G19" t="s">
        <v>130</v>
      </c>
      <c r="H19" t="s">
        <v>8</v>
      </c>
      <c r="I19" t="s">
        <v>48</v>
      </c>
      <c r="J19" t="s">
        <v>33</v>
      </c>
      <c r="K19" t="s">
        <v>60</v>
      </c>
      <c r="L19" t="s">
        <v>24</v>
      </c>
      <c r="M19">
        <v>1</v>
      </c>
    </row>
    <row r="20" spans="1:13" x14ac:dyDescent="0.25">
      <c r="A20" s="2">
        <v>46211</v>
      </c>
      <c r="B20" s="1" t="str">
        <f ca="1">IF(Información1[[#This Row],[Fecha]]='Ajuste de fechas'!$A$2,"Día actual","Día anterior")</f>
        <v>Día anterior</v>
      </c>
      <c r="C20" t="s">
        <v>36</v>
      </c>
      <c r="D20" t="s">
        <v>37</v>
      </c>
      <c r="E20" t="s">
        <v>131</v>
      </c>
      <c r="F20" t="s">
        <v>64</v>
      </c>
      <c r="G20" t="s">
        <v>132</v>
      </c>
      <c r="H20" t="s">
        <v>8</v>
      </c>
      <c r="I20" t="s">
        <v>48</v>
      </c>
      <c r="J20" t="s">
        <v>31</v>
      </c>
      <c r="K20" t="s">
        <v>60</v>
      </c>
      <c r="L20" t="s">
        <v>25</v>
      </c>
      <c r="M20">
        <v>1</v>
      </c>
    </row>
    <row r="21" spans="1:13" x14ac:dyDescent="0.25">
      <c r="A21" s="2">
        <v>46211</v>
      </c>
      <c r="B21" s="1" t="str">
        <f ca="1">IF(Información1[[#This Row],[Fecha]]='Ajuste de fechas'!$A$2,"Día actual","Día anterior")</f>
        <v>Día anterior</v>
      </c>
      <c r="C21" t="s">
        <v>36</v>
      </c>
      <c r="D21" t="s">
        <v>37</v>
      </c>
      <c r="E21" t="s">
        <v>133</v>
      </c>
      <c r="F21" t="s">
        <v>64</v>
      </c>
      <c r="G21" t="s">
        <v>132</v>
      </c>
      <c r="H21" t="s">
        <v>8</v>
      </c>
      <c r="I21" t="s">
        <v>7</v>
      </c>
      <c r="J21" t="s">
        <v>31</v>
      </c>
      <c r="K21" t="s">
        <v>60</v>
      </c>
      <c r="L21" t="s">
        <v>24</v>
      </c>
      <c r="M21">
        <v>1</v>
      </c>
    </row>
    <row r="22" spans="1:13" x14ac:dyDescent="0.25">
      <c r="A22" s="2">
        <v>46211</v>
      </c>
      <c r="B22" s="1" t="str">
        <f ca="1">IF(Información1[[#This Row],[Fecha]]='Ajuste de fechas'!$A$2,"Día actual","Día anterior")</f>
        <v>Día anterior</v>
      </c>
      <c r="C22" t="s">
        <v>40</v>
      </c>
      <c r="D22" t="s">
        <v>41</v>
      </c>
      <c r="E22" t="s">
        <v>124</v>
      </c>
      <c r="F22" t="s">
        <v>64</v>
      </c>
      <c r="G22" t="s">
        <v>125</v>
      </c>
      <c r="H22" t="s">
        <v>35</v>
      </c>
      <c r="I22" t="s">
        <v>7</v>
      </c>
      <c r="J22" t="s">
        <v>31</v>
      </c>
      <c r="K22" t="s">
        <v>42</v>
      </c>
      <c r="L22" t="s">
        <v>26</v>
      </c>
      <c r="M22">
        <v>1</v>
      </c>
    </row>
    <row r="23" spans="1:13" x14ac:dyDescent="0.25">
      <c r="A23" s="2">
        <v>46211</v>
      </c>
      <c r="B23" s="1" t="str">
        <f ca="1">IF(Información1[[#This Row],[Fecha]]='Ajuste de fechas'!$A$2,"Día actual","Día anterior")</f>
        <v>Día anterior</v>
      </c>
      <c r="C23" t="s">
        <v>40</v>
      </c>
      <c r="D23" t="s">
        <v>41</v>
      </c>
      <c r="E23" t="s">
        <v>134</v>
      </c>
      <c r="F23" t="s">
        <v>15</v>
      </c>
      <c r="G23" t="s">
        <v>135</v>
      </c>
      <c r="H23" t="s">
        <v>35</v>
      </c>
      <c r="I23" t="s">
        <v>48</v>
      </c>
      <c r="J23" t="s">
        <v>31</v>
      </c>
      <c r="K23" t="s">
        <v>42</v>
      </c>
      <c r="L23" t="s">
        <v>25</v>
      </c>
      <c r="M23">
        <v>1</v>
      </c>
    </row>
    <row r="24" spans="1:13" x14ac:dyDescent="0.25">
      <c r="A24" s="2">
        <v>46211</v>
      </c>
      <c r="B24" s="1" t="str">
        <f ca="1">IF(Información1[[#This Row],[Fecha]]='Ajuste de fechas'!$A$2,"Día actual","Día anterior")</f>
        <v>Día anterior</v>
      </c>
      <c r="C24" t="s">
        <v>40</v>
      </c>
      <c r="D24" t="s">
        <v>41</v>
      </c>
      <c r="E24" t="s">
        <v>136</v>
      </c>
      <c r="F24" t="s">
        <v>15</v>
      </c>
      <c r="G24" t="s">
        <v>135</v>
      </c>
      <c r="H24" t="s">
        <v>35</v>
      </c>
      <c r="I24" t="s">
        <v>48</v>
      </c>
      <c r="J24" t="s">
        <v>31</v>
      </c>
      <c r="K24" t="s">
        <v>42</v>
      </c>
      <c r="L24" t="s">
        <v>24</v>
      </c>
      <c r="M24">
        <v>1</v>
      </c>
    </row>
    <row r="25" spans="1:13" x14ac:dyDescent="0.25">
      <c r="A25" s="2">
        <v>46211</v>
      </c>
      <c r="B25" s="1" t="str">
        <f ca="1">IF(Información1[[#This Row],[Fecha]]='Ajuste de fechas'!$A$2,"Día actual","Día anterior")</f>
        <v>Día anterior</v>
      </c>
      <c r="C25" t="s">
        <v>40</v>
      </c>
      <c r="D25" t="s">
        <v>41</v>
      </c>
      <c r="E25" t="s">
        <v>137</v>
      </c>
      <c r="F25" t="s">
        <v>12</v>
      </c>
      <c r="G25" t="s">
        <v>113</v>
      </c>
      <c r="H25" t="s">
        <v>35</v>
      </c>
      <c r="I25" t="s">
        <v>7</v>
      </c>
      <c r="J25" t="s">
        <v>31</v>
      </c>
      <c r="K25" t="s">
        <v>42</v>
      </c>
      <c r="L25" t="s">
        <v>24</v>
      </c>
      <c r="M25">
        <v>1</v>
      </c>
    </row>
    <row r="26" spans="1:13" x14ac:dyDescent="0.25">
      <c r="A26" s="2">
        <v>46211</v>
      </c>
      <c r="B26" s="1" t="str">
        <f ca="1">IF(Información1[[#This Row],[Fecha]]='Ajuste de fechas'!$A$2,"Día actual","Día anterior")</f>
        <v>Día anterior</v>
      </c>
      <c r="C26" t="s">
        <v>40</v>
      </c>
      <c r="D26" t="s">
        <v>41</v>
      </c>
      <c r="E26" t="s">
        <v>138</v>
      </c>
      <c r="F26" t="s">
        <v>6</v>
      </c>
      <c r="G26" t="s">
        <v>139</v>
      </c>
      <c r="H26" t="s">
        <v>35</v>
      </c>
      <c r="I26" t="s">
        <v>14</v>
      </c>
      <c r="J26" t="s">
        <v>31</v>
      </c>
      <c r="K26" t="s">
        <v>45</v>
      </c>
      <c r="L26" t="s">
        <v>25</v>
      </c>
      <c r="M26">
        <v>1</v>
      </c>
    </row>
    <row r="27" spans="1:13" x14ac:dyDescent="0.25">
      <c r="A27" s="2">
        <v>46211</v>
      </c>
      <c r="B27" s="1" t="str">
        <f ca="1">IF(Información1[[#This Row],[Fecha]]='Ajuste de fechas'!$A$2,"Día actual","Día anterior")</f>
        <v>Día anterior</v>
      </c>
      <c r="C27" t="s">
        <v>40</v>
      </c>
      <c r="D27" t="s">
        <v>41</v>
      </c>
      <c r="E27" t="s">
        <v>140</v>
      </c>
      <c r="F27" t="s">
        <v>34</v>
      </c>
      <c r="G27" t="s">
        <v>141</v>
      </c>
      <c r="H27" t="s">
        <v>35</v>
      </c>
      <c r="I27" t="s">
        <v>7</v>
      </c>
      <c r="J27" t="s">
        <v>31</v>
      </c>
      <c r="K27" t="s">
        <v>42</v>
      </c>
      <c r="L27" t="s">
        <v>26</v>
      </c>
      <c r="M27">
        <v>1</v>
      </c>
    </row>
    <row r="28" spans="1:13" x14ac:dyDescent="0.25">
      <c r="A28" s="2">
        <v>46211</v>
      </c>
      <c r="B28" s="1" t="str">
        <f ca="1">IF(Información1[[#This Row],[Fecha]]='Ajuste de fechas'!$A$2,"Día actual","Día anterior")</f>
        <v>Día anterior</v>
      </c>
      <c r="C28" t="s">
        <v>40</v>
      </c>
      <c r="D28" t="s">
        <v>41</v>
      </c>
      <c r="E28" t="s">
        <v>142</v>
      </c>
      <c r="F28" t="s">
        <v>9</v>
      </c>
      <c r="G28" t="s">
        <v>143</v>
      </c>
      <c r="H28" t="s">
        <v>35</v>
      </c>
      <c r="I28" t="s">
        <v>7</v>
      </c>
      <c r="J28" t="s">
        <v>31</v>
      </c>
      <c r="K28" t="s">
        <v>42</v>
      </c>
      <c r="L28" t="s">
        <v>25</v>
      </c>
      <c r="M28">
        <v>1</v>
      </c>
    </row>
    <row r="29" spans="1:13" x14ac:dyDescent="0.25">
      <c r="A29" s="2">
        <v>46211</v>
      </c>
      <c r="B29" s="1" t="str">
        <f ca="1">IF(Información1[[#This Row],[Fecha]]='Ajuste de fechas'!$A$2,"Día actual","Día anterior")</f>
        <v>Día anterior</v>
      </c>
      <c r="C29" t="s">
        <v>40</v>
      </c>
      <c r="D29" t="s">
        <v>41</v>
      </c>
      <c r="E29" t="s">
        <v>144</v>
      </c>
      <c r="F29" t="s">
        <v>17</v>
      </c>
      <c r="G29" t="s">
        <v>145</v>
      </c>
      <c r="H29" t="s">
        <v>35</v>
      </c>
      <c r="I29" t="s">
        <v>7</v>
      </c>
      <c r="J29" t="s">
        <v>31</v>
      </c>
      <c r="K29" t="s">
        <v>42</v>
      </c>
      <c r="L29" t="s">
        <v>26</v>
      </c>
      <c r="M29">
        <v>1</v>
      </c>
    </row>
    <row r="30" spans="1:13" x14ac:dyDescent="0.25">
      <c r="A30" s="2">
        <v>46211</v>
      </c>
      <c r="B30" s="1" t="str">
        <f ca="1">IF(Información1[[#This Row],[Fecha]]='Ajuste de fechas'!$A$2,"Día actual","Día anterior")</f>
        <v>Día anterior</v>
      </c>
      <c r="C30" t="s">
        <v>40</v>
      </c>
      <c r="D30" t="s">
        <v>41</v>
      </c>
      <c r="E30" t="s">
        <v>146</v>
      </c>
      <c r="F30" t="s">
        <v>15</v>
      </c>
      <c r="G30" t="s">
        <v>147</v>
      </c>
      <c r="H30" t="s">
        <v>35</v>
      </c>
      <c r="I30" t="s">
        <v>7</v>
      </c>
      <c r="J30" t="s">
        <v>31</v>
      </c>
      <c r="K30" t="s">
        <v>42</v>
      </c>
      <c r="L30" t="s">
        <v>24</v>
      </c>
      <c r="M30">
        <v>1</v>
      </c>
    </row>
    <row r="31" spans="1:13" x14ac:dyDescent="0.25">
      <c r="A31" s="2">
        <v>46211</v>
      </c>
      <c r="B31" s="1" t="str">
        <f ca="1">IF(Información1[[#This Row],[Fecha]]='Ajuste de fechas'!$A$2,"Día actual","Día anterior")</f>
        <v>Día anterior</v>
      </c>
      <c r="C31" t="s">
        <v>40</v>
      </c>
      <c r="D31" t="s">
        <v>41</v>
      </c>
      <c r="E31" t="s">
        <v>114</v>
      </c>
      <c r="F31" t="s">
        <v>38</v>
      </c>
      <c r="G31" t="s">
        <v>115</v>
      </c>
      <c r="H31" t="s">
        <v>35</v>
      </c>
      <c r="I31" t="s">
        <v>7</v>
      </c>
      <c r="J31" t="s">
        <v>31</v>
      </c>
      <c r="K31" t="s">
        <v>42</v>
      </c>
      <c r="L31" t="s">
        <v>26</v>
      </c>
      <c r="M31">
        <v>1</v>
      </c>
    </row>
    <row r="32" spans="1:13" x14ac:dyDescent="0.25">
      <c r="A32" s="2">
        <v>46211</v>
      </c>
      <c r="B32" s="1" t="str">
        <f ca="1">IF(Información1[[#This Row],[Fecha]]='Ajuste de fechas'!$A$2,"Día actual","Día anterior")</f>
        <v>Día anterior</v>
      </c>
      <c r="C32" t="s">
        <v>40</v>
      </c>
      <c r="D32" t="s">
        <v>41</v>
      </c>
      <c r="E32" t="s">
        <v>148</v>
      </c>
      <c r="F32" t="s">
        <v>9</v>
      </c>
      <c r="G32" t="s">
        <v>149</v>
      </c>
      <c r="H32" t="s">
        <v>35</v>
      </c>
      <c r="I32" t="s">
        <v>7</v>
      </c>
      <c r="J32" t="s">
        <v>31</v>
      </c>
      <c r="K32" t="s">
        <v>42</v>
      </c>
      <c r="L32" t="s">
        <v>26</v>
      </c>
      <c r="M32">
        <v>1</v>
      </c>
    </row>
    <row r="33" spans="1:13" x14ac:dyDescent="0.25">
      <c r="A33" s="2">
        <v>46211</v>
      </c>
      <c r="B33" s="1" t="str">
        <f ca="1">IF(Información1[[#This Row],[Fecha]]='Ajuste de fechas'!$A$2,"Día actual","Día anterior")</f>
        <v>Día anterior</v>
      </c>
      <c r="C33" t="s">
        <v>40</v>
      </c>
      <c r="D33" t="s">
        <v>41</v>
      </c>
      <c r="E33" t="s">
        <v>150</v>
      </c>
      <c r="F33" t="s">
        <v>30</v>
      </c>
      <c r="G33" t="s">
        <v>151</v>
      </c>
      <c r="H33" t="s">
        <v>35</v>
      </c>
      <c r="I33" t="s">
        <v>7</v>
      </c>
      <c r="J33" t="s">
        <v>13</v>
      </c>
      <c r="K33" t="s">
        <v>42</v>
      </c>
      <c r="L33" t="s">
        <v>24</v>
      </c>
      <c r="M33">
        <v>1</v>
      </c>
    </row>
    <row r="34" spans="1:13" x14ac:dyDescent="0.25">
      <c r="A34" s="2">
        <v>46211</v>
      </c>
      <c r="B34" s="1" t="str">
        <f ca="1">IF(Información1[[#This Row],[Fecha]]='Ajuste de fechas'!$A$2,"Día actual","Día anterior")</f>
        <v>Día anterior</v>
      </c>
      <c r="C34" t="s">
        <v>40</v>
      </c>
      <c r="D34" t="s">
        <v>41</v>
      </c>
      <c r="E34" t="s">
        <v>152</v>
      </c>
      <c r="F34" t="s">
        <v>12</v>
      </c>
      <c r="G34" t="s">
        <v>93</v>
      </c>
      <c r="H34" t="s">
        <v>35</v>
      </c>
      <c r="I34" t="s">
        <v>7</v>
      </c>
      <c r="J34" t="s">
        <v>31</v>
      </c>
      <c r="K34" t="s">
        <v>42</v>
      </c>
      <c r="L34" t="s">
        <v>24</v>
      </c>
      <c r="M34">
        <v>1</v>
      </c>
    </row>
    <row r="35" spans="1:13" x14ac:dyDescent="0.25">
      <c r="A35" s="2">
        <v>46211</v>
      </c>
      <c r="B35" s="1" t="str">
        <f ca="1">IF(Información1[[#This Row],[Fecha]]='Ajuste de fechas'!$A$2,"Día actual","Día anterior")</f>
        <v>Día anterior</v>
      </c>
      <c r="C35" t="s">
        <v>40</v>
      </c>
      <c r="D35" t="s">
        <v>41</v>
      </c>
      <c r="E35" t="s">
        <v>153</v>
      </c>
      <c r="F35" t="s">
        <v>34</v>
      </c>
      <c r="G35" t="s">
        <v>99</v>
      </c>
      <c r="H35" t="s">
        <v>35</v>
      </c>
      <c r="I35" t="s">
        <v>7</v>
      </c>
      <c r="J35" t="s">
        <v>31</v>
      </c>
      <c r="K35" t="s">
        <v>42</v>
      </c>
      <c r="L35" t="s">
        <v>24</v>
      </c>
      <c r="M35">
        <v>1</v>
      </c>
    </row>
    <row r="36" spans="1:13" x14ac:dyDescent="0.25">
      <c r="A36" s="2">
        <v>46211</v>
      </c>
      <c r="B36" s="1" t="str">
        <f ca="1">IF(Información1[[#This Row],[Fecha]]='Ajuste de fechas'!$A$2,"Día actual","Día anterior")</f>
        <v>Día anterior</v>
      </c>
      <c r="C36" t="s">
        <v>40</v>
      </c>
      <c r="D36" t="s">
        <v>41</v>
      </c>
      <c r="E36" t="s">
        <v>154</v>
      </c>
      <c r="F36" t="s">
        <v>9</v>
      </c>
      <c r="G36" t="s">
        <v>91</v>
      </c>
      <c r="H36" t="s">
        <v>35</v>
      </c>
      <c r="I36" t="s">
        <v>7</v>
      </c>
      <c r="J36" t="s">
        <v>31</v>
      </c>
      <c r="K36" t="s">
        <v>42</v>
      </c>
      <c r="L36" t="s">
        <v>24</v>
      </c>
      <c r="M36">
        <v>1</v>
      </c>
    </row>
    <row r="37" spans="1:13" x14ac:dyDescent="0.25">
      <c r="A37" s="2">
        <v>46211</v>
      </c>
      <c r="B37" s="1" t="str">
        <f ca="1">IF(Información1[[#This Row],[Fecha]]='Ajuste de fechas'!$A$2,"Día actual","Día anterior")</f>
        <v>Día anterior</v>
      </c>
      <c r="C37" t="s">
        <v>40</v>
      </c>
      <c r="D37" t="s">
        <v>41</v>
      </c>
      <c r="E37" t="s">
        <v>155</v>
      </c>
      <c r="F37" t="s">
        <v>9</v>
      </c>
      <c r="G37" t="s">
        <v>70</v>
      </c>
      <c r="H37" t="s">
        <v>35</v>
      </c>
      <c r="I37" t="s">
        <v>7</v>
      </c>
      <c r="J37" t="s">
        <v>31</v>
      </c>
      <c r="K37" t="s">
        <v>42</v>
      </c>
      <c r="L37" t="s">
        <v>24</v>
      </c>
      <c r="M37">
        <v>1</v>
      </c>
    </row>
    <row r="38" spans="1:13" x14ac:dyDescent="0.25">
      <c r="A38" s="2">
        <v>46211</v>
      </c>
      <c r="B38" s="1" t="str">
        <f ca="1">IF(Información1[[#This Row],[Fecha]]='Ajuste de fechas'!$A$2,"Día actual","Día anterior")</f>
        <v>Día anterior</v>
      </c>
      <c r="C38" t="s">
        <v>72</v>
      </c>
      <c r="D38" t="s">
        <v>73</v>
      </c>
      <c r="E38" t="s">
        <v>156</v>
      </c>
      <c r="F38" t="s">
        <v>10</v>
      </c>
      <c r="G38" t="s">
        <v>157</v>
      </c>
      <c r="H38" t="s">
        <v>8</v>
      </c>
      <c r="I38" t="s">
        <v>7</v>
      </c>
      <c r="J38" t="s">
        <v>33</v>
      </c>
      <c r="K38" t="s">
        <v>74</v>
      </c>
      <c r="L38" t="s">
        <v>24</v>
      </c>
      <c r="M38">
        <v>1</v>
      </c>
    </row>
    <row r="39" spans="1:13" x14ac:dyDescent="0.25">
      <c r="A39" s="2">
        <v>46211</v>
      </c>
      <c r="B39" s="1" t="str">
        <f ca="1">IF(Información1[[#This Row],[Fecha]]='Ajuste de fechas'!$A$2,"Día actual","Día anterior")</f>
        <v>Día anterior</v>
      </c>
      <c r="C39" t="s">
        <v>72</v>
      </c>
      <c r="D39" t="s">
        <v>73</v>
      </c>
      <c r="E39" t="s">
        <v>158</v>
      </c>
      <c r="F39" t="s">
        <v>10</v>
      </c>
      <c r="G39" t="s">
        <v>159</v>
      </c>
      <c r="H39" t="s">
        <v>8</v>
      </c>
      <c r="I39" t="s">
        <v>7</v>
      </c>
      <c r="J39" t="s">
        <v>33</v>
      </c>
      <c r="K39" t="s">
        <v>74</v>
      </c>
      <c r="L39" t="s">
        <v>24</v>
      </c>
      <c r="M39">
        <v>1</v>
      </c>
    </row>
    <row r="40" spans="1:13" x14ac:dyDescent="0.25">
      <c r="A40" s="2">
        <v>46211</v>
      </c>
      <c r="B40" s="1" t="str">
        <f ca="1">IF(Información1[[#This Row],[Fecha]]='Ajuste de fechas'!$A$2,"Día actual","Día anterior")</f>
        <v>Día anterior</v>
      </c>
      <c r="C40" t="s">
        <v>75</v>
      </c>
      <c r="D40" t="s">
        <v>76</v>
      </c>
      <c r="E40" t="s">
        <v>160</v>
      </c>
      <c r="F40" t="s">
        <v>10</v>
      </c>
      <c r="G40" t="s">
        <v>80</v>
      </c>
      <c r="H40" t="s">
        <v>8</v>
      </c>
      <c r="I40" t="s">
        <v>14</v>
      </c>
      <c r="J40" t="s">
        <v>33</v>
      </c>
      <c r="K40" t="s">
        <v>77</v>
      </c>
      <c r="L40" t="s">
        <v>25</v>
      </c>
      <c r="M40">
        <v>1</v>
      </c>
    </row>
    <row r="41" spans="1:13" x14ac:dyDescent="0.25">
      <c r="A41" s="2">
        <v>46211</v>
      </c>
      <c r="B41" s="1" t="str">
        <f ca="1">IF(Información1[[#This Row],[Fecha]]='Ajuste de fechas'!$A$2,"Día actual","Día anterior")</f>
        <v>Día anterior</v>
      </c>
      <c r="C41" t="s">
        <v>75</v>
      </c>
      <c r="D41" t="s">
        <v>76</v>
      </c>
      <c r="E41" t="s">
        <v>92</v>
      </c>
      <c r="F41" t="s">
        <v>10</v>
      </c>
      <c r="G41" t="s">
        <v>80</v>
      </c>
      <c r="H41" t="s">
        <v>8</v>
      </c>
      <c r="I41" t="s">
        <v>14</v>
      </c>
      <c r="J41" t="s">
        <v>33</v>
      </c>
      <c r="K41" t="s">
        <v>77</v>
      </c>
      <c r="L41" t="s">
        <v>24</v>
      </c>
      <c r="M41">
        <v>1</v>
      </c>
    </row>
    <row r="42" spans="1:13" x14ac:dyDescent="0.25">
      <c r="A42" s="2">
        <v>46211</v>
      </c>
      <c r="B42" s="1" t="str">
        <f ca="1">IF(Información1[[#This Row],[Fecha]]='Ajuste de fechas'!$A$2,"Día actual","Día anterior")</f>
        <v>Día anterior</v>
      </c>
      <c r="C42" t="s">
        <v>75</v>
      </c>
      <c r="D42" t="s">
        <v>76</v>
      </c>
      <c r="E42" t="s">
        <v>161</v>
      </c>
      <c r="F42" t="s">
        <v>10</v>
      </c>
      <c r="G42" t="s">
        <v>162</v>
      </c>
      <c r="H42" t="s">
        <v>8</v>
      </c>
      <c r="I42" t="s">
        <v>7</v>
      </c>
      <c r="J42" t="s">
        <v>33</v>
      </c>
      <c r="K42" t="s">
        <v>77</v>
      </c>
      <c r="L42" t="s">
        <v>24</v>
      </c>
      <c r="M42">
        <v>1</v>
      </c>
    </row>
    <row r="43" spans="1:13" x14ac:dyDescent="0.25">
      <c r="A43" s="2">
        <v>46211</v>
      </c>
      <c r="B43" s="1" t="str">
        <f ca="1">IF(Información1[[#This Row],[Fecha]]='Ajuste de fechas'!$A$2,"Día actual","Día anterior")</f>
        <v>Día anterior</v>
      </c>
      <c r="C43" t="s">
        <v>75</v>
      </c>
      <c r="D43" t="s">
        <v>76</v>
      </c>
      <c r="E43" t="s">
        <v>163</v>
      </c>
      <c r="F43" t="s">
        <v>10</v>
      </c>
      <c r="G43" t="s">
        <v>164</v>
      </c>
      <c r="H43" t="s">
        <v>8</v>
      </c>
      <c r="I43" t="s">
        <v>7</v>
      </c>
      <c r="J43" t="s">
        <v>33</v>
      </c>
      <c r="K43" t="s">
        <v>77</v>
      </c>
      <c r="L43" t="s">
        <v>24</v>
      </c>
      <c r="M43">
        <v>1</v>
      </c>
    </row>
    <row r="44" spans="1:13" x14ac:dyDescent="0.25">
      <c r="A44" s="2">
        <v>46211</v>
      </c>
      <c r="B44" s="1" t="str">
        <f ca="1">IF(Información1[[#This Row],[Fecha]]='Ajuste de fechas'!$A$2,"Día actual","Día anterior")</f>
        <v>Día anterior</v>
      </c>
      <c r="C44" t="s">
        <v>75</v>
      </c>
      <c r="D44" t="s">
        <v>76</v>
      </c>
      <c r="E44" t="s">
        <v>165</v>
      </c>
      <c r="F44" t="s">
        <v>95</v>
      </c>
      <c r="G44" t="s">
        <v>80</v>
      </c>
      <c r="H44" t="s">
        <v>8</v>
      </c>
      <c r="I44" t="s">
        <v>7</v>
      </c>
      <c r="J44" t="s">
        <v>31</v>
      </c>
      <c r="K44" t="s">
        <v>77</v>
      </c>
      <c r="L44" t="s">
        <v>25</v>
      </c>
      <c r="M44">
        <v>1</v>
      </c>
    </row>
    <row r="45" spans="1:13" x14ac:dyDescent="0.25">
      <c r="A45" s="2">
        <v>46211</v>
      </c>
      <c r="B45" s="1" t="str">
        <f ca="1">IF(Información1[[#This Row],[Fecha]]='Ajuste de fechas'!$A$2,"Día actual","Día anterior")</f>
        <v>Día anterior</v>
      </c>
      <c r="C45" t="s">
        <v>75</v>
      </c>
      <c r="D45" t="s">
        <v>76</v>
      </c>
      <c r="E45" t="s">
        <v>166</v>
      </c>
      <c r="F45" t="s">
        <v>15</v>
      </c>
      <c r="G45" t="s">
        <v>167</v>
      </c>
      <c r="H45" t="s">
        <v>8</v>
      </c>
      <c r="I45" t="s">
        <v>7</v>
      </c>
      <c r="J45" t="s">
        <v>31</v>
      </c>
      <c r="K45" t="s">
        <v>77</v>
      </c>
      <c r="L45" t="s">
        <v>24</v>
      </c>
      <c r="M45">
        <v>1</v>
      </c>
    </row>
    <row r="46" spans="1:13" x14ac:dyDescent="0.25">
      <c r="A46" s="2">
        <v>46211</v>
      </c>
      <c r="B46" s="1" t="str">
        <f ca="1">IF(Información1[[#This Row],[Fecha]]='Ajuste de fechas'!$A$2,"Día actual","Día anterior")</f>
        <v>Día anterior</v>
      </c>
      <c r="C46" t="s">
        <v>75</v>
      </c>
      <c r="D46" t="s">
        <v>76</v>
      </c>
      <c r="E46" t="s">
        <v>168</v>
      </c>
      <c r="F46" t="s">
        <v>15</v>
      </c>
      <c r="G46" t="s">
        <v>167</v>
      </c>
      <c r="H46" t="s">
        <v>8</v>
      </c>
      <c r="I46" t="s">
        <v>7</v>
      </c>
      <c r="J46" t="s">
        <v>31</v>
      </c>
      <c r="K46" t="s">
        <v>77</v>
      </c>
      <c r="L46" t="s">
        <v>24</v>
      </c>
      <c r="M46">
        <v>1</v>
      </c>
    </row>
    <row r="47" spans="1:13" x14ac:dyDescent="0.25">
      <c r="A47" s="2">
        <v>46211</v>
      </c>
      <c r="B47" s="1" t="str">
        <f ca="1">IF(Información1[[#This Row],[Fecha]]='Ajuste de fechas'!$A$2,"Día actual","Día anterior")</f>
        <v>Día anterior</v>
      </c>
      <c r="C47" t="s">
        <v>75</v>
      </c>
      <c r="D47" t="s">
        <v>76</v>
      </c>
      <c r="E47" t="s">
        <v>169</v>
      </c>
      <c r="F47" t="s">
        <v>30</v>
      </c>
      <c r="G47" t="s">
        <v>123</v>
      </c>
      <c r="H47" t="s">
        <v>8</v>
      </c>
      <c r="I47" t="s">
        <v>7</v>
      </c>
      <c r="J47" t="s">
        <v>13</v>
      </c>
      <c r="K47" t="s">
        <v>77</v>
      </c>
      <c r="L47" t="s">
        <v>24</v>
      </c>
      <c r="M47">
        <v>1</v>
      </c>
    </row>
    <row r="48" spans="1:13" x14ac:dyDescent="0.25">
      <c r="A48" s="2">
        <v>46211</v>
      </c>
      <c r="B48" s="1" t="str">
        <f ca="1">IF(Información1[[#This Row],[Fecha]]='Ajuste de fechas'!$A$2,"Día actual","Día anterior")</f>
        <v>Día anterior</v>
      </c>
      <c r="C48" t="s">
        <v>75</v>
      </c>
      <c r="D48" t="s">
        <v>76</v>
      </c>
      <c r="E48" t="s">
        <v>170</v>
      </c>
      <c r="F48" t="s">
        <v>30</v>
      </c>
      <c r="G48" t="s">
        <v>123</v>
      </c>
      <c r="H48" t="s">
        <v>8</v>
      </c>
      <c r="I48" t="s">
        <v>7</v>
      </c>
      <c r="J48" t="s">
        <v>13</v>
      </c>
      <c r="K48" t="s">
        <v>77</v>
      </c>
      <c r="L48" t="s">
        <v>24</v>
      </c>
      <c r="M48">
        <v>1</v>
      </c>
    </row>
    <row r="49" spans="1:13" x14ac:dyDescent="0.25">
      <c r="A49" s="2">
        <v>46211</v>
      </c>
      <c r="B49" s="1" t="str">
        <f ca="1">IF(Información1[[#This Row],[Fecha]]='Ajuste de fechas'!$A$2,"Día actual","Día anterior")</f>
        <v>Día anterior</v>
      </c>
      <c r="C49" t="s">
        <v>75</v>
      </c>
      <c r="D49" t="s">
        <v>76</v>
      </c>
      <c r="E49" t="s">
        <v>171</v>
      </c>
      <c r="F49" t="s">
        <v>30</v>
      </c>
      <c r="G49" t="s">
        <v>172</v>
      </c>
      <c r="H49" t="s">
        <v>8</v>
      </c>
      <c r="I49" t="s">
        <v>7</v>
      </c>
      <c r="J49" t="s">
        <v>13</v>
      </c>
      <c r="K49" t="s">
        <v>77</v>
      </c>
      <c r="L49" t="s">
        <v>24</v>
      </c>
      <c r="M49">
        <v>1</v>
      </c>
    </row>
    <row r="50" spans="1:13" x14ac:dyDescent="0.25">
      <c r="A50" s="2">
        <v>46211</v>
      </c>
      <c r="B50" s="1" t="str">
        <f ca="1">IF(Información1[[#This Row],[Fecha]]='Ajuste de fechas'!$A$2,"Día actual","Día anterior")</f>
        <v>Día anterior</v>
      </c>
      <c r="C50" t="s">
        <v>75</v>
      </c>
      <c r="D50" t="s">
        <v>76</v>
      </c>
      <c r="E50" t="s">
        <v>173</v>
      </c>
      <c r="F50" t="s">
        <v>30</v>
      </c>
      <c r="G50" t="s">
        <v>174</v>
      </c>
      <c r="H50" t="s">
        <v>8</v>
      </c>
      <c r="I50" t="s">
        <v>7</v>
      </c>
      <c r="J50" t="s">
        <v>13</v>
      </c>
      <c r="K50" t="s">
        <v>77</v>
      </c>
      <c r="L50" t="s">
        <v>24</v>
      </c>
      <c r="M50">
        <v>1</v>
      </c>
    </row>
    <row r="51" spans="1:13" x14ac:dyDescent="0.25">
      <c r="A51" s="2">
        <v>46211</v>
      </c>
      <c r="B51" s="1" t="str">
        <f ca="1">IF(Información1[[#This Row],[Fecha]]='Ajuste de fechas'!$A$2,"Día actual","Día anterior")</f>
        <v>Día anterior</v>
      </c>
      <c r="C51" t="s">
        <v>75</v>
      </c>
      <c r="D51" t="s">
        <v>76</v>
      </c>
      <c r="E51" t="s">
        <v>175</v>
      </c>
      <c r="F51" t="s">
        <v>34</v>
      </c>
      <c r="G51" t="s">
        <v>176</v>
      </c>
      <c r="H51" t="s">
        <v>8</v>
      </c>
      <c r="I51" t="s">
        <v>7</v>
      </c>
      <c r="J51" t="s">
        <v>31</v>
      </c>
      <c r="K51" t="s">
        <v>77</v>
      </c>
      <c r="L51" t="s">
        <v>24</v>
      </c>
      <c r="M51">
        <v>1</v>
      </c>
    </row>
    <row r="52" spans="1:13" x14ac:dyDescent="0.25">
      <c r="A52" s="2">
        <v>46211</v>
      </c>
      <c r="B52" s="1" t="str">
        <f ca="1">IF(Información1[[#This Row],[Fecha]]='Ajuste de fechas'!$A$2,"Día actual","Día anterior")</f>
        <v>Día anterior</v>
      </c>
      <c r="C52" t="s">
        <v>75</v>
      </c>
      <c r="D52" t="s">
        <v>76</v>
      </c>
      <c r="E52" t="s">
        <v>104</v>
      </c>
      <c r="F52" t="s">
        <v>105</v>
      </c>
      <c r="G52" t="s">
        <v>177</v>
      </c>
      <c r="H52" t="s">
        <v>8</v>
      </c>
      <c r="I52" t="s">
        <v>7</v>
      </c>
      <c r="J52" t="s">
        <v>31</v>
      </c>
      <c r="K52" t="s">
        <v>77</v>
      </c>
      <c r="L52" t="s">
        <v>26</v>
      </c>
      <c r="M52">
        <v>1</v>
      </c>
    </row>
    <row r="53" spans="1:13" x14ac:dyDescent="0.25">
      <c r="A53" s="2">
        <v>46211</v>
      </c>
      <c r="B53" s="1" t="str">
        <f ca="1">IF(Información1[[#This Row],[Fecha]]='Ajuste de fechas'!$A$2,"Día actual","Día anterior")</f>
        <v>Día anterior</v>
      </c>
      <c r="C53" t="s">
        <v>75</v>
      </c>
      <c r="D53" t="s">
        <v>76</v>
      </c>
      <c r="E53" t="s">
        <v>140</v>
      </c>
      <c r="F53" t="s">
        <v>34</v>
      </c>
      <c r="G53" t="s">
        <v>141</v>
      </c>
      <c r="H53" t="s">
        <v>8</v>
      </c>
      <c r="I53" t="s">
        <v>7</v>
      </c>
      <c r="J53" t="s">
        <v>31</v>
      </c>
      <c r="K53" t="s">
        <v>77</v>
      </c>
      <c r="L53" t="s">
        <v>26</v>
      </c>
      <c r="M53">
        <v>1</v>
      </c>
    </row>
    <row r="54" spans="1:13" x14ac:dyDescent="0.25">
      <c r="A54" s="2">
        <v>46211</v>
      </c>
      <c r="B54" s="1" t="str">
        <f ca="1">IF(Información1[[#This Row],[Fecha]]='Ajuste de fechas'!$A$2,"Día actual","Día anterior")</f>
        <v>Día anterior</v>
      </c>
      <c r="C54" t="s">
        <v>75</v>
      </c>
      <c r="D54" t="s">
        <v>76</v>
      </c>
      <c r="E54" t="s">
        <v>114</v>
      </c>
      <c r="F54" t="s">
        <v>38</v>
      </c>
      <c r="G54" t="s">
        <v>115</v>
      </c>
      <c r="H54" t="s">
        <v>8</v>
      </c>
      <c r="I54" t="s">
        <v>7</v>
      </c>
      <c r="J54" t="s">
        <v>31</v>
      </c>
      <c r="K54" t="s">
        <v>77</v>
      </c>
      <c r="L54" t="s">
        <v>26</v>
      </c>
      <c r="M54">
        <v>1</v>
      </c>
    </row>
    <row r="55" spans="1:13" x14ac:dyDescent="0.25">
      <c r="A55" s="2">
        <v>46211</v>
      </c>
      <c r="B55" s="1" t="str">
        <f ca="1">IF(Información1[[#This Row],[Fecha]]='Ajuste de fechas'!$A$2,"Día actual","Día anterior")</f>
        <v>Día anterior</v>
      </c>
      <c r="C55" t="s">
        <v>75</v>
      </c>
      <c r="D55" t="s">
        <v>76</v>
      </c>
      <c r="E55" t="s">
        <v>108</v>
      </c>
      <c r="F55" t="s">
        <v>12</v>
      </c>
      <c r="G55" t="s">
        <v>79</v>
      </c>
      <c r="H55" t="s">
        <v>8</v>
      </c>
      <c r="I55" t="s">
        <v>7</v>
      </c>
      <c r="J55" t="s">
        <v>31</v>
      </c>
      <c r="K55" t="s">
        <v>77</v>
      </c>
      <c r="L55" t="s">
        <v>26</v>
      </c>
      <c r="M55">
        <v>1</v>
      </c>
    </row>
    <row r="56" spans="1:13" x14ac:dyDescent="0.25">
      <c r="A56" s="2">
        <v>46211</v>
      </c>
      <c r="B56" s="1" t="str">
        <f ca="1">IF(Información1[[#This Row],[Fecha]]='Ajuste de fechas'!$A$2,"Día actual","Día anterior")</f>
        <v>Día anterior</v>
      </c>
      <c r="C56" t="s">
        <v>75</v>
      </c>
      <c r="D56" t="s">
        <v>76</v>
      </c>
      <c r="E56" t="s">
        <v>178</v>
      </c>
      <c r="F56" t="s">
        <v>12</v>
      </c>
      <c r="G56" t="s">
        <v>93</v>
      </c>
      <c r="H56" t="s">
        <v>8</v>
      </c>
      <c r="I56" t="s">
        <v>7</v>
      </c>
      <c r="J56" t="s">
        <v>31</v>
      </c>
      <c r="K56" t="s">
        <v>77</v>
      </c>
      <c r="L56" t="s">
        <v>26</v>
      </c>
      <c r="M56">
        <v>1</v>
      </c>
    </row>
    <row r="57" spans="1:13" x14ac:dyDescent="0.25">
      <c r="A57" s="2">
        <v>46211</v>
      </c>
      <c r="B57" s="1" t="str">
        <f ca="1">IF(Información1[[#This Row],[Fecha]]='Ajuste de fechas'!$A$2,"Día actual","Día anterior")</f>
        <v>Día anterior</v>
      </c>
      <c r="C57" t="s">
        <v>75</v>
      </c>
      <c r="D57" t="s">
        <v>76</v>
      </c>
      <c r="E57" t="s">
        <v>179</v>
      </c>
      <c r="F57" t="s">
        <v>9</v>
      </c>
      <c r="G57" t="s">
        <v>180</v>
      </c>
      <c r="H57" t="s">
        <v>8</v>
      </c>
      <c r="I57" t="s">
        <v>7</v>
      </c>
      <c r="J57" t="s">
        <v>31</v>
      </c>
      <c r="K57" t="s">
        <v>77</v>
      </c>
      <c r="L57" t="s">
        <v>26</v>
      </c>
      <c r="M57">
        <v>1</v>
      </c>
    </row>
    <row r="58" spans="1:13" x14ac:dyDescent="0.25">
      <c r="A58" s="2">
        <v>46211</v>
      </c>
      <c r="B58" s="1" t="str">
        <f ca="1">IF(Información1[[#This Row],[Fecha]]='Ajuste de fechas'!$A$2,"Día actual","Día anterior")</f>
        <v>Día anterior</v>
      </c>
      <c r="C58" t="s">
        <v>72</v>
      </c>
      <c r="D58" t="s">
        <v>78</v>
      </c>
      <c r="E58" t="s">
        <v>181</v>
      </c>
      <c r="F58" t="s">
        <v>11</v>
      </c>
      <c r="G58" t="s">
        <v>182</v>
      </c>
      <c r="H58" t="s">
        <v>8</v>
      </c>
      <c r="I58" t="s">
        <v>14</v>
      </c>
      <c r="J58" t="s">
        <v>32</v>
      </c>
      <c r="K58" t="s">
        <v>45</v>
      </c>
      <c r="L58" t="s">
        <v>25</v>
      </c>
      <c r="M58">
        <v>1</v>
      </c>
    </row>
    <row r="59" spans="1:13" x14ac:dyDescent="0.25">
      <c r="A59" s="2">
        <v>46211</v>
      </c>
      <c r="B59" s="1" t="str">
        <f ca="1">IF(Información1[[#This Row],[Fecha]]='Ajuste de fechas'!$A$2,"Día actual","Día anterior")</f>
        <v>Día anterior</v>
      </c>
      <c r="C59" t="s">
        <v>72</v>
      </c>
      <c r="D59" t="s">
        <v>78</v>
      </c>
      <c r="E59" t="s">
        <v>183</v>
      </c>
      <c r="F59" t="s">
        <v>10</v>
      </c>
      <c r="G59" t="s">
        <v>132</v>
      </c>
      <c r="H59" t="s">
        <v>8</v>
      </c>
      <c r="I59" t="s">
        <v>7</v>
      </c>
      <c r="J59" t="s">
        <v>33</v>
      </c>
      <c r="K59" t="s">
        <v>74</v>
      </c>
      <c r="L59" t="s">
        <v>24</v>
      </c>
      <c r="M59">
        <v>1</v>
      </c>
    </row>
    <row r="60" spans="1:13" x14ac:dyDescent="0.25">
      <c r="A60" s="2">
        <v>46211</v>
      </c>
      <c r="B60" s="1" t="str">
        <f ca="1">IF(Información1[[#This Row],[Fecha]]='Ajuste de fechas'!$A$2,"Día actual","Día anterior")</f>
        <v>Día anterior</v>
      </c>
      <c r="C60" t="s">
        <v>72</v>
      </c>
      <c r="D60" t="s">
        <v>78</v>
      </c>
      <c r="E60" t="s">
        <v>184</v>
      </c>
      <c r="F60" t="s">
        <v>12</v>
      </c>
      <c r="G60" t="s">
        <v>88</v>
      </c>
      <c r="H60" t="s">
        <v>8</v>
      </c>
      <c r="I60" t="s">
        <v>7</v>
      </c>
      <c r="J60" t="s">
        <v>31</v>
      </c>
      <c r="K60" t="s">
        <v>74</v>
      </c>
      <c r="L60" t="s">
        <v>24</v>
      </c>
      <c r="M60">
        <v>1</v>
      </c>
    </row>
    <row r="61" spans="1:13" x14ac:dyDescent="0.25">
      <c r="A61" s="2">
        <v>46211</v>
      </c>
      <c r="B61" s="1" t="str">
        <f ca="1">IF(Información1[[#This Row],[Fecha]]='Ajuste de fechas'!$A$2,"Día actual","Día anterior")</f>
        <v>Día anterior</v>
      </c>
      <c r="C61" t="s">
        <v>72</v>
      </c>
      <c r="D61" t="s">
        <v>78</v>
      </c>
      <c r="E61" t="s">
        <v>183</v>
      </c>
      <c r="F61" t="s">
        <v>64</v>
      </c>
      <c r="G61" t="s">
        <v>132</v>
      </c>
      <c r="H61" t="s">
        <v>8</v>
      </c>
      <c r="I61" t="s">
        <v>7</v>
      </c>
      <c r="J61" t="s">
        <v>31</v>
      </c>
      <c r="K61" t="s">
        <v>74</v>
      </c>
      <c r="L61" t="s">
        <v>24</v>
      </c>
      <c r="M61">
        <v>1</v>
      </c>
    </row>
    <row r="62" spans="1:13" x14ac:dyDescent="0.25">
      <c r="A62" s="2">
        <v>46211</v>
      </c>
      <c r="B62" s="1" t="str">
        <f ca="1">IF(Información1[[#This Row],[Fecha]]='Ajuste de fechas'!$A$2,"Día actual","Día anterior")</f>
        <v>Día anterior</v>
      </c>
      <c r="C62" t="s">
        <v>72</v>
      </c>
      <c r="D62" t="s">
        <v>78</v>
      </c>
      <c r="E62" t="s">
        <v>185</v>
      </c>
      <c r="F62" t="s">
        <v>71</v>
      </c>
      <c r="G62" t="s">
        <v>186</v>
      </c>
      <c r="H62" t="s">
        <v>8</v>
      </c>
      <c r="I62" t="s">
        <v>7</v>
      </c>
      <c r="J62" t="s">
        <v>31</v>
      </c>
      <c r="K62" t="s">
        <v>68</v>
      </c>
      <c r="L62" t="s">
        <v>26</v>
      </c>
      <c r="M62">
        <v>1</v>
      </c>
    </row>
    <row r="63" spans="1:13" x14ac:dyDescent="0.25">
      <c r="A63" s="2">
        <v>46211</v>
      </c>
      <c r="B63" s="1" t="str">
        <f ca="1">IF(Información1[[#This Row],[Fecha]]='Ajuste de fechas'!$A$2,"Día actual","Día anterior")</f>
        <v>Día anterior</v>
      </c>
      <c r="C63" t="s">
        <v>72</v>
      </c>
      <c r="D63" t="s">
        <v>78</v>
      </c>
      <c r="E63" t="s">
        <v>187</v>
      </c>
      <c r="F63" t="s">
        <v>101</v>
      </c>
      <c r="G63" t="s">
        <v>102</v>
      </c>
      <c r="H63" t="s">
        <v>8</v>
      </c>
      <c r="I63" t="s">
        <v>7</v>
      </c>
      <c r="J63" t="s">
        <v>31</v>
      </c>
      <c r="K63" t="s">
        <v>68</v>
      </c>
      <c r="L63" t="s">
        <v>26</v>
      </c>
      <c r="M63">
        <v>1</v>
      </c>
    </row>
    <row r="64" spans="1:13" x14ac:dyDescent="0.25">
      <c r="A64" s="2">
        <v>46211</v>
      </c>
      <c r="B64" s="1" t="str">
        <f ca="1">IF(Información1[[#This Row],[Fecha]]='Ajuste de fechas'!$A$2,"Día actual","Día anterior")</f>
        <v>Día anterior</v>
      </c>
      <c r="C64" t="s">
        <v>72</v>
      </c>
      <c r="D64" t="s">
        <v>78</v>
      </c>
      <c r="E64" t="s">
        <v>188</v>
      </c>
      <c r="F64" t="s">
        <v>83</v>
      </c>
      <c r="G64" t="s">
        <v>84</v>
      </c>
      <c r="H64" t="s">
        <v>8</v>
      </c>
      <c r="I64" t="s">
        <v>7</v>
      </c>
      <c r="J64" t="s">
        <v>31</v>
      </c>
      <c r="K64" t="s">
        <v>68</v>
      </c>
      <c r="L64" t="s">
        <v>26</v>
      </c>
      <c r="M64">
        <v>1</v>
      </c>
    </row>
    <row r="65" spans="1:13" x14ac:dyDescent="0.25">
      <c r="A65" s="2">
        <v>46211</v>
      </c>
      <c r="B65" s="1" t="str">
        <f ca="1">IF(Información1[[#This Row],[Fecha]]='Ajuste de fechas'!$A$2,"Día actual","Día anterior")</f>
        <v>Día anterior</v>
      </c>
      <c r="C65" t="s">
        <v>49</v>
      </c>
      <c r="D65" t="s">
        <v>50</v>
      </c>
      <c r="E65" t="s">
        <v>189</v>
      </c>
      <c r="F65" t="s">
        <v>10</v>
      </c>
      <c r="G65" t="s">
        <v>81</v>
      </c>
      <c r="H65" t="s">
        <v>8</v>
      </c>
      <c r="I65" t="s">
        <v>14</v>
      </c>
      <c r="J65" t="s">
        <v>33</v>
      </c>
      <c r="K65" t="s">
        <v>45</v>
      </c>
      <c r="L65" t="s">
        <v>25</v>
      </c>
      <c r="M65">
        <v>1</v>
      </c>
    </row>
    <row r="66" spans="1:13" x14ac:dyDescent="0.25">
      <c r="A66" s="2">
        <v>46211</v>
      </c>
      <c r="B66" s="1" t="str">
        <f ca="1">IF(Información1[[#This Row],[Fecha]]='Ajuste de fechas'!$A$2,"Día actual","Día anterior")</f>
        <v>Día anterior</v>
      </c>
      <c r="C66" t="s">
        <v>16</v>
      </c>
      <c r="D66" t="s">
        <v>190</v>
      </c>
      <c r="E66" t="s">
        <v>191</v>
      </c>
      <c r="F66" t="s">
        <v>30</v>
      </c>
      <c r="G66" t="s">
        <v>192</v>
      </c>
      <c r="H66" t="s">
        <v>8</v>
      </c>
      <c r="I66" t="s">
        <v>7</v>
      </c>
      <c r="J66" t="s">
        <v>13</v>
      </c>
      <c r="K66" t="s">
        <v>193</v>
      </c>
      <c r="L66" t="s">
        <v>24</v>
      </c>
      <c r="M66">
        <v>1</v>
      </c>
    </row>
    <row r="67" spans="1:13" x14ac:dyDescent="0.25">
      <c r="A67" s="2">
        <v>46211</v>
      </c>
      <c r="B67" s="1" t="str">
        <f ca="1">IF(Información1[[#This Row],[Fecha]]='Ajuste de fechas'!$A$2,"Día actual","Día anterior")</f>
        <v>Día anterior</v>
      </c>
      <c r="C67" t="s">
        <v>49</v>
      </c>
      <c r="D67" t="s">
        <v>50</v>
      </c>
      <c r="E67" t="s">
        <v>194</v>
      </c>
      <c r="F67" t="s">
        <v>30</v>
      </c>
      <c r="G67" t="s">
        <v>172</v>
      </c>
      <c r="H67" t="s">
        <v>8</v>
      </c>
      <c r="I67" t="s">
        <v>7</v>
      </c>
      <c r="J67" t="s">
        <v>13</v>
      </c>
      <c r="K67" t="s">
        <v>51</v>
      </c>
      <c r="L67" t="s">
        <v>24</v>
      </c>
      <c r="M67">
        <v>1</v>
      </c>
    </row>
    <row r="68" spans="1:13" x14ac:dyDescent="0.25">
      <c r="A68" s="2">
        <v>46211</v>
      </c>
      <c r="B68" s="1" t="str">
        <f ca="1">IF(Información1[[#This Row],[Fecha]]='Ajuste de fechas'!$A$2,"Día actual","Día anterior")</f>
        <v>Día anterior</v>
      </c>
      <c r="C68" t="s">
        <v>65</v>
      </c>
      <c r="D68" t="s">
        <v>66</v>
      </c>
      <c r="E68" t="s">
        <v>195</v>
      </c>
      <c r="F68" t="s">
        <v>47</v>
      </c>
      <c r="G68" t="s">
        <v>94</v>
      </c>
      <c r="H68" t="s">
        <v>8</v>
      </c>
      <c r="I68" t="s">
        <v>7</v>
      </c>
      <c r="J68" t="s">
        <v>31</v>
      </c>
      <c r="K68" t="s">
        <v>67</v>
      </c>
      <c r="L68" t="s">
        <v>24</v>
      </c>
      <c r="M68">
        <v>1</v>
      </c>
    </row>
    <row r="69" spans="1:13" x14ac:dyDescent="0.25">
      <c r="A69" s="2">
        <v>46211</v>
      </c>
      <c r="B69" s="1" t="str">
        <f ca="1">IF(Información1[[#This Row],[Fecha]]='Ajuste de fechas'!$A$2,"Día actual","Día anterior")</f>
        <v>Día anterior</v>
      </c>
      <c r="C69" t="s">
        <v>196</v>
      </c>
      <c r="D69" t="s">
        <v>197</v>
      </c>
      <c r="E69" t="s">
        <v>198</v>
      </c>
      <c r="F69" t="s">
        <v>85</v>
      </c>
      <c r="G69" t="s">
        <v>84</v>
      </c>
      <c r="H69" t="s">
        <v>8</v>
      </c>
      <c r="I69" t="s">
        <v>7</v>
      </c>
      <c r="J69" t="s">
        <v>31</v>
      </c>
      <c r="K69" t="s">
        <v>199</v>
      </c>
      <c r="L69" t="s">
        <v>26</v>
      </c>
      <c r="M69">
        <v>1</v>
      </c>
    </row>
    <row r="70" spans="1:13" x14ac:dyDescent="0.25">
      <c r="A70" s="2">
        <v>46211</v>
      </c>
      <c r="B70" s="1" t="str">
        <f ca="1">IF(Información1[[#This Row],[Fecha]]='Ajuste de fechas'!$A$2,"Día actual","Día anterior")</f>
        <v>Día anterior</v>
      </c>
      <c r="C70" t="s">
        <v>16</v>
      </c>
      <c r="D70" t="s">
        <v>190</v>
      </c>
      <c r="E70" t="s">
        <v>200</v>
      </c>
      <c r="F70" t="s">
        <v>64</v>
      </c>
      <c r="G70" t="s">
        <v>132</v>
      </c>
      <c r="H70" t="s">
        <v>8</v>
      </c>
      <c r="I70" t="s">
        <v>7</v>
      </c>
      <c r="J70" t="s">
        <v>31</v>
      </c>
      <c r="K70" t="s">
        <v>193</v>
      </c>
      <c r="L70" t="s">
        <v>24</v>
      </c>
      <c r="M70">
        <v>1</v>
      </c>
    </row>
    <row r="71" spans="1:13" x14ac:dyDescent="0.25">
      <c r="A71" s="2">
        <v>46211</v>
      </c>
      <c r="B71" s="1" t="str">
        <f ca="1">IF(Información1[[#This Row],[Fecha]]='Ajuste de fechas'!$A$2,"Día actual","Día anterior")</f>
        <v>Día anterior</v>
      </c>
      <c r="C71" t="s">
        <v>16</v>
      </c>
      <c r="D71" t="s">
        <v>190</v>
      </c>
      <c r="E71" t="s">
        <v>201</v>
      </c>
      <c r="F71" t="s">
        <v>64</v>
      </c>
      <c r="G71" t="s">
        <v>132</v>
      </c>
      <c r="H71" t="s">
        <v>8</v>
      </c>
      <c r="I71" t="s">
        <v>7</v>
      </c>
      <c r="J71" t="s">
        <v>31</v>
      </c>
      <c r="K71" t="s">
        <v>193</v>
      </c>
      <c r="L71" t="s">
        <v>24</v>
      </c>
      <c r="M71">
        <v>1</v>
      </c>
    </row>
    <row r="72" spans="1:13" x14ac:dyDescent="0.25">
      <c r="A72" s="2">
        <v>46211</v>
      </c>
      <c r="B72" s="1" t="str">
        <f ca="1">IF(Información1[[#This Row],[Fecha]]='Ajuste de fechas'!$A$2,"Día actual","Día anterior")</f>
        <v>Día anterior</v>
      </c>
      <c r="C72" t="s">
        <v>16</v>
      </c>
      <c r="D72" t="s">
        <v>62</v>
      </c>
      <c r="E72" t="s">
        <v>202</v>
      </c>
      <c r="F72" t="s">
        <v>64</v>
      </c>
      <c r="G72" t="s">
        <v>132</v>
      </c>
      <c r="H72" t="s">
        <v>8</v>
      </c>
      <c r="I72" t="s">
        <v>7</v>
      </c>
      <c r="J72" t="s">
        <v>31</v>
      </c>
      <c r="K72" t="s">
        <v>63</v>
      </c>
      <c r="L72" t="s">
        <v>24</v>
      </c>
      <c r="M72">
        <v>1</v>
      </c>
    </row>
    <row r="73" spans="1:13" x14ac:dyDescent="0.25">
      <c r="A73" s="2">
        <v>46211</v>
      </c>
      <c r="B73" s="1" t="str">
        <f ca="1">IF(Información1[[#This Row],[Fecha]]='Ajuste de fechas'!$A$2,"Día actual","Día anterior")</f>
        <v>Día anterior</v>
      </c>
      <c r="C73" t="s">
        <v>16</v>
      </c>
      <c r="D73" t="s">
        <v>190</v>
      </c>
      <c r="E73" t="s">
        <v>203</v>
      </c>
      <c r="F73" t="s">
        <v>10</v>
      </c>
      <c r="G73" t="s">
        <v>204</v>
      </c>
      <c r="H73" t="s">
        <v>8</v>
      </c>
      <c r="I73" t="s">
        <v>7</v>
      </c>
      <c r="J73" t="s">
        <v>33</v>
      </c>
      <c r="K73" t="s">
        <v>193</v>
      </c>
      <c r="L73" t="s">
        <v>24</v>
      </c>
      <c r="M73">
        <v>1</v>
      </c>
    </row>
    <row r="74" spans="1:13" x14ac:dyDescent="0.25">
      <c r="A74" s="2">
        <v>46211</v>
      </c>
      <c r="B74" s="1" t="str">
        <f ca="1">IF(Información1[[#This Row],[Fecha]]='Ajuste de fechas'!$A$2,"Día actual","Día anterior")</f>
        <v>Día anterior</v>
      </c>
      <c r="C74" t="s">
        <v>49</v>
      </c>
      <c r="D74" t="s">
        <v>50</v>
      </c>
      <c r="E74" t="s">
        <v>205</v>
      </c>
      <c r="F74" t="s">
        <v>13</v>
      </c>
      <c r="G74" t="s">
        <v>107</v>
      </c>
      <c r="H74" t="s">
        <v>8</v>
      </c>
      <c r="I74" t="s">
        <v>7</v>
      </c>
      <c r="J74" t="s">
        <v>13</v>
      </c>
      <c r="K74" t="s">
        <v>51</v>
      </c>
      <c r="L74" t="s">
        <v>25</v>
      </c>
      <c r="M74">
        <v>1</v>
      </c>
    </row>
    <row r="75" spans="1:13" x14ac:dyDescent="0.25">
      <c r="A75" s="2">
        <v>46211</v>
      </c>
      <c r="B75" s="1" t="str">
        <f ca="1">IF(Información1[[#This Row],[Fecha]]='Ajuste de fechas'!$A$2,"Día actual","Día anterior")</f>
        <v>Día anterior</v>
      </c>
      <c r="C75" t="s">
        <v>16</v>
      </c>
      <c r="D75" t="s">
        <v>190</v>
      </c>
      <c r="E75" t="s">
        <v>206</v>
      </c>
      <c r="F75" t="s">
        <v>10</v>
      </c>
      <c r="G75" t="s">
        <v>88</v>
      </c>
      <c r="H75" t="s">
        <v>8</v>
      </c>
      <c r="I75" t="s">
        <v>7</v>
      </c>
      <c r="J75" t="s">
        <v>33</v>
      </c>
      <c r="K75" t="s">
        <v>193</v>
      </c>
      <c r="L75" t="s">
        <v>24</v>
      </c>
      <c r="M75">
        <v>1</v>
      </c>
    </row>
    <row r="76" spans="1:13" x14ac:dyDescent="0.25">
      <c r="A76" s="2">
        <v>46211</v>
      </c>
      <c r="B76" s="1" t="str">
        <f ca="1">IF(Información1[[#This Row],[Fecha]]='Ajuste de fechas'!$A$2,"Día actual","Día anterior")</f>
        <v>Día anterior</v>
      </c>
      <c r="C76" t="s">
        <v>49</v>
      </c>
      <c r="D76" t="s">
        <v>50</v>
      </c>
      <c r="E76" t="s">
        <v>207</v>
      </c>
      <c r="F76" t="s">
        <v>10</v>
      </c>
      <c r="G76" t="s">
        <v>208</v>
      </c>
      <c r="H76" t="s">
        <v>8</v>
      </c>
      <c r="I76" t="s">
        <v>7</v>
      </c>
      <c r="J76" t="s">
        <v>33</v>
      </c>
      <c r="K76" t="s">
        <v>51</v>
      </c>
      <c r="L76" t="s">
        <v>24</v>
      </c>
      <c r="M76">
        <v>1</v>
      </c>
    </row>
    <row r="77" spans="1:13" x14ac:dyDescent="0.25">
      <c r="A77" s="2">
        <v>46211</v>
      </c>
      <c r="B77" s="1" t="str">
        <f ca="1">IF(Información1[[#This Row],[Fecha]]='Ajuste de fechas'!$A$2,"Día actual","Día anterior")</f>
        <v>Día anterior</v>
      </c>
      <c r="C77" t="s">
        <v>16</v>
      </c>
      <c r="D77" t="s">
        <v>62</v>
      </c>
      <c r="E77" t="s">
        <v>209</v>
      </c>
      <c r="F77" t="s">
        <v>101</v>
      </c>
      <c r="G77" t="s">
        <v>102</v>
      </c>
      <c r="H77" t="s">
        <v>8</v>
      </c>
      <c r="I77" t="s">
        <v>7</v>
      </c>
      <c r="J77" t="s">
        <v>31</v>
      </c>
      <c r="K77" t="s">
        <v>63</v>
      </c>
      <c r="L77" t="s">
        <v>24</v>
      </c>
      <c r="M77">
        <v>1</v>
      </c>
    </row>
    <row r="78" spans="1:13" x14ac:dyDescent="0.25">
      <c r="A78" s="2">
        <v>46211</v>
      </c>
      <c r="B78" s="1" t="str">
        <f ca="1">IF(Información1[[#This Row],[Fecha]]='Ajuste de fechas'!$A$2,"Día actual","Día anterior")</f>
        <v>Día anterior</v>
      </c>
      <c r="C78" t="s">
        <v>16</v>
      </c>
      <c r="D78" t="s">
        <v>62</v>
      </c>
      <c r="E78" t="s">
        <v>210</v>
      </c>
      <c r="F78" t="s">
        <v>211</v>
      </c>
      <c r="G78" t="s">
        <v>212</v>
      </c>
      <c r="H78" t="s">
        <v>8</v>
      </c>
      <c r="I78" t="s">
        <v>7</v>
      </c>
      <c r="J78" t="s">
        <v>13</v>
      </c>
      <c r="K78" t="s">
        <v>63</v>
      </c>
      <c r="L78" t="s">
        <v>24</v>
      </c>
      <c r="M78">
        <v>1</v>
      </c>
    </row>
    <row r="79" spans="1:13" x14ac:dyDescent="0.25">
      <c r="A79" s="2">
        <v>46211</v>
      </c>
      <c r="B79" s="1" t="str">
        <f ca="1">IF(Información1[[#This Row],[Fecha]]='Ajuste de fechas'!$A$2,"Día actual","Día anterior")</f>
        <v>Día anterior</v>
      </c>
      <c r="C79" t="s">
        <v>16</v>
      </c>
      <c r="D79" t="s">
        <v>190</v>
      </c>
      <c r="E79" t="s">
        <v>124</v>
      </c>
      <c r="F79" t="s">
        <v>64</v>
      </c>
      <c r="G79" t="s">
        <v>125</v>
      </c>
      <c r="H79" t="s">
        <v>8</v>
      </c>
      <c r="I79" t="s">
        <v>7</v>
      </c>
      <c r="J79" t="s">
        <v>31</v>
      </c>
      <c r="K79" t="s">
        <v>193</v>
      </c>
      <c r="L79" t="s">
        <v>26</v>
      </c>
      <c r="M79">
        <v>1</v>
      </c>
    </row>
    <row r="80" spans="1:13" x14ac:dyDescent="0.25">
      <c r="A80" s="2">
        <v>46211</v>
      </c>
      <c r="B80" s="1" t="str">
        <f ca="1">IF(Información1[[#This Row],[Fecha]]='Ajuste de fechas'!$A$2,"Día actual","Día anterior")</f>
        <v>Día anterior</v>
      </c>
      <c r="C80" t="s">
        <v>49</v>
      </c>
      <c r="D80" t="s">
        <v>50</v>
      </c>
      <c r="E80" t="s">
        <v>213</v>
      </c>
      <c r="F80" t="s">
        <v>10</v>
      </c>
      <c r="G80" t="s">
        <v>214</v>
      </c>
      <c r="H80" t="s">
        <v>8</v>
      </c>
      <c r="I80" t="s">
        <v>14</v>
      </c>
      <c r="J80" t="s">
        <v>33</v>
      </c>
      <c r="K80" t="s">
        <v>45</v>
      </c>
      <c r="L80" t="s">
        <v>24</v>
      </c>
      <c r="M80">
        <v>1</v>
      </c>
    </row>
    <row r="81" spans="1:13" x14ac:dyDescent="0.25">
      <c r="A81" s="2">
        <v>46211</v>
      </c>
      <c r="B81" s="1" t="str">
        <f ca="1">IF(Información1[[#This Row],[Fecha]]='Ajuste de fechas'!$A$2,"Día actual","Día anterior")</f>
        <v>Día anterior</v>
      </c>
      <c r="C81" t="s">
        <v>16</v>
      </c>
      <c r="D81" t="s">
        <v>190</v>
      </c>
      <c r="E81" t="s">
        <v>114</v>
      </c>
      <c r="F81" t="s">
        <v>38</v>
      </c>
      <c r="G81" t="s">
        <v>115</v>
      </c>
      <c r="H81" t="s">
        <v>8</v>
      </c>
      <c r="I81" t="s">
        <v>7</v>
      </c>
      <c r="J81" t="s">
        <v>31</v>
      </c>
      <c r="K81" t="s">
        <v>193</v>
      </c>
      <c r="L81" t="s">
        <v>24</v>
      </c>
      <c r="M81">
        <v>1</v>
      </c>
    </row>
    <row r="82" spans="1:13" x14ac:dyDescent="0.25">
      <c r="A82" s="2">
        <v>46211</v>
      </c>
      <c r="B82" s="1" t="str">
        <f ca="1">IF(Información1[[#This Row],[Fecha]]='Ajuste de fechas'!$A$2,"Día actual","Día anterior")</f>
        <v>Día anterior</v>
      </c>
      <c r="C82" t="s">
        <v>16</v>
      </c>
      <c r="D82" t="s">
        <v>62</v>
      </c>
      <c r="E82" t="s">
        <v>215</v>
      </c>
      <c r="F82" t="s">
        <v>38</v>
      </c>
      <c r="G82" t="s">
        <v>115</v>
      </c>
      <c r="H82" t="s">
        <v>8</v>
      </c>
      <c r="I82" t="s">
        <v>7</v>
      </c>
      <c r="J82" t="s">
        <v>31</v>
      </c>
      <c r="K82" t="s">
        <v>63</v>
      </c>
      <c r="L82" t="s">
        <v>24</v>
      </c>
      <c r="M82">
        <v>1</v>
      </c>
    </row>
    <row r="83" spans="1:13" x14ac:dyDescent="0.25">
      <c r="A83" s="2">
        <v>46211</v>
      </c>
      <c r="B83" s="1" t="str">
        <f ca="1">IF(Información1[[#This Row],[Fecha]]='Ajuste de fechas'!$A$2,"Día actual","Día anterior")</f>
        <v>Día anterior</v>
      </c>
      <c r="C83" t="s">
        <v>49</v>
      </c>
      <c r="D83" t="s">
        <v>50</v>
      </c>
      <c r="E83" t="s">
        <v>216</v>
      </c>
      <c r="F83" t="s">
        <v>38</v>
      </c>
      <c r="G83" t="s">
        <v>115</v>
      </c>
      <c r="H83" t="s">
        <v>8</v>
      </c>
      <c r="I83" t="s">
        <v>7</v>
      </c>
      <c r="J83" t="s">
        <v>31</v>
      </c>
      <c r="K83" t="s">
        <v>51</v>
      </c>
      <c r="L83" t="s">
        <v>24</v>
      </c>
      <c r="M83">
        <v>1</v>
      </c>
    </row>
    <row r="84" spans="1:13" x14ac:dyDescent="0.25">
      <c r="A84" s="2">
        <v>46211</v>
      </c>
      <c r="B84" s="1" t="str">
        <f ca="1">IF(Información1[[#This Row],[Fecha]]='Ajuste de fechas'!$A$2,"Día actual","Día anterior")</f>
        <v>Día anterior</v>
      </c>
      <c r="C84" t="s">
        <v>49</v>
      </c>
      <c r="D84" t="s">
        <v>50</v>
      </c>
      <c r="E84" t="s">
        <v>217</v>
      </c>
      <c r="F84" t="s">
        <v>11</v>
      </c>
      <c r="G84" t="s">
        <v>218</v>
      </c>
      <c r="H84" t="s">
        <v>8</v>
      </c>
      <c r="I84" t="s">
        <v>7</v>
      </c>
      <c r="J84" t="s">
        <v>32</v>
      </c>
      <c r="K84" t="s">
        <v>51</v>
      </c>
      <c r="L84" t="s">
        <v>24</v>
      </c>
      <c r="M84">
        <v>1</v>
      </c>
    </row>
    <row r="85" spans="1:13" x14ac:dyDescent="0.25">
      <c r="A85" s="2">
        <v>46211</v>
      </c>
      <c r="B85" s="1" t="str">
        <f ca="1">IF(Información1[[#This Row],[Fecha]]='Ajuste de fechas'!$A$2,"Día actual","Día anterior")</f>
        <v>Día anterior</v>
      </c>
      <c r="C85" t="s">
        <v>49</v>
      </c>
      <c r="D85" t="s">
        <v>50</v>
      </c>
      <c r="E85" t="s">
        <v>219</v>
      </c>
      <c r="F85" t="s">
        <v>10</v>
      </c>
      <c r="G85" t="s">
        <v>220</v>
      </c>
      <c r="H85" t="s">
        <v>8</v>
      </c>
      <c r="I85" t="s">
        <v>7</v>
      </c>
      <c r="J85" t="s">
        <v>33</v>
      </c>
      <c r="K85" t="s">
        <v>51</v>
      </c>
      <c r="L85" t="s">
        <v>24</v>
      </c>
      <c r="M85">
        <v>1</v>
      </c>
    </row>
    <row r="86" spans="1:13" x14ac:dyDescent="0.25">
      <c r="A86" s="2">
        <v>46211</v>
      </c>
      <c r="B86" s="1" t="str">
        <f ca="1">IF(Información1[[#This Row],[Fecha]]='Ajuste de fechas'!$A$2,"Día actual","Día anterior")</f>
        <v>Día anterior</v>
      </c>
      <c r="C86" t="s">
        <v>16</v>
      </c>
      <c r="D86" t="s">
        <v>190</v>
      </c>
      <c r="E86" t="s">
        <v>221</v>
      </c>
      <c r="F86" t="s">
        <v>10</v>
      </c>
      <c r="G86" t="s">
        <v>222</v>
      </c>
      <c r="H86" t="s">
        <v>8</v>
      </c>
      <c r="I86" t="s">
        <v>7</v>
      </c>
      <c r="J86" t="s">
        <v>33</v>
      </c>
      <c r="K86" t="s">
        <v>193</v>
      </c>
      <c r="L86" t="s">
        <v>24</v>
      </c>
      <c r="M86">
        <v>1</v>
      </c>
    </row>
    <row r="87" spans="1:13" x14ac:dyDescent="0.25">
      <c r="A87" s="2">
        <v>46211</v>
      </c>
      <c r="B87" s="1" t="str">
        <f ca="1">IF(Información1[[#This Row],[Fecha]]='Ajuste de fechas'!$A$2,"Día actual","Día anterior")</f>
        <v>Día anterior</v>
      </c>
      <c r="C87" t="s">
        <v>16</v>
      </c>
      <c r="D87" t="s">
        <v>190</v>
      </c>
      <c r="E87" t="s">
        <v>179</v>
      </c>
      <c r="F87" t="s">
        <v>9</v>
      </c>
      <c r="G87" t="s">
        <v>180</v>
      </c>
      <c r="H87" t="s">
        <v>8</v>
      </c>
      <c r="I87" t="s">
        <v>7</v>
      </c>
      <c r="J87" t="s">
        <v>31</v>
      </c>
      <c r="K87" t="s">
        <v>193</v>
      </c>
      <c r="L87" t="s">
        <v>26</v>
      </c>
      <c r="M87">
        <v>1</v>
      </c>
    </row>
    <row r="88" spans="1:13" x14ac:dyDescent="0.25">
      <c r="A88" s="2">
        <v>46211</v>
      </c>
      <c r="B88" s="1" t="str">
        <f ca="1">IF(Información1[[#This Row],[Fecha]]='Ajuste de fechas'!$A$2,"Día actual","Día anterior")</f>
        <v>Día anterior</v>
      </c>
      <c r="C88" t="s">
        <v>16</v>
      </c>
      <c r="D88" t="s">
        <v>62</v>
      </c>
      <c r="E88" t="s">
        <v>223</v>
      </c>
      <c r="F88" t="s">
        <v>9</v>
      </c>
      <c r="G88" t="s">
        <v>180</v>
      </c>
      <c r="H88" t="s">
        <v>8</v>
      </c>
      <c r="I88" t="s">
        <v>7</v>
      </c>
      <c r="J88" t="s">
        <v>31</v>
      </c>
      <c r="K88" t="s">
        <v>63</v>
      </c>
      <c r="L88" t="s">
        <v>24</v>
      </c>
      <c r="M88">
        <v>1</v>
      </c>
    </row>
    <row r="89" spans="1:13" x14ac:dyDescent="0.25">
      <c r="A89" s="2">
        <v>46211</v>
      </c>
      <c r="B89" s="1" t="str">
        <f ca="1">IF(Información1[[#This Row],[Fecha]]='Ajuste de fechas'!$A$2,"Día actual","Día anterior")</f>
        <v>Día anterior</v>
      </c>
      <c r="C89" t="s">
        <v>49</v>
      </c>
      <c r="D89" t="s">
        <v>50</v>
      </c>
      <c r="E89" t="s">
        <v>179</v>
      </c>
      <c r="F89" t="s">
        <v>9</v>
      </c>
      <c r="G89" t="s">
        <v>180</v>
      </c>
      <c r="H89" t="s">
        <v>8</v>
      </c>
      <c r="I89" t="s">
        <v>7</v>
      </c>
      <c r="J89" t="s">
        <v>31</v>
      </c>
      <c r="K89" t="s">
        <v>51</v>
      </c>
      <c r="L89" t="s">
        <v>26</v>
      </c>
      <c r="M89">
        <v>1</v>
      </c>
    </row>
    <row r="90" spans="1:13" x14ac:dyDescent="0.25">
      <c r="A90" s="2">
        <v>46211</v>
      </c>
      <c r="B90" s="1" t="str">
        <f ca="1">IF(Información1[[#This Row],[Fecha]]='Ajuste de fechas'!$A$2,"Día actual","Día anterior")</f>
        <v>Día anterior</v>
      </c>
      <c r="C90" t="s">
        <v>16</v>
      </c>
      <c r="D90" t="s">
        <v>62</v>
      </c>
      <c r="E90" t="s">
        <v>224</v>
      </c>
      <c r="F90" t="s">
        <v>38</v>
      </c>
      <c r="G90" t="s">
        <v>225</v>
      </c>
      <c r="H90" t="s">
        <v>8</v>
      </c>
      <c r="I90" t="s">
        <v>7</v>
      </c>
      <c r="J90" t="s">
        <v>31</v>
      </c>
      <c r="K90" t="s">
        <v>63</v>
      </c>
      <c r="L90" t="s">
        <v>24</v>
      </c>
      <c r="M90">
        <v>1</v>
      </c>
    </row>
    <row r="91" spans="1:13" x14ac:dyDescent="0.25">
      <c r="A91" s="2">
        <v>46211</v>
      </c>
      <c r="B91" s="1" t="str">
        <f ca="1">IF(Información1[[#This Row],[Fecha]]='Ajuste de fechas'!$A$2,"Día actual","Día anterior")</f>
        <v>Día anterior</v>
      </c>
      <c r="C91" t="s">
        <v>16</v>
      </c>
      <c r="D91" t="s">
        <v>62</v>
      </c>
      <c r="E91" t="s">
        <v>226</v>
      </c>
      <c r="F91" t="s">
        <v>12</v>
      </c>
      <c r="G91" t="s">
        <v>79</v>
      </c>
      <c r="H91" t="s">
        <v>8</v>
      </c>
      <c r="I91" t="s">
        <v>7</v>
      </c>
      <c r="J91" t="s">
        <v>31</v>
      </c>
      <c r="K91" t="s">
        <v>63</v>
      </c>
      <c r="L91" t="s">
        <v>24</v>
      </c>
      <c r="M91">
        <v>1</v>
      </c>
    </row>
    <row r="92" spans="1:13" x14ac:dyDescent="0.25">
      <c r="A92" s="2">
        <v>46211</v>
      </c>
      <c r="B92" s="1" t="str">
        <f ca="1">IF(Información1[[#This Row],[Fecha]]='Ajuste de fechas'!$A$2,"Día actual","Día anterior")</f>
        <v>Día anterior</v>
      </c>
      <c r="C92" t="s">
        <v>16</v>
      </c>
      <c r="D92" t="s">
        <v>62</v>
      </c>
      <c r="E92" t="s">
        <v>227</v>
      </c>
      <c r="F92" t="s">
        <v>12</v>
      </c>
      <c r="G92" t="s">
        <v>87</v>
      </c>
      <c r="H92" t="s">
        <v>8</v>
      </c>
      <c r="I92" t="s">
        <v>7</v>
      </c>
      <c r="J92" t="s">
        <v>31</v>
      </c>
      <c r="K92" t="s">
        <v>63</v>
      </c>
      <c r="L92" t="s">
        <v>24</v>
      </c>
      <c r="M92">
        <v>1</v>
      </c>
    </row>
    <row r="93" spans="1:13" x14ac:dyDescent="0.25">
      <c r="A93" s="2">
        <v>46211</v>
      </c>
      <c r="B93" s="1" t="str">
        <f ca="1">IF(Información1[[#This Row],[Fecha]]='Ajuste de fechas'!$A$2,"Día actual","Día anterior")</f>
        <v>Día anterior</v>
      </c>
      <c r="C93" t="s">
        <v>16</v>
      </c>
      <c r="D93" t="s">
        <v>190</v>
      </c>
      <c r="E93" t="s">
        <v>228</v>
      </c>
      <c r="F93" t="s">
        <v>12</v>
      </c>
      <c r="G93" t="s">
        <v>93</v>
      </c>
      <c r="H93" t="s">
        <v>8</v>
      </c>
      <c r="I93" t="s">
        <v>7</v>
      </c>
      <c r="J93" t="s">
        <v>31</v>
      </c>
      <c r="K93" t="s">
        <v>193</v>
      </c>
      <c r="L93" t="s">
        <v>24</v>
      </c>
      <c r="M93">
        <v>1</v>
      </c>
    </row>
    <row r="94" spans="1:13" x14ac:dyDescent="0.25">
      <c r="A94" s="2">
        <v>46211</v>
      </c>
      <c r="B94" s="1" t="str">
        <f ca="1">IF(Información1[[#This Row],[Fecha]]='Ajuste de fechas'!$A$2,"Día actual","Día anterior")</f>
        <v>Día anterior</v>
      </c>
      <c r="C94" t="s">
        <v>16</v>
      </c>
      <c r="D94" t="s">
        <v>62</v>
      </c>
      <c r="E94" t="s">
        <v>229</v>
      </c>
      <c r="F94" t="s">
        <v>12</v>
      </c>
      <c r="G94" t="s">
        <v>93</v>
      </c>
      <c r="H94" t="s">
        <v>8</v>
      </c>
      <c r="I94" t="s">
        <v>7</v>
      </c>
      <c r="J94" t="s">
        <v>31</v>
      </c>
      <c r="K94" t="s">
        <v>63</v>
      </c>
      <c r="L94" t="s">
        <v>24</v>
      </c>
      <c r="M94">
        <v>1</v>
      </c>
    </row>
    <row r="95" spans="1:13" x14ac:dyDescent="0.25">
      <c r="A95" s="2">
        <v>46211</v>
      </c>
      <c r="B95" s="1" t="str">
        <f ca="1">IF(Información1[[#This Row],[Fecha]]='Ajuste de fechas'!$A$2,"Día actual","Día anterior")</f>
        <v>Día anterior</v>
      </c>
      <c r="C95" t="s">
        <v>16</v>
      </c>
      <c r="D95" t="s">
        <v>62</v>
      </c>
      <c r="E95" t="s">
        <v>230</v>
      </c>
      <c r="F95" t="s">
        <v>12</v>
      </c>
      <c r="G95" t="s">
        <v>93</v>
      </c>
      <c r="H95" t="s">
        <v>8</v>
      </c>
      <c r="I95" t="s">
        <v>7</v>
      </c>
      <c r="J95" t="s">
        <v>31</v>
      </c>
      <c r="K95" t="s">
        <v>63</v>
      </c>
      <c r="L95" t="s">
        <v>24</v>
      </c>
      <c r="M95">
        <v>1</v>
      </c>
    </row>
    <row r="96" spans="1:13" x14ac:dyDescent="0.25">
      <c r="A96" s="2">
        <v>46211</v>
      </c>
      <c r="B96" s="1" t="str">
        <f ca="1">IF(Información1[[#This Row],[Fecha]]='Ajuste de fechas'!$A$2,"Día actual","Día anterior")</f>
        <v>Día anterior</v>
      </c>
      <c r="C96" t="s">
        <v>49</v>
      </c>
      <c r="D96" t="s">
        <v>50</v>
      </c>
      <c r="E96" t="s">
        <v>231</v>
      </c>
      <c r="F96" t="s">
        <v>12</v>
      </c>
      <c r="G96" t="s">
        <v>93</v>
      </c>
      <c r="H96" t="s">
        <v>8</v>
      </c>
      <c r="I96" t="s">
        <v>7</v>
      </c>
      <c r="J96" t="s">
        <v>31</v>
      </c>
      <c r="K96" t="s">
        <v>51</v>
      </c>
      <c r="L96" t="s">
        <v>24</v>
      </c>
      <c r="M96">
        <v>1</v>
      </c>
    </row>
    <row r="97" spans="1:13" x14ac:dyDescent="0.25">
      <c r="A97" s="2">
        <v>46211</v>
      </c>
      <c r="B97" s="1" t="str">
        <f ca="1">IF(Información1[[#This Row],[Fecha]]='Ajuste de fechas'!$A$2,"Día actual","Día anterior")</f>
        <v>Día anterior</v>
      </c>
      <c r="C97" t="s">
        <v>49</v>
      </c>
      <c r="D97" t="s">
        <v>50</v>
      </c>
      <c r="E97" t="s">
        <v>232</v>
      </c>
      <c r="F97" t="s">
        <v>10</v>
      </c>
      <c r="G97" t="s">
        <v>233</v>
      </c>
      <c r="H97" t="s">
        <v>8</v>
      </c>
      <c r="I97" t="s">
        <v>7</v>
      </c>
      <c r="J97" t="s">
        <v>33</v>
      </c>
      <c r="K97" t="s">
        <v>45</v>
      </c>
      <c r="L97" t="s">
        <v>25</v>
      </c>
      <c r="M97">
        <v>1</v>
      </c>
    </row>
    <row r="98" spans="1:13" x14ac:dyDescent="0.25">
      <c r="A98" s="2">
        <v>46211</v>
      </c>
      <c r="B98" s="1" t="str">
        <f ca="1">IF(Información1[[#This Row],[Fecha]]='Ajuste de fechas'!$A$2,"Día actual","Día anterior")</f>
        <v>Día anterior</v>
      </c>
      <c r="C98" t="s">
        <v>196</v>
      </c>
      <c r="D98" t="s">
        <v>197</v>
      </c>
      <c r="E98" t="s">
        <v>234</v>
      </c>
      <c r="F98" t="s">
        <v>34</v>
      </c>
      <c r="G98" t="s">
        <v>141</v>
      </c>
      <c r="H98" t="s">
        <v>8</v>
      </c>
      <c r="I98" t="s">
        <v>7</v>
      </c>
      <c r="J98" t="s">
        <v>31</v>
      </c>
      <c r="K98" t="s">
        <v>199</v>
      </c>
      <c r="L98" t="s">
        <v>26</v>
      </c>
      <c r="M98">
        <v>1</v>
      </c>
    </row>
    <row r="99" spans="1:13" x14ac:dyDescent="0.25">
      <c r="A99" s="2">
        <v>46211</v>
      </c>
      <c r="B99" s="1" t="str">
        <f ca="1">IF(Información1[[#This Row],[Fecha]]='Ajuste de fechas'!$A$2,"Día actual","Día anterior")</f>
        <v>Día anterior</v>
      </c>
      <c r="C99" t="s">
        <v>16</v>
      </c>
      <c r="D99" t="s">
        <v>62</v>
      </c>
      <c r="E99" t="s">
        <v>235</v>
      </c>
      <c r="F99" t="s">
        <v>34</v>
      </c>
      <c r="G99" t="s">
        <v>141</v>
      </c>
      <c r="H99" t="s">
        <v>8</v>
      </c>
      <c r="I99" t="s">
        <v>7</v>
      </c>
      <c r="J99" t="s">
        <v>31</v>
      </c>
      <c r="K99" t="s">
        <v>63</v>
      </c>
      <c r="L99" t="s">
        <v>24</v>
      </c>
      <c r="M99">
        <v>1</v>
      </c>
    </row>
    <row r="100" spans="1:13" x14ac:dyDescent="0.25">
      <c r="A100" s="2">
        <v>46211</v>
      </c>
      <c r="B100" s="1" t="str">
        <f ca="1">IF(Información1[[#This Row],[Fecha]]='Ajuste de fechas'!$A$2,"Día actual","Día anterior")</f>
        <v>Día anterior</v>
      </c>
      <c r="C100" t="s">
        <v>16</v>
      </c>
      <c r="D100" t="s">
        <v>62</v>
      </c>
      <c r="E100" t="s">
        <v>236</v>
      </c>
      <c r="F100" t="s">
        <v>38</v>
      </c>
      <c r="G100" t="s">
        <v>237</v>
      </c>
      <c r="H100" t="s">
        <v>8</v>
      </c>
      <c r="I100" t="s">
        <v>7</v>
      </c>
      <c r="J100" t="s">
        <v>31</v>
      </c>
      <c r="K100" t="s">
        <v>63</v>
      </c>
      <c r="L100" t="s">
        <v>24</v>
      </c>
      <c r="M100">
        <v>1</v>
      </c>
    </row>
    <row r="101" spans="1:13" x14ac:dyDescent="0.25">
      <c r="A101" s="2">
        <v>46211</v>
      </c>
      <c r="B101" s="1" t="str">
        <f ca="1">IF(Información1[[#This Row],[Fecha]]='Ajuste de fechas'!$A$2,"Día actual","Día anterior")</f>
        <v>Día anterior</v>
      </c>
      <c r="C101" t="s">
        <v>16</v>
      </c>
      <c r="D101" t="s">
        <v>62</v>
      </c>
      <c r="E101" t="s">
        <v>238</v>
      </c>
      <c r="F101" t="s">
        <v>71</v>
      </c>
      <c r="G101" t="s">
        <v>186</v>
      </c>
      <c r="H101" t="s">
        <v>8</v>
      </c>
      <c r="I101" t="s">
        <v>7</v>
      </c>
      <c r="J101" t="s">
        <v>31</v>
      </c>
      <c r="K101" t="s">
        <v>63</v>
      </c>
      <c r="L101" t="s">
        <v>25</v>
      </c>
      <c r="M101">
        <v>1</v>
      </c>
    </row>
    <row r="102" spans="1:13" x14ac:dyDescent="0.25">
      <c r="A102" s="2">
        <v>46211</v>
      </c>
      <c r="B102" s="1" t="str">
        <f ca="1">IF(Información1[[#This Row],[Fecha]]='Ajuste de fechas'!$A$2,"Día actual","Día anterior")</f>
        <v>Día anterior</v>
      </c>
      <c r="C102" t="s">
        <v>16</v>
      </c>
      <c r="D102" t="s">
        <v>62</v>
      </c>
      <c r="E102" t="s">
        <v>239</v>
      </c>
      <c r="F102" t="s">
        <v>71</v>
      </c>
      <c r="G102" t="s">
        <v>186</v>
      </c>
      <c r="H102" t="s">
        <v>8</v>
      </c>
      <c r="I102" t="s">
        <v>7</v>
      </c>
      <c r="J102" t="s">
        <v>31</v>
      </c>
      <c r="K102" t="s">
        <v>63</v>
      </c>
      <c r="L102" t="s">
        <v>24</v>
      </c>
      <c r="M102">
        <v>1</v>
      </c>
    </row>
    <row r="103" spans="1:13" x14ac:dyDescent="0.25">
      <c r="A103" s="2">
        <v>46211</v>
      </c>
      <c r="B103" s="1" t="str">
        <f ca="1">IF(Información1[[#This Row],[Fecha]]='Ajuste de fechas'!$A$2,"Día actual","Día anterior")</f>
        <v>Día anterior</v>
      </c>
      <c r="C103" t="s">
        <v>49</v>
      </c>
      <c r="D103" t="s">
        <v>50</v>
      </c>
      <c r="E103" t="s">
        <v>52</v>
      </c>
      <c r="F103" t="s">
        <v>10</v>
      </c>
      <c r="G103" t="s">
        <v>53</v>
      </c>
      <c r="H103" t="s">
        <v>8</v>
      </c>
      <c r="I103" t="s">
        <v>48</v>
      </c>
      <c r="J103" t="s">
        <v>33</v>
      </c>
      <c r="K103" t="s">
        <v>51</v>
      </c>
      <c r="L103" t="s">
        <v>25</v>
      </c>
      <c r="M103">
        <v>1</v>
      </c>
    </row>
    <row r="104" spans="1:13" x14ac:dyDescent="0.25">
      <c r="A104" s="2">
        <v>46211</v>
      </c>
      <c r="B104" s="1" t="str">
        <f ca="1">IF(Información1[[#This Row],[Fecha]]='Ajuste de fechas'!$A$2,"Día actual","Día anterior")</f>
        <v>Día anterior</v>
      </c>
      <c r="C104" t="s">
        <v>49</v>
      </c>
      <c r="D104" t="s">
        <v>50</v>
      </c>
      <c r="E104" t="s">
        <v>54</v>
      </c>
      <c r="F104" t="s">
        <v>10</v>
      </c>
      <c r="G104" t="s">
        <v>53</v>
      </c>
      <c r="H104" t="s">
        <v>8</v>
      </c>
      <c r="I104" t="s">
        <v>48</v>
      </c>
      <c r="J104" t="s">
        <v>33</v>
      </c>
      <c r="K104" t="s">
        <v>51</v>
      </c>
      <c r="L104" t="s">
        <v>25</v>
      </c>
      <c r="M104">
        <v>1</v>
      </c>
    </row>
    <row r="105" spans="1:13" x14ac:dyDescent="0.25">
      <c r="A105" s="2">
        <v>46211</v>
      </c>
      <c r="B105" s="1" t="str">
        <f ca="1">IF(Información1[[#This Row],[Fecha]]='Ajuste de fechas'!$A$2,"Día actual","Día anterior")</f>
        <v>Día anterior</v>
      </c>
      <c r="C105" t="s">
        <v>49</v>
      </c>
      <c r="D105" t="s">
        <v>50</v>
      </c>
      <c r="E105" t="s">
        <v>55</v>
      </c>
      <c r="F105" t="s">
        <v>34</v>
      </c>
      <c r="G105" t="s">
        <v>53</v>
      </c>
      <c r="H105" t="s">
        <v>8</v>
      </c>
      <c r="I105" t="s">
        <v>48</v>
      </c>
      <c r="J105" t="s">
        <v>31</v>
      </c>
      <c r="K105" t="s">
        <v>51</v>
      </c>
      <c r="L105" t="s">
        <v>25</v>
      </c>
      <c r="M105">
        <v>1</v>
      </c>
    </row>
    <row r="106" spans="1:13" x14ac:dyDescent="0.25">
      <c r="A106" s="2">
        <v>46211</v>
      </c>
      <c r="B106" s="1" t="str">
        <f ca="1">IF(Información1[[#This Row],[Fecha]]='Ajuste de fechas'!$A$2,"Día actual","Día anterior")</f>
        <v>Día anterior</v>
      </c>
      <c r="C106" t="s">
        <v>49</v>
      </c>
      <c r="D106" t="s">
        <v>50</v>
      </c>
      <c r="E106" t="s">
        <v>59</v>
      </c>
      <c r="F106" t="s">
        <v>30</v>
      </c>
      <c r="G106" t="s">
        <v>53</v>
      </c>
      <c r="H106" t="s">
        <v>8</v>
      </c>
      <c r="I106" t="s">
        <v>48</v>
      </c>
      <c r="J106" t="s">
        <v>13</v>
      </c>
      <c r="K106" t="s">
        <v>51</v>
      </c>
      <c r="L106" t="s">
        <v>25</v>
      </c>
      <c r="M106">
        <v>1</v>
      </c>
    </row>
    <row r="107" spans="1:13" x14ac:dyDescent="0.25">
      <c r="A107" s="2">
        <v>46211</v>
      </c>
      <c r="B107" s="1" t="str">
        <f ca="1">IF(Información1[[#This Row],[Fecha]]='Ajuste de fechas'!$A$2,"Día actual","Día anterior")</f>
        <v>Día anterior</v>
      </c>
      <c r="C107" t="s">
        <v>49</v>
      </c>
      <c r="D107" t="s">
        <v>50</v>
      </c>
      <c r="E107" t="s">
        <v>56</v>
      </c>
      <c r="F107" t="s">
        <v>9</v>
      </c>
      <c r="G107" t="s">
        <v>53</v>
      </c>
      <c r="H107" t="s">
        <v>8</v>
      </c>
      <c r="I107" t="s">
        <v>48</v>
      </c>
      <c r="J107" t="s">
        <v>31</v>
      </c>
      <c r="K107" t="s">
        <v>51</v>
      </c>
      <c r="L107" t="s">
        <v>25</v>
      </c>
      <c r="M107">
        <v>1</v>
      </c>
    </row>
    <row r="108" spans="1:13" x14ac:dyDescent="0.25">
      <c r="A108" s="2">
        <v>46211</v>
      </c>
      <c r="B108" s="1" t="str">
        <f ca="1">IF(Información1[[#This Row],[Fecha]]='Ajuste de fechas'!$A$2,"Día actual","Día anterior")</f>
        <v>Día anterior</v>
      </c>
      <c r="C108" t="s">
        <v>49</v>
      </c>
      <c r="D108" t="s">
        <v>50</v>
      </c>
      <c r="E108" t="s">
        <v>57</v>
      </c>
      <c r="F108" t="s">
        <v>46</v>
      </c>
      <c r="G108" t="s">
        <v>53</v>
      </c>
      <c r="H108" t="s">
        <v>8</v>
      </c>
      <c r="I108" t="s">
        <v>48</v>
      </c>
      <c r="J108" t="s">
        <v>31</v>
      </c>
      <c r="K108" t="s">
        <v>51</v>
      </c>
      <c r="L108" t="s">
        <v>25</v>
      </c>
      <c r="M108">
        <v>1</v>
      </c>
    </row>
    <row r="109" spans="1:13" x14ac:dyDescent="0.25">
      <c r="A109" s="2">
        <v>46211</v>
      </c>
      <c r="B109" s="1" t="str">
        <f ca="1">IF(Información1[[#This Row],[Fecha]]='Ajuste de fechas'!$A$2,"Día actual","Día anterior")</f>
        <v>Día anterior</v>
      </c>
      <c r="C109" t="s">
        <v>49</v>
      </c>
      <c r="D109" t="s">
        <v>50</v>
      </c>
      <c r="E109" t="s">
        <v>58</v>
      </c>
      <c r="F109" t="s">
        <v>6</v>
      </c>
      <c r="G109" t="s">
        <v>53</v>
      </c>
      <c r="H109" t="s">
        <v>8</v>
      </c>
      <c r="I109" t="s">
        <v>48</v>
      </c>
      <c r="J109" t="s">
        <v>31</v>
      </c>
      <c r="K109" t="s">
        <v>51</v>
      </c>
      <c r="L109" t="s">
        <v>25</v>
      </c>
      <c r="M109">
        <v>1</v>
      </c>
    </row>
    <row r="110" spans="1:13" x14ac:dyDescent="0.25">
      <c r="A110" s="2">
        <v>46211</v>
      </c>
      <c r="B110" s="1" t="str">
        <f ca="1">IF(Información1[[#This Row],[Fecha]]='Ajuste de fechas'!$A$2,"Día actual","Día anterior")</f>
        <v>Día anterior</v>
      </c>
      <c r="C110" t="s">
        <v>16</v>
      </c>
      <c r="D110" t="s">
        <v>62</v>
      </c>
      <c r="E110" t="s">
        <v>240</v>
      </c>
      <c r="F110" t="s">
        <v>9</v>
      </c>
      <c r="G110" t="s">
        <v>91</v>
      </c>
      <c r="H110" t="s">
        <v>8</v>
      </c>
      <c r="I110" t="s">
        <v>7</v>
      </c>
      <c r="J110" t="s">
        <v>31</v>
      </c>
      <c r="K110" t="s">
        <v>63</v>
      </c>
      <c r="L110" t="s">
        <v>24</v>
      </c>
      <c r="M110">
        <v>1</v>
      </c>
    </row>
    <row r="111" spans="1:13" x14ac:dyDescent="0.25">
      <c r="A111" s="2">
        <v>46211</v>
      </c>
      <c r="B111" s="1" t="str">
        <f ca="1">IF(Información1[[#This Row],[Fecha]]='Ajuste de fechas'!$A$2,"Día actual","Día anterior")</f>
        <v>Día anterior</v>
      </c>
      <c r="C111" t="s">
        <v>49</v>
      </c>
      <c r="D111" t="s">
        <v>50</v>
      </c>
      <c r="E111" t="s">
        <v>241</v>
      </c>
      <c r="F111" t="s">
        <v>6</v>
      </c>
      <c r="G111" t="s">
        <v>242</v>
      </c>
      <c r="H111" t="s">
        <v>8</v>
      </c>
      <c r="I111" t="s">
        <v>14</v>
      </c>
      <c r="J111" t="s">
        <v>31</v>
      </c>
      <c r="K111" t="s">
        <v>45</v>
      </c>
      <c r="L111" t="s">
        <v>25</v>
      </c>
      <c r="M111">
        <v>1</v>
      </c>
    </row>
    <row r="112" spans="1:13" x14ac:dyDescent="0.25">
      <c r="A112" s="2">
        <v>46211</v>
      </c>
      <c r="B112" s="1" t="str">
        <f ca="1">IF(Información1[[#This Row],[Fecha]]='Ajuste de fechas'!$A$2,"Día actual","Día anterior")</f>
        <v>Día anterior</v>
      </c>
      <c r="C112" t="s">
        <v>16</v>
      </c>
      <c r="D112" t="s">
        <v>190</v>
      </c>
      <c r="E112" t="s">
        <v>243</v>
      </c>
      <c r="F112" t="s">
        <v>10</v>
      </c>
      <c r="G112" t="s">
        <v>244</v>
      </c>
      <c r="H112" t="s">
        <v>8</v>
      </c>
      <c r="I112" t="s">
        <v>7</v>
      </c>
      <c r="J112" t="s">
        <v>33</v>
      </c>
      <c r="K112" t="s">
        <v>193</v>
      </c>
      <c r="L112" t="s">
        <v>24</v>
      </c>
      <c r="M112">
        <v>1</v>
      </c>
    </row>
    <row r="113" spans="1:13" x14ac:dyDescent="0.25">
      <c r="A113" s="2">
        <v>46211</v>
      </c>
      <c r="B113" s="1" t="str">
        <f ca="1">IF(Información1[[#This Row],[Fecha]]='Ajuste de fechas'!$A$2,"Día actual","Día anterior")</f>
        <v>Día anterior</v>
      </c>
      <c r="C113" t="s">
        <v>16</v>
      </c>
      <c r="D113" t="s">
        <v>190</v>
      </c>
      <c r="E113" t="s">
        <v>245</v>
      </c>
      <c r="F113" t="s">
        <v>12</v>
      </c>
      <c r="G113" t="s">
        <v>246</v>
      </c>
      <c r="H113" t="s">
        <v>8</v>
      </c>
      <c r="I113" t="s">
        <v>7</v>
      </c>
      <c r="J113" t="s">
        <v>31</v>
      </c>
      <c r="K113" t="s">
        <v>193</v>
      </c>
      <c r="L113" t="s">
        <v>24</v>
      </c>
      <c r="M113">
        <v>1</v>
      </c>
    </row>
    <row r="114" spans="1:13" x14ac:dyDescent="0.25">
      <c r="A114" s="2">
        <v>46211</v>
      </c>
      <c r="B114" s="1" t="str">
        <f ca="1">IF(Información1[[#This Row],[Fecha]]='Ajuste de fechas'!$A$2,"Día actual","Día anterior")</f>
        <v>Día anterior</v>
      </c>
      <c r="C114" t="s">
        <v>16</v>
      </c>
      <c r="D114" t="s">
        <v>62</v>
      </c>
      <c r="E114" t="s">
        <v>247</v>
      </c>
      <c r="F114" t="s">
        <v>12</v>
      </c>
      <c r="G114" t="s">
        <v>246</v>
      </c>
      <c r="H114" t="s">
        <v>8</v>
      </c>
      <c r="I114" t="s">
        <v>7</v>
      </c>
      <c r="J114" t="s">
        <v>31</v>
      </c>
      <c r="K114" t="s">
        <v>63</v>
      </c>
      <c r="L114" t="s">
        <v>24</v>
      </c>
      <c r="M114">
        <v>1</v>
      </c>
    </row>
    <row r="115" spans="1:13" x14ac:dyDescent="0.25">
      <c r="A115" s="2">
        <v>46211</v>
      </c>
      <c r="B115" s="1" t="str">
        <f ca="1">IF(Información1[[#This Row],[Fecha]]='Ajuste de fechas'!$A$2,"Día actual","Día anterior")</f>
        <v>Día anterior</v>
      </c>
      <c r="C115" t="s">
        <v>16</v>
      </c>
      <c r="D115" t="s">
        <v>190</v>
      </c>
      <c r="E115" t="s">
        <v>248</v>
      </c>
      <c r="F115" t="s">
        <v>10</v>
      </c>
      <c r="G115" t="s">
        <v>61</v>
      </c>
      <c r="H115" t="s">
        <v>8</v>
      </c>
      <c r="I115" t="s">
        <v>7</v>
      </c>
      <c r="J115" t="s">
        <v>33</v>
      </c>
      <c r="K115" t="s">
        <v>193</v>
      </c>
      <c r="L115" t="s">
        <v>24</v>
      </c>
      <c r="M115">
        <v>1</v>
      </c>
    </row>
    <row r="116" spans="1:13" x14ac:dyDescent="0.25">
      <c r="A116" s="2">
        <v>46211</v>
      </c>
      <c r="B116" s="1" t="str">
        <f ca="1">IF(Información1[[#This Row],[Fecha]]='Ajuste de fechas'!$A$2,"Día actual","Día anterior")</f>
        <v>Día anterior</v>
      </c>
      <c r="C116" t="s">
        <v>49</v>
      </c>
      <c r="D116" t="s">
        <v>50</v>
      </c>
      <c r="E116" t="s">
        <v>249</v>
      </c>
      <c r="F116" t="s">
        <v>6</v>
      </c>
      <c r="G116" t="s">
        <v>61</v>
      </c>
      <c r="H116" t="s">
        <v>8</v>
      </c>
      <c r="I116" t="s">
        <v>14</v>
      </c>
      <c r="J116" t="s">
        <v>31</v>
      </c>
      <c r="K116" t="s">
        <v>45</v>
      </c>
      <c r="L116" t="s">
        <v>25</v>
      </c>
      <c r="M116">
        <v>1</v>
      </c>
    </row>
    <row r="117" spans="1:13" x14ac:dyDescent="0.25">
      <c r="A117" s="2">
        <v>46211</v>
      </c>
      <c r="B117" s="1" t="str">
        <f ca="1">IF(Información1[[#This Row],[Fecha]]='Ajuste de fechas'!$A$2,"Día actual","Día anterior")</f>
        <v>Día anterior</v>
      </c>
      <c r="C117" t="s">
        <v>49</v>
      </c>
      <c r="D117" t="s">
        <v>50</v>
      </c>
      <c r="E117" t="s">
        <v>250</v>
      </c>
      <c r="F117" t="s">
        <v>6</v>
      </c>
      <c r="G117" t="s">
        <v>61</v>
      </c>
      <c r="H117" t="s">
        <v>8</v>
      </c>
      <c r="I117" t="s">
        <v>14</v>
      </c>
      <c r="J117" t="s">
        <v>31</v>
      </c>
      <c r="K117" t="s">
        <v>45</v>
      </c>
      <c r="L117" t="s">
        <v>25</v>
      </c>
      <c r="M117">
        <v>1</v>
      </c>
    </row>
    <row r="118" spans="1:13" x14ac:dyDescent="0.25">
      <c r="A118" s="2">
        <v>46211</v>
      </c>
      <c r="B118" s="1" t="str">
        <f ca="1">IF(Información1[[#This Row],[Fecha]]='Ajuste de fechas'!$A$2,"Día actual","Día anterior")</f>
        <v>Día anterior</v>
      </c>
      <c r="C118" t="s">
        <v>49</v>
      </c>
      <c r="D118" t="s">
        <v>50</v>
      </c>
      <c r="E118" t="s">
        <v>251</v>
      </c>
      <c r="F118" t="s">
        <v>6</v>
      </c>
      <c r="G118" t="s">
        <v>61</v>
      </c>
      <c r="H118" t="s">
        <v>8</v>
      </c>
      <c r="I118" t="s">
        <v>7</v>
      </c>
      <c r="J118" t="s">
        <v>31</v>
      </c>
      <c r="K118" t="s">
        <v>51</v>
      </c>
      <c r="L118" t="s">
        <v>24</v>
      </c>
      <c r="M118">
        <v>1</v>
      </c>
    </row>
    <row r="119" spans="1:13" x14ac:dyDescent="0.25">
      <c r="A119" s="2">
        <v>46211</v>
      </c>
      <c r="B119" s="1" t="str">
        <f ca="1">IF(Información1[[#This Row],[Fecha]]='Ajuste de fechas'!$A$2,"Día actual","Día anterior")</f>
        <v>Día anterior</v>
      </c>
      <c r="C119" t="s">
        <v>72</v>
      </c>
      <c r="D119" t="s">
        <v>73</v>
      </c>
      <c r="E119" t="s">
        <v>252</v>
      </c>
      <c r="F119" t="s">
        <v>10</v>
      </c>
      <c r="G119" t="s">
        <v>253</v>
      </c>
      <c r="H119" t="s">
        <v>8</v>
      </c>
      <c r="I119" t="s">
        <v>7</v>
      </c>
      <c r="J119" t="s">
        <v>33</v>
      </c>
      <c r="K119" t="s">
        <v>74</v>
      </c>
      <c r="L119" t="s">
        <v>24</v>
      </c>
      <c r="M119">
        <v>1</v>
      </c>
    </row>
    <row r="120" spans="1:13" x14ac:dyDescent="0.25">
      <c r="A120" s="2">
        <v>46211</v>
      </c>
      <c r="B120" s="1" t="str">
        <f ca="1">IF(Información1[[#This Row],[Fecha]]='Ajuste de fechas'!$A$2,"Día actual","Día anterior")</f>
        <v>Día anterior</v>
      </c>
      <c r="C120" t="s">
        <v>72</v>
      </c>
      <c r="D120" t="s">
        <v>73</v>
      </c>
      <c r="E120" t="s">
        <v>254</v>
      </c>
      <c r="F120" t="s">
        <v>10</v>
      </c>
      <c r="G120" t="s">
        <v>82</v>
      </c>
      <c r="H120" t="s">
        <v>8</v>
      </c>
      <c r="I120" t="s">
        <v>7</v>
      </c>
      <c r="J120" t="s">
        <v>33</v>
      </c>
      <c r="K120" t="s">
        <v>74</v>
      </c>
      <c r="L120" t="s">
        <v>24</v>
      </c>
      <c r="M120">
        <v>1</v>
      </c>
    </row>
    <row r="121" spans="1:13" x14ac:dyDescent="0.25">
      <c r="A121" s="2">
        <v>46211</v>
      </c>
      <c r="B121" s="1" t="str">
        <f ca="1">IF(Información1[[#This Row],[Fecha]]='Ajuste de fechas'!$A$2,"Día actual","Día anterior")</f>
        <v>Día anterior</v>
      </c>
      <c r="C121" t="s">
        <v>72</v>
      </c>
      <c r="D121" t="s">
        <v>73</v>
      </c>
      <c r="E121" t="s">
        <v>255</v>
      </c>
      <c r="F121" t="s">
        <v>103</v>
      </c>
      <c r="H121" t="s">
        <v>8</v>
      </c>
      <c r="I121" t="s">
        <v>7</v>
      </c>
      <c r="J121" t="s">
        <v>13</v>
      </c>
      <c r="K121" t="s">
        <v>74</v>
      </c>
      <c r="L121" t="s">
        <v>24</v>
      </c>
      <c r="M121">
        <v>1</v>
      </c>
    </row>
    <row r="122" spans="1:13" x14ac:dyDescent="0.25">
      <c r="A122" s="2">
        <v>46211</v>
      </c>
      <c r="B122" s="1" t="str">
        <f ca="1">IF(Información1[[#This Row],[Fecha]]='Ajuste de fechas'!$A$2,"Día actual","Día anterior")</f>
        <v>Día anterior</v>
      </c>
      <c r="C122" t="s">
        <v>75</v>
      </c>
      <c r="D122" t="s">
        <v>76</v>
      </c>
      <c r="E122" t="s">
        <v>256</v>
      </c>
      <c r="F122" t="s">
        <v>71</v>
      </c>
      <c r="G122" t="s">
        <v>257</v>
      </c>
      <c r="H122" t="s">
        <v>8</v>
      </c>
      <c r="I122" t="s">
        <v>48</v>
      </c>
      <c r="J122" t="s">
        <v>31</v>
      </c>
      <c r="K122" t="s">
        <v>77</v>
      </c>
      <c r="L122" t="s">
        <v>25</v>
      </c>
      <c r="M122">
        <v>1</v>
      </c>
    </row>
    <row r="123" spans="1:13" x14ac:dyDescent="0.25">
      <c r="A123" s="2">
        <v>46211</v>
      </c>
      <c r="B123" s="1" t="str">
        <f ca="1">IF(Información1[[#This Row],[Fecha]]='Ajuste de fechas'!$A$2,"Día actual","Día anterior")</f>
        <v>Día anterior</v>
      </c>
      <c r="C123" t="s">
        <v>75</v>
      </c>
      <c r="D123" t="s">
        <v>76</v>
      </c>
      <c r="E123" t="s">
        <v>258</v>
      </c>
      <c r="F123" t="s">
        <v>10</v>
      </c>
      <c r="G123" t="s">
        <v>259</v>
      </c>
      <c r="H123" t="s">
        <v>8</v>
      </c>
      <c r="I123" t="s">
        <v>14</v>
      </c>
      <c r="J123" t="s">
        <v>33</v>
      </c>
      <c r="K123" t="s">
        <v>77</v>
      </c>
      <c r="L123" t="s">
        <v>24</v>
      </c>
      <c r="M123">
        <v>1</v>
      </c>
    </row>
    <row r="124" spans="1:13" x14ac:dyDescent="0.25">
      <c r="A124" s="2">
        <v>46211</v>
      </c>
      <c r="B124" s="1" t="str">
        <f ca="1">IF(Información1[[#This Row],[Fecha]]='Ajuste de fechas'!$A$2,"Día actual","Día anterior")</f>
        <v>Día anterior</v>
      </c>
      <c r="C124" t="s">
        <v>75</v>
      </c>
      <c r="D124" t="s">
        <v>76</v>
      </c>
      <c r="E124" t="s">
        <v>260</v>
      </c>
      <c r="F124" t="s">
        <v>10</v>
      </c>
      <c r="G124" t="s">
        <v>261</v>
      </c>
      <c r="H124" t="s">
        <v>8</v>
      </c>
      <c r="I124" t="s">
        <v>7</v>
      </c>
      <c r="J124" t="s">
        <v>33</v>
      </c>
      <c r="K124" t="s">
        <v>77</v>
      </c>
      <c r="L124" t="s">
        <v>24</v>
      </c>
      <c r="M124">
        <v>1</v>
      </c>
    </row>
    <row r="125" spans="1:13" x14ac:dyDescent="0.25">
      <c r="A125" s="2">
        <v>46211</v>
      </c>
      <c r="B125" s="1" t="str">
        <f ca="1">IF(Información1[[#This Row],[Fecha]]='Ajuste de fechas'!$A$2,"Día actual","Día anterior")</f>
        <v>Día anterior</v>
      </c>
      <c r="C125" t="s">
        <v>75</v>
      </c>
      <c r="D125" t="s">
        <v>76</v>
      </c>
      <c r="E125" t="s">
        <v>262</v>
      </c>
      <c r="F125" t="s">
        <v>30</v>
      </c>
      <c r="G125" t="s">
        <v>172</v>
      </c>
      <c r="H125" t="s">
        <v>8</v>
      </c>
      <c r="I125" t="s">
        <v>7</v>
      </c>
      <c r="J125" t="s">
        <v>13</v>
      </c>
      <c r="K125" t="s">
        <v>77</v>
      </c>
      <c r="L125" t="s">
        <v>24</v>
      </c>
      <c r="M125">
        <v>1</v>
      </c>
    </row>
    <row r="126" spans="1:13" x14ac:dyDescent="0.25">
      <c r="A126" s="2">
        <v>46211</v>
      </c>
      <c r="B126" s="1" t="str">
        <f ca="1">IF(Información1[[#This Row],[Fecha]]='Ajuste de fechas'!$A$2,"Día actual","Día anterior")</f>
        <v>Día anterior</v>
      </c>
      <c r="C126" t="s">
        <v>75</v>
      </c>
      <c r="D126" t="s">
        <v>76</v>
      </c>
      <c r="E126" t="s">
        <v>124</v>
      </c>
      <c r="F126" t="s">
        <v>64</v>
      </c>
      <c r="G126" t="s">
        <v>125</v>
      </c>
      <c r="H126" t="s">
        <v>8</v>
      </c>
      <c r="I126" t="s">
        <v>7</v>
      </c>
      <c r="J126" t="s">
        <v>31</v>
      </c>
      <c r="K126" t="s">
        <v>77</v>
      </c>
      <c r="L126" t="s">
        <v>26</v>
      </c>
      <c r="M126">
        <v>1</v>
      </c>
    </row>
    <row r="127" spans="1:13" x14ac:dyDescent="0.25">
      <c r="A127" s="2">
        <v>46211</v>
      </c>
      <c r="B127" s="1" t="str">
        <f ca="1">IF(Información1[[#This Row],[Fecha]]='Ajuste de fechas'!$A$2,"Día actual","Día anterior")</f>
        <v>Día anterior</v>
      </c>
      <c r="C127" t="s">
        <v>75</v>
      </c>
      <c r="D127" t="s">
        <v>76</v>
      </c>
      <c r="E127" t="s">
        <v>263</v>
      </c>
      <c r="F127" t="s">
        <v>71</v>
      </c>
      <c r="G127" t="s">
        <v>257</v>
      </c>
      <c r="H127" t="s">
        <v>8</v>
      </c>
      <c r="I127" t="s">
        <v>7</v>
      </c>
      <c r="J127" t="s">
        <v>31</v>
      </c>
      <c r="K127" t="s">
        <v>77</v>
      </c>
      <c r="L127" t="s">
        <v>26</v>
      </c>
      <c r="M127">
        <v>1</v>
      </c>
    </row>
    <row r="128" spans="1:13" x14ac:dyDescent="0.25">
      <c r="A128" s="2">
        <v>46211</v>
      </c>
      <c r="B128" s="1" t="str">
        <f ca="1">IF(Información1[[#This Row],[Fecha]]='Ajuste de fechas'!$A$2,"Día actual","Día anterior")</f>
        <v>Día anterior</v>
      </c>
      <c r="C128" t="s">
        <v>75</v>
      </c>
      <c r="D128" t="s">
        <v>76</v>
      </c>
      <c r="E128" t="s">
        <v>264</v>
      </c>
      <c r="F128" t="s">
        <v>34</v>
      </c>
      <c r="G128" t="s">
        <v>265</v>
      </c>
      <c r="H128" t="s">
        <v>8</v>
      </c>
      <c r="I128" t="s">
        <v>7</v>
      </c>
      <c r="J128" t="s">
        <v>31</v>
      </c>
      <c r="K128" t="s">
        <v>77</v>
      </c>
      <c r="L128" t="s">
        <v>24</v>
      </c>
      <c r="M128">
        <v>1</v>
      </c>
    </row>
    <row r="129" spans="1:13" x14ac:dyDescent="0.25">
      <c r="A129" s="2">
        <v>46211</v>
      </c>
      <c r="B129" s="1" t="str">
        <f ca="1">IF(Información1[[#This Row],[Fecha]]='Ajuste de fechas'!$A$2,"Día actual","Día anterior")</f>
        <v>Día anterior</v>
      </c>
      <c r="C129" t="s">
        <v>75</v>
      </c>
      <c r="D129" t="s">
        <v>76</v>
      </c>
      <c r="E129" t="s">
        <v>266</v>
      </c>
      <c r="F129" t="s">
        <v>106</v>
      </c>
      <c r="G129" t="s">
        <v>267</v>
      </c>
      <c r="H129" t="s">
        <v>8</v>
      </c>
      <c r="I129" t="s">
        <v>7</v>
      </c>
      <c r="J129" t="s">
        <v>31</v>
      </c>
      <c r="K129" t="s">
        <v>77</v>
      </c>
      <c r="L129" t="s">
        <v>26</v>
      </c>
      <c r="M129">
        <v>1</v>
      </c>
    </row>
    <row r="130" spans="1:13" x14ac:dyDescent="0.25">
      <c r="A130" s="2">
        <v>46211</v>
      </c>
      <c r="B130" s="1" t="str">
        <f ca="1">IF(Información1[[#This Row],[Fecha]]='Ajuste de fechas'!$A$2,"Día actual","Día anterior")</f>
        <v>Día anterior</v>
      </c>
      <c r="C130" t="s">
        <v>75</v>
      </c>
      <c r="D130" t="s">
        <v>76</v>
      </c>
      <c r="E130" t="s">
        <v>268</v>
      </c>
      <c r="F130" t="s">
        <v>17</v>
      </c>
      <c r="G130" t="s">
        <v>269</v>
      </c>
      <c r="H130" t="s">
        <v>8</v>
      </c>
      <c r="I130" t="s">
        <v>7</v>
      </c>
      <c r="J130" t="s">
        <v>31</v>
      </c>
      <c r="K130" t="s">
        <v>77</v>
      </c>
      <c r="L130" t="s">
        <v>26</v>
      </c>
      <c r="M130">
        <v>1</v>
      </c>
    </row>
    <row r="131" spans="1:13" x14ac:dyDescent="0.25">
      <c r="A131" s="2">
        <v>46211</v>
      </c>
      <c r="B131" s="1" t="str">
        <f ca="1">IF(Información1[[#This Row],[Fecha]]='Ajuste de fechas'!$A$2,"Día actual","Día anterior")</f>
        <v>Día anterior</v>
      </c>
      <c r="C131" t="s">
        <v>75</v>
      </c>
      <c r="D131" t="s">
        <v>76</v>
      </c>
      <c r="E131" t="s">
        <v>270</v>
      </c>
      <c r="F131" t="s">
        <v>15</v>
      </c>
      <c r="G131" t="s">
        <v>271</v>
      </c>
      <c r="H131" t="s">
        <v>8</v>
      </c>
      <c r="I131" t="s">
        <v>7</v>
      </c>
      <c r="J131" t="s">
        <v>31</v>
      </c>
      <c r="K131" t="s">
        <v>77</v>
      </c>
      <c r="L131" t="s">
        <v>26</v>
      </c>
      <c r="M131">
        <v>1</v>
      </c>
    </row>
    <row r="132" spans="1:13" x14ac:dyDescent="0.25">
      <c r="A132" s="2">
        <v>46211</v>
      </c>
      <c r="B132" s="1" t="str">
        <f ca="1">IF(Información1[[#This Row],[Fecha]]='Ajuste de fechas'!$A$2,"Día actual","Día anterior")</f>
        <v>Día anterior</v>
      </c>
      <c r="C132" t="s">
        <v>75</v>
      </c>
      <c r="D132" t="s">
        <v>76</v>
      </c>
      <c r="E132" t="s">
        <v>272</v>
      </c>
      <c r="F132" t="s">
        <v>15</v>
      </c>
      <c r="G132" t="s">
        <v>167</v>
      </c>
      <c r="H132" t="s">
        <v>8</v>
      </c>
      <c r="I132" t="s">
        <v>7</v>
      </c>
      <c r="J132" t="s">
        <v>31</v>
      </c>
      <c r="K132" t="s">
        <v>77</v>
      </c>
      <c r="L132" t="s">
        <v>26</v>
      </c>
      <c r="M132">
        <v>1</v>
      </c>
    </row>
    <row r="133" spans="1:13" x14ac:dyDescent="0.25">
      <c r="A133" s="2">
        <v>46211</v>
      </c>
      <c r="B133" s="1" t="str">
        <f ca="1">IF(Información1[[#This Row],[Fecha]]='Ajuste de fechas'!$A$2,"Día actual","Día anterior")</f>
        <v>Día anterior</v>
      </c>
      <c r="C133" t="s">
        <v>72</v>
      </c>
      <c r="D133" t="s">
        <v>78</v>
      </c>
      <c r="E133" t="s">
        <v>273</v>
      </c>
      <c r="F133" t="s">
        <v>10</v>
      </c>
      <c r="H133" t="s">
        <v>8</v>
      </c>
      <c r="I133" t="s">
        <v>7</v>
      </c>
      <c r="J133" t="s">
        <v>33</v>
      </c>
      <c r="K133" t="s">
        <v>74</v>
      </c>
      <c r="L133" t="s">
        <v>24</v>
      </c>
      <c r="M133">
        <v>1</v>
      </c>
    </row>
    <row r="134" spans="1:13" x14ac:dyDescent="0.25">
      <c r="A134" s="2">
        <v>46211</v>
      </c>
      <c r="B134" s="1" t="str">
        <f ca="1">IF(Información1[[#This Row],[Fecha]]='Ajuste de fechas'!$A$2,"Día actual","Día anterior")</f>
        <v>Día anterior</v>
      </c>
      <c r="C134" t="s">
        <v>72</v>
      </c>
      <c r="D134" t="s">
        <v>78</v>
      </c>
      <c r="E134" t="s">
        <v>274</v>
      </c>
      <c r="F134" t="s">
        <v>10</v>
      </c>
      <c r="G134" t="s">
        <v>86</v>
      </c>
      <c r="H134" t="s">
        <v>8</v>
      </c>
      <c r="I134" t="s">
        <v>7</v>
      </c>
      <c r="J134" t="s">
        <v>33</v>
      </c>
      <c r="K134" t="s">
        <v>74</v>
      </c>
      <c r="L134" t="s">
        <v>24</v>
      </c>
      <c r="M134">
        <v>1</v>
      </c>
    </row>
    <row r="135" spans="1:13" x14ac:dyDescent="0.25">
      <c r="A135" s="2">
        <v>46211</v>
      </c>
      <c r="B135" s="1" t="str">
        <f ca="1">IF(Información1[[#This Row],[Fecha]]='Ajuste de fechas'!$A$2,"Día actual","Día anterior")</f>
        <v>Día anterior</v>
      </c>
      <c r="C135" t="s">
        <v>72</v>
      </c>
      <c r="D135" t="s">
        <v>78</v>
      </c>
      <c r="E135" t="s">
        <v>275</v>
      </c>
      <c r="F135" t="s">
        <v>10</v>
      </c>
      <c r="G135" t="s">
        <v>276</v>
      </c>
      <c r="H135" t="s">
        <v>8</v>
      </c>
      <c r="I135" t="s">
        <v>7</v>
      </c>
      <c r="J135" t="s">
        <v>33</v>
      </c>
      <c r="K135" t="s">
        <v>74</v>
      </c>
      <c r="L135" t="s">
        <v>24</v>
      </c>
      <c r="M135">
        <v>1</v>
      </c>
    </row>
    <row r="136" spans="1:13" x14ac:dyDescent="0.25">
      <c r="A136" s="2">
        <v>46211</v>
      </c>
      <c r="B136" s="1" t="str">
        <f ca="1">IF(Información1[[#This Row],[Fecha]]='Ajuste de fechas'!$A$2,"Día actual","Día anterior")</f>
        <v>Día anterior</v>
      </c>
      <c r="C136" t="s">
        <v>72</v>
      </c>
      <c r="D136" t="s">
        <v>78</v>
      </c>
      <c r="E136" t="s">
        <v>277</v>
      </c>
      <c r="F136" t="s">
        <v>46</v>
      </c>
      <c r="G136" t="s">
        <v>278</v>
      </c>
      <c r="H136" t="s">
        <v>8</v>
      </c>
      <c r="I136" t="s">
        <v>14</v>
      </c>
      <c r="J136" t="s">
        <v>31</v>
      </c>
      <c r="K136" t="s">
        <v>45</v>
      </c>
      <c r="L136" t="s">
        <v>25</v>
      </c>
      <c r="M136">
        <v>1</v>
      </c>
    </row>
    <row r="137" spans="1:13" x14ac:dyDescent="0.25">
      <c r="A137" s="2">
        <v>46211</v>
      </c>
      <c r="B137" s="1" t="str">
        <f ca="1">IF(Información1[[#This Row],[Fecha]]='Ajuste de fechas'!$A$2,"Día actual","Día anterior")</f>
        <v>Día anterior</v>
      </c>
      <c r="C137" t="s">
        <v>72</v>
      </c>
      <c r="D137" t="s">
        <v>78</v>
      </c>
      <c r="E137" t="s">
        <v>279</v>
      </c>
      <c r="F137" t="s">
        <v>280</v>
      </c>
      <c r="G137" t="s">
        <v>281</v>
      </c>
      <c r="H137" t="s">
        <v>8</v>
      </c>
      <c r="I137" t="s">
        <v>7</v>
      </c>
      <c r="J137" t="s">
        <v>31</v>
      </c>
      <c r="K137" t="s">
        <v>68</v>
      </c>
      <c r="L137" t="s">
        <v>26</v>
      </c>
      <c r="M137">
        <v>1</v>
      </c>
    </row>
    <row r="138" spans="1:13" x14ac:dyDescent="0.25">
      <c r="A138" s="2">
        <v>46211</v>
      </c>
      <c r="B138" s="1" t="str">
        <f ca="1">IF(Información1[[#This Row],[Fecha]]='Ajuste de fechas'!$A$2,"Día actual","Día anterior")</f>
        <v>Día anterior</v>
      </c>
      <c r="C138" t="s">
        <v>72</v>
      </c>
      <c r="D138" t="s">
        <v>78</v>
      </c>
      <c r="E138" t="s">
        <v>282</v>
      </c>
      <c r="F138" t="s">
        <v>71</v>
      </c>
      <c r="G138" t="s">
        <v>257</v>
      </c>
      <c r="H138" t="s">
        <v>8</v>
      </c>
      <c r="I138" t="s">
        <v>48</v>
      </c>
      <c r="J138" t="s">
        <v>31</v>
      </c>
      <c r="K138" t="s">
        <v>68</v>
      </c>
      <c r="L138" t="s">
        <v>25</v>
      </c>
      <c r="M138">
        <v>1</v>
      </c>
    </row>
    <row r="139" spans="1:13" x14ac:dyDescent="0.25">
      <c r="A139" s="2">
        <v>46211</v>
      </c>
      <c r="B139" s="1" t="str">
        <f ca="1">IF(Información1[[#This Row],[Fecha]]='Ajuste de fechas'!$A$2,"Día actual","Día anterior")</f>
        <v>Día anterior</v>
      </c>
      <c r="C139" t="s">
        <v>72</v>
      </c>
      <c r="D139" t="s">
        <v>78</v>
      </c>
      <c r="E139" t="s">
        <v>263</v>
      </c>
      <c r="F139" t="s">
        <v>71</v>
      </c>
      <c r="G139" t="s">
        <v>257</v>
      </c>
      <c r="H139" t="s">
        <v>8</v>
      </c>
      <c r="I139" t="s">
        <v>7</v>
      </c>
      <c r="J139" t="s">
        <v>31</v>
      </c>
      <c r="K139" t="s">
        <v>68</v>
      </c>
      <c r="L139" t="s">
        <v>26</v>
      </c>
      <c r="M139">
        <v>1</v>
      </c>
    </row>
    <row r="140" spans="1:13" x14ac:dyDescent="0.25">
      <c r="A140" s="2">
        <v>46211</v>
      </c>
      <c r="B140" s="1" t="str">
        <f ca="1">IF(Información1[[#This Row],[Fecha]]='Ajuste de fechas'!$A$2,"Día actual","Día anterior")</f>
        <v>Día anterior</v>
      </c>
      <c r="C140" t="s">
        <v>72</v>
      </c>
      <c r="D140" t="s">
        <v>78</v>
      </c>
      <c r="E140" t="s">
        <v>272</v>
      </c>
      <c r="F140" t="s">
        <v>15</v>
      </c>
      <c r="G140" t="s">
        <v>167</v>
      </c>
      <c r="H140" t="s">
        <v>8</v>
      </c>
      <c r="I140" t="s">
        <v>7</v>
      </c>
      <c r="J140" t="s">
        <v>31</v>
      </c>
      <c r="K140" t="s">
        <v>68</v>
      </c>
      <c r="L140" t="s">
        <v>26</v>
      </c>
      <c r="M140">
        <v>1</v>
      </c>
    </row>
    <row r="141" spans="1:13" x14ac:dyDescent="0.25">
      <c r="A141" s="2">
        <v>46211</v>
      </c>
      <c r="B141" s="1" t="str">
        <f ca="1">IF(Información1[[#This Row],[Fecha]]='Ajuste de fechas'!$A$2,"Día actual","Día anterior")</f>
        <v>Día anterior</v>
      </c>
      <c r="C141" t="s">
        <v>72</v>
      </c>
      <c r="D141" t="s">
        <v>78</v>
      </c>
      <c r="E141" t="s">
        <v>283</v>
      </c>
      <c r="F141" t="s">
        <v>15</v>
      </c>
      <c r="G141" t="s">
        <v>271</v>
      </c>
      <c r="H141" t="s">
        <v>8</v>
      </c>
      <c r="I141" t="s">
        <v>7</v>
      </c>
      <c r="J141" t="s">
        <v>31</v>
      </c>
      <c r="K141" t="s">
        <v>68</v>
      </c>
      <c r="L141" t="s">
        <v>26</v>
      </c>
      <c r="M141">
        <v>1</v>
      </c>
    </row>
    <row r="142" spans="1:13" x14ac:dyDescent="0.25">
      <c r="A142" s="2">
        <v>46212</v>
      </c>
      <c r="B142" s="1" t="str">
        <f ca="1">IF(Información1[[#This Row],[Fecha]]='Ajuste de fechas'!$A$2,"Día actual","Día anterior")</f>
        <v>Día actual</v>
      </c>
      <c r="C142" t="s">
        <v>49</v>
      </c>
      <c r="D142" t="s">
        <v>50</v>
      </c>
      <c r="E142" t="s">
        <v>284</v>
      </c>
      <c r="F142" t="s">
        <v>6</v>
      </c>
      <c r="G142" t="s">
        <v>61</v>
      </c>
      <c r="H142" t="s">
        <v>8</v>
      </c>
      <c r="I142" t="s">
        <v>14</v>
      </c>
      <c r="J142" t="s">
        <v>31</v>
      </c>
      <c r="K142" t="s">
        <v>45</v>
      </c>
      <c r="L142" t="s">
        <v>25</v>
      </c>
      <c r="M142">
        <v>1</v>
      </c>
    </row>
    <row r="143" spans="1:13" x14ac:dyDescent="0.25">
      <c r="A143" s="2">
        <v>46212</v>
      </c>
      <c r="B143" s="1" t="str">
        <f ca="1">IF(Información1[[#This Row],[Fecha]]='Ajuste de fechas'!$A$2,"Día actual","Día anterior")</f>
        <v>Día actual</v>
      </c>
      <c r="C143" t="s">
        <v>49</v>
      </c>
      <c r="D143" t="s">
        <v>50</v>
      </c>
      <c r="E143" t="s">
        <v>285</v>
      </c>
      <c r="F143" t="s">
        <v>6</v>
      </c>
      <c r="G143" t="s">
        <v>61</v>
      </c>
      <c r="H143" t="s">
        <v>8</v>
      </c>
      <c r="I143" t="s">
        <v>48</v>
      </c>
      <c r="J143" t="s">
        <v>31</v>
      </c>
      <c r="K143" t="s">
        <v>45</v>
      </c>
      <c r="L143" t="s">
        <v>25</v>
      </c>
      <c r="M143">
        <v>1</v>
      </c>
    </row>
    <row r="144" spans="1:13" x14ac:dyDescent="0.25">
      <c r="A144" s="2">
        <v>46212</v>
      </c>
      <c r="B144" s="1" t="str">
        <f ca="1">IF(Información1[[#This Row],[Fecha]]='Ajuste de fechas'!$A$2,"Día actual","Día anterior")</f>
        <v>Día actual</v>
      </c>
      <c r="C144" t="s">
        <v>49</v>
      </c>
      <c r="D144" t="s">
        <v>50</v>
      </c>
      <c r="E144" t="s">
        <v>286</v>
      </c>
      <c r="F144" t="s">
        <v>6</v>
      </c>
      <c r="G144" t="s">
        <v>61</v>
      </c>
      <c r="H144" t="s">
        <v>8</v>
      </c>
      <c r="I144" t="s">
        <v>7</v>
      </c>
      <c r="J144" t="s">
        <v>31</v>
      </c>
      <c r="K144" t="s">
        <v>51</v>
      </c>
      <c r="L144" t="s">
        <v>24</v>
      </c>
      <c r="M144">
        <v>1</v>
      </c>
    </row>
    <row r="145" spans="1:13" x14ac:dyDescent="0.25">
      <c r="A145" s="2">
        <v>46212</v>
      </c>
      <c r="B145" s="1" t="str">
        <f ca="1">IF(Información1[[#This Row],[Fecha]]='Ajuste de fechas'!$A$2,"Día actual","Día anterior")</f>
        <v>Día actual</v>
      </c>
      <c r="C145" t="s">
        <v>16</v>
      </c>
      <c r="D145" t="s">
        <v>62</v>
      </c>
      <c r="E145" t="s">
        <v>287</v>
      </c>
      <c r="F145" t="s">
        <v>10</v>
      </c>
      <c r="G145" t="s">
        <v>244</v>
      </c>
      <c r="H145" t="s">
        <v>8</v>
      </c>
      <c r="I145" t="s">
        <v>7</v>
      </c>
      <c r="J145" t="s">
        <v>33</v>
      </c>
      <c r="K145" t="s">
        <v>63</v>
      </c>
      <c r="L145" t="s">
        <v>24</v>
      </c>
      <c r="M145">
        <v>1</v>
      </c>
    </row>
    <row r="146" spans="1:13" x14ac:dyDescent="0.25">
      <c r="A146" s="2">
        <v>46212</v>
      </c>
      <c r="B146" s="1" t="str">
        <f ca="1">IF(Información1[[#This Row],[Fecha]]='Ajuste de fechas'!$A$2,"Día actual","Día anterior")</f>
        <v>Día actual</v>
      </c>
      <c r="C146" t="s">
        <v>49</v>
      </c>
      <c r="D146" t="s">
        <v>50</v>
      </c>
      <c r="E146" t="s">
        <v>288</v>
      </c>
      <c r="F146" t="s">
        <v>46</v>
      </c>
      <c r="G146" t="s">
        <v>89</v>
      </c>
      <c r="H146" t="s">
        <v>8</v>
      </c>
      <c r="I146" t="s">
        <v>7</v>
      </c>
      <c r="J146" t="s">
        <v>31</v>
      </c>
      <c r="K146" t="s">
        <v>51</v>
      </c>
      <c r="L146" t="s">
        <v>24</v>
      </c>
      <c r="M146">
        <v>1</v>
      </c>
    </row>
    <row r="147" spans="1:13" x14ac:dyDescent="0.25">
      <c r="A147" s="2">
        <v>46212</v>
      </c>
      <c r="B147" s="1" t="str">
        <f ca="1">IF(Información1[[#This Row],[Fecha]]='Ajuste de fechas'!$A$2,"Día actual","Día anterior")</f>
        <v>Día actual</v>
      </c>
      <c r="C147" t="s">
        <v>16</v>
      </c>
      <c r="D147" t="s">
        <v>190</v>
      </c>
      <c r="E147" t="s">
        <v>289</v>
      </c>
      <c r="F147" t="s">
        <v>11</v>
      </c>
      <c r="G147" t="s">
        <v>290</v>
      </c>
      <c r="H147" t="s">
        <v>8</v>
      </c>
      <c r="I147" t="s">
        <v>14</v>
      </c>
      <c r="J147" t="s">
        <v>32</v>
      </c>
      <c r="K147" t="s">
        <v>193</v>
      </c>
      <c r="L147" t="s">
        <v>24</v>
      </c>
      <c r="M147">
        <v>1</v>
      </c>
    </row>
    <row r="148" spans="1:13" x14ac:dyDescent="0.25">
      <c r="A148" s="2">
        <v>46212</v>
      </c>
      <c r="B148" s="1" t="str">
        <f ca="1">IF(Información1[[#This Row],[Fecha]]='Ajuste de fechas'!$A$2,"Día actual","Día anterior")</f>
        <v>Día actual</v>
      </c>
      <c r="C148" t="s">
        <v>49</v>
      </c>
      <c r="D148" t="s">
        <v>50</v>
      </c>
      <c r="E148" t="s">
        <v>291</v>
      </c>
      <c r="F148" t="s">
        <v>6</v>
      </c>
      <c r="G148" t="s">
        <v>53</v>
      </c>
      <c r="H148" t="s">
        <v>8</v>
      </c>
      <c r="I148" t="s">
        <v>48</v>
      </c>
      <c r="J148" t="s">
        <v>31</v>
      </c>
      <c r="K148" t="s">
        <v>45</v>
      </c>
      <c r="L148" t="s">
        <v>25</v>
      </c>
      <c r="M148">
        <v>1</v>
      </c>
    </row>
    <row r="149" spans="1:13" x14ac:dyDescent="0.25">
      <c r="A149" s="2">
        <v>46212</v>
      </c>
      <c r="B149" s="1" t="str">
        <f ca="1">IF(Información1[[#This Row],[Fecha]]='Ajuste de fechas'!$A$2,"Día actual","Día anterior")</f>
        <v>Día actual</v>
      </c>
      <c r="C149" t="s">
        <v>49</v>
      </c>
      <c r="D149" t="s">
        <v>50</v>
      </c>
      <c r="E149" t="s">
        <v>52</v>
      </c>
      <c r="F149" t="s">
        <v>10</v>
      </c>
      <c r="G149" t="s">
        <v>53</v>
      </c>
      <c r="H149" t="s">
        <v>8</v>
      </c>
      <c r="I149" t="s">
        <v>7</v>
      </c>
      <c r="J149" t="s">
        <v>33</v>
      </c>
      <c r="K149" t="s">
        <v>51</v>
      </c>
      <c r="L149" t="s">
        <v>25</v>
      </c>
      <c r="M149">
        <v>1</v>
      </c>
    </row>
    <row r="150" spans="1:13" x14ac:dyDescent="0.25">
      <c r="A150" s="2">
        <v>46212</v>
      </c>
      <c r="B150" s="1" t="str">
        <f ca="1">IF(Información1[[#This Row],[Fecha]]='Ajuste de fechas'!$A$2,"Día actual","Día anterior")</f>
        <v>Día actual</v>
      </c>
      <c r="C150" t="s">
        <v>49</v>
      </c>
      <c r="D150" t="s">
        <v>50</v>
      </c>
      <c r="E150" t="s">
        <v>54</v>
      </c>
      <c r="F150" t="s">
        <v>10</v>
      </c>
      <c r="G150" t="s">
        <v>53</v>
      </c>
      <c r="H150" t="s">
        <v>8</v>
      </c>
      <c r="I150" t="s">
        <v>7</v>
      </c>
      <c r="J150" t="s">
        <v>33</v>
      </c>
      <c r="K150" t="s">
        <v>51</v>
      </c>
      <c r="L150" t="s">
        <v>25</v>
      </c>
      <c r="M150">
        <v>1</v>
      </c>
    </row>
    <row r="151" spans="1:13" x14ac:dyDescent="0.25">
      <c r="A151" s="2">
        <v>46212</v>
      </c>
      <c r="B151" s="1" t="str">
        <f ca="1">IF(Información1[[#This Row],[Fecha]]='Ajuste de fechas'!$A$2,"Día actual","Día anterior")</f>
        <v>Día actual</v>
      </c>
      <c r="C151" t="s">
        <v>49</v>
      </c>
      <c r="D151" t="s">
        <v>50</v>
      </c>
      <c r="E151" t="s">
        <v>55</v>
      </c>
      <c r="F151" t="s">
        <v>34</v>
      </c>
      <c r="G151" t="s">
        <v>53</v>
      </c>
      <c r="H151" t="s">
        <v>8</v>
      </c>
      <c r="I151" t="s">
        <v>7</v>
      </c>
      <c r="J151" t="s">
        <v>31</v>
      </c>
      <c r="K151" t="s">
        <v>51</v>
      </c>
      <c r="L151" t="s">
        <v>25</v>
      </c>
      <c r="M151">
        <v>1</v>
      </c>
    </row>
    <row r="152" spans="1:13" x14ac:dyDescent="0.25">
      <c r="A152" s="2">
        <v>46212</v>
      </c>
      <c r="B152" s="1" t="str">
        <f ca="1">IF(Información1[[#This Row],[Fecha]]='Ajuste de fechas'!$A$2,"Día actual","Día anterior")</f>
        <v>Día actual</v>
      </c>
      <c r="C152" t="s">
        <v>49</v>
      </c>
      <c r="D152" t="s">
        <v>50</v>
      </c>
      <c r="E152" t="s">
        <v>59</v>
      </c>
      <c r="F152" t="s">
        <v>30</v>
      </c>
      <c r="G152" t="s">
        <v>53</v>
      </c>
      <c r="H152" t="s">
        <v>8</v>
      </c>
      <c r="I152" t="s">
        <v>7</v>
      </c>
      <c r="J152" t="s">
        <v>13</v>
      </c>
      <c r="K152" t="s">
        <v>51</v>
      </c>
      <c r="L152" t="s">
        <v>25</v>
      </c>
      <c r="M152">
        <v>1</v>
      </c>
    </row>
    <row r="153" spans="1:13" x14ac:dyDescent="0.25">
      <c r="A153" s="2">
        <v>46212</v>
      </c>
      <c r="B153" s="1" t="str">
        <f ca="1">IF(Información1[[#This Row],[Fecha]]='Ajuste de fechas'!$A$2,"Día actual","Día anterior")</f>
        <v>Día actual</v>
      </c>
      <c r="C153" t="s">
        <v>49</v>
      </c>
      <c r="D153" t="s">
        <v>50</v>
      </c>
      <c r="E153" t="s">
        <v>56</v>
      </c>
      <c r="F153" t="s">
        <v>9</v>
      </c>
      <c r="G153" t="s">
        <v>53</v>
      </c>
      <c r="H153" t="s">
        <v>8</v>
      </c>
      <c r="I153" t="s">
        <v>7</v>
      </c>
      <c r="J153" t="s">
        <v>31</v>
      </c>
      <c r="K153" t="s">
        <v>51</v>
      </c>
      <c r="L153" t="s">
        <v>25</v>
      </c>
      <c r="M153">
        <v>1</v>
      </c>
    </row>
    <row r="154" spans="1:13" x14ac:dyDescent="0.25">
      <c r="A154" s="2">
        <v>46212</v>
      </c>
      <c r="B154" s="1" t="str">
        <f ca="1">IF(Información1[[#This Row],[Fecha]]='Ajuste de fechas'!$A$2,"Día actual","Día anterior")</f>
        <v>Día actual</v>
      </c>
      <c r="C154" t="s">
        <v>49</v>
      </c>
      <c r="D154" t="s">
        <v>50</v>
      </c>
      <c r="E154" t="s">
        <v>57</v>
      </c>
      <c r="F154" t="s">
        <v>46</v>
      </c>
      <c r="G154" t="s">
        <v>53</v>
      </c>
      <c r="H154" t="s">
        <v>8</v>
      </c>
      <c r="I154" t="s">
        <v>7</v>
      </c>
      <c r="J154" t="s">
        <v>31</v>
      </c>
      <c r="K154" t="s">
        <v>51</v>
      </c>
      <c r="L154" t="s">
        <v>25</v>
      </c>
      <c r="M154">
        <v>1</v>
      </c>
    </row>
    <row r="155" spans="1:13" x14ac:dyDescent="0.25">
      <c r="A155" s="2">
        <v>46212</v>
      </c>
      <c r="B155" s="1" t="str">
        <f ca="1">IF(Información1[[#This Row],[Fecha]]='Ajuste de fechas'!$A$2,"Día actual","Día anterior")</f>
        <v>Día actual</v>
      </c>
      <c r="C155" t="s">
        <v>49</v>
      </c>
      <c r="D155" t="s">
        <v>50</v>
      </c>
      <c r="E155" t="s">
        <v>58</v>
      </c>
      <c r="F155" t="s">
        <v>6</v>
      </c>
      <c r="G155" t="s">
        <v>53</v>
      </c>
      <c r="H155" t="s">
        <v>8</v>
      </c>
      <c r="I155" t="s">
        <v>7</v>
      </c>
      <c r="J155" t="s">
        <v>31</v>
      </c>
      <c r="K155" t="s">
        <v>51</v>
      </c>
      <c r="L155" t="s">
        <v>25</v>
      </c>
      <c r="M155">
        <v>1</v>
      </c>
    </row>
    <row r="156" spans="1:13" x14ac:dyDescent="0.25">
      <c r="A156" s="2">
        <v>46212</v>
      </c>
      <c r="B156" s="1" t="str">
        <f ca="1">IF(Información1[[#This Row],[Fecha]]='Ajuste de fechas'!$A$2,"Día actual","Día anterior")</f>
        <v>Día actual</v>
      </c>
      <c r="C156" t="s">
        <v>49</v>
      </c>
      <c r="D156" t="s">
        <v>50</v>
      </c>
      <c r="E156" t="s">
        <v>292</v>
      </c>
      <c r="F156" t="s">
        <v>11</v>
      </c>
      <c r="G156" t="s">
        <v>97</v>
      </c>
      <c r="H156" t="s">
        <v>8</v>
      </c>
      <c r="I156" t="s">
        <v>7</v>
      </c>
      <c r="J156" t="s">
        <v>32</v>
      </c>
      <c r="K156" t="s">
        <v>51</v>
      </c>
      <c r="L156" t="s">
        <v>24</v>
      </c>
      <c r="M156">
        <v>1</v>
      </c>
    </row>
    <row r="157" spans="1:13" x14ac:dyDescent="0.25">
      <c r="A157" s="2">
        <v>46212</v>
      </c>
      <c r="B157" s="1" t="str">
        <f ca="1">IF(Información1[[#This Row],[Fecha]]='Ajuste de fechas'!$A$2,"Día actual","Día anterior")</f>
        <v>Día actual</v>
      </c>
      <c r="C157" t="s">
        <v>16</v>
      </c>
      <c r="D157" t="s">
        <v>62</v>
      </c>
      <c r="E157" t="s">
        <v>293</v>
      </c>
      <c r="F157" t="s">
        <v>46</v>
      </c>
      <c r="G157" t="s">
        <v>294</v>
      </c>
      <c r="H157" t="s">
        <v>8</v>
      </c>
      <c r="I157" t="s">
        <v>7</v>
      </c>
      <c r="J157" t="s">
        <v>31</v>
      </c>
      <c r="K157" t="s">
        <v>63</v>
      </c>
      <c r="L157" t="s">
        <v>44</v>
      </c>
      <c r="M157">
        <v>1</v>
      </c>
    </row>
    <row r="158" spans="1:13" x14ac:dyDescent="0.25">
      <c r="A158" s="2">
        <v>46212</v>
      </c>
      <c r="B158" s="1" t="str">
        <f ca="1">IF(Información1[[#This Row],[Fecha]]='Ajuste de fechas'!$A$2,"Día actual","Día anterior")</f>
        <v>Día actual</v>
      </c>
      <c r="C158" t="s">
        <v>49</v>
      </c>
      <c r="D158" t="s">
        <v>50</v>
      </c>
      <c r="E158" t="s">
        <v>295</v>
      </c>
      <c r="F158" t="s">
        <v>10</v>
      </c>
      <c r="G158" t="s">
        <v>233</v>
      </c>
      <c r="H158" t="s">
        <v>8</v>
      </c>
      <c r="I158" t="s">
        <v>7</v>
      </c>
      <c r="J158" t="s">
        <v>33</v>
      </c>
      <c r="K158" t="s">
        <v>45</v>
      </c>
      <c r="L158" t="s">
        <v>25</v>
      </c>
      <c r="M158">
        <v>1</v>
      </c>
    </row>
    <row r="159" spans="1:13" x14ac:dyDescent="0.25">
      <c r="A159" s="2">
        <v>46212</v>
      </c>
      <c r="B159" s="1" t="str">
        <f ca="1">IF(Información1[[#This Row],[Fecha]]='Ajuste de fechas'!$A$2,"Día actual","Día anterior")</f>
        <v>Día actual</v>
      </c>
      <c r="C159" t="s">
        <v>16</v>
      </c>
      <c r="D159" t="s">
        <v>190</v>
      </c>
      <c r="E159" t="s">
        <v>296</v>
      </c>
      <c r="F159" t="s">
        <v>15</v>
      </c>
      <c r="G159" t="s">
        <v>93</v>
      </c>
      <c r="H159" t="s">
        <v>8</v>
      </c>
      <c r="I159" t="s">
        <v>7</v>
      </c>
      <c r="J159" t="s">
        <v>31</v>
      </c>
      <c r="K159" t="s">
        <v>193</v>
      </c>
      <c r="L159" t="s">
        <v>24</v>
      </c>
      <c r="M159">
        <v>1</v>
      </c>
    </row>
    <row r="160" spans="1:13" x14ac:dyDescent="0.25">
      <c r="A160" s="2">
        <v>46212</v>
      </c>
      <c r="B160" s="1" t="str">
        <f ca="1">IF(Información1[[#This Row],[Fecha]]='Ajuste de fechas'!$A$2,"Día actual","Día anterior")</f>
        <v>Día actual</v>
      </c>
      <c r="C160" t="s">
        <v>16</v>
      </c>
      <c r="D160" t="s">
        <v>190</v>
      </c>
      <c r="E160" t="s">
        <v>297</v>
      </c>
      <c r="F160" t="s">
        <v>38</v>
      </c>
      <c r="G160" t="s">
        <v>93</v>
      </c>
      <c r="H160" t="s">
        <v>8</v>
      </c>
      <c r="I160" t="s">
        <v>7</v>
      </c>
      <c r="J160" t="s">
        <v>31</v>
      </c>
      <c r="K160" t="s">
        <v>193</v>
      </c>
      <c r="L160" t="s">
        <v>24</v>
      </c>
      <c r="M160">
        <v>1</v>
      </c>
    </row>
    <row r="161" spans="1:13" x14ac:dyDescent="0.25">
      <c r="A161" s="2">
        <v>46212</v>
      </c>
      <c r="B161" s="1" t="str">
        <f ca="1">IF(Información1[[#This Row],[Fecha]]='Ajuste de fechas'!$A$2,"Día actual","Día anterior")</f>
        <v>Día actual</v>
      </c>
      <c r="C161" t="s">
        <v>49</v>
      </c>
      <c r="D161" t="s">
        <v>50</v>
      </c>
      <c r="E161" t="s">
        <v>108</v>
      </c>
      <c r="F161" t="s">
        <v>12</v>
      </c>
      <c r="G161" t="s">
        <v>79</v>
      </c>
      <c r="H161" t="s">
        <v>8</v>
      </c>
      <c r="I161" t="s">
        <v>7</v>
      </c>
      <c r="J161" t="s">
        <v>31</v>
      </c>
      <c r="K161" t="s">
        <v>51</v>
      </c>
      <c r="L161" t="s">
        <v>26</v>
      </c>
      <c r="M161">
        <v>1</v>
      </c>
    </row>
    <row r="162" spans="1:13" x14ac:dyDescent="0.25">
      <c r="A162" s="2">
        <v>46212</v>
      </c>
      <c r="B162" s="1" t="str">
        <f ca="1">IF(Información1[[#This Row],[Fecha]]='Ajuste de fechas'!$A$2,"Día actual","Día anterior")</f>
        <v>Día actual</v>
      </c>
      <c r="C162" t="s">
        <v>16</v>
      </c>
      <c r="D162" t="s">
        <v>190</v>
      </c>
      <c r="E162" t="s">
        <v>283</v>
      </c>
      <c r="F162" t="s">
        <v>15</v>
      </c>
      <c r="G162" t="s">
        <v>271</v>
      </c>
      <c r="H162" t="s">
        <v>8</v>
      </c>
      <c r="I162" t="s">
        <v>7</v>
      </c>
      <c r="J162" t="s">
        <v>31</v>
      </c>
      <c r="K162" t="s">
        <v>193</v>
      </c>
      <c r="L162" t="s">
        <v>26</v>
      </c>
      <c r="M162">
        <v>1</v>
      </c>
    </row>
    <row r="163" spans="1:13" x14ac:dyDescent="0.25">
      <c r="A163" s="2">
        <v>46212</v>
      </c>
      <c r="B163" s="1" t="str">
        <f ca="1">IF(Información1[[#This Row],[Fecha]]='Ajuste de fechas'!$A$2,"Día actual","Día anterior")</f>
        <v>Día actual</v>
      </c>
      <c r="C163" t="s">
        <v>196</v>
      </c>
      <c r="D163" t="s">
        <v>197</v>
      </c>
      <c r="E163" t="s">
        <v>283</v>
      </c>
      <c r="F163" t="s">
        <v>15</v>
      </c>
      <c r="G163" t="s">
        <v>271</v>
      </c>
      <c r="H163" t="s">
        <v>8</v>
      </c>
      <c r="I163" t="s">
        <v>7</v>
      </c>
      <c r="J163" t="s">
        <v>31</v>
      </c>
      <c r="K163" t="s">
        <v>199</v>
      </c>
      <c r="L163" t="s">
        <v>26</v>
      </c>
      <c r="M163">
        <v>1</v>
      </c>
    </row>
    <row r="164" spans="1:13" x14ac:dyDescent="0.25">
      <c r="A164" s="2">
        <v>46212</v>
      </c>
      <c r="B164" s="1" t="str">
        <f ca="1">IF(Información1[[#This Row],[Fecha]]='Ajuste de fechas'!$A$2,"Día actual","Día anterior")</f>
        <v>Día actual</v>
      </c>
      <c r="C164" t="s">
        <v>16</v>
      </c>
      <c r="D164" t="s">
        <v>62</v>
      </c>
      <c r="E164" t="s">
        <v>298</v>
      </c>
      <c r="F164" t="s">
        <v>15</v>
      </c>
      <c r="G164" t="s">
        <v>271</v>
      </c>
      <c r="H164" t="s">
        <v>8</v>
      </c>
      <c r="I164" t="s">
        <v>7</v>
      </c>
      <c r="J164" t="s">
        <v>31</v>
      </c>
      <c r="K164" t="s">
        <v>63</v>
      </c>
      <c r="L164" t="s">
        <v>24</v>
      </c>
      <c r="M164">
        <v>1</v>
      </c>
    </row>
    <row r="165" spans="1:13" x14ac:dyDescent="0.25">
      <c r="A165" s="2">
        <v>46212</v>
      </c>
      <c r="B165" s="1" t="str">
        <f ca="1">IF(Información1[[#This Row],[Fecha]]='Ajuste de fechas'!$A$2,"Día actual","Día anterior")</f>
        <v>Día actual</v>
      </c>
      <c r="C165" t="s">
        <v>16</v>
      </c>
      <c r="D165" t="s">
        <v>190</v>
      </c>
      <c r="E165" t="s">
        <v>299</v>
      </c>
      <c r="F165" t="s">
        <v>12</v>
      </c>
      <c r="G165" t="s">
        <v>300</v>
      </c>
      <c r="H165" t="s">
        <v>8</v>
      </c>
      <c r="I165" t="s">
        <v>7</v>
      </c>
      <c r="J165" t="s">
        <v>31</v>
      </c>
      <c r="K165" t="s">
        <v>193</v>
      </c>
      <c r="L165" t="s">
        <v>24</v>
      </c>
      <c r="M165">
        <v>1</v>
      </c>
    </row>
    <row r="166" spans="1:13" x14ac:dyDescent="0.25">
      <c r="A166" s="2">
        <v>46212</v>
      </c>
      <c r="B166" s="1" t="str">
        <f ca="1">IF(Información1[[#This Row],[Fecha]]='Ajuste de fechas'!$A$2,"Día actual","Día anterior")</f>
        <v>Día actual</v>
      </c>
      <c r="C166" t="s">
        <v>16</v>
      </c>
      <c r="D166" t="s">
        <v>190</v>
      </c>
      <c r="E166" t="s">
        <v>301</v>
      </c>
      <c r="F166" t="s">
        <v>15</v>
      </c>
      <c r="G166" t="s">
        <v>300</v>
      </c>
      <c r="H166" t="s">
        <v>8</v>
      </c>
      <c r="I166" t="s">
        <v>7</v>
      </c>
      <c r="J166" t="s">
        <v>31</v>
      </c>
      <c r="K166" t="s">
        <v>193</v>
      </c>
      <c r="L166" t="s">
        <v>24</v>
      </c>
      <c r="M166">
        <v>1</v>
      </c>
    </row>
    <row r="167" spans="1:13" x14ac:dyDescent="0.25">
      <c r="A167" s="2">
        <v>46212</v>
      </c>
      <c r="B167" s="1" t="str">
        <f ca="1">IF(Información1[[#This Row],[Fecha]]='Ajuste de fechas'!$A$2,"Día actual","Día anterior")</f>
        <v>Día actual</v>
      </c>
      <c r="C167" t="s">
        <v>16</v>
      </c>
      <c r="D167" t="s">
        <v>62</v>
      </c>
      <c r="E167" t="s">
        <v>302</v>
      </c>
      <c r="F167" t="s">
        <v>11</v>
      </c>
      <c r="G167" t="s">
        <v>303</v>
      </c>
      <c r="H167" t="s">
        <v>8</v>
      </c>
      <c r="I167" t="s">
        <v>7</v>
      </c>
      <c r="J167" t="s">
        <v>32</v>
      </c>
      <c r="K167" t="s">
        <v>63</v>
      </c>
      <c r="L167" t="s">
        <v>24</v>
      </c>
      <c r="M167">
        <v>1</v>
      </c>
    </row>
    <row r="168" spans="1:13" x14ac:dyDescent="0.25">
      <c r="A168" s="2">
        <v>46212</v>
      </c>
      <c r="B168" s="1" t="str">
        <f ca="1">IF(Información1[[#This Row],[Fecha]]='Ajuste de fechas'!$A$2,"Día actual","Día anterior")</f>
        <v>Día actual</v>
      </c>
      <c r="C168" t="s">
        <v>16</v>
      </c>
      <c r="D168" t="s">
        <v>190</v>
      </c>
      <c r="E168" t="s">
        <v>304</v>
      </c>
      <c r="F168" t="s">
        <v>10</v>
      </c>
      <c r="G168" t="s">
        <v>305</v>
      </c>
      <c r="H168" t="s">
        <v>8</v>
      </c>
      <c r="I168" t="s">
        <v>7</v>
      </c>
      <c r="J168" t="s">
        <v>33</v>
      </c>
      <c r="K168" t="s">
        <v>193</v>
      </c>
      <c r="L168" t="s">
        <v>24</v>
      </c>
      <c r="M168">
        <v>1</v>
      </c>
    </row>
    <row r="169" spans="1:13" x14ac:dyDescent="0.25">
      <c r="A169" s="2">
        <v>46211</v>
      </c>
      <c r="B169" s="1" t="str">
        <f ca="1">IF(Información1[[#This Row],[Fecha]]='Ajuste de fechas'!$A$2,"Día actual","Día anterior")</f>
        <v>Día anterior</v>
      </c>
      <c r="C169" t="s">
        <v>196</v>
      </c>
      <c r="D169" t="s">
        <v>306</v>
      </c>
      <c r="E169" t="s">
        <v>307</v>
      </c>
      <c r="F169" t="s">
        <v>83</v>
      </c>
      <c r="G169" t="s">
        <v>308</v>
      </c>
      <c r="H169" t="s">
        <v>8</v>
      </c>
      <c r="I169" t="s">
        <v>7</v>
      </c>
      <c r="J169" t="s">
        <v>31</v>
      </c>
      <c r="K169" t="s">
        <v>309</v>
      </c>
      <c r="L169" t="s">
        <v>26</v>
      </c>
      <c r="M169">
        <v>1</v>
      </c>
    </row>
    <row r="170" spans="1:13" x14ac:dyDescent="0.25">
      <c r="A170" s="2">
        <v>46212</v>
      </c>
      <c r="B170" s="1" t="str">
        <f ca="1">IF(Información1[[#This Row],[Fecha]]='Ajuste de fechas'!$A$2,"Día actual","Día anterior")</f>
        <v>Día actual</v>
      </c>
      <c r="C170" t="s">
        <v>49</v>
      </c>
      <c r="D170" t="s">
        <v>50</v>
      </c>
      <c r="E170" t="s">
        <v>279</v>
      </c>
      <c r="F170" t="s">
        <v>280</v>
      </c>
      <c r="G170" t="s">
        <v>281</v>
      </c>
      <c r="H170" t="s">
        <v>8</v>
      </c>
      <c r="I170" t="s">
        <v>7</v>
      </c>
      <c r="J170" t="s">
        <v>31</v>
      </c>
      <c r="K170" t="s">
        <v>51</v>
      </c>
      <c r="L170" t="s">
        <v>26</v>
      </c>
      <c r="M170">
        <v>1</v>
      </c>
    </row>
    <row r="171" spans="1:13" x14ac:dyDescent="0.25">
      <c r="A171" s="2">
        <v>46212</v>
      </c>
      <c r="B171" s="1" t="str">
        <f ca="1">IF(Información1[[#This Row],[Fecha]]='Ajuste de fechas'!$A$2,"Día actual","Día anterior")</f>
        <v>Día actual</v>
      </c>
      <c r="C171" t="s">
        <v>16</v>
      </c>
      <c r="D171" t="s">
        <v>190</v>
      </c>
      <c r="E171" t="s">
        <v>310</v>
      </c>
      <c r="F171" t="s">
        <v>30</v>
      </c>
      <c r="G171" t="s">
        <v>311</v>
      </c>
      <c r="H171" t="s">
        <v>8</v>
      </c>
      <c r="I171" t="s">
        <v>7</v>
      </c>
      <c r="J171" t="s">
        <v>13</v>
      </c>
      <c r="K171" t="s">
        <v>193</v>
      </c>
      <c r="L171" t="s">
        <v>24</v>
      </c>
      <c r="M171">
        <v>1</v>
      </c>
    </row>
    <row r="172" spans="1:13" x14ac:dyDescent="0.25">
      <c r="A172" s="2">
        <v>46211</v>
      </c>
      <c r="B172" s="1" t="str">
        <f ca="1">IF(Información1[[#This Row],[Fecha]]='Ajuste de fechas'!$A$2,"Día actual","Día anterior")</f>
        <v>Día anterior</v>
      </c>
      <c r="C172" t="s">
        <v>196</v>
      </c>
      <c r="D172" t="s">
        <v>306</v>
      </c>
      <c r="E172" t="s">
        <v>312</v>
      </c>
      <c r="F172" t="s">
        <v>105</v>
      </c>
      <c r="G172" t="s">
        <v>313</v>
      </c>
      <c r="H172" t="s">
        <v>8</v>
      </c>
      <c r="I172" t="s">
        <v>7</v>
      </c>
      <c r="J172" t="s">
        <v>31</v>
      </c>
      <c r="K172" t="s">
        <v>309</v>
      </c>
      <c r="L172" t="s">
        <v>26</v>
      </c>
      <c r="M172">
        <v>1</v>
      </c>
    </row>
    <row r="173" spans="1:13" x14ac:dyDescent="0.25">
      <c r="A173" s="2">
        <v>46212</v>
      </c>
      <c r="B173" s="1" t="str">
        <f ca="1">IF(Información1[[#This Row],[Fecha]]='Ajuste de fechas'!$A$2,"Día actual","Día anterior")</f>
        <v>Día actual</v>
      </c>
      <c r="C173" t="s">
        <v>49</v>
      </c>
      <c r="D173" t="s">
        <v>50</v>
      </c>
      <c r="E173" t="s">
        <v>314</v>
      </c>
      <c r="F173" t="s">
        <v>6</v>
      </c>
      <c r="G173" t="s">
        <v>315</v>
      </c>
      <c r="H173" t="s">
        <v>8</v>
      </c>
      <c r="I173" t="s">
        <v>7</v>
      </c>
      <c r="J173" t="s">
        <v>31</v>
      </c>
      <c r="K173" t="s">
        <v>45</v>
      </c>
      <c r="L173" t="s">
        <v>25</v>
      </c>
      <c r="M173">
        <v>1</v>
      </c>
    </row>
    <row r="174" spans="1:13" x14ac:dyDescent="0.25">
      <c r="A174" s="2">
        <v>46212</v>
      </c>
      <c r="B174" s="1" t="str">
        <f ca="1">IF(Información1[[#This Row],[Fecha]]='Ajuste de fechas'!$A$2,"Día actual","Día anterior")</f>
        <v>Día actual</v>
      </c>
      <c r="C174" t="s">
        <v>49</v>
      </c>
      <c r="D174" t="s">
        <v>50</v>
      </c>
      <c r="E174" t="s">
        <v>316</v>
      </c>
      <c r="F174" t="s">
        <v>10</v>
      </c>
      <c r="G174" t="s">
        <v>90</v>
      </c>
      <c r="H174" t="s">
        <v>8</v>
      </c>
      <c r="I174" t="s">
        <v>7</v>
      </c>
      <c r="J174" t="s">
        <v>33</v>
      </c>
      <c r="K174" t="s">
        <v>45</v>
      </c>
      <c r="L174" t="s">
        <v>25</v>
      </c>
      <c r="M174">
        <v>1</v>
      </c>
    </row>
    <row r="175" spans="1:13" x14ac:dyDescent="0.25">
      <c r="A175" s="2">
        <v>46212</v>
      </c>
      <c r="B175" s="1" t="str">
        <f ca="1">IF(Información1[[#This Row],[Fecha]]='Ajuste de fechas'!$A$2,"Día actual","Día anterior")</f>
        <v>Día actual</v>
      </c>
      <c r="C175" t="s">
        <v>16</v>
      </c>
      <c r="D175" t="s">
        <v>62</v>
      </c>
      <c r="E175" t="s">
        <v>317</v>
      </c>
      <c r="F175" t="s">
        <v>38</v>
      </c>
      <c r="G175" t="s">
        <v>318</v>
      </c>
      <c r="H175" t="s">
        <v>8</v>
      </c>
      <c r="I175" t="s">
        <v>7</v>
      </c>
      <c r="J175" t="s">
        <v>31</v>
      </c>
      <c r="K175" t="s">
        <v>63</v>
      </c>
      <c r="L175" t="s">
        <v>24</v>
      </c>
      <c r="M175">
        <v>1</v>
      </c>
    </row>
    <row r="176" spans="1:13" x14ac:dyDescent="0.25">
      <c r="A176" s="2">
        <v>46212</v>
      </c>
      <c r="B176" s="1" t="str">
        <f ca="1">IF(Información1[[#This Row],[Fecha]]='Ajuste de fechas'!$A$2,"Día actual","Día anterior")</f>
        <v>Día actual</v>
      </c>
      <c r="C176" t="s">
        <v>16</v>
      </c>
      <c r="D176" t="s">
        <v>62</v>
      </c>
      <c r="E176" t="s">
        <v>319</v>
      </c>
      <c r="F176" t="s">
        <v>10</v>
      </c>
      <c r="G176" t="s">
        <v>320</v>
      </c>
      <c r="H176" t="s">
        <v>8</v>
      </c>
      <c r="I176" t="s">
        <v>14</v>
      </c>
      <c r="J176" t="s">
        <v>33</v>
      </c>
      <c r="K176" t="s">
        <v>63</v>
      </c>
      <c r="L176" t="s">
        <v>24</v>
      </c>
      <c r="M176">
        <v>1</v>
      </c>
    </row>
    <row r="177" spans="1:13" x14ac:dyDescent="0.25">
      <c r="A177" s="2">
        <v>46212</v>
      </c>
      <c r="B177" s="1" t="str">
        <f ca="1">IF(Información1[[#This Row],[Fecha]]='Ajuste de fechas'!$A$2,"Día actual","Día anterior")</f>
        <v>Día actual</v>
      </c>
      <c r="C177" t="s">
        <v>49</v>
      </c>
      <c r="D177" t="s">
        <v>50</v>
      </c>
      <c r="E177" t="s">
        <v>321</v>
      </c>
      <c r="F177" t="s">
        <v>69</v>
      </c>
      <c r="G177" t="s">
        <v>322</v>
      </c>
      <c r="H177" t="s">
        <v>8</v>
      </c>
      <c r="I177" t="s">
        <v>7</v>
      </c>
      <c r="J177" t="s">
        <v>31</v>
      </c>
      <c r="K177" t="s">
        <v>51</v>
      </c>
      <c r="L177" t="s">
        <v>26</v>
      </c>
      <c r="M177">
        <v>1</v>
      </c>
    </row>
    <row r="178" spans="1:13" x14ac:dyDescent="0.25">
      <c r="A178" s="2">
        <v>46212</v>
      </c>
      <c r="B178" s="1" t="str">
        <f ca="1">IF(Información1[[#This Row],[Fecha]]='Ajuste de fechas'!$A$2,"Día actual","Día anterior")</f>
        <v>Día actual</v>
      </c>
      <c r="C178" t="s">
        <v>196</v>
      </c>
      <c r="D178" t="s">
        <v>197</v>
      </c>
      <c r="E178" t="s">
        <v>323</v>
      </c>
      <c r="F178" t="s">
        <v>17</v>
      </c>
      <c r="G178" t="s">
        <v>269</v>
      </c>
      <c r="H178" t="s">
        <v>8</v>
      </c>
      <c r="I178" t="s">
        <v>7</v>
      </c>
      <c r="J178" t="s">
        <v>31</v>
      </c>
      <c r="K178" t="s">
        <v>199</v>
      </c>
      <c r="L178" t="s">
        <v>26</v>
      </c>
      <c r="M178">
        <v>1</v>
      </c>
    </row>
    <row r="179" spans="1:13" x14ac:dyDescent="0.25">
      <c r="A179" s="2">
        <v>46212</v>
      </c>
      <c r="B179" s="1" t="str">
        <f ca="1">IF(Información1[[#This Row],[Fecha]]='Ajuste de fechas'!$A$2,"Día actual","Día anterior")</f>
        <v>Día actual</v>
      </c>
      <c r="C179" t="s">
        <v>16</v>
      </c>
      <c r="D179" t="s">
        <v>190</v>
      </c>
      <c r="E179" t="s">
        <v>324</v>
      </c>
      <c r="F179" t="s">
        <v>11</v>
      </c>
      <c r="G179" t="s">
        <v>325</v>
      </c>
      <c r="H179" t="s">
        <v>8</v>
      </c>
      <c r="I179" t="s">
        <v>7</v>
      </c>
      <c r="J179" t="s">
        <v>32</v>
      </c>
      <c r="K179" t="s">
        <v>193</v>
      </c>
      <c r="L179" t="s">
        <v>24</v>
      </c>
      <c r="M179">
        <v>1</v>
      </c>
    </row>
    <row r="180" spans="1:13" x14ac:dyDescent="0.25">
      <c r="A180" s="2">
        <v>46212</v>
      </c>
      <c r="B180" s="1" t="str">
        <f ca="1">IF(Información1[[#This Row],[Fecha]]='Ajuste de fechas'!$A$2,"Día actual","Día anterior")</f>
        <v>Día actual</v>
      </c>
      <c r="C180" t="s">
        <v>16</v>
      </c>
      <c r="D180" t="s">
        <v>190</v>
      </c>
      <c r="E180" t="s">
        <v>326</v>
      </c>
      <c r="F180" t="s">
        <v>15</v>
      </c>
      <c r="G180" t="s">
        <v>167</v>
      </c>
      <c r="H180" t="s">
        <v>8</v>
      </c>
      <c r="I180" t="s">
        <v>7</v>
      </c>
      <c r="J180" t="s">
        <v>31</v>
      </c>
      <c r="K180" t="s">
        <v>193</v>
      </c>
      <c r="L180" t="s">
        <v>26</v>
      </c>
      <c r="M180">
        <v>1</v>
      </c>
    </row>
    <row r="181" spans="1:13" x14ac:dyDescent="0.25">
      <c r="A181" s="2">
        <v>46212</v>
      </c>
      <c r="B181" s="1" t="str">
        <f ca="1">IF(Información1[[#This Row],[Fecha]]='Ajuste de fechas'!$A$2,"Día actual","Día anterior")</f>
        <v>Día actual</v>
      </c>
      <c r="C181" t="s">
        <v>196</v>
      </c>
      <c r="D181" t="s">
        <v>197</v>
      </c>
      <c r="E181" t="s">
        <v>326</v>
      </c>
      <c r="F181" t="s">
        <v>15</v>
      </c>
      <c r="G181" t="s">
        <v>167</v>
      </c>
      <c r="H181" t="s">
        <v>8</v>
      </c>
      <c r="I181" t="s">
        <v>7</v>
      </c>
      <c r="J181" t="s">
        <v>31</v>
      </c>
      <c r="K181" t="s">
        <v>199</v>
      </c>
      <c r="L181" t="s">
        <v>26</v>
      </c>
      <c r="M181">
        <v>1</v>
      </c>
    </row>
    <row r="182" spans="1:13" x14ac:dyDescent="0.25">
      <c r="A182" s="2">
        <v>46211</v>
      </c>
      <c r="B182" s="1" t="str">
        <f ca="1">IF(Información1[[#This Row],[Fecha]]='Ajuste de fechas'!$A$2,"Día actual","Día anterior")</f>
        <v>Día anterior</v>
      </c>
      <c r="C182" t="s">
        <v>196</v>
      </c>
      <c r="D182" t="s">
        <v>306</v>
      </c>
      <c r="E182" t="s">
        <v>327</v>
      </c>
      <c r="F182" t="s">
        <v>15</v>
      </c>
      <c r="G182" t="s">
        <v>167</v>
      </c>
      <c r="H182" t="s">
        <v>8</v>
      </c>
      <c r="I182" t="s">
        <v>7</v>
      </c>
      <c r="J182" t="s">
        <v>31</v>
      </c>
      <c r="K182" t="s">
        <v>309</v>
      </c>
      <c r="L182" t="s">
        <v>26</v>
      </c>
      <c r="M182">
        <v>1</v>
      </c>
    </row>
    <row r="183" spans="1:13" x14ac:dyDescent="0.25">
      <c r="A183" s="2">
        <v>46212</v>
      </c>
      <c r="B183" s="1" t="str">
        <f ca="1">IF(Información1[[#This Row],[Fecha]]='Ajuste de fechas'!$A$2,"Día actual","Día anterior")</f>
        <v>Día actual</v>
      </c>
      <c r="C183" t="s">
        <v>16</v>
      </c>
      <c r="D183" t="s">
        <v>62</v>
      </c>
      <c r="E183" t="s">
        <v>328</v>
      </c>
      <c r="F183" t="s">
        <v>15</v>
      </c>
      <c r="G183" t="s">
        <v>167</v>
      </c>
      <c r="H183" t="s">
        <v>8</v>
      </c>
      <c r="I183" t="s">
        <v>7</v>
      </c>
      <c r="J183" t="s">
        <v>31</v>
      </c>
      <c r="K183" t="s">
        <v>63</v>
      </c>
      <c r="L183" t="s">
        <v>24</v>
      </c>
      <c r="M183">
        <v>1</v>
      </c>
    </row>
    <row r="184" spans="1:13" x14ac:dyDescent="0.25">
      <c r="A184" s="2">
        <v>46212</v>
      </c>
      <c r="B184" s="1" t="str">
        <f ca="1">IF(Información1[[#This Row],[Fecha]]='Ajuste de fechas'!$A$2,"Día actual","Día anterior")</f>
        <v>Día actual</v>
      </c>
      <c r="C184" t="s">
        <v>49</v>
      </c>
      <c r="D184" t="s">
        <v>50</v>
      </c>
      <c r="E184" t="s">
        <v>327</v>
      </c>
      <c r="F184" t="s">
        <v>15</v>
      </c>
      <c r="G184" t="s">
        <v>167</v>
      </c>
      <c r="H184" t="s">
        <v>8</v>
      </c>
      <c r="I184" t="s">
        <v>7</v>
      </c>
      <c r="J184" t="s">
        <v>31</v>
      </c>
      <c r="K184" t="s">
        <v>51</v>
      </c>
      <c r="L184" t="s">
        <v>26</v>
      </c>
      <c r="M184">
        <v>1</v>
      </c>
    </row>
    <row r="185" spans="1:13" x14ac:dyDescent="0.25">
      <c r="A185" s="2">
        <v>46212</v>
      </c>
      <c r="B185" s="1" t="str">
        <f ca="1">IF(Información1[[#This Row],[Fecha]]='Ajuste de fechas'!$A$2,"Día actual","Día anterior")</f>
        <v>Día actual</v>
      </c>
      <c r="C185" t="s">
        <v>49</v>
      </c>
      <c r="D185" t="s">
        <v>50</v>
      </c>
      <c r="E185" t="s">
        <v>263</v>
      </c>
      <c r="F185" t="s">
        <v>71</v>
      </c>
      <c r="G185" t="s">
        <v>257</v>
      </c>
      <c r="H185" t="s">
        <v>8</v>
      </c>
      <c r="I185" t="s">
        <v>7</v>
      </c>
      <c r="J185" t="s">
        <v>31</v>
      </c>
      <c r="K185" t="s">
        <v>51</v>
      </c>
      <c r="L185" t="s">
        <v>26</v>
      </c>
      <c r="M185">
        <v>1</v>
      </c>
    </row>
    <row r="186" spans="1:13" x14ac:dyDescent="0.25">
      <c r="A186" s="2">
        <v>46212</v>
      </c>
      <c r="B186" s="1" t="str">
        <f ca="1">IF(Información1[[#This Row],[Fecha]]='Ajuste de fechas'!$A$2,"Día actual","Día anterior")</f>
        <v>Día actual</v>
      </c>
      <c r="C186" t="s">
        <v>49</v>
      </c>
      <c r="D186" t="s">
        <v>50</v>
      </c>
      <c r="E186" t="s">
        <v>329</v>
      </c>
      <c r="F186" t="s">
        <v>10</v>
      </c>
      <c r="G186" t="s">
        <v>81</v>
      </c>
      <c r="H186" t="s">
        <v>8</v>
      </c>
      <c r="I186" t="s">
        <v>14</v>
      </c>
      <c r="J186" t="s">
        <v>33</v>
      </c>
      <c r="K186" t="s">
        <v>45</v>
      </c>
      <c r="L186" t="s">
        <v>25</v>
      </c>
      <c r="M186">
        <v>1</v>
      </c>
    </row>
    <row r="187" spans="1:13" x14ac:dyDescent="0.25">
      <c r="A187" s="2">
        <v>46212</v>
      </c>
      <c r="B187" s="1" t="str">
        <f ca="1">IF(Información1[[#This Row],[Fecha]]='Ajuste de fechas'!$A$2,"Día actual","Día anterior")</f>
        <v>Día actual</v>
      </c>
      <c r="C187" t="s">
        <v>49</v>
      </c>
      <c r="D187" t="s">
        <v>50</v>
      </c>
      <c r="E187" t="s">
        <v>330</v>
      </c>
      <c r="F187" t="s">
        <v>10</v>
      </c>
      <c r="G187" t="s">
        <v>81</v>
      </c>
      <c r="H187" t="s">
        <v>8</v>
      </c>
      <c r="I187" t="s">
        <v>14</v>
      </c>
      <c r="J187" t="s">
        <v>33</v>
      </c>
      <c r="K187" t="s">
        <v>45</v>
      </c>
      <c r="L187" t="s">
        <v>25</v>
      </c>
      <c r="M187">
        <v>1</v>
      </c>
    </row>
    <row r="188" spans="1:13" x14ac:dyDescent="0.25">
      <c r="A188" s="2">
        <v>46212</v>
      </c>
      <c r="B188" s="1" t="str">
        <f ca="1">IF(Información1[[#This Row],[Fecha]]='Ajuste de fechas'!$A$2,"Día actual","Día anterior")</f>
        <v>Día actual</v>
      </c>
      <c r="C188" t="s">
        <v>16</v>
      </c>
      <c r="D188" t="s">
        <v>190</v>
      </c>
      <c r="E188" t="s">
        <v>331</v>
      </c>
      <c r="F188" t="s">
        <v>34</v>
      </c>
      <c r="G188" t="s">
        <v>118</v>
      </c>
      <c r="H188" t="s">
        <v>8</v>
      </c>
      <c r="I188" t="s">
        <v>14</v>
      </c>
      <c r="J188" t="s">
        <v>31</v>
      </c>
      <c r="K188" t="s">
        <v>193</v>
      </c>
      <c r="L188" t="s">
        <v>24</v>
      </c>
      <c r="M18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46212</v>
      </c>
      <c r="B2" s="2">
        <f ca="1">A2-1</f>
        <v>46211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2026-07-10T00:21:57Z</dcterms:modified>
</cp:coreProperties>
</file>