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workbookPr defaultThemeVersion="202300"/>
  <mc:AlternateContent xmlns:mc="http://schemas.openxmlformats.org/markup-compatibility/2006">
    <mc:Choice Requires="x15">
      <x15ac:absPath xmlns:x15ac="http://schemas.microsoft.com/office/spreadsheetml/2010/11/ac" url="C:\Users\vivie\Repositorios de capturas y reportes\ReporteRadio\"/>
    </mc:Choice>
  </mc:AlternateContent>
  <xr:revisionPtr revIDLastSave="0" documentId="13_ncr:1_{16084AC1-6572-42FB-812F-58B272964B73}" xr6:coauthVersionLast="47" xr6:coauthVersionMax="47" xr10:uidLastSave="{00000000-0000-0000-0000-000000000000}"/>
  <bookViews>
    <workbookView xWindow="-120" yWindow="-120" windowWidth="29040" windowHeight="15720" xr2:uid="{5C0A4D95-2E1C-48C6-BF5D-23E5933B5009}"/>
  </bookViews>
  <sheets>
    <sheet name="Radio" sheetId="2" r:id="rId1"/>
    <sheet name="Ajuste de fechas" sheetId="1" r:id="rId2"/>
  </sheets>
  <definedNames>
    <definedName name="DatosExternos_1" localSheetId="0" hidden="1">Radio!$A$1:$M$62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B2" i="2" l="1"/>
  <c r="B3" i="2"/>
  <c r="B4" i="2"/>
  <c r="B5" i="2"/>
  <c r="B6" i="2"/>
  <c r="B7" i="2"/>
  <c r="B8" i="2"/>
  <c r="B9" i="2"/>
  <c r="B10" i="2"/>
  <c r="B11" i="2"/>
  <c r="B12" i="2"/>
  <c r="B13" i="2"/>
  <c r="B14" i="2"/>
  <c r="B15" i="2"/>
  <c r="B16" i="2"/>
  <c r="B56" i="2"/>
  <c r="B59" i="2"/>
  <c r="B62" i="2"/>
  <c r="B17" i="2"/>
  <c r="B18" i="2"/>
  <c r="B19" i="2"/>
  <c r="B20" i="2"/>
  <c r="B21" i="2"/>
  <c r="B22" i="2"/>
  <c r="B23" i="2"/>
  <c r="B24" i="2"/>
  <c r="B25" i="2"/>
  <c r="B26" i="2"/>
  <c r="B27" i="2"/>
  <c r="B28" i="2"/>
  <c r="B29" i="2"/>
  <c r="B30" i="2"/>
  <c r="B31" i="2"/>
  <c r="B32" i="2"/>
  <c r="B39" i="2"/>
  <c r="B41" i="2"/>
  <c r="B43" i="2"/>
  <c r="B45" i="2"/>
  <c r="B47" i="2"/>
  <c r="B49" i="2"/>
  <c r="B51" i="2"/>
  <c r="B53" i="2"/>
  <c r="B55" i="2"/>
  <c r="B58" i="2"/>
  <c r="B61" i="2"/>
  <c r="B33" i="2"/>
  <c r="B34" i="2"/>
  <c r="B35" i="2"/>
  <c r="B36" i="2"/>
  <c r="B37" i="2"/>
  <c r="B38" i="2"/>
  <c r="B40" i="2"/>
  <c r="B42" i="2"/>
  <c r="B44" i="2"/>
  <c r="B46" i="2"/>
  <c r="B48" i="2"/>
  <c r="B50" i="2"/>
  <c r="B52" i="2"/>
  <c r="B54" i="2"/>
  <c r="B57" i="2"/>
  <c r="B60" i="2"/>
  <c r="B2" i="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7D715E1-36B2-47EA-B501-47E1D0A03250}" keepAlive="1" name="Consulta - Información1" description="Conexión a la consulta 'Información1' en el libro." type="5" refreshedVersion="8" background="1" saveData="1">
    <dbPr connection="Provider=Microsoft.Mashup.OleDb.1;Data Source=$Workbook$;Location=Información1;Extended Properties=&quot;&quot;" command="SELECT * FROM [Información1]"/>
  </connection>
</connections>
</file>

<file path=xl/sharedStrings.xml><?xml version="1.0" encoding="utf-8"?>
<sst xmlns="http://schemas.openxmlformats.org/spreadsheetml/2006/main" count="625" uniqueCount="145">
  <si>
    <t>Fecha</t>
  </si>
  <si>
    <t>Titular</t>
  </si>
  <si>
    <t>Dependencia</t>
  </si>
  <si>
    <t>Canal</t>
  </si>
  <si>
    <t>Tema</t>
  </si>
  <si>
    <t>Estatus</t>
  </si>
  <si>
    <t>Informativa</t>
  </si>
  <si>
    <t>Positiva</t>
  </si>
  <si>
    <t>Semot</t>
  </si>
  <si>
    <t>SEPH</t>
  </si>
  <si>
    <t>Negativa</t>
  </si>
  <si>
    <t>Día</t>
  </si>
  <si>
    <t>Radiodifusora</t>
  </si>
  <si>
    <t>Programa</t>
  </si>
  <si>
    <t>Clasificación</t>
  </si>
  <si>
    <t>Autor</t>
  </si>
  <si>
    <t>Género</t>
  </si>
  <si>
    <t>Gobierno del estado</t>
  </si>
  <si>
    <t>Noticia</t>
  </si>
  <si>
    <t>Opinión</t>
  </si>
  <si>
    <t>Boletín</t>
  </si>
  <si>
    <t>Recuento</t>
  </si>
  <si>
    <t>Día actual</t>
  </si>
  <si>
    <t>Día anterior</t>
  </si>
  <si>
    <t>Entrevista</t>
  </si>
  <si>
    <t>Segobh</t>
  </si>
  <si>
    <t>RADIO LOCAL</t>
  </si>
  <si>
    <t>NQ 90.1 FM</t>
  </si>
  <si>
    <t>Enlace Hidalgo1</t>
  </si>
  <si>
    <t>Juan Carlos Santamaría</t>
  </si>
  <si>
    <t>Radioescucha</t>
  </si>
  <si>
    <t>Ke Buena 106.7 FM</t>
  </si>
  <si>
    <t>Noticias 106.7</t>
  </si>
  <si>
    <t>David Cárdenas</t>
  </si>
  <si>
    <t>SSPH</t>
  </si>
  <si>
    <t>Ayuntamiento</t>
  </si>
  <si>
    <t>Alcaldías</t>
  </si>
  <si>
    <t>Otros</t>
  </si>
  <si>
    <t>Presidencia</t>
  </si>
  <si>
    <t>Presidencia de la República</t>
  </si>
  <si>
    <t>Gobernador</t>
  </si>
  <si>
    <t>Radio Lobo 96.7 FM</t>
  </si>
  <si>
    <t>Enlace Noticias</t>
  </si>
  <si>
    <t>Gina Lorenzo</t>
  </si>
  <si>
    <t>Apps de transporte</t>
  </si>
  <si>
    <t>Sipdus</t>
  </si>
  <si>
    <t>Día De Muertos</t>
  </si>
  <si>
    <t>Súper Stéreo 100.5 FM</t>
  </si>
  <si>
    <t>Enfoque Regional Matutino</t>
  </si>
  <si>
    <t>Christian García</t>
  </si>
  <si>
    <t>Acir 92.5 FM</t>
  </si>
  <si>
    <t>Eulalio Larrieta</t>
  </si>
  <si>
    <t>Eulalio Larrieta agradece Hans Islas del ayuntamiento de Mineral de la Reforma , por su apoyo en pasar los reportes.</t>
  </si>
  <si>
    <t>Atención a la ciudadanía</t>
  </si>
  <si>
    <t>Eulalio Larrieta informa que Jorge Hernández del ayuntamiento de Pachuca, esta al pendiente de todos los reportes de la ciudadania del Municipio de Pachuca</t>
  </si>
  <si>
    <t>Eulalio Larrieta agradece a Carlos Gamiño por estar al pendiente de temas.</t>
  </si>
  <si>
    <t>Congreso</t>
  </si>
  <si>
    <t>Eulalio Larrieta agradece a Edith Balderas de la Secretaria de Educación Pública.</t>
  </si>
  <si>
    <t>Eulalio Larrieta agradece a Cristian Yahir Castañeda supervisor de la región Pachuca quien nos va atender los reportes que correspondan a la SEMOT</t>
  </si>
  <si>
    <t>Eulalio Larrieta agradece Paola García y Lic. Sarahi Pineda, por estar atentas a los mensajes de la ciudadanía y por atenderlos.</t>
  </si>
  <si>
    <t>Enfoque Regional Meridiano</t>
  </si>
  <si>
    <t>Jesús González</t>
  </si>
  <si>
    <t>Reportaje</t>
  </si>
  <si>
    <t>Visita Sheinbaum</t>
  </si>
  <si>
    <t>Aspirantes</t>
  </si>
  <si>
    <t>Cultura</t>
  </si>
  <si>
    <t>Entrevista pautada</t>
  </si>
  <si>
    <t>Restauración ecológica</t>
  </si>
  <si>
    <t>Antes de que concluya el año, el Congreso de Hidalgo realizará foros de discusión para analizar la posible regulación de Uber y otras plataformas digitales de transporte en la entidad. Así lo anunció el presidente de la Junta de Gobierno, Andrés Velázquez Vázquez, quien señaló que se escucharán las opiniones de sindicatos de transportistas, inversionistas y otros sectores involucrados. Por ahora, no existe una fecha definida para los foros, ni una propuesta de regulación aprobada."Hace 20 años, pues no habían esas plataformas, entonces, pues sí se les dio, hubo bastantes concesiones, pero creo que como todo va variando las plataformas, muchos temas de reparto y todo eso, pues sí tenemos que elegir. Estas circunstancias son obligadas porque a mayor oferta, los servicios se abaratan o hay una competencia y mejora siempre, ese tipo de cosas. Pero yo estaré en la disposición de analizar con prontitud para que también tengamos una respuesta para ver qué pasa si hay de que ingresan esas plataformas. Espero que sí, claro. Estamos abiertos a todas las ideas. Los congresos debemos estar conscientes que las circunstancias económicas van variando. Hoy vemos en día la inteligencia artificial, vemos en día servicios que antes no existían y que tenemos que nos adaptar."</t>
  </si>
  <si>
    <t>Panorama Informativo Pachuca</t>
  </si>
  <si>
    <t>Eulalio Larrieta agradece a Uriel Ramírez, y Jair Martínez de la SEGOBH, porque esta al pendiente de lo que se necesite y los reportes.</t>
  </si>
  <si>
    <t>Eulalio Larrieta agradece Hans Islas del ayuntamiento de Mineral de la Reforma , por su apoyo en pasar los reportes</t>
  </si>
  <si>
    <t>El Ayuntamiento de Mineral de la Reforma, encabezado por el presidente municipal, Eduardo Medécigo Rubio, y la Secretaría de Salud de Hidalgo (SSH) realizaron la Macro Jornada de Esterilización en la Explanada Principal de Pachuquilla, en la cual se intervinieron 200 perros y gatos. Eduardo Medécigo, reconoció que las campañas permanentes resultan insuficientes ante la alta demanda, por lo que se impulsó esta macro jornada. Destacó que las instalaciones de la presidencia municipal son pet friendly, así como la transformación de la antigua perrera municipal en el Hospital con Garra, que ofrece servicios veterinarios completos, incluido crematorio</t>
  </si>
  <si>
    <t>Campaña de esterilización</t>
  </si>
  <si>
    <t>En el presente año, Conagua atendió varios municipios de Hidalgo, donde realizó limpieza y desazolve de drenajes, pozos de visita, fosas sépticas. Además, mantiene un operativo de prevención mediante monitoreo en los ochenta y cuatro municipios hidalguenses."Tanto Conagua como con el estado, estamos estrechamente comunicados y trabajando conjuntamente. Yo creo que aquí lo importante ha sido este trabajo coordinado que hemos hecho con las áreas de obras públicas, también incluimos a los municipios, pero el trabajo coordinado más fuerte ha sido federación a través de la Conagua con gobierno del estado."</t>
  </si>
  <si>
    <t>Desazolve</t>
  </si>
  <si>
    <t>Con la finalidad de destinar agua para riego, la Comisión Nacional del Agua (Conagua), a través de su Dirección Local Hidalgo, continúa realizando acciones de desfogue controlado y programado de la presa Endhó, de 1.515 metros cúbicos por segundo (m3/s), sin que dichas maniobras representen riesgos para la población.Además, este embalse presenta un almacenamiento de 101.7 por ciento (%) de su capacidad. En cuanto a los niveles de almacenamiento de los embalses de esta región, la Conagua informa que, las presas que administra en el Valle de México, incluyendo la presa Endhó, cuentan con un almacenamiento global de 95 %.La presa Taxhimay se encuentra a 97.2 % de su capacidad, la presa Requena a 68.1 % mien con 41.158 Mm3; finalmente, la Vicente Aguirre se encuentra a 98.5 % de su capacidad.Para la región del Golfo Norte, la presa La Esperanza se encuentra al 100 % mientras que la presa Ing. Fernando Hiriart Balderrama, ubicada en el municipio de Zimapán, registra un 89.3 % de almacenamiento.</t>
  </si>
  <si>
    <t>Desfogue De Presa</t>
  </si>
  <si>
    <t>Vía telefónica Prentice Escamilla. dir de vinculación de la secretaria de cultura del Gobierno de Hidalgo, con el tema: Celebración del Día de Muertos, Celebración del De muertos: Presencia de Hidalgo en Berlín y Desfile alusivo al día de Muertos.</t>
  </si>
  <si>
    <t>Miled 97.1 FM</t>
  </si>
  <si>
    <t>Línea En Alta Tensión</t>
  </si>
  <si>
    <t>María Antonieta Islas</t>
  </si>
  <si>
    <t>El Ayuntamiento de Pachuca prepara el Panteón Municipal para recibir a cerca de 20 mil visitantes durante las celebraciones del Día de Muertos, con trabajos integrales de mantenimiento, limpieza y acondicionamiento de las instalaciones, así como acciones de seguridad y prevención para garantizar una estancia ordenada y segura a las familias.La Secretaría de Servicios Públicos Municipales ha reforzado las labores para dejar el recinto en condiciones adecuadas, mediante trabajos de limpieza general, deshierbe, poda y mantenimiento de áreas verdes, además del acondicionamiento de espacios comunes y senderos. Asimismo, atenderá las necesidades de limpieza durante la jornada y garantizará el abasto de agua no potable para las labores de mantenimiento y servicios del panteón, a fin de mantener en buenas condiciones las instalaciones ante la llegada de miles de personas.En materia de seguridad, la Secretaría de Seguridad Pública, Tránsito y Vialidad desplegará un dispositivo especial del 31 de octubre al 2 de noviembre, con acciones de prevención, vigilancia y control vehicular en distintos panteones de la capital.Por su parte, Protección Civil municipal mantendrá unidades en puntos estratégicos y realizará recorridos a pie al interior y exterior del Panteón Municipal, con especial atención durante los días de mayor afluencia. El horario de visita será de 8:00 a 17:00 horas.</t>
  </si>
  <si>
    <t>En cabina, participación de Jorge Hernández, director de Comunicación Social del Ayuntamiento de Pachuca, con el tema: Festejos de día de Muertos</t>
  </si>
  <si>
    <t>Participación</t>
  </si>
  <si>
    <t>Vía telefónica a la secretaria de Cultura del Gobierno de Hidalgo, Neyda Naranjo Baltazar .</t>
  </si>
  <si>
    <t>Pasando a otra información, en la localidad de Doxey, municipio de Tlaxcoapan, se realiza la venta de flor de cempasúchil, una de las más buscadas durante la temporada de Día de Muertos. La flor se ofrece para adornar altares y tumbas. La actividad representa una opción para quienes buscan adquirirla directamente en esta comunidad y también un apoyo a los productores. Pero no solamente el cempasúchil tradicional.</t>
  </si>
  <si>
    <t>El gobernador Julio Menchaca descartó la aplicación del «Hoy No Circula» para reducir el tráfico vehicular en la Zona Metropolitana de Pachuca...</t>
  </si>
  <si>
    <t>Hoy No Circula</t>
  </si>
  <si>
    <t>Siete de la mañana con ocho minutos, mire también este tema ayer fue tema de conversación durante toda la tarde y lo será a lo largo de estos días y durante el fin de semana seguramente, porque el gobernador de Hidalgo, Julio Menchaca Salazar, descartó la implementación del programa Hoy no Circula, para reducir el tráfico en la zona metropolitana de Pachuca, al considerar que es una medida complicada para la ciudad</t>
  </si>
  <si>
    <t>Vía telefónica diputada Karla Perales con el tema: Iniciativas presentadas en el Congreso del Estado en el Parlamento Infantil. Anunció la realización de la décima tercera edición del Parlamento Infantil los días 18, 19 y 20 de noviembre en el Congreso del Estado de Hidalgo, espacio donde niñas y niños presentarán iniciativas enfocadas principalmente en la protección del medio ambiente. En el ámbito distrital (Mineral de la Reforma), la legisladora destacó actividades comunitarias en el fraccionamiento Los Tuzos y en la colonia Forjadores</t>
  </si>
  <si>
    <t>Parlamento infantil</t>
  </si>
  <si>
    <t>El Siete de la mañana ya con siete minutos, el gobernador Julio Menchaca Salazar informó que durante su administración el presupuesto destinado a la cultura en Hidalgo aumentó 150%, esto con el propósito de fortalecer la creación artística y preservar las tradiciones de la entidad. Durante un evento entregó estímulos a 85 proyectos del programa de estímulo a la creación y desarrollo artístico PECDA y reconocimientos a otras 35 iniciativas culturales</t>
  </si>
  <si>
    <t>PECDA</t>
  </si>
  <si>
    <t>Menchaca impulsa el talento que lleve la cultura hidalguense más allá de sus fronteras. El Programa para la Transformación Artística y Cultural impulsa 35 proyectos con una inversión total de 780 mil pesos</t>
  </si>
  <si>
    <t>OCSAD</t>
  </si>
  <si>
    <t>Arrancamos con la información, mire, también esto le ha dado vueltas desde ayer en la tarde-noche acerca de este accidente, al final es un accidente, y a propósito de este accidente que se dio la Secretaría de Educación Pública de Hidalgo anunció una investigación para esclarecer las circunstancias del accidente ocurrido en la escuela secundaria Teodomiro Manzano en el municipio de Huasca de Ocampo donde una estudiante resultó lesionada. A través de una tarjeta informativa, la dependencia señaló que se revisarán los hechos para deslindar responsabilidades y de ser necesario reforzar las medidas de seguridad en los planteles educativos</t>
  </si>
  <si>
    <t>Prevención De Fraudes</t>
  </si>
  <si>
    <t>Mire, escuche bien esta información que le vamos a compartir, porque se viene una temporada donde usted va a utilizar mucho sus tarjetas de débito y de crédito. ¿Por qué alertan de fraudes con tarjetas de crédito mediante falsos ejecutivos bancarios? Toda la información ponga atención con nuestra compañera Claudia Alcántara. Recientemente se han presentado una ola de fraudes a usuarios de sucursales bancarias, que ilusamente se dejan llevar por sujetos que se hacen pasar por trabajadores bancarios para robar el dinero de los cuentahabientes. Varios cuentahabientes han sido víctimas de estas farsas, que se derivan a raíz de una simple llamada telefónica.</t>
  </si>
  <si>
    <t>Se vivió el día de ayer y que nos dio muchísimo gusto ver esta renovación que le hicieron ahí en la Unidad Deportiva de Tula porque, mire, con una inversión de más de cinco millones de pesos, el presidente municipal de Tula de Allende, Cristian Martínez, en compañía de Óscar El Conejo Pérez, director general del Instituto Hidalguense del Deporte, encabezaron este miércoles la inauguración de la renovada duela de la Unidad Deportiva, un espacio que permaneció en el abandono durante más de veinte años.</t>
  </si>
  <si>
    <t>Rehabilitación de espacios públicos</t>
  </si>
  <si>
    <t>La presidenta de México también, Claudia Sheinbaum, reiteró que el saneamiento del río Tula en Hidalgo se mantiene como una de las prioridades ambientales de su administración, junto con los ríos Lerma Santiago y Atoyac. Durante su conferencia mañanera de este miércoles, la mandataria reconoció la problemática de contaminación que enfrentan estos cuerpos de agua y sus posibles afectaciones a la salud de las comunidades cercanas. En el caso del río Tula, que recibe aguas residuales provenientes del Valle de México, el saneamiento representa una demanda histórica de los habitantes de la región. Aunque Sheinbaum reafirmó el compromiso federal, no se precisaron nuevos plazos ni avances específicos de las acciones de recuperación del afluente hidalguense."Se están trabajando tres ríos, los ríos más contaminados de México. El Atoyac, el segundo es el Lerma Santiago y el tercero es el río Tula y todos sus afluentes, que también es un río muy contaminado, junto con la presa Endo, que es una presa en donde salen las descargas de agua de la zona metropolitana del Valle de México. Estas zonas tienen enfermedades renales, los vecinos de todas estas zonas, es decir, enfermedades del riñón provocadas en una parte por la mala calidad del agua. Entonces no solamente es limpiar los ríos, que es indispensable por la sanidad y por garantizar el agua potable, sino también los problemas de salud que se enfrentan en todos estos lugares."</t>
  </si>
  <si>
    <t>Mire, Conagua inició los preparativos para colocar barreras de contención en la presa Endo como parte del plan maestro de recuperación. Al embalse llegaron dos mil cien metros de barrera tipo cortina y la misma cantidad de barrera tipo boya. De la delimitación permitirá concentrar las zonas con hilo acuático y facilitar su retiro, así como focalizar la fumigación contra larvas del Mosco culex. La dependencia informó que del primero de mayo al 24 de octubre realizó siete jornadas de fumigación. Mientras tanto, continúan los trabajos para preparar los puntos de descarga y maniobra donde llegarán las embarcaciones especializadas. Esto lo destacó Mayela Godínez Alarcón, gerente de planificación hídrica de la Conagua."Estamos saliendo de la presa. Como pueden ver, ya iniciamos los preparativos para la llegada de los barcos. Estamos armando las barreras que servirán como cortinas y, por supuesto, las boyas que nos permitirán mejorar la extracción. También la fumigación para poder tener a la larva más controlada. Estamos haciendo un gran esfuerzo porque, como siempre, estamos escuchando a la ciudadanía."Habrá que darse una vuelta ahora que ya estén colocadas estas barreras para ver qué tal funcionan y cuál será el final de ellas también. Vamos con más información.</t>
  </si>
  <si>
    <t>El presidente municipal de Pachuca, Jorge Reyes, recorrió la colonia Matilde para supervisar la conclusión de cuatro obras de pavimentación con concreto hidráulico y verificar las condiciones de las vialidades intervenidas.Como parte de las obras, se colocó pavimento de concreto hidráulico y se construyeron guarniciones y se instalaron luminarias, mejoras que contribuyen a facilitar el tránsito vehicular y peatonal, además de favorecer el acceso a los hogares y los desplazamientos dentro de la colonia.Durante el recorrido, el alcalde constató la conclusión de los trabajos, como parte del seguimiento a las obras públicas que se realizan en distintos puntos de la capital hidalguense.A la renovación de estas cuatro calles se suman acciones para reforzar la seguridad en Matilde, con la instalación de cámaras de videovigilancia y luminarias que contribuyen a mejorar las condiciones de visibilidad y vigilancia en la colonia, tanto para quienes viven ahí como para quienes transitan por sus vialidades.</t>
  </si>
  <si>
    <t>Supervisión de obra</t>
  </si>
  <si>
    <t>Comento conductor Eulalio Larrieta, que el dia de hoy, la presidenta Claudia Sheinbaum visitara nuevamente el estado y realizara un recorrido en Villa de Tezontepec y Zapotlán</t>
  </si>
  <si>
    <t>Y en otra información, también aquí en Hidalgo, mire, la presidenta de México, Claudia Sheinbaum Pardo, realizará una gira oficial de trabajo en el estado de Hidalgo este jueves 29 y viernes 30 de octubre. Esto lo confirmó el gobernador Julio Menchaca Salazar para entregar el apoyo social y al desarrollo económico regional."La presidenta de la República viene. Si no hay una modificación, porque también estamos sujetos a eso, habíamos visualizado que en un solo día iba a ser todo un recorrido. Se tiene programado que si no hay cambio, que mañana esté en el polo del bienestar, que se firme ya el fideicomiso para el funcionamiento de las 910 hectáreas, que la empresa ya está iniciando los trabajos de infraestructura, la inauguración de las bodegas de mercado libre, y la inauguración de un importante de los laboratorios franceses. Entonces, eso sería en un día. Y si no hay una modificación, el viernes estaremos desde la mañana en el aeropuerto Felipe Ángeles, en el iPhone, luego en la refinería, y luego en Pachuca en la entrega de las tarjetas para el apoyo a las familias afectadas por la vaguada. Eso es cuando menos hasta ayer a la una de la mañana lo que teníamos."</t>
  </si>
  <si>
    <t>Fiesta de las Almas recorrerá Pachuca este viernes con 1,333 participantes, 42 contingentes y 25 carros alegóricos para celebrar el Día de Muertos. Los detalles con Joselyn Sánchez."Pachuca se prepara para recibir el desfile Fiesta de las Almas que se realizará este viernes 30 de octubre con la participación de 1,337 personas distribuidas en 42 contingentes provenientes de 20 municipios y sedes de Hidalgo, además de 25 carros alegóricos. El recorrido iniciará a las cinco de la tarde en el Centro Cultural del Ferrocarril y concluirá alrededor de las seis y media en el Reloj Monumental tras recorrer 3.4 kilómetros. Entre los participantes destacan comparsas de Xantolo de Yahualica, Huazalingo y Lolotla, así como agrupaciones de Pacula, Xochicoatlán y otros municipios que mostrarán las tradiciones del Día de Muertos. La secretaria de Cultura, Neida Naranjo Baltazar, destacó que esta celebración busca preservar la identidad y las costumbres de los pueblos hidalguenses. El desfile será gratuito, por lo que se espera la asistencia de familias y visitantes al centro de Pachuca. Para Enfoque Regional informó Joselyn Sánchez."</t>
  </si>
  <si>
    <t>Xantolo</t>
  </si>
  <si>
    <t>Mire, ya para cerrar nuestra emisión de Enfoque Regional, esto seguramente usted lo vio en las redes sociales, que por ahí apareció. Hay un activista digital que es Rú Abogado, quien se ha hecho popular en plataformas digitales por documentar abusos de autoridad, detenciones arbitrarias y presuntos actos de extorsión por parte de policías. Bueno, pues fue intervenido en una visita que hizo aquí a Pachuca por agentes estatales de Hidalgo, cuando circulaba a bordo de una camioneta sobre el boulevard Felipe Ángeles aquí en Pachuca. Sin identificarse, los elementos le dijeron que se trataba de una inspección de rutina.</t>
  </si>
  <si>
    <t>Abuso de autoridad</t>
  </si>
  <si>
    <t>Comenta conductor Eulalio Larrieta que Joss Arroyo, informo de un accidente que hay en el corredor de la montaña, en la bajada, un tráiler se quedó sin frenos y se fue con todos los muros de contención, con todo lo que pudo. Está aparatoso el accidente, así que maneje con mucha precaución</t>
  </si>
  <si>
    <t>Accidente Carretero</t>
  </si>
  <si>
    <t>Una estudiante de 14 años de edad, identificada como Zaira, sufrió quemaduras durante un concurso de disfraces realizado en la Escuela Secundaria General Teodomiro Manzano, ubicada en el municipio de Huasca.De acuerdo con lo observado en un video difundido en redes sociales, la estudiante llevaba un vestido de Catrina elaborado con hojas secas de tamal que habría entrado en contacto con una veladora encendida de una ofrenda, por lo que fue auxiliada por sus compañeros y un docente</t>
  </si>
  <si>
    <t>Accidente en escuela</t>
  </si>
  <si>
    <t>Radioescucha manda audio «Hola, Lalo, un saludo para ti y para todo tu equipo. Para comentarte, acaba de suceder un accidente de transporte público de una Urvan con un particular aquí sobre Javier Rojo Gómez al cruce que está abajo del puente de Río de las Avenidas con dirección hacia Everardo Márquez, para que eviten la zona porque están ahí atravesados. Un saludo, Lalo, buenos días.»</t>
  </si>
  <si>
    <t>Accidente transporte público</t>
  </si>
  <si>
    <t>De tempranas horas, hoy nos acompaña aquí en la cabina de Super Estéreo, el arquitecto Mario Serrano, porque, bueno, pues aquí en Enfoque Regional, en esta primera emisión, seguimos abriendo los micrófonos a las distintas voces que participan en la vida pública de Tula. Hoy conversaremos sobre trayectoria, participación ciudadana, los retos que enfrenta nuestro municipio y la importancia de construir liderazgos comprometidos con la sociedad. Arqui, ¿cómo está? Buenos días."¿Qué tal, Cristian? Buenos días, buenos días a todos. Qué gusto saludarlo tan temprano y platicamos fuera del aire que ustedes, de las personas como nosotros que madrugan todos los días, haya trabajo o no haya trabajo. Sí, te decía que regularmente a las cinco de la mañana nos despertamos, nos levantamos, vamos a hacer ejercicio y el problema es que luego ya hasta los fines de semana, que pudiéramos descansar, pues no."</t>
  </si>
  <si>
    <t>Eulalio Larrieta agradece a Jair Martínez y Uriel Ramírez de la SEGOBH, porque esta al pendiente de lo que se necesite y los reportes.</t>
  </si>
  <si>
    <t>Vamos a más información información que tiene que ver con estas fechas, fechas de verdad donde la gente la pasa bien ahí en casa visitan los cementerios, pero también fechas en donde los niños, las niñas se disfrazan de día de muertos, de catrinas, hay una cultura en este momento de rescatar todo lo que tiene que ver con lo mexicano porque por muchos años el famoso tema del Halloween se hizo presente aquí en México, lo que es cierto también que las calles vemos a estos pequeñines pidiendo la calaverita, pidiendo el dulce, pidiendo que le pongan ahí a su calaverita algo que les que ellos puedan utilizar y me llama mucho la atención y me da mucho gusto también informarle que hoy el Parque Quetzalcóatl aquí de Tula será el escenario para disfrutar del evento denominado celebración vida y muerte donde los asistentes podrán disfrutar de diversas actividades como el pedir calaverita, entre otras cosas.Estefanía Tapia, coordinadora del Parque Quetzalcóatl aquí en Tula, hace la invitación a este evento</t>
  </si>
  <si>
    <t>Vía telefónica a la secretaria de Cultura del Gobierno de Hidalgo, Neyda Naranjo Baltazar con el tema Día de muertos</t>
  </si>
  <si>
    <t>Vía telefónica comandante Óscar Sánchez Director General de Tránsito y Vialidad del Municipio de Pachuca con el tema: Operativos en eventos día de muertos y eventos de fin de semana</t>
  </si>
  <si>
    <t>El presidente municipal de Mineral de la Reforma, Eduardo Medécigo, encabezó la entrega de uniformes de trabajo para personal de la Secretaría de Servicios Municipales, como parte de las acciones para fortalecer las condiciones laborales y reconocer la labor diaria de quienes contribuyen al funcionamiento y mantenimiento de los espacios públicos.Los uniformes, integrados por pantalón y camisola, fueron destinados a trabajadores de distintas áreas, entre ellas Bienestar Animal, Panteones, Recolección de Residuos Sólidos y Herrería, entre otras.Durante el acto, el alcalde destacó que el personal municipal constituye un equipo fundamental para atender las necesidades de la población, por lo que reiteró la importancia de proporcionar los elementos básicos para el desempeño de sus funciones, así como de fortalecer la colaboración y el sentido de pertenencia entre las y los trabajadores.</t>
  </si>
  <si>
    <t>Entrega de uniformes</t>
  </si>
  <si>
    <t>Radioescucha Sr. Fidel: Licenciado, muy buenos días. Reportando esta pequeña fuga: es en la calle 18 esquina con primera cerrada de Ferrocarril Central, Ampliación Santa Julia.</t>
  </si>
  <si>
    <t>Fuga De Agua</t>
  </si>
  <si>
    <t>Después de 11 años de rezago en iluminación, el bulevar Santa Catarina cuenta con un sistema de alumbrado renovado, como resultado de los trabajos realizados por el gobierno municipal de Jorge Reyes.A través de la Dirección de Alumbrado Público de la Secretaría de Servicios Públicos Municipales, se intervinieron 3.7 kilómetros en ambos sentidos, desde la entrada a Huixmí hasta la entrada a Tlapacoya. En este tramo se instalaron 199 luminarias LED además de 10 reflectores 40 postes, 40 dados para su colocación, un transformador y 8 mil 500 metros de cable de aluminio 2+1.La modernización permitirá incrementar hasta en 200 por ciento los niveles de iluminación y disminuir hasta en 30 por ciento el consumo energético, de acuerdo con las especificaciones del proyecto. Esto contribuirá a mejorar la visibilidad para automovilistas y habitantes que utilizan esta vía durante la noche.</t>
  </si>
  <si>
    <t>Luminarias</t>
  </si>
  <si>
    <t>Siete de la mañana ya con 29 minutos y viene con una inversión proyectada de 10.106 millones de pesos. El gobernador Julio Menchaca y el secretario de Economía Federal, Marcelo Ebrard, encabezaron el arranque de obras del Polo de Desarrollo Económico para el Bienestar Reserva Zapotlán. El complejo industrial abarcará 910 hectáreas y se desarrollará en cinco etapas con espacios destinados a las industrias farmacéuticas, automotriz, aeroespacial y logística, además de pequeñas y medianas empresas. Para su primera fase, el gobierno estatal anunció una inversión de 557 millones de pesos en infraestructura vial.</t>
  </si>
  <si>
    <t>Polos del Bienestar</t>
  </si>
  <si>
    <t>El gobernador Julio Menchaca y el secretario de Economía del Gobierno de México, Marcelo Ebrard encabezaron el arranque de obra del Polo de Desarrollo Económico para el Bienestar (Podecobi) Reserva Zapotlán,</t>
  </si>
  <si>
    <t>Y mire, ya casi casi cerrando esta primera emisión de Enfoque Regional, porque además en este fin de semana tenemos celebraciones de Día de Muertos, bueno pues ante estas celebraciones de Día de Muertos y Xantolo, la Secretaría de Salud de Hidalgo llamó a la población a extremar las medidas de higiene en la preparación y conservación de alimentos para prevenir enfermedades diarréicas. Nancy Cerón Delgado, Coordinadora Estatal de Enfermedades Diarréicas Agudas, advirtió sobre los riesgos de consumir alimentos que permanecen expuestos durante varias horas en altares y ofrendas, especialmente cuando no cuentan con refrigeración adecuada. La dependencia pidió especial atención a menores de edad y adultos mayores, quienes pueden presentar mayores complicaciones.</t>
  </si>
  <si>
    <t>SSH</t>
  </si>
  <si>
    <t>Prevención De Enfermedades</t>
  </si>
  <si>
    <t>Cabe destacar que la presidenta Claudia Sheinbaum y el gobernador de Hidalgo, Julio Menchaca Salazar, encabezaron también la inauguración de estos dos proyectos empresariales ubicados en el parque industrial Plata, en Villa de Tezontepec, el centro de distribución robótica de Mercado Libre, que tiene una capacidad operativa que supera los 6.8 millones de pedidos mensuales, con una proyección de alcanzar los quince millones durante dos mil veintisiete, por otra parte, laboratorios Carnot, puso en marcha la primera etapa de sus instalaciones, con una inversión inicial de dos mil cuatrocientos millones de pesos, que se prevé incremente a tres mil quinientos millones, el proyecto contempla, además, la generación de seiscientos puestos de trabajo especializados.</t>
  </si>
  <si>
    <t>La Presidenta de México, Claudia Sheinbaum , señaló que Hidalgo registra un crecimiento económico cercano al 8% anual, cifra que vinculó con el desarrollo de nuevos proyectos de inversión en el Estado, durante su visita al Estado, la mandataria federal hizo referencia a la inauguración de dos instalaciones de mercado libre, y laboratorios Carnot, como ejemplos de la participación del sector privado en la actividad económica hidalguense. Fui a la inauguración de dos empresas en Hidalgo, una un almacén de distribución muy automatizado, muy robotizado de mercado libre en Hidalgo, y la otra de una empresa farmacéutica mexicana, fueron quienes fabricaron la vacuna CanSino aquí, laboratorios Carnot, que es una empresa mexicana que está haciendo una inversión muy, muy grande en Hidalgo, Hidalgo está creciendo al 8% anual, tiene esta zona muy cercana al aeropuerto internacional Felipe Ángeles, donde además va a llegar el tren de pasajeros que estamos construyendo, y es parte de lo que está ocurriendo en el país, hay confianza en México para la inversión, eso en primer lugar, y en segundo, la inversión pública, siempre hemos sabido que si hay inversión pública, potencia la inversión privada, desde el segundo trimestre del dos mil veintiséis, y vamos a cerrar bien, pues ha habido un incremento en la producción, lo importante también, como lo hemos dicho, es que no sólo es el indicador de crecimiento económico, es la distribución de la riqueza</t>
  </si>
  <si>
    <t>Comento conductor que la Presidente de México en este momento está en Pachuca encabezando un acto muy importante que tiene que ver con las afectaciones que hubo por la vaguada monzónica</t>
  </si>
  <si>
    <t>Vamos con la información porque la presidenta Claudia Sheinbaum y el gobernador Julio Menchaca inauguraron el Parque Industrial Plata, el primer centro de distribución robótica de mercado libre y la primera etapa de laboratorios Carnot. Como parte de la 17ª visita de la mandataria federal a Hidalgo. Durante el evento, Sheinbaum destacó que el aumento al salario mínimo y la preparación de trabajadores especializados han fortalecido la economía y la atracción de inversiones.</t>
  </si>
  <si>
    <t>Comento conductor Eulalio Larrieta, que el dia de hoy la presidenta Claudia Sheinbaum se trasladará hasta Zumpango, en el estado de Estado de México, para celebrar el aniversario del Plan DN-III-E, más tarde estara en Pachuca en el Mega Domo de las Estrellas a las 15:30 horas realizará la entrega de apoyos económicos a 2 mil familias damnificadas por la vaguada monzónica y visitará las instalaciones de la Refinería Miguel Hidalgo de Tula</t>
  </si>
  <si>
    <t>Reconoce la presidenta Claudia Sheinbaum el crecimiento industrial de Hidalgo y su capacidad de atracción de inversiones. ¡Qué importante! Dice: Desde el Parque Industrial Platah, la presidenta de México,</t>
  </si>
  <si>
    <t>Radioescucha 5215: ¿Desde dónde va a iniciar el desfile el día de hoy?». ¡Ah! Desde el Centro Cultural del Ferrocarril, aquí en la calle de Mejía. Y esto será a las 5:00 de la tarde. Los contingentes se estarán formando desde... ¿qué creen?, ¿desde qué... qué hora?, desde las 3:00 de la tarde, así que pues hay que estar prevenidos para ello</t>
  </si>
  <si>
    <t>Este viernes 30 de octubre, a partir de las 17:00 horas, iniciarán los cierres viales con motivo del desfile Fiesta de las Almas, cuyo recorrido partirá del Centro Cultural</t>
  </si>
  <si>
    <t>Comento conductor , que en el evento de la Presidente de México en este momento está en Pachuca hay una manifestación en la parte de afuera por parte de integrantes del movimiento social por la tierra y de vecinos de comunidades de la presa ribereña, de la presa Endho, vecinos de comunidades ribereñas de la presa Endho, se están manifestando en este momento en Pachuca</t>
  </si>
  <si>
    <t>Vía telefónica, Guillermo Huerta Meneses, subsecretario de Ingresos de la Secretaría de Hacienda de Hidalgo: Cierre de Refrendó Vehicular. informó que la recaudación por refrendo vehicular superó en más de 20 millones de pesos lo obtenido el año anterior, logrando regularizar cerca del 60% del padrón vehicular.</t>
  </si>
  <si>
    <t>Hacienda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</si>
</sst>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sz val="8"/>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14" fontId="0" fillId="0" borderId="0" xfId="0" applyNumberFormat="1"/>
    <xf numFmtId="164" fontId="0" fillId="0" borderId="0" xfId="0" applyNumberFormat="1"/>
  </cellXfs>
  <cellStyles count="1">
    <cellStyle name="Normal" xfId="0" builtinId="0"/>
  </cellStyles>
  <dxfs count="11">
    <dxf>
      <numFmt numFmtId="19" formatCode="dd/mm/yyyy"/>
    </dxf>
    <dxf>
      <numFmt numFmtId="164" formatCode="d/m/yy;@"/>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connections" Target="connections.xml"/></Relationships>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1" connectionId="1" xr16:uid="{9EC5DF1A-B186-4054-9982-86BB894F851C}" autoFormatId="16" applyNumberFormats="0" applyBorderFormats="0" applyFontFormats="0" applyPatternFormats="0" applyAlignmentFormats="0" applyWidthHeightFormats="0">
  <queryTableRefresh nextId="21">
    <queryTableFields count="13">
      <queryTableField id="1" name="Fecha" tableColumnId="1"/>
      <queryTableField id="11" dataBound="0" tableColumnId="11"/>
      <queryTableField id="12" name="Radiodifusora" tableColumnId="12"/>
      <queryTableField id="13" name="Programa" tableColumnId="13"/>
      <queryTableField id="3" name="Titular" tableColumnId="3"/>
      <queryTableField id="6" name="Dependencia" tableColumnId="6"/>
      <queryTableField id="9" name="Tema" tableColumnId="9"/>
      <queryTableField id="8" name="Canal" tableColumnId="8"/>
      <queryTableField id="10" name="Estatus" tableColumnId="10"/>
      <queryTableField id="14" name="Clasificación" tableColumnId="14"/>
      <queryTableField id="15" name="Autor" tableColumnId="15"/>
      <queryTableField id="16" name="Género" tableColumnId="16"/>
      <queryTableField id="20" name="Recuento" tableColumnId="17"/>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17AF3FA-E95C-4D17-A1C9-B8D7CBE34EF0}" name="Información1" displayName="Información1" ref="A1:M62" tableType="queryTable" totalsRowShown="0">
  <autoFilter ref="A1:M62" xr:uid="{717AF3FA-E95C-4D17-A1C9-B8D7CBE34EF0}"/>
  <tableColumns count="13">
    <tableColumn id="1" xr3:uid="{EB19E952-2F9B-4E64-9A19-C7B52F571890}" uniqueName="1" name="Fecha" queryTableFieldId="1" dataDxfId="1"/>
    <tableColumn id="11" xr3:uid="{A48192A8-75D4-491A-AE26-6A961BCFF6FF}" uniqueName="11" name="Día" queryTableFieldId="11" dataDxfId="0">
      <calculatedColumnFormula>IF(Información1[[#This Row],[Fecha]]='Ajuste de fechas'!$A$2,"Día actual","Día anterior")</calculatedColumnFormula>
    </tableColumn>
    <tableColumn id="12" xr3:uid="{4F30991B-1882-48AE-BBBC-64FCA8279BA1}" uniqueName="12" name="Radiodifusora" queryTableFieldId="12" dataDxfId="10"/>
    <tableColumn id="13" xr3:uid="{517B0A2C-DF6B-4794-9C97-29B5F886839A}" uniqueName="13" name="Programa" queryTableFieldId="13"/>
    <tableColumn id="3" xr3:uid="{3DD51BE0-FD5E-43FC-B095-76D2D204B603}" uniqueName="3" name="Titular" queryTableFieldId="3" dataDxfId="9"/>
    <tableColumn id="6" xr3:uid="{26FEF469-35CF-4C60-A1AE-6CF1039F413A}" uniqueName="6" name="Dependencia" queryTableFieldId="6" dataDxfId="8"/>
    <tableColumn id="9" xr3:uid="{A1DC7DCD-8016-4C54-B5CE-B9D28C1CC171}" uniqueName="9" name="Tema" queryTableFieldId="9" dataDxfId="7"/>
    <tableColumn id="8" xr3:uid="{B82BEC87-3598-42A1-B8B9-34F0762C5BB2}" uniqueName="8" name="Canal" queryTableFieldId="8" dataDxfId="6"/>
    <tableColumn id="10" xr3:uid="{692FF757-1020-40D1-A4F6-D548E7C4E980}" uniqueName="10" name="Estatus" queryTableFieldId="10" dataDxfId="5"/>
    <tableColumn id="14" xr3:uid="{C39741D3-700F-486E-B020-D2528DDA6016}" uniqueName="14" name="Clasificación" queryTableFieldId="14" dataDxfId="4"/>
    <tableColumn id="15" xr3:uid="{33A7D71D-EB15-4FD0-8031-4FF610A857BA}" uniqueName="15" name="Autor" queryTableFieldId="15" dataDxfId="3"/>
    <tableColumn id="16" xr3:uid="{B0698B4E-43A3-42F4-8099-288A9107B833}" uniqueName="16" name="Género" queryTableFieldId="16" dataDxfId="2"/>
    <tableColumn id="17" xr3:uid="{0B5B25B3-3146-48A6-884B-EBAF2D195A97}" uniqueName="17" name="Recuento" queryTableFieldId="2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50E258-ABE8-47CB-99E6-7B12678D449B}">
  <dimension ref="A1:M62"/>
  <sheetViews>
    <sheetView tabSelected="1" topLeftCell="A27" workbookViewId="0">
      <selection activeCell="A62" sqref="A62"/>
    </sheetView>
  </sheetViews>
  <sheetFormatPr baseColWidth="10" defaultRowHeight="15" x14ac:dyDescent="0.25"/>
  <cols>
    <col min="1" max="1" width="8.5703125" bestFit="1" customWidth="1"/>
    <col min="2" max="2" width="11.42578125" bestFit="1" customWidth="1"/>
    <col min="3" max="3" width="20" bestFit="1" customWidth="1"/>
    <col min="4" max="4" width="29.42578125" bestFit="1" customWidth="1"/>
    <col min="5" max="5" width="81.140625" bestFit="1" customWidth="1"/>
    <col min="6" max="6" width="15.28515625" bestFit="1" customWidth="1"/>
    <col min="7" max="7" width="33.5703125" bestFit="1" customWidth="1"/>
    <col min="8" max="8" width="12.42578125" bestFit="1" customWidth="1"/>
    <col min="9" max="9" width="11.140625" bestFit="1" customWidth="1"/>
    <col min="10" max="10" width="25.7109375" bestFit="1" customWidth="1"/>
    <col min="11" max="11" width="22.28515625" bestFit="1" customWidth="1"/>
    <col min="12" max="12" width="17.5703125" bestFit="1" customWidth="1"/>
    <col min="13" max="13" width="12" bestFit="1" customWidth="1"/>
    <col min="14" max="14" width="19.42578125" bestFit="1" customWidth="1"/>
    <col min="15" max="15" width="20.5703125" bestFit="1" customWidth="1"/>
    <col min="16" max="16" width="80.7109375" bestFit="1" customWidth="1"/>
    <col min="17" max="17" width="9.85546875" bestFit="1" customWidth="1"/>
  </cols>
  <sheetData>
    <row r="1" spans="1:13" x14ac:dyDescent="0.25">
      <c r="A1" t="s">
        <v>0</v>
      </c>
      <c r="B1" t="s">
        <v>11</v>
      </c>
      <c r="C1" t="s">
        <v>12</v>
      </c>
      <c r="D1" t="s">
        <v>13</v>
      </c>
      <c r="E1" t="s">
        <v>1</v>
      </c>
      <c r="F1" t="s">
        <v>2</v>
      </c>
      <c r="G1" t="s">
        <v>4</v>
      </c>
      <c r="H1" t="s">
        <v>3</v>
      </c>
      <c r="I1" t="s">
        <v>5</v>
      </c>
      <c r="J1" t="s">
        <v>14</v>
      </c>
      <c r="K1" t="s">
        <v>15</v>
      </c>
      <c r="L1" t="s">
        <v>16</v>
      </c>
      <c r="M1" t="s">
        <v>21</v>
      </c>
    </row>
    <row r="2" spans="1:13" x14ac:dyDescent="0.25">
      <c r="A2" s="2">
        <v>46324</v>
      </c>
      <c r="B2" s="1" t="str">
        <f ca="1">IF(Información1[[#This Row],[Fecha]]='Ajuste de fechas'!$A$2,"Día actual","Día anterior")</f>
        <v>Día anterior</v>
      </c>
      <c r="C2" t="s">
        <v>47</v>
      </c>
      <c r="D2" t="s">
        <v>48</v>
      </c>
      <c r="E2" t="s">
        <v>68</v>
      </c>
      <c r="F2" t="s">
        <v>56</v>
      </c>
      <c r="G2" t="s">
        <v>44</v>
      </c>
      <c r="H2" t="s">
        <v>26</v>
      </c>
      <c r="I2" t="s">
        <v>6</v>
      </c>
      <c r="J2" t="s">
        <v>37</v>
      </c>
      <c r="K2" t="s">
        <v>49</v>
      </c>
      <c r="L2" t="s">
        <v>18</v>
      </c>
      <c r="M2">
        <v>1</v>
      </c>
    </row>
    <row r="3" spans="1:13" x14ac:dyDescent="0.25">
      <c r="A3" s="2">
        <v>46324</v>
      </c>
      <c r="B3" s="1" t="str">
        <f ca="1">IF(Información1[[#This Row],[Fecha]]='Ajuste de fechas'!$A$2,"Día actual","Día anterior")</f>
        <v>Día anterior</v>
      </c>
      <c r="C3" t="s">
        <v>50</v>
      </c>
      <c r="D3" t="s">
        <v>69</v>
      </c>
      <c r="E3" t="s">
        <v>59</v>
      </c>
      <c r="F3" t="s">
        <v>45</v>
      </c>
      <c r="G3" t="s">
        <v>53</v>
      </c>
      <c r="H3" t="s">
        <v>26</v>
      </c>
      <c r="I3" t="s">
        <v>7</v>
      </c>
      <c r="J3" t="s">
        <v>17</v>
      </c>
      <c r="K3" t="s">
        <v>51</v>
      </c>
      <c r="L3" t="s">
        <v>19</v>
      </c>
      <c r="M3">
        <v>1</v>
      </c>
    </row>
    <row r="4" spans="1:13" x14ac:dyDescent="0.25">
      <c r="A4" s="2">
        <v>46324</v>
      </c>
      <c r="B4" s="1" t="str">
        <f ca="1">IF(Información1[[#This Row],[Fecha]]='Ajuste de fechas'!$A$2,"Día actual","Día anterior")</f>
        <v>Día anterior</v>
      </c>
      <c r="C4" t="s">
        <v>50</v>
      </c>
      <c r="D4" t="s">
        <v>69</v>
      </c>
      <c r="E4" t="s">
        <v>58</v>
      </c>
      <c r="F4" t="s">
        <v>8</v>
      </c>
      <c r="G4" t="s">
        <v>53</v>
      </c>
      <c r="H4" t="s">
        <v>26</v>
      </c>
      <c r="I4" t="s">
        <v>7</v>
      </c>
      <c r="J4" t="s">
        <v>17</v>
      </c>
      <c r="K4" t="s">
        <v>51</v>
      </c>
      <c r="L4" t="s">
        <v>19</v>
      </c>
      <c r="M4">
        <v>1</v>
      </c>
    </row>
    <row r="5" spans="1:13" x14ac:dyDescent="0.25">
      <c r="A5" s="2">
        <v>46324</v>
      </c>
      <c r="B5" s="1" t="str">
        <f ca="1">IF(Información1[[#This Row],[Fecha]]='Ajuste de fechas'!$A$2,"Día actual","Día anterior")</f>
        <v>Día anterior</v>
      </c>
      <c r="C5" t="s">
        <v>50</v>
      </c>
      <c r="D5" t="s">
        <v>69</v>
      </c>
      <c r="E5" t="s">
        <v>70</v>
      </c>
      <c r="F5" t="s">
        <v>25</v>
      </c>
      <c r="G5" t="s">
        <v>53</v>
      </c>
      <c r="H5" t="s">
        <v>26</v>
      </c>
      <c r="I5" t="s">
        <v>7</v>
      </c>
      <c r="J5" t="s">
        <v>17</v>
      </c>
      <c r="K5" t="s">
        <v>51</v>
      </c>
      <c r="L5" t="s">
        <v>19</v>
      </c>
      <c r="M5">
        <v>1</v>
      </c>
    </row>
    <row r="6" spans="1:13" x14ac:dyDescent="0.25">
      <c r="A6" s="2">
        <v>46324</v>
      </c>
      <c r="B6" s="1" t="str">
        <f ca="1">IF(Información1[[#This Row],[Fecha]]='Ajuste de fechas'!$A$2,"Día actual","Día anterior")</f>
        <v>Día anterior</v>
      </c>
      <c r="C6" t="s">
        <v>50</v>
      </c>
      <c r="D6" t="s">
        <v>69</v>
      </c>
      <c r="E6" t="s">
        <v>57</v>
      </c>
      <c r="F6" t="s">
        <v>9</v>
      </c>
      <c r="G6" t="s">
        <v>53</v>
      </c>
      <c r="H6" t="s">
        <v>26</v>
      </c>
      <c r="I6" t="s">
        <v>7</v>
      </c>
      <c r="J6" t="s">
        <v>17</v>
      </c>
      <c r="K6" t="s">
        <v>51</v>
      </c>
      <c r="L6" t="s">
        <v>19</v>
      </c>
      <c r="M6">
        <v>1</v>
      </c>
    </row>
    <row r="7" spans="1:13" x14ac:dyDescent="0.25">
      <c r="A7" s="2">
        <v>46324</v>
      </c>
      <c r="B7" s="1" t="str">
        <f ca="1">IF(Información1[[#This Row],[Fecha]]='Ajuste de fechas'!$A$2,"Día actual","Día anterior")</f>
        <v>Día anterior</v>
      </c>
      <c r="C7" t="s">
        <v>50</v>
      </c>
      <c r="D7" t="s">
        <v>69</v>
      </c>
      <c r="E7" t="s">
        <v>55</v>
      </c>
      <c r="F7" t="s">
        <v>56</v>
      </c>
      <c r="G7" t="s">
        <v>53</v>
      </c>
      <c r="H7" t="s">
        <v>26</v>
      </c>
      <c r="I7" t="s">
        <v>7</v>
      </c>
      <c r="J7" t="s">
        <v>37</v>
      </c>
      <c r="K7" t="s">
        <v>51</v>
      </c>
      <c r="L7" t="s">
        <v>19</v>
      </c>
      <c r="M7">
        <v>1</v>
      </c>
    </row>
    <row r="8" spans="1:13" x14ac:dyDescent="0.25">
      <c r="A8" s="2">
        <v>46324</v>
      </c>
      <c r="B8" s="1" t="str">
        <f ca="1">IF(Información1[[#This Row],[Fecha]]='Ajuste de fechas'!$A$2,"Día actual","Día anterior")</f>
        <v>Día anterior</v>
      </c>
      <c r="C8" t="s">
        <v>50</v>
      </c>
      <c r="D8" t="s">
        <v>69</v>
      </c>
      <c r="E8" t="s">
        <v>54</v>
      </c>
      <c r="F8" t="s">
        <v>35</v>
      </c>
      <c r="G8" t="s">
        <v>53</v>
      </c>
      <c r="H8" t="s">
        <v>26</v>
      </c>
      <c r="I8" t="s">
        <v>7</v>
      </c>
      <c r="J8" t="s">
        <v>36</v>
      </c>
      <c r="K8" t="s">
        <v>51</v>
      </c>
      <c r="L8" t="s">
        <v>19</v>
      </c>
      <c r="M8">
        <v>1</v>
      </c>
    </row>
    <row r="9" spans="1:13" x14ac:dyDescent="0.25">
      <c r="A9" s="2">
        <v>46324</v>
      </c>
      <c r="B9" s="1" t="str">
        <f ca="1">IF(Información1[[#This Row],[Fecha]]='Ajuste de fechas'!$A$2,"Día actual","Día anterior")</f>
        <v>Día anterior</v>
      </c>
      <c r="C9" t="s">
        <v>50</v>
      </c>
      <c r="D9" t="s">
        <v>69</v>
      </c>
      <c r="E9" t="s">
        <v>71</v>
      </c>
      <c r="F9" t="s">
        <v>35</v>
      </c>
      <c r="G9" t="s">
        <v>53</v>
      </c>
      <c r="H9" t="s">
        <v>26</v>
      </c>
      <c r="I9" t="s">
        <v>7</v>
      </c>
      <c r="J9" t="s">
        <v>36</v>
      </c>
      <c r="K9" t="s">
        <v>51</v>
      </c>
      <c r="L9" t="s">
        <v>19</v>
      </c>
      <c r="M9">
        <v>1</v>
      </c>
    </row>
    <row r="10" spans="1:13" x14ac:dyDescent="0.25">
      <c r="A10" s="2">
        <v>46324</v>
      </c>
      <c r="B10" s="1" t="str">
        <f ca="1">IF(Información1[[#This Row],[Fecha]]='Ajuste de fechas'!$A$2,"Día actual","Día anterior")</f>
        <v>Día anterior</v>
      </c>
      <c r="C10" t="s">
        <v>50</v>
      </c>
      <c r="D10" t="s">
        <v>69</v>
      </c>
      <c r="E10" t="s">
        <v>72</v>
      </c>
      <c r="F10" t="s">
        <v>35</v>
      </c>
      <c r="G10" t="s">
        <v>73</v>
      </c>
      <c r="H10" t="s">
        <v>26</v>
      </c>
      <c r="I10" t="s">
        <v>6</v>
      </c>
      <c r="J10" t="s">
        <v>36</v>
      </c>
      <c r="K10" t="s">
        <v>51</v>
      </c>
      <c r="L10" t="s">
        <v>18</v>
      </c>
      <c r="M10">
        <v>1</v>
      </c>
    </row>
    <row r="11" spans="1:13" x14ac:dyDescent="0.25">
      <c r="A11" s="2">
        <v>46324</v>
      </c>
      <c r="B11" s="1" t="str">
        <f ca="1">IF(Información1[[#This Row],[Fecha]]='Ajuste de fechas'!$A$2,"Día actual","Día anterior")</f>
        <v>Día anterior</v>
      </c>
      <c r="C11" t="s">
        <v>47</v>
      </c>
      <c r="D11" t="s">
        <v>48</v>
      </c>
      <c r="E11" t="s">
        <v>74</v>
      </c>
      <c r="F11" t="s">
        <v>38</v>
      </c>
      <c r="G11" t="s">
        <v>75</v>
      </c>
      <c r="H11" t="s">
        <v>26</v>
      </c>
      <c r="I11" t="s">
        <v>6</v>
      </c>
      <c r="J11" t="s">
        <v>39</v>
      </c>
      <c r="K11" t="s">
        <v>49</v>
      </c>
      <c r="L11" t="s">
        <v>18</v>
      </c>
      <c r="M11">
        <v>1</v>
      </c>
    </row>
    <row r="12" spans="1:13" x14ac:dyDescent="0.25">
      <c r="A12" s="2">
        <v>46324</v>
      </c>
      <c r="B12" s="1" t="str">
        <f ca="1">IF(Información1[[#This Row],[Fecha]]='Ajuste de fechas'!$A$2,"Día actual","Día anterior")</f>
        <v>Día anterior</v>
      </c>
      <c r="C12" t="s">
        <v>50</v>
      </c>
      <c r="D12" t="s">
        <v>69</v>
      </c>
      <c r="E12" t="s">
        <v>76</v>
      </c>
      <c r="F12" t="s">
        <v>38</v>
      </c>
      <c r="G12" t="s">
        <v>77</v>
      </c>
      <c r="H12" t="s">
        <v>26</v>
      </c>
      <c r="I12" t="s">
        <v>6</v>
      </c>
      <c r="J12" t="s">
        <v>39</v>
      </c>
      <c r="K12" t="s">
        <v>51</v>
      </c>
      <c r="L12" t="s">
        <v>18</v>
      </c>
      <c r="M12">
        <v>1</v>
      </c>
    </row>
    <row r="13" spans="1:13" x14ac:dyDescent="0.25">
      <c r="A13" s="2">
        <v>46324</v>
      </c>
      <c r="B13" s="1" t="str">
        <f ca="1">IF(Información1[[#This Row],[Fecha]]='Ajuste de fechas'!$A$2,"Día actual","Día anterior")</f>
        <v>Día anterior</v>
      </c>
      <c r="C13" t="s">
        <v>27</v>
      </c>
      <c r="D13" t="s">
        <v>28</v>
      </c>
      <c r="E13" t="s">
        <v>78</v>
      </c>
      <c r="F13" t="s">
        <v>65</v>
      </c>
      <c r="G13" t="s">
        <v>46</v>
      </c>
      <c r="H13" t="s">
        <v>26</v>
      </c>
      <c r="I13" t="s">
        <v>7</v>
      </c>
      <c r="J13" t="s">
        <v>17</v>
      </c>
      <c r="K13" t="s">
        <v>29</v>
      </c>
      <c r="L13" t="s">
        <v>66</v>
      </c>
      <c r="M13">
        <v>1</v>
      </c>
    </row>
    <row r="14" spans="1:13" x14ac:dyDescent="0.25">
      <c r="A14" s="2">
        <v>46324</v>
      </c>
      <c r="B14" s="1" t="str">
        <f ca="1">IF(Información1[[#This Row],[Fecha]]='Ajuste de fechas'!$A$2,"Día actual","Día anterior")</f>
        <v>Día anterior</v>
      </c>
      <c r="C14" t="s">
        <v>79</v>
      </c>
      <c r="D14" t="s">
        <v>80</v>
      </c>
      <c r="E14" t="s">
        <v>78</v>
      </c>
      <c r="F14" t="s">
        <v>65</v>
      </c>
      <c r="G14" t="s">
        <v>46</v>
      </c>
      <c r="H14" t="s">
        <v>26</v>
      </c>
      <c r="I14" t="s">
        <v>7</v>
      </c>
      <c r="J14" t="s">
        <v>17</v>
      </c>
      <c r="K14" t="s">
        <v>81</v>
      </c>
      <c r="L14" t="s">
        <v>66</v>
      </c>
      <c r="M14">
        <v>1</v>
      </c>
    </row>
    <row r="15" spans="1:13" x14ac:dyDescent="0.25">
      <c r="A15" s="2">
        <v>46324</v>
      </c>
      <c r="B15" s="1" t="str">
        <f ca="1">IF(Información1[[#This Row],[Fecha]]='Ajuste de fechas'!$A$2,"Día actual","Día anterior")</f>
        <v>Día anterior</v>
      </c>
      <c r="C15" t="s">
        <v>50</v>
      </c>
      <c r="D15" t="s">
        <v>69</v>
      </c>
      <c r="E15" t="s">
        <v>82</v>
      </c>
      <c r="F15" t="s">
        <v>35</v>
      </c>
      <c r="G15" t="s">
        <v>46</v>
      </c>
      <c r="H15" t="s">
        <v>26</v>
      </c>
      <c r="I15" t="s">
        <v>6</v>
      </c>
      <c r="J15" t="s">
        <v>36</v>
      </c>
      <c r="K15" t="s">
        <v>51</v>
      </c>
      <c r="L15" t="s">
        <v>18</v>
      </c>
      <c r="M15">
        <v>1</v>
      </c>
    </row>
    <row r="16" spans="1:13" x14ac:dyDescent="0.25">
      <c r="A16" s="2">
        <v>46324</v>
      </c>
      <c r="B16" s="1" t="str">
        <f ca="1">IF(Información1[[#This Row],[Fecha]]='Ajuste de fechas'!$A$2,"Día actual","Día anterior")</f>
        <v>Día anterior</v>
      </c>
      <c r="C16" t="s">
        <v>50</v>
      </c>
      <c r="D16" t="s">
        <v>69</v>
      </c>
      <c r="E16" t="s">
        <v>83</v>
      </c>
      <c r="F16" t="s">
        <v>35</v>
      </c>
      <c r="G16" t="s">
        <v>46</v>
      </c>
      <c r="H16" t="s">
        <v>26</v>
      </c>
      <c r="I16" t="s">
        <v>6</v>
      </c>
      <c r="J16" t="s">
        <v>36</v>
      </c>
      <c r="K16" t="s">
        <v>51</v>
      </c>
      <c r="L16" t="s">
        <v>84</v>
      </c>
      <c r="M16">
        <v>1</v>
      </c>
    </row>
    <row r="17" spans="1:13" x14ac:dyDescent="0.25">
      <c r="A17" s="2">
        <v>46324</v>
      </c>
      <c r="B17" s="1" t="str">
        <f ca="1">IF(Información1[[#This Row],[Fecha]]='Ajuste de fechas'!$A$2,"Día actual","Día anterior")</f>
        <v>Día anterior</v>
      </c>
      <c r="C17" t="s">
        <v>50</v>
      </c>
      <c r="D17" t="s">
        <v>69</v>
      </c>
      <c r="E17" t="s">
        <v>85</v>
      </c>
      <c r="F17" t="s">
        <v>65</v>
      </c>
      <c r="G17" t="s">
        <v>46</v>
      </c>
      <c r="H17" t="s">
        <v>26</v>
      </c>
      <c r="I17" t="s">
        <v>6</v>
      </c>
      <c r="J17" t="s">
        <v>17</v>
      </c>
      <c r="K17" t="s">
        <v>51</v>
      </c>
      <c r="L17" t="s">
        <v>66</v>
      </c>
      <c r="M17">
        <v>1</v>
      </c>
    </row>
    <row r="18" spans="1:13" x14ac:dyDescent="0.25">
      <c r="A18" s="2">
        <v>46324</v>
      </c>
      <c r="B18" s="1" t="str">
        <f ca="1">IF(Información1[[#This Row],[Fecha]]='Ajuste de fechas'!$A$2,"Día actual","Día anterior")</f>
        <v>Día anterior</v>
      </c>
      <c r="C18" t="s">
        <v>47</v>
      </c>
      <c r="D18" t="s">
        <v>48</v>
      </c>
      <c r="E18" t="s">
        <v>86</v>
      </c>
      <c r="F18" t="s">
        <v>37</v>
      </c>
      <c r="G18" t="s">
        <v>46</v>
      </c>
      <c r="H18" t="s">
        <v>26</v>
      </c>
      <c r="I18" t="s">
        <v>6</v>
      </c>
      <c r="J18" t="s">
        <v>37</v>
      </c>
      <c r="K18" t="s">
        <v>49</v>
      </c>
      <c r="L18" t="s">
        <v>62</v>
      </c>
      <c r="M18">
        <v>1</v>
      </c>
    </row>
    <row r="19" spans="1:13" x14ac:dyDescent="0.25">
      <c r="A19" s="2">
        <v>46324</v>
      </c>
      <c r="B19" s="1" t="str">
        <f ca="1">IF(Información1[[#This Row],[Fecha]]='Ajuste de fechas'!$A$2,"Día actual","Día anterior")</f>
        <v>Día anterior</v>
      </c>
      <c r="C19" t="s">
        <v>50</v>
      </c>
      <c r="D19" t="s">
        <v>69</v>
      </c>
      <c r="E19" t="s">
        <v>87</v>
      </c>
      <c r="F19" t="s">
        <v>40</v>
      </c>
      <c r="G19" t="s">
        <v>88</v>
      </c>
      <c r="H19" t="s">
        <v>26</v>
      </c>
      <c r="I19" t="s">
        <v>6</v>
      </c>
      <c r="J19" t="s">
        <v>17</v>
      </c>
      <c r="K19" t="s">
        <v>51</v>
      </c>
      <c r="L19" t="s">
        <v>18</v>
      </c>
      <c r="M19">
        <v>1</v>
      </c>
    </row>
    <row r="20" spans="1:13" x14ac:dyDescent="0.25">
      <c r="A20" s="2">
        <v>46324</v>
      </c>
      <c r="B20" s="1" t="str">
        <f ca="1">IF(Información1[[#This Row],[Fecha]]='Ajuste de fechas'!$A$2,"Día actual","Día anterior")</f>
        <v>Día anterior</v>
      </c>
      <c r="C20" t="s">
        <v>47</v>
      </c>
      <c r="D20" t="s">
        <v>48</v>
      </c>
      <c r="E20" t="s">
        <v>89</v>
      </c>
      <c r="F20" t="s">
        <v>40</v>
      </c>
      <c r="G20" t="s">
        <v>88</v>
      </c>
      <c r="H20" t="s">
        <v>26</v>
      </c>
      <c r="I20" t="s">
        <v>6</v>
      </c>
      <c r="J20" t="s">
        <v>17</v>
      </c>
      <c r="K20" t="s">
        <v>49</v>
      </c>
      <c r="L20" t="s">
        <v>18</v>
      </c>
      <c r="M20">
        <v>1</v>
      </c>
    </row>
    <row r="21" spans="1:13" x14ac:dyDescent="0.25">
      <c r="A21" s="2">
        <v>46324</v>
      </c>
      <c r="B21" s="1" t="str">
        <f ca="1">IF(Información1[[#This Row],[Fecha]]='Ajuste de fechas'!$A$2,"Día actual","Día anterior")</f>
        <v>Día anterior</v>
      </c>
      <c r="C21" t="s">
        <v>50</v>
      </c>
      <c r="D21" t="s">
        <v>69</v>
      </c>
      <c r="E21" t="s">
        <v>90</v>
      </c>
      <c r="F21" t="s">
        <v>56</v>
      </c>
      <c r="G21" t="s">
        <v>91</v>
      </c>
      <c r="H21" t="s">
        <v>26</v>
      </c>
      <c r="I21" t="s">
        <v>6</v>
      </c>
      <c r="J21" t="s">
        <v>37</v>
      </c>
      <c r="K21" t="s">
        <v>51</v>
      </c>
      <c r="L21" t="s">
        <v>24</v>
      </c>
      <c r="M21">
        <v>1</v>
      </c>
    </row>
    <row r="22" spans="1:13" x14ac:dyDescent="0.25">
      <c r="A22" s="2">
        <v>46324</v>
      </c>
      <c r="B22" s="1" t="str">
        <f ca="1">IF(Información1[[#This Row],[Fecha]]='Ajuste de fechas'!$A$2,"Día actual","Día anterior")</f>
        <v>Día anterior</v>
      </c>
      <c r="C22" t="s">
        <v>47</v>
      </c>
      <c r="D22" t="s">
        <v>48</v>
      </c>
      <c r="E22" t="s">
        <v>92</v>
      </c>
      <c r="F22" t="s">
        <v>40</v>
      </c>
      <c r="G22" t="s">
        <v>93</v>
      </c>
      <c r="H22" t="s">
        <v>26</v>
      </c>
      <c r="I22" t="s">
        <v>6</v>
      </c>
      <c r="J22" t="s">
        <v>17</v>
      </c>
      <c r="K22" t="s">
        <v>49</v>
      </c>
      <c r="L22" t="s">
        <v>18</v>
      </c>
      <c r="M22">
        <v>1</v>
      </c>
    </row>
    <row r="23" spans="1:13" x14ac:dyDescent="0.25">
      <c r="A23" s="2">
        <v>46324</v>
      </c>
      <c r="B23" s="1" t="str">
        <f ca="1">IF(Información1[[#This Row],[Fecha]]='Ajuste de fechas'!$A$2,"Día actual","Día anterior")</f>
        <v>Día anterior</v>
      </c>
      <c r="C23" t="s">
        <v>41</v>
      </c>
      <c r="D23" t="s">
        <v>42</v>
      </c>
      <c r="E23" t="s">
        <v>94</v>
      </c>
      <c r="F23" t="s">
        <v>95</v>
      </c>
      <c r="G23" t="s">
        <v>93</v>
      </c>
      <c r="H23" t="s">
        <v>26</v>
      </c>
      <c r="I23" t="s">
        <v>6</v>
      </c>
      <c r="J23" t="s">
        <v>17</v>
      </c>
      <c r="K23" t="s">
        <v>43</v>
      </c>
      <c r="L23" t="s">
        <v>18</v>
      </c>
      <c r="M23">
        <v>1</v>
      </c>
    </row>
    <row r="24" spans="1:13" x14ac:dyDescent="0.25">
      <c r="A24" s="2">
        <v>46324</v>
      </c>
      <c r="B24" s="1" t="str">
        <f ca="1">IF(Información1[[#This Row],[Fecha]]='Ajuste de fechas'!$A$2,"Día actual","Día anterior")</f>
        <v>Día anterior</v>
      </c>
      <c r="C24" t="s">
        <v>47</v>
      </c>
      <c r="D24" t="s">
        <v>48</v>
      </c>
      <c r="E24" t="s">
        <v>96</v>
      </c>
      <c r="F24" t="s">
        <v>9</v>
      </c>
      <c r="G24" t="s">
        <v>97</v>
      </c>
      <c r="H24" t="s">
        <v>26</v>
      </c>
      <c r="I24" t="s">
        <v>6</v>
      </c>
      <c r="J24" t="s">
        <v>17</v>
      </c>
      <c r="K24" t="s">
        <v>49</v>
      </c>
      <c r="L24" t="s">
        <v>18</v>
      </c>
      <c r="M24">
        <v>1</v>
      </c>
    </row>
    <row r="25" spans="1:13" x14ac:dyDescent="0.25">
      <c r="A25" s="2">
        <v>46324</v>
      </c>
      <c r="B25" s="1" t="str">
        <f ca="1">IF(Información1[[#This Row],[Fecha]]='Ajuste de fechas'!$A$2,"Día actual","Día anterior")</f>
        <v>Día anterior</v>
      </c>
      <c r="C25" t="s">
        <v>47</v>
      </c>
      <c r="D25" t="s">
        <v>48</v>
      </c>
      <c r="E25" t="s">
        <v>98</v>
      </c>
      <c r="F25" t="s">
        <v>37</v>
      </c>
      <c r="G25" t="s">
        <v>97</v>
      </c>
      <c r="H25" t="s">
        <v>26</v>
      </c>
      <c r="I25" t="s">
        <v>6</v>
      </c>
      <c r="J25" t="s">
        <v>37</v>
      </c>
      <c r="K25" t="s">
        <v>49</v>
      </c>
      <c r="L25" t="s">
        <v>62</v>
      </c>
      <c r="M25">
        <v>1</v>
      </c>
    </row>
    <row r="26" spans="1:13" x14ac:dyDescent="0.25">
      <c r="A26" s="2">
        <v>46324</v>
      </c>
      <c r="B26" s="1" t="str">
        <f ca="1">IF(Información1[[#This Row],[Fecha]]='Ajuste de fechas'!$A$2,"Día actual","Día anterior")</f>
        <v>Día anterior</v>
      </c>
      <c r="C26" t="s">
        <v>47</v>
      </c>
      <c r="D26" t="s">
        <v>48</v>
      </c>
      <c r="E26" t="s">
        <v>99</v>
      </c>
      <c r="F26" t="s">
        <v>35</v>
      </c>
      <c r="G26" t="s">
        <v>100</v>
      </c>
      <c r="H26" t="s">
        <v>26</v>
      </c>
      <c r="I26" t="s">
        <v>6</v>
      </c>
      <c r="J26" t="s">
        <v>36</v>
      </c>
      <c r="K26" t="s">
        <v>49</v>
      </c>
      <c r="L26" t="s">
        <v>18</v>
      </c>
      <c r="M26">
        <v>1</v>
      </c>
    </row>
    <row r="27" spans="1:13" x14ac:dyDescent="0.25">
      <c r="A27" s="2">
        <v>46324</v>
      </c>
      <c r="B27" s="1" t="str">
        <f ca="1">IF(Información1[[#This Row],[Fecha]]='Ajuste de fechas'!$A$2,"Día actual","Día anterior")</f>
        <v>Día anterior</v>
      </c>
      <c r="C27" t="s">
        <v>47</v>
      </c>
      <c r="D27" t="s">
        <v>48</v>
      </c>
      <c r="E27" t="s">
        <v>101</v>
      </c>
      <c r="F27" t="s">
        <v>38</v>
      </c>
      <c r="G27" t="s">
        <v>67</v>
      </c>
      <c r="H27" t="s">
        <v>26</v>
      </c>
      <c r="I27" t="s">
        <v>6</v>
      </c>
      <c r="J27" t="s">
        <v>39</v>
      </c>
      <c r="K27" t="s">
        <v>49</v>
      </c>
      <c r="L27" t="s">
        <v>18</v>
      </c>
      <c r="M27">
        <v>1</v>
      </c>
    </row>
    <row r="28" spans="1:13" x14ac:dyDescent="0.25">
      <c r="A28" s="2">
        <v>46324</v>
      </c>
      <c r="B28" s="1" t="str">
        <f ca="1">IF(Información1[[#This Row],[Fecha]]='Ajuste de fechas'!$A$2,"Día actual","Día anterior")</f>
        <v>Día anterior</v>
      </c>
      <c r="C28" t="s">
        <v>47</v>
      </c>
      <c r="D28" t="s">
        <v>48</v>
      </c>
      <c r="E28" t="s">
        <v>102</v>
      </c>
      <c r="F28" t="s">
        <v>38</v>
      </c>
      <c r="G28" t="s">
        <v>67</v>
      </c>
      <c r="H28" t="s">
        <v>26</v>
      </c>
      <c r="I28" t="s">
        <v>6</v>
      </c>
      <c r="J28" t="s">
        <v>39</v>
      </c>
      <c r="K28" t="s">
        <v>49</v>
      </c>
      <c r="L28" t="s">
        <v>18</v>
      </c>
      <c r="M28">
        <v>1</v>
      </c>
    </row>
    <row r="29" spans="1:13" x14ac:dyDescent="0.25">
      <c r="A29" s="2">
        <v>46324</v>
      </c>
      <c r="B29" s="1" t="str">
        <f ca="1">IF(Información1[[#This Row],[Fecha]]='Ajuste de fechas'!$A$2,"Día actual","Día anterior")</f>
        <v>Día anterior</v>
      </c>
      <c r="C29" t="s">
        <v>50</v>
      </c>
      <c r="D29" t="s">
        <v>69</v>
      </c>
      <c r="E29" t="s">
        <v>103</v>
      </c>
      <c r="F29" t="s">
        <v>35</v>
      </c>
      <c r="G29" t="s">
        <v>104</v>
      </c>
      <c r="H29" t="s">
        <v>26</v>
      </c>
      <c r="I29" t="s">
        <v>6</v>
      </c>
      <c r="J29" t="s">
        <v>36</v>
      </c>
      <c r="K29" t="s">
        <v>51</v>
      </c>
      <c r="L29" t="s">
        <v>18</v>
      </c>
      <c r="M29">
        <v>1</v>
      </c>
    </row>
    <row r="30" spans="1:13" x14ac:dyDescent="0.25">
      <c r="A30" s="2">
        <v>46324</v>
      </c>
      <c r="B30" s="1" t="str">
        <f ca="1">IF(Información1[[#This Row],[Fecha]]='Ajuste de fechas'!$A$2,"Día actual","Día anterior")</f>
        <v>Día anterior</v>
      </c>
      <c r="C30" t="s">
        <v>50</v>
      </c>
      <c r="D30" t="s">
        <v>69</v>
      </c>
      <c r="E30" t="s">
        <v>105</v>
      </c>
      <c r="F30" t="s">
        <v>38</v>
      </c>
      <c r="G30" t="s">
        <v>63</v>
      </c>
      <c r="H30" t="s">
        <v>26</v>
      </c>
      <c r="I30" t="s">
        <v>6</v>
      </c>
      <c r="J30" t="s">
        <v>39</v>
      </c>
      <c r="K30" t="s">
        <v>51</v>
      </c>
      <c r="L30" t="s">
        <v>18</v>
      </c>
      <c r="M30">
        <v>1</v>
      </c>
    </row>
    <row r="31" spans="1:13" x14ac:dyDescent="0.25">
      <c r="A31" s="2">
        <v>46324</v>
      </c>
      <c r="B31" s="1" t="str">
        <f ca="1">IF(Información1[[#This Row],[Fecha]]='Ajuste de fechas'!$A$2,"Día actual","Día anterior")</f>
        <v>Día anterior</v>
      </c>
      <c r="C31" t="s">
        <v>47</v>
      </c>
      <c r="D31" t="s">
        <v>48</v>
      </c>
      <c r="E31" t="s">
        <v>106</v>
      </c>
      <c r="F31" t="s">
        <v>38</v>
      </c>
      <c r="G31" t="s">
        <v>63</v>
      </c>
      <c r="H31" t="s">
        <v>26</v>
      </c>
      <c r="I31" t="s">
        <v>6</v>
      </c>
      <c r="J31" t="s">
        <v>39</v>
      </c>
      <c r="K31" t="s">
        <v>49</v>
      </c>
      <c r="L31" t="s">
        <v>18</v>
      </c>
      <c r="M31">
        <v>1</v>
      </c>
    </row>
    <row r="32" spans="1:13" x14ac:dyDescent="0.25">
      <c r="A32" s="2">
        <v>46324</v>
      </c>
      <c r="B32" s="1" t="str">
        <f ca="1">IF(Información1[[#This Row],[Fecha]]='Ajuste de fechas'!$A$2,"Día actual","Día anterior")</f>
        <v>Día anterior</v>
      </c>
      <c r="C32" t="s">
        <v>47</v>
      </c>
      <c r="D32" t="s">
        <v>48</v>
      </c>
      <c r="E32" t="s">
        <v>107</v>
      </c>
      <c r="F32" t="s">
        <v>65</v>
      </c>
      <c r="G32" t="s">
        <v>108</v>
      </c>
      <c r="H32" t="s">
        <v>26</v>
      </c>
      <c r="I32" t="s">
        <v>6</v>
      </c>
      <c r="J32" t="s">
        <v>17</v>
      </c>
      <c r="K32" t="s">
        <v>49</v>
      </c>
      <c r="L32" t="s">
        <v>18</v>
      </c>
      <c r="M32">
        <v>1</v>
      </c>
    </row>
    <row r="33" spans="1:13" x14ac:dyDescent="0.25">
      <c r="A33" s="2">
        <v>46325</v>
      </c>
      <c r="B33" s="1" t="str">
        <f ca="1">IF(Información1[[#This Row],[Fecha]]='Ajuste de fechas'!$A$2,"Día actual","Día anterior")</f>
        <v>Día actual</v>
      </c>
      <c r="C33" t="s">
        <v>47</v>
      </c>
      <c r="D33" t="s">
        <v>48</v>
      </c>
      <c r="E33" t="s">
        <v>109</v>
      </c>
      <c r="F33" t="s">
        <v>34</v>
      </c>
      <c r="G33" t="s">
        <v>110</v>
      </c>
      <c r="H33" t="s">
        <v>26</v>
      </c>
      <c r="I33" t="s">
        <v>10</v>
      </c>
      <c r="J33" t="s">
        <v>17</v>
      </c>
      <c r="K33" t="s">
        <v>61</v>
      </c>
      <c r="L33" t="s">
        <v>18</v>
      </c>
      <c r="M33">
        <v>1</v>
      </c>
    </row>
    <row r="34" spans="1:13" x14ac:dyDescent="0.25">
      <c r="A34" s="2">
        <v>46325</v>
      </c>
      <c r="B34" s="1" t="str">
        <f ca="1">IF(Información1[[#This Row],[Fecha]]='Ajuste de fechas'!$A$2,"Día actual","Día anterior")</f>
        <v>Día actual</v>
      </c>
      <c r="C34" t="s">
        <v>50</v>
      </c>
      <c r="D34" t="s">
        <v>69</v>
      </c>
      <c r="E34" t="s">
        <v>111</v>
      </c>
      <c r="F34" t="s">
        <v>37</v>
      </c>
      <c r="G34" t="s">
        <v>112</v>
      </c>
      <c r="H34" t="s">
        <v>26</v>
      </c>
      <c r="I34" t="s">
        <v>6</v>
      </c>
      <c r="J34" t="s">
        <v>37</v>
      </c>
      <c r="K34" t="s">
        <v>51</v>
      </c>
      <c r="L34" t="s">
        <v>18</v>
      </c>
      <c r="M34">
        <v>1</v>
      </c>
    </row>
    <row r="35" spans="1:13" x14ac:dyDescent="0.25">
      <c r="A35" s="2">
        <v>46325</v>
      </c>
      <c r="B35" s="1" t="str">
        <f ca="1">IF(Información1[[#This Row],[Fecha]]='Ajuste de fechas'!$A$2,"Día actual","Día anterior")</f>
        <v>Día actual</v>
      </c>
      <c r="C35" t="s">
        <v>50</v>
      </c>
      <c r="D35" t="s">
        <v>69</v>
      </c>
      <c r="E35" t="s">
        <v>113</v>
      </c>
      <c r="F35" t="s">
        <v>9</v>
      </c>
      <c r="G35" t="s">
        <v>114</v>
      </c>
      <c r="H35" t="s">
        <v>26</v>
      </c>
      <c r="I35" t="s">
        <v>6</v>
      </c>
      <c r="J35" t="s">
        <v>17</v>
      </c>
      <c r="K35" t="s">
        <v>51</v>
      </c>
      <c r="L35" t="s">
        <v>18</v>
      </c>
      <c r="M35">
        <v>1</v>
      </c>
    </row>
    <row r="36" spans="1:13" x14ac:dyDescent="0.25">
      <c r="A36" s="2">
        <v>46325</v>
      </c>
      <c r="B36" s="1" t="str">
        <f ca="1">IF(Información1[[#This Row],[Fecha]]='Ajuste de fechas'!$A$2,"Día actual","Día anterior")</f>
        <v>Día actual</v>
      </c>
      <c r="C36" t="s">
        <v>50</v>
      </c>
      <c r="D36" t="s">
        <v>69</v>
      </c>
      <c r="E36" t="s">
        <v>115</v>
      </c>
      <c r="F36" t="s">
        <v>8</v>
      </c>
      <c r="G36" t="s">
        <v>116</v>
      </c>
      <c r="H36" t="s">
        <v>26</v>
      </c>
      <c r="I36" t="s">
        <v>6</v>
      </c>
      <c r="J36" t="s">
        <v>17</v>
      </c>
      <c r="K36" t="s">
        <v>30</v>
      </c>
      <c r="L36" t="s">
        <v>19</v>
      </c>
      <c r="M36">
        <v>1</v>
      </c>
    </row>
    <row r="37" spans="1:13" x14ac:dyDescent="0.25">
      <c r="A37" s="2">
        <v>46325</v>
      </c>
      <c r="B37" s="1" t="str">
        <f ca="1">IF(Información1[[#This Row],[Fecha]]='Ajuste de fechas'!$A$2,"Día actual","Día anterior")</f>
        <v>Día actual</v>
      </c>
      <c r="C37" t="s">
        <v>47</v>
      </c>
      <c r="D37" t="s">
        <v>48</v>
      </c>
      <c r="E37" t="s">
        <v>117</v>
      </c>
      <c r="F37" t="s">
        <v>37</v>
      </c>
      <c r="G37" t="s">
        <v>64</v>
      </c>
      <c r="H37" t="s">
        <v>26</v>
      </c>
      <c r="I37" t="s">
        <v>6</v>
      </c>
      <c r="J37" t="s">
        <v>37</v>
      </c>
      <c r="K37" t="s">
        <v>61</v>
      </c>
      <c r="L37" t="s">
        <v>24</v>
      </c>
      <c r="M37">
        <v>1</v>
      </c>
    </row>
    <row r="38" spans="1:13" x14ac:dyDescent="0.25">
      <c r="A38" s="2">
        <v>46325</v>
      </c>
      <c r="B38" s="1" t="str">
        <f ca="1">IF(Información1[[#This Row],[Fecha]]='Ajuste de fechas'!$A$2,"Día actual","Día anterior")</f>
        <v>Día actual</v>
      </c>
      <c r="C38" t="s">
        <v>50</v>
      </c>
      <c r="D38" t="s">
        <v>69</v>
      </c>
      <c r="E38" t="s">
        <v>52</v>
      </c>
      <c r="F38" t="s">
        <v>35</v>
      </c>
      <c r="G38" t="s">
        <v>53</v>
      </c>
      <c r="H38" t="s">
        <v>26</v>
      </c>
      <c r="I38" t="s">
        <v>7</v>
      </c>
      <c r="J38" t="s">
        <v>36</v>
      </c>
      <c r="K38" t="s">
        <v>51</v>
      </c>
      <c r="L38" t="s">
        <v>19</v>
      </c>
      <c r="M38">
        <v>1</v>
      </c>
    </row>
    <row r="39" spans="1:13" x14ac:dyDescent="0.25">
      <c r="A39" s="2">
        <v>46325</v>
      </c>
      <c r="B39" s="1" t="str">
        <f ca="1">IF(Información1[[#This Row],[Fecha]]='Ajuste de fechas'!$A$2,"Día actual","Día anterior")</f>
        <v>Día actual</v>
      </c>
      <c r="C39" t="s">
        <v>50</v>
      </c>
      <c r="D39" t="s">
        <v>69</v>
      </c>
      <c r="E39" t="s">
        <v>54</v>
      </c>
      <c r="F39" t="s">
        <v>35</v>
      </c>
      <c r="G39" t="s">
        <v>53</v>
      </c>
      <c r="H39" t="s">
        <v>26</v>
      </c>
      <c r="I39" t="s">
        <v>7</v>
      </c>
      <c r="J39" t="s">
        <v>36</v>
      </c>
      <c r="K39" t="s">
        <v>51</v>
      </c>
      <c r="L39" t="s">
        <v>19</v>
      </c>
      <c r="M39">
        <v>1</v>
      </c>
    </row>
    <row r="40" spans="1:13" x14ac:dyDescent="0.25">
      <c r="A40" s="2">
        <v>46325</v>
      </c>
      <c r="B40" s="1" t="str">
        <f ca="1">IF(Información1[[#This Row],[Fecha]]='Ajuste de fechas'!$A$2,"Día actual","Día anterior")</f>
        <v>Día actual</v>
      </c>
      <c r="C40" t="s">
        <v>50</v>
      </c>
      <c r="D40" t="s">
        <v>69</v>
      </c>
      <c r="E40" t="s">
        <v>55</v>
      </c>
      <c r="F40" t="s">
        <v>56</v>
      </c>
      <c r="G40" t="s">
        <v>53</v>
      </c>
      <c r="H40" t="s">
        <v>26</v>
      </c>
      <c r="I40" t="s">
        <v>7</v>
      </c>
      <c r="J40" t="s">
        <v>37</v>
      </c>
      <c r="K40" t="s">
        <v>51</v>
      </c>
      <c r="L40" t="s">
        <v>19</v>
      </c>
      <c r="M40">
        <v>1</v>
      </c>
    </row>
    <row r="41" spans="1:13" x14ac:dyDescent="0.25">
      <c r="A41" s="2">
        <v>46325</v>
      </c>
      <c r="B41" s="1" t="str">
        <f ca="1">IF(Información1[[#This Row],[Fecha]]='Ajuste de fechas'!$A$2,"Día actual","Día anterior")</f>
        <v>Día actual</v>
      </c>
      <c r="C41" t="s">
        <v>50</v>
      </c>
      <c r="D41" t="s">
        <v>69</v>
      </c>
      <c r="E41" t="s">
        <v>118</v>
      </c>
      <c r="F41" t="s">
        <v>25</v>
      </c>
      <c r="G41" t="s">
        <v>53</v>
      </c>
      <c r="H41" t="s">
        <v>26</v>
      </c>
      <c r="I41" t="s">
        <v>7</v>
      </c>
      <c r="J41" t="s">
        <v>17</v>
      </c>
      <c r="K41" t="s">
        <v>51</v>
      </c>
      <c r="L41" t="s">
        <v>19</v>
      </c>
      <c r="M41">
        <v>1</v>
      </c>
    </row>
    <row r="42" spans="1:13" x14ac:dyDescent="0.25">
      <c r="A42" s="2">
        <v>46325</v>
      </c>
      <c r="B42" s="1" t="str">
        <f ca="1">IF(Información1[[#This Row],[Fecha]]='Ajuste de fechas'!$A$2,"Día actual","Día anterior")</f>
        <v>Día actual</v>
      </c>
      <c r="C42" t="s">
        <v>50</v>
      </c>
      <c r="D42" t="s">
        <v>69</v>
      </c>
      <c r="E42" t="s">
        <v>58</v>
      </c>
      <c r="F42" t="s">
        <v>8</v>
      </c>
      <c r="G42" t="s">
        <v>53</v>
      </c>
      <c r="H42" t="s">
        <v>26</v>
      </c>
      <c r="I42" t="s">
        <v>7</v>
      </c>
      <c r="J42" t="s">
        <v>17</v>
      </c>
      <c r="K42" t="s">
        <v>51</v>
      </c>
      <c r="L42" t="s">
        <v>19</v>
      </c>
      <c r="M42">
        <v>1</v>
      </c>
    </row>
    <row r="43" spans="1:13" x14ac:dyDescent="0.25">
      <c r="A43" s="2">
        <v>46325</v>
      </c>
      <c r="B43" s="1" t="str">
        <f ca="1">IF(Información1[[#This Row],[Fecha]]='Ajuste de fechas'!$A$2,"Día actual","Día anterior")</f>
        <v>Día actual</v>
      </c>
      <c r="C43" t="s">
        <v>50</v>
      </c>
      <c r="D43" t="s">
        <v>69</v>
      </c>
      <c r="E43" t="s">
        <v>59</v>
      </c>
      <c r="F43" t="s">
        <v>45</v>
      </c>
      <c r="G43" t="s">
        <v>53</v>
      </c>
      <c r="H43" t="s">
        <v>26</v>
      </c>
      <c r="I43" t="s">
        <v>7</v>
      </c>
      <c r="J43" t="s">
        <v>17</v>
      </c>
      <c r="K43" t="s">
        <v>51</v>
      </c>
      <c r="L43" t="s">
        <v>19</v>
      </c>
      <c r="M43">
        <v>1</v>
      </c>
    </row>
    <row r="44" spans="1:13" x14ac:dyDescent="0.25">
      <c r="A44" s="2">
        <v>46324</v>
      </c>
      <c r="B44" s="1" t="str">
        <f ca="1">IF(Información1[[#This Row],[Fecha]]='Ajuste de fechas'!$A$2,"Día actual","Día anterior")</f>
        <v>Día anterior</v>
      </c>
      <c r="C44" t="s">
        <v>47</v>
      </c>
      <c r="D44" t="s">
        <v>60</v>
      </c>
      <c r="E44" t="s">
        <v>119</v>
      </c>
      <c r="F44" t="s">
        <v>35</v>
      </c>
      <c r="G44" t="s">
        <v>46</v>
      </c>
      <c r="H44" t="s">
        <v>26</v>
      </c>
      <c r="I44" t="s">
        <v>6</v>
      </c>
      <c r="J44" t="s">
        <v>36</v>
      </c>
      <c r="K44" t="s">
        <v>61</v>
      </c>
      <c r="L44" t="s">
        <v>18</v>
      </c>
      <c r="M44">
        <v>1</v>
      </c>
    </row>
    <row r="45" spans="1:13" x14ac:dyDescent="0.25">
      <c r="A45" s="2">
        <v>46324</v>
      </c>
      <c r="B45" s="1" t="str">
        <f ca="1">IF(Información1[[#This Row],[Fecha]]='Ajuste de fechas'!$A$2,"Día actual","Día anterior")</f>
        <v>Día anterior</v>
      </c>
      <c r="C45" t="s">
        <v>31</v>
      </c>
      <c r="D45" t="s">
        <v>32</v>
      </c>
      <c r="E45" t="s">
        <v>120</v>
      </c>
      <c r="F45" t="s">
        <v>65</v>
      </c>
      <c r="G45" t="s">
        <v>46</v>
      </c>
      <c r="H45" t="s">
        <v>26</v>
      </c>
      <c r="I45" t="s">
        <v>7</v>
      </c>
      <c r="J45" t="s">
        <v>17</v>
      </c>
      <c r="K45" t="s">
        <v>33</v>
      </c>
      <c r="L45" t="s">
        <v>66</v>
      </c>
      <c r="M45">
        <v>1</v>
      </c>
    </row>
    <row r="46" spans="1:13" x14ac:dyDescent="0.25">
      <c r="A46" s="2">
        <v>46325</v>
      </c>
      <c r="B46" s="1" t="str">
        <f ca="1">IF(Información1[[#This Row],[Fecha]]='Ajuste de fechas'!$A$2,"Día actual","Día anterior")</f>
        <v>Día actual</v>
      </c>
      <c r="C46" t="s">
        <v>50</v>
      </c>
      <c r="D46" t="s">
        <v>69</v>
      </c>
      <c r="E46" t="s">
        <v>121</v>
      </c>
      <c r="F46" t="s">
        <v>35</v>
      </c>
      <c r="G46" t="s">
        <v>46</v>
      </c>
      <c r="H46" t="s">
        <v>26</v>
      </c>
      <c r="I46" t="s">
        <v>6</v>
      </c>
      <c r="J46" t="s">
        <v>36</v>
      </c>
      <c r="K46" t="s">
        <v>51</v>
      </c>
      <c r="L46" t="s">
        <v>24</v>
      </c>
      <c r="M46">
        <v>1</v>
      </c>
    </row>
    <row r="47" spans="1:13" x14ac:dyDescent="0.25">
      <c r="A47" s="2">
        <v>46325</v>
      </c>
      <c r="B47" s="1" t="str">
        <f ca="1">IF(Información1[[#This Row],[Fecha]]='Ajuste de fechas'!$A$2,"Día actual","Día anterior")</f>
        <v>Día actual</v>
      </c>
      <c r="C47" t="s">
        <v>50</v>
      </c>
      <c r="D47" t="s">
        <v>69</v>
      </c>
      <c r="E47" t="s">
        <v>122</v>
      </c>
      <c r="F47" t="s">
        <v>35</v>
      </c>
      <c r="G47" t="s">
        <v>123</v>
      </c>
      <c r="H47" t="s">
        <v>26</v>
      </c>
      <c r="I47" t="s">
        <v>6</v>
      </c>
      <c r="J47" t="s">
        <v>36</v>
      </c>
      <c r="K47" t="s">
        <v>51</v>
      </c>
      <c r="L47" t="s">
        <v>18</v>
      </c>
      <c r="M47">
        <v>1</v>
      </c>
    </row>
    <row r="48" spans="1:13" x14ac:dyDescent="0.25">
      <c r="A48" s="2">
        <v>46325</v>
      </c>
      <c r="B48" s="1" t="str">
        <f ca="1">IF(Información1[[#This Row],[Fecha]]='Ajuste de fechas'!$A$2,"Día actual","Día anterior")</f>
        <v>Día actual</v>
      </c>
      <c r="C48" t="s">
        <v>50</v>
      </c>
      <c r="D48" t="s">
        <v>69</v>
      </c>
      <c r="E48" t="s">
        <v>124</v>
      </c>
      <c r="F48" t="s">
        <v>45</v>
      </c>
      <c r="G48" t="s">
        <v>125</v>
      </c>
      <c r="H48" t="s">
        <v>26</v>
      </c>
      <c r="I48" t="s">
        <v>10</v>
      </c>
      <c r="J48" t="s">
        <v>17</v>
      </c>
      <c r="K48" t="s">
        <v>30</v>
      </c>
      <c r="L48" t="s">
        <v>19</v>
      </c>
      <c r="M48">
        <v>1</v>
      </c>
    </row>
    <row r="49" spans="1:13" x14ac:dyDescent="0.25">
      <c r="A49" s="2">
        <v>46325</v>
      </c>
      <c r="B49" s="1" t="str">
        <f ca="1">IF(Información1[[#This Row],[Fecha]]='Ajuste de fechas'!$A$2,"Día actual","Día anterior")</f>
        <v>Día actual</v>
      </c>
      <c r="C49" t="s">
        <v>50</v>
      </c>
      <c r="D49" t="s">
        <v>69</v>
      </c>
      <c r="E49" t="s">
        <v>126</v>
      </c>
      <c r="F49" t="s">
        <v>35</v>
      </c>
      <c r="G49" t="s">
        <v>127</v>
      </c>
      <c r="H49" t="s">
        <v>26</v>
      </c>
      <c r="I49" t="s">
        <v>6</v>
      </c>
      <c r="J49" t="s">
        <v>36</v>
      </c>
      <c r="K49" t="s">
        <v>51</v>
      </c>
      <c r="L49" t="s">
        <v>18</v>
      </c>
      <c r="M49">
        <v>1</v>
      </c>
    </row>
    <row r="50" spans="1:13" x14ac:dyDescent="0.25">
      <c r="A50" s="2">
        <v>46325</v>
      </c>
      <c r="B50" s="1" t="str">
        <f ca="1">IF(Información1[[#This Row],[Fecha]]='Ajuste de fechas'!$A$2,"Día actual","Día anterior")</f>
        <v>Día actual</v>
      </c>
      <c r="C50" t="s">
        <v>47</v>
      </c>
      <c r="D50" t="s">
        <v>48</v>
      </c>
      <c r="E50" t="s">
        <v>128</v>
      </c>
      <c r="F50" t="s">
        <v>40</v>
      </c>
      <c r="G50" t="s">
        <v>129</v>
      </c>
      <c r="H50" t="s">
        <v>26</v>
      </c>
      <c r="I50" t="s">
        <v>6</v>
      </c>
      <c r="J50" t="s">
        <v>17</v>
      </c>
      <c r="K50" t="s">
        <v>61</v>
      </c>
      <c r="L50" t="s">
        <v>18</v>
      </c>
      <c r="M50">
        <v>1</v>
      </c>
    </row>
    <row r="51" spans="1:13" x14ac:dyDescent="0.25">
      <c r="A51" s="2">
        <v>46325</v>
      </c>
      <c r="B51" s="1" t="str">
        <f ca="1">IF(Información1[[#This Row],[Fecha]]='Ajuste de fechas'!$A$2,"Día actual","Día anterior")</f>
        <v>Día actual</v>
      </c>
      <c r="C51" t="s">
        <v>50</v>
      </c>
      <c r="D51" t="s">
        <v>69</v>
      </c>
      <c r="E51" t="s">
        <v>130</v>
      </c>
      <c r="F51" t="s">
        <v>40</v>
      </c>
      <c r="G51" t="s">
        <v>129</v>
      </c>
      <c r="H51" t="s">
        <v>26</v>
      </c>
      <c r="I51" t="s">
        <v>6</v>
      </c>
      <c r="J51" t="s">
        <v>17</v>
      </c>
      <c r="K51" t="s">
        <v>51</v>
      </c>
      <c r="L51" t="s">
        <v>20</v>
      </c>
      <c r="M51">
        <v>1</v>
      </c>
    </row>
    <row r="52" spans="1:13" x14ac:dyDescent="0.25">
      <c r="A52" s="2">
        <v>46325</v>
      </c>
      <c r="B52" s="1" t="str">
        <f ca="1">IF(Información1[[#This Row],[Fecha]]='Ajuste de fechas'!$A$2,"Día actual","Día anterior")</f>
        <v>Día actual</v>
      </c>
      <c r="C52" t="s">
        <v>47</v>
      </c>
      <c r="D52" t="s">
        <v>48</v>
      </c>
      <c r="E52" t="s">
        <v>131</v>
      </c>
      <c r="F52" t="s">
        <v>132</v>
      </c>
      <c r="G52" t="s">
        <v>133</v>
      </c>
      <c r="H52" t="s">
        <v>26</v>
      </c>
      <c r="I52" t="s">
        <v>6</v>
      </c>
      <c r="J52" t="s">
        <v>17</v>
      </c>
      <c r="K52" t="s">
        <v>61</v>
      </c>
      <c r="L52" t="s">
        <v>18</v>
      </c>
      <c r="M52">
        <v>1</v>
      </c>
    </row>
    <row r="53" spans="1:13" x14ac:dyDescent="0.25">
      <c r="A53" s="2">
        <v>46324</v>
      </c>
      <c r="B53" s="1" t="str">
        <f ca="1">IF(Información1[[#This Row],[Fecha]]='Ajuste de fechas'!$A$2,"Día actual","Día anterior")</f>
        <v>Día anterior</v>
      </c>
      <c r="C53" t="s">
        <v>47</v>
      </c>
      <c r="D53" t="s">
        <v>60</v>
      </c>
      <c r="E53" t="s">
        <v>134</v>
      </c>
      <c r="F53" t="s">
        <v>40</v>
      </c>
      <c r="G53" t="s">
        <v>63</v>
      </c>
      <c r="H53" t="s">
        <v>26</v>
      </c>
      <c r="I53" t="s">
        <v>6</v>
      </c>
      <c r="J53" t="s">
        <v>17</v>
      </c>
      <c r="K53" t="s">
        <v>61</v>
      </c>
      <c r="L53" t="s">
        <v>18</v>
      </c>
      <c r="M53">
        <v>1</v>
      </c>
    </row>
    <row r="54" spans="1:13" x14ac:dyDescent="0.25">
      <c r="A54" s="2">
        <v>46324</v>
      </c>
      <c r="B54" s="1" t="str">
        <f ca="1">IF(Información1[[#This Row],[Fecha]]='Ajuste de fechas'!$A$2,"Día actual","Día anterior")</f>
        <v>Día anterior</v>
      </c>
      <c r="C54" t="s">
        <v>47</v>
      </c>
      <c r="D54" t="s">
        <v>60</v>
      </c>
      <c r="E54" t="s">
        <v>135</v>
      </c>
      <c r="F54" t="s">
        <v>38</v>
      </c>
      <c r="G54" t="s">
        <v>63</v>
      </c>
      <c r="H54" t="s">
        <v>26</v>
      </c>
      <c r="I54" t="s">
        <v>6</v>
      </c>
      <c r="J54" t="s">
        <v>39</v>
      </c>
      <c r="K54" t="s">
        <v>61</v>
      </c>
      <c r="L54" t="s">
        <v>18</v>
      </c>
      <c r="M54">
        <v>1</v>
      </c>
    </row>
    <row r="55" spans="1:13" x14ac:dyDescent="0.25">
      <c r="A55" s="2">
        <v>46324</v>
      </c>
      <c r="B55" s="1" t="str">
        <f ca="1">IF(Información1[[#This Row],[Fecha]]='Ajuste de fechas'!$A$2,"Día actual","Día anterior")</f>
        <v>Día anterior</v>
      </c>
      <c r="C55" t="s">
        <v>47</v>
      </c>
      <c r="D55" t="s">
        <v>60</v>
      </c>
      <c r="E55" t="s">
        <v>136</v>
      </c>
      <c r="F55" t="s">
        <v>38</v>
      </c>
      <c r="G55" t="s">
        <v>63</v>
      </c>
      <c r="H55" t="s">
        <v>26</v>
      </c>
      <c r="I55" t="s">
        <v>6</v>
      </c>
      <c r="J55" t="s">
        <v>39</v>
      </c>
      <c r="K55" t="s">
        <v>61</v>
      </c>
      <c r="L55" t="s">
        <v>18</v>
      </c>
      <c r="M55">
        <v>1</v>
      </c>
    </row>
    <row r="56" spans="1:13" x14ac:dyDescent="0.25">
      <c r="A56" s="2">
        <v>46325</v>
      </c>
      <c r="B56" s="1" t="str">
        <f ca="1">IF(Información1[[#This Row],[Fecha]]='Ajuste de fechas'!$A$2,"Día actual","Día anterior")</f>
        <v>Día actual</v>
      </c>
      <c r="C56" t="s">
        <v>47</v>
      </c>
      <c r="D56" t="s">
        <v>48</v>
      </c>
      <c r="E56" t="s">
        <v>137</v>
      </c>
      <c r="F56" t="s">
        <v>40</v>
      </c>
      <c r="G56" t="s">
        <v>63</v>
      </c>
      <c r="H56" t="s">
        <v>26</v>
      </c>
      <c r="I56" t="s">
        <v>6</v>
      </c>
      <c r="J56" t="s">
        <v>17</v>
      </c>
      <c r="K56" t="s">
        <v>61</v>
      </c>
      <c r="L56" t="s">
        <v>18</v>
      </c>
      <c r="M56">
        <v>1</v>
      </c>
    </row>
    <row r="57" spans="1:13" x14ac:dyDescent="0.25">
      <c r="A57" s="2">
        <v>46325</v>
      </c>
      <c r="B57" s="1" t="str">
        <f ca="1">IF(Información1[[#This Row],[Fecha]]='Ajuste de fechas'!$A$2,"Día actual","Día anterior")</f>
        <v>Día actual</v>
      </c>
      <c r="C57" t="s">
        <v>50</v>
      </c>
      <c r="D57" t="s">
        <v>69</v>
      </c>
      <c r="E57" t="s">
        <v>138</v>
      </c>
      <c r="F57" t="s">
        <v>38</v>
      </c>
      <c r="G57" t="s">
        <v>63</v>
      </c>
      <c r="H57" t="s">
        <v>26</v>
      </c>
      <c r="I57" t="s">
        <v>6</v>
      </c>
      <c r="J57" t="s">
        <v>39</v>
      </c>
      <c r="K57" t="s">
        <v>51</v>
      </c>
      <c r="L57" t="s">
        <v>18</v>
      </c>
      <c r="M57">
        <v>1</v>
      </c>
    </row>
    <row r="58" spans="1:13" x14ac:dyDescent="0.25">
      <c r="A58" s="2">
        <v>46325</v>
      </c>
      <c r="B58" s="1" t="str">
        <f ca="1">IF(Información1[[#This Row],[Fecha]]='Ajuste de fechas'!$A$2,"Día actual","Día anterior")</f>
        <v>Día actual</v>
      </c>
      <c r="C58" t="s">
        <v>50</v>
      </c>
      <c r="D58" t="s">
        <v>69</v>
      </c>
      <c r="E58" t="s">
        <v>139</v>
      </c>
      <c r="F58" t="s">
        <v>40</v>
      </c>
      <c r="G58" t="s">
        <v>63</v>
      </c>
      <c r="H58" t="s">
        <v>26</v>
      </c>
      <c r="I58" t="s">
        <v>6</v>
      </c>
      <c r="J58" t="s">
        <v>17</v>
      </c>
      <c r="K58" t="s">
        <v>51</v>
      </c>
      <c r="L58" t="s">
        <v>20</v>
      </c>
      <c r="M58">
        <v>1</v>
      </c>
    </row>
    <row r="59" spans="1:13" x14ac:dyDescent="0.25">
      <c r="A59" s="2">
        <v>46325</v>
      </c>
      <c r="B59" s="1" t="str">
        <f ca="1">IF(Información1[[#This Row],[Fecha]]='Ajuste de fechas'!$A$2,"Día actual","Día anterior")</f>
        <v>Día actual</v>
      </c>
      <c r="C59" t="s">
        <v>50</v>
      </c>
      <c r="D59" t="s">
        <v>69</v>
      </c>
      <c r="E59" t="s">
        <v>140</v>
      </c>
      <c r="F59" t="s">
        <v>65</v>
      </c>
      <c r="G59" t="s">
        <v>108</v>
      </c>
      <c r="H59" t="s">
        <v>26</v>
      </c>
      <c r="I59" t="s">
        <v>6</v>
      </c>
      <c r="J59" t="s">
        <v>17</v>
      </c>
      <c r="K59" t="s">
        <v>30</v>
      </c>
      <c r="L59" t="s">
        <v>19</v>
      </c>
      <c r="M59">
        <v>1</v>
      </c>
    </row>
    <row r="60" spans="1:13" x14ac:dyDescent="0.25">
      <c r="A60" s="2">
        <v>46325</v>
      </c>
      <c r="B60" s="1" t="str">
        <f ca="1">IF(Información1[[#This Row],[Fecha]]='Ajuste de fechas'!$A$2,"Día actual","Día anterior")</f>
        <v>Día actual</v>
      </c>
      <c r="C60" t="s">
        <v>50</v>
      </c>
      <c r="D60" t="s">
        <v>69</v>
      </c>
      <c r="E60" t="s">
        <v>141</v>
      </c>
      <c r="F60" t="s">
        <v>65</v>
      </c>
      <c r="G60" t="s">
        <v>108</v>
      </c>
      <c r="H60" t="s">
        <v>26</v>
      </c>
      <c r="I60" t="s">
        <v>6</v>
      </c>
      <c r="J60" t="s">
        <v>17</v>
      </c>
      <c r="K60" t="s">
        <v>51</v>
      </c>
      <c r="L60" t="s">
        <v>18</v>
      </c>
      <c r="M60">
        <v>1</v>
      </c>
    </row>
    <row r="61" spans="1:13" x14ac:dyDescent="0.25">
      <c r="A61" s="2">
        <v>46324</v>
      </c>
      <c r="B61" s="1" t="str">
        <f ca="1">IF(Información1[[#This Row],[Fecha]]='Ajuste de fechas'!$A$2,"Día actual","Día anterior")</f>
        <v>Día anterior</v>
      </c>
      <c r="C61" t="s">
        <v>47</v>
      </c>
      <c r="D61" t="s">
        <v>60</v>
      </c>
      <c r="E61" t="s">
        <v>142</v>
      </c>
      <c r="F61" t="s">
        <v>38</v>
      </c>
      <c r="G61" t="s">
        <v>63</v>
      </c>
      <c r="H61" t="s">
        <v>26</v>
      </c>
      <c r="I61" t="s">
        <v>10</v>
      </c>
      <c r="J61" t="s">
        <v>39</v>
      </c>
      <c r="K61" t="s">
        <v>61</v>
      </c>
      <c r="L61" t="s">
        <v>18</v>
      </c>
      <c r="M61">
        <v>1</v>
      </c>
    </row>
    <row r="62" spans="1:13" x14ac:dyDescent="0.25">
      <c r="A62" s="2">
        <v>46325</v>
      </c>
      <c r="B62" s="1" t="str">
        <f ca="1">IF(Información1[[#This Row],[Fecha]]='Ajuste de fechas'!$A$2,"Día actual","Día anterior")</f>
        <v>Día actual</v>
      </c>
      <c r="C62" t="s">
        <v>50</v>
      </c>
      <c r="D62" t="s">
        <v>69</v>
      </c>
      <c r="E62" t="s">
        <v>143</v>
      </c>
      <c r="F62" t="s">
        <v>144</v>
      </c>
      <c r="G62" t="s">
        <v>63</v>
      </c>
      <c r="H62" t="s">
        <v>26</v>
      </c>
      <c r="I62" t="s">
        <v>6</v>
      </c>
      <c r="J62" t="s">
        <v>17</v>
      </c>
      <c r="K62" t="s">
        <v>51</v>
      </c>
      <c r="L62" t="s">
        <v>24</v>
      </c>
      <c r="M62">
        <v>1</v>
      </c>
    </row>
  </sheetData>
  <phoneticPr fontId="1"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2B2386-6258-484E-8101-12D045481F45}">
  <dimension ref="A1:B2"/>
  <sheetViews>
    <sheetView workbookViewId="0">
      <selection activeCell="A2" sqref="A2"/>
    </sheetView>
  </sheetViews>
  <sheetFormatPr baseColWidth="10" defaultRowHeight="15" x14ac:dyDescent="0.25"/>
  <sheetData>
    <row r="1" spans="1:2" x14ac:dyDescent="0.25">
      <c r="A1" t="s">
        <v>22</v>
      </c>
      <c r="B1" t="s">
        <v>23</v>
      </c>
    </row>
    <row r="2" spans="1:2" x14ac:dyDescent="0.25">
      <c r="A2" s="2">
        <f ca="1">TODAY()</f>
        <v>46325</v>
      </c>
      <c r="B2" s="2">
        <f ca="1">A2-1</f>
        <v>46324</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6B2EDC08-6C78-43A4-B375-F21756B4101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Radio</vt:lpstr>
      <vt:lpstr>Ajuste de fechas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2026-04-13T21:10:05Z</dcterms:created>
  <dcterms:modified xsi:type="dcterms:W3CDTF">2026-10-31T00:03:39Z</dcterms:modified>
</cp:coreProperties>
</file>