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070C9F14-6334-4ECA-981C-CAB541E96A3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136" i="2"/>
  <c r="B140" i="2"/>
  <c r="B143" i="2"/>
  <c r="B146" i="2"/>
  <c r="B148" i="2"/>
  <c r="B151" i="2"/>
  <c r="B154" i="2"/>
  <c r="B157" i="2"/>
  <c r="B160" i="2"/>
  <c r="B163" i="2"/>
  <c r="B166" i="2"/>
  <c r="B169" i="2"/>
  <c r="B172"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133" i="2"/>
  <c r="B135" i="2"/>
  <c r="B138" i="2"/>
  <c r="B141" i="2"/>
  <c r="B144" i="2"/>
  <c r="B149" i="2"/>
  <c r="B152" i="2"/>
  <c r="B155" i="2"/>
  <c r="B158" i="2"/>
  <c r="B161" i="2"/>
  <c r="B164" i="2"/>
  <c r="B167" i="2"/>
  <c r="B170" i="2"/>
  <c r="B173"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4" i="2"/>
  <c r="B137" i="2"/>
  <c r="B139" i="2"/>
  <c r="B142" i="2"/>
  <c r="B145" i="2"/>
  <c r="B147" i="2"/>
  <c r="B150" i="2"/>
  <c r="B153" i="2"/>
  <c r="B156" i="2"/>
  <c r="B159" i="2"/>
  <c r="B162" i="2"/>
  <c r="B165" i="2"/>
  <c r="B168" i="2"/>
  <c r="B17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<sst xmlns="http://schemas.openxmlformats.org/spreadsheetml/2006/main" count="1735" uniqueCount="326">
  <si>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</si>
  <si>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</si>
  <si>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</si>
  <si>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</si>
  <si>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</si>
  <si>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</si>
  <si>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</si>
  <si>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</si>
  <si>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</si>
  <si>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</si>
  <si>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</si>
  <si>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</si>
  <si>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</si>
  <si>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</si>
  <si>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</si>
  <si>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</si>
  <si>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</si>
  <si>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</si>
  <si>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</si>
  <si>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</si>
  <si>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</si>
  <si>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</si>
  <si>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</si>
  <si>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</si>
  <si>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</si>
  <si>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</si>
  <si>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</si>
  <si>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</si>
  <si>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</si>
  <si>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</si>
  <si>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</si>
  <si>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Gobierno del estado</t>
  </si>
  <si>
    <t>Presidencia de la República</t>
  </si>
  <si>
    <t>Alcaldías</t>
  </si>
  <si>
    <t>SEPH</t>
  </si>
  <si>
    <t>PGJEH</t>
  </si>
  <si>
    <t>Entrevista</t>
  </si>
  <si>
    <t>Radioescucha</t>
  </si>
  <si>
    <t>Semot</t>
  </si>
  <si>
    <t>Positiva</t>
  </si>
  <si>
    <t>Acir 92.5 FM</t>
  </si>
  <si>
    <t>Panorama Informativo Pachuca</t>
  </si>
  <si>
    <t>Eulalio Larrieta</t>
  </si>
  <si>
    <t>Eulalio Larrieta agradece Hans Islas del ayuntamiento de Mineral de la Reforma , por su apoyo en pasar los reportes.</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</si>
  <si>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</si>
  <si>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</si>
  <si>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</si>
  <si>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</si>
  <si>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</si>
  <si>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</si>
  <si>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Abasto De Agua</t>
  </si>
  <si>
    <t>Enfoque Regional Matutino</t>
  </si>
  <si>
    <t>Rodolfo López</t>
  </si>
  <si>
    <t>Juan Carlos Santamaria</t>
  </si>
  <si>
    <t>SSH</t>
  </si>
  <si>
    <t>NQ 90.1 FM</t>
  </si>
  <si>
    <t>Enlace Hidalgo2</t>
  </si>
  <si>
    <t>Jesús Riveros</t>
  </si>
  <si>
    <t>Ke Buena 106.7 FM</t>
  </si>
  <si>
    <t>Noticias 106.7</t>
  </si>
  <si>
    <t>David Cárdenas</t>
  </si>
  <si>
    <t>Enlace Hidalgo1</t>
  </si>
  <si>
    <t>Combate Al Narcomenudeo</t>
  </si>
  <si>
    <t>Turismo</t>
  </si>
  <si>
    <t>Jesús González</t>
  </si>
  <si>
    <t>La Poderosa Tuxpan 93.1 FM</t>
  </si>
  <si>
    <t>NN Nuestras Noticias Zona Norte</t>
  </si>
  <si>
    <t>Liz Argüelles</t>
  </si>
  <si>
    <t>Fuga De Agua</t>
  </si>
  <si>
    <t>Canal del Pueblo</t>
  </si>
  <si>
    <t>TV local</t>
  </si>
  <si>
    <t>Localización de cuerpo</t>
  </si>
  <si>
    <t>Partidos</t>
  </si>
  <si>
    <t>Maltrato animal</t>
  </si>
  <si>
    <t>Bienestar</t>
  </si>
  <si>
    <t>Saderh</t>
  </si>
  <si>
    <t>Ficha De Búsqueda</t>
  </si>
  <si>
    <t>Luminarias</t>
  </si>
  <si>
    <t>TSJEH</t>
  </si>
  <si>
    <t>Queja transporte público</t>
  </si>
  <si>
    <t>DIFH</t>
  </si>
  <si>
    <t>Sigapren</t>
  </si>
  <si>
    <t>Gabinete de Seguridad de Hidalgo despliega operativo por vacaciones de verano</t>
  </si>
  <si>
    <t>Reunión Gabinete De Seguridad</t>
  </si>
  <si>
    <t>Palenque Feria Pachuca</t>
  </si>
  <si>
    <t>Ultra 102.9 FM</t>
  </si>
  <si>
    <t>Ultra Noticias1</t>
  </si>
  <si>
    <t>Daniel Martínez</t>
  </si>
  <si>
    <t>Garantizan educación a pacientes del Hospital del Niño DIFH durante sus tratamientos médicos</t>
  </si>
  <si>
    <t>Supervisión sanitaria</t>
  </si>
  <si>
    <t>Vocales Radio</t>
  </si>
  <si>
    <t>Andrés Torres</t>
  </si>
  <si>
    <t>Nombramientos</t>
  </si>
  <si>
    <t>Premio Municipal</t>
  </si>
  <si>
    <t>Hacienda</t>
  </si>
  <si>
    <t>Impulso Nafin</t>
  </si>
  <si>
    <t>Radiodifusoras</t>
  </si>
  <si>
    <t>Comenta conductor Eulalio Larrieta que Caasim ya reparo una tapa de brocal del drenaje central</t>
  </si>
  <si>
    <t>Atención a la ciudadanía</t>
  </si>
  <si>
    <t>Radioescucha reporta falta de presión en el agua, ya que no sube a los tinacos en la antigua carretera México-Pachuca.</t>
  </si>
  <si>
    <t>Radioescucha reporta falta de agua en Colonias de Plata</t>
  </si>
  <si>
    <t>Radioescucha reporta falta de agua en la colonia Doctores</t>
  </si>
  <si>
    <t>Radioescucha reporta falta de agua en Javier Rojo Gómez, pero que tal llega el recibo puntual</t>
  </si>
  <si>
    <t>Radioescucha reporta falta de agua en Valle de las Estrellas en Mineral de la Reforma, ya llevamos varias semanas sin agua</t>
  </si>
  <si>
    <t>Menchaca destacó que en los próximos días hará el noveno anuncio de inversiones para Hidalgo: "Vamos a hacer próximamente el noveno anuncio de inversiones, con unos datos que les van a agradar muchísimo. Sobre todo, que se distribuyen en varias zonas del estado, activan la economía, pero además con números, AUDIO APOYO</t>
  </si>
  <si>
    <t>Anuncio de inversiones</t>
  </si>
  <si>
    <t>Menchaca destacó que en los próximos días hará el noveno anuncio de inversiones para Hidalgo: "Vamos a hacer próximamente el noveno anuncio de inversiones, con unos datos que les van a agradar muchísimo. Sobre todo, que se distribuyen en varias zonas del estado, activan la economía, pero además con números. Y como en el compromiso que han hecho las empresarias y los empresarios, va a ser un punto de referencia en la geopolítica. Todo lo que está generando ruido en los mercados, el que existan empresas locales ya con la mira puesta en el estado para poder generar empleos, para generar riqueza para los jóvenes... AUDIO DE APOYO</t>
  </si>
  <si>
    <t>Gobierno de Hidalgo concentra apoyos al campo por más de 7.1 millones de pesos para fortalecer la producción agropecuaria</t>
  </si>
  <si>
    <t>Apoyo Al Agro</t>
  </si>
  <si>
    <t>El secretario de Seguridad y Protección Ciudadana, Omar García Harfuch, destacó durante la conferencia matutina de la presidenta Claudia Sheinbaum la detención de Alberto N., alias "El Virus", realizada el pasado 19 de junio en un balneario de Tulancingo, Hidalgo.El funcionario señaló que el presunto delincuente era considerado un objetivo prioritario para la Fiscalía General de Justicia de la Ciudad de México, al ser identificado como líder de una organización criminal y presunto generador de violencia en diversas alcaldías de la capital del país y municipios del Estado de México.</t>
  </si>
  <si>
    <t>Aprehensión</t>
  </si>
  <si>
    <t>Radio Lobo 96.7 FM</t>
  </si>
  <si>
    <t>Enlace Noticias</t>
  </si>
  <si>
    <t>Gina Lorenzo</t>
  </si>
  <si>
    <t>Reconocen y fortalecen saberes de mujeres parteras en la Huasteca</t>
  </si>
  <si>
    <t>Cooperación UNFPA</t>
  </si>
  <si>
    <t>México registra un repunte de covid-19 al inicio del verano: la positividad semanal de las pruebas aumentó de 1.6 a 17.8 por ciento entre las semanas epidemiológicas 20 y 26, mientras la curva de contagios mostró un ascenso sostenido durante junio, de acuerdo con el informe más reciente de la Secretaría de Salud.Hasta la semana epidemiológica 26, que comprende del 28 de junio al 4 de julio, se confirmaron 709 casos y 21 defunciones por covid-19 en lo que va de 2026. Los diagnósticos corresponden exclusivamente a pruebas RT-PCR realizadas mediante la vigilancia centinela en las Unidades de Salud Monitoras de Enfermedad Respiratoria Viral, conocidas como USMER.La Ciudad de México encabeza los contagios con 265 casos, equivalentes a 37.4 por ciento del total nacional. Le siguen el Estado de México, con 73; Hidalgo, con 72; Jalisco, con 40, y Zacatecas, con 37.Estas cinco entidades concentran 487 casos, es decir, 68.7 por ciento de todos los positivos registrados en el país.</t>
  </si>
  <si>
    <t>Covid 19</t>
  </si>
  <si>
    <t>La Secretaría de Seguridad Ciudadana SSC de Tizayuca, informó que una mujer fue detenida mientras circulaba en una motoneta trasladando a dos menores de edad sin casco de protección en el fraccionamiento Los Héroes TizayucaLa Secretaría de Seguridad Ciudadana SSC de Tizayuca, informó que una mujer fue detenida mientras circulaba en una motoneta trasladando a dos menores de edad sin casco de protección en el fraccionamiento Los Héroes Tizayuca.De acuerdo a información otorgada por la corporación municipal, los hechos formaron parte del Operativo Correcaminos, implementado por la Dirección de Tránsito y Vialidad, para fortalecer la seguridad vial, donde indicaron que durante la intervención la conductora se negó a acatar las indicaciones del personal operativo y opuso resistencia, por lo que, con el fin de salvaguardar la integridad de ambas menores, fueron resguardadas de manera preventiva durante el desarrollo de los hechos.</t>
  </si>
  <si>
    <t>Detención</t>
  </si>
  <si>
    <t>Esta tarde fue detenido un individuo que dijo llamarse Jairo “N”, con apoyo de pobladores de la comunidad de El Nith, en Ixmiquilpan.Tras la detención, se localizó un inmueble donde presuntamente eran almacenadas motocicletas robadas. De acuerdo con la información disponible, el detenido reveló el sitio donde ocultaban las unidades, lo que permitió el aseguramiento de varias motocicletas, algunas con alteraciones en el número de serie y una con reporte de robo vigente.Las autoridades exhortaron a la población a que, en caso de reconocer alguna de estas motocicletas como de su propiedad, acudan a presentar la denuncia correspondiente y acrediten la legítima propiedad de la unidad.</t>
  </si>
  <si>
    <t>Aquí abogamos un poco a su solidaridad, ya que familiares solicitan el apoyo de la ciudadanía para localizar a Magdalena Alvarado Hernández, de 79 años de edad, desaparecida en el municipio de Ajacuba. De acuerdo con la información compartida por sus familiares, la señora Magdalena desapareció el 12 de julio y el último registro que tienen corresponde a la calle Narciso Mendoza con dirección hacia el jagüey. Conforme a la ficha emitida por la Comisión de Búsqueda de Personas del Estado de Hidalgo, la mujer tiene 79 años, mide 1.50 metros, es de tez morena clara, cabello cano lacio y ojos color café. Al momento de su desaparición vestía pantalón deportivo negro, blusa color fucsia con una margarita estampada, suéter gris y zapatos negros. Cualquier información, ya lo sabe, se puede comunicar. También está la ficha de búsqueda en redes sociales, así que si usted sabe algo de esta mujer, de favor repórtelo.</t>
  </si>
  <si>
    <t>Continua la busqueda para dar con el paradero de Magdalena Alvarado Hernández, una mujer de 79 años que fue vista por última vez en el municipio de Ajacuba, mujer mexicana que mide 1.50 metros, con complexión delgada y tez morena clara. Además, su cabello es lacio, cano y regular, así como con ojos cafés. La última vez que fue vista, la mujer llevaba un pantalón deportivo color gris, blusa color fiuccha y zapatos de color negro; sin embargo, no se describe alguna seña particular, dan lectura de Ficha de Busqueda ,si tiene alguna información llamar al 771 130 7436</t>
  </si>
  <si>
    <t>Radioescucha reporta que lleva varias semanas una fuga de drenaje en la puerta del Teletón.</t>
  </si>
  <si>
    <t>Persiste el problema del mosco y el lirio acuático en la Presa Endhó, a pesar de los trabajos que se realizan para combatirlo. Aunque las autoridades reportan avances en el saneamiento del embalse, el mosco culex y el lirio acuático continúan afectando a comunidades ribereñas de Tula de Allende y Tepetitlán. De acuerdo con la CONAGUA, la superficie cubierta por lirio acuático se redujo de 903 hectáreas gracias al retiro de más de 105 mil metros cúbicos de esta planta invasora; además, se mantienen campañas de fumigación para disminuir la presencia del mosquito en 27 comunidades cercanas. Sin embargo, habitantes de la zona señalan que la proliferación se mantiene en varios puntos, especialmente durante las noches y tras las lluvias, por lo que solicitan mantener las acciones de limpieza y control para erradicar el problema.Los quejosos señalaron que las máquinas para el retiro de lirio estuvieron paradas, lo que ocasionó que la planta volviera a invadir la presa. AUDIO DE APOYO</t>
  </si>
  <si>
    <t>Fumigación mosco Culex</t>
  </si>
  <si>
    <t>Julio Menchaca consolida el impulso a las mipymes: créditos crecen casi 10 veces en cuatro años</t>
  </si>
  <si>
    <t>Y hablando de inversiones, el gobierno estatal y Nacional Financiera firmaron el convenio Impulso NAFIN más Hidalgo 2026-2027, el cual entregará créditos a pequeñas empresas con una bolsa superior a los 700 millones de pesos para impulsar el crecimiento económico del estado. El gobernador Julio Menchaca Salazar informó que el programa pasó de otorgar 26 créditos en 2022 a 256 en el último año, beneficiando a 764 empresas de 60 municipios y contribuyendo a conservar más de 13 mil empleos: Los financiamientos podrán ser de hasta 5 millones de pesos, con tasa fija máxima de 14.75 por ciento y plazos de hasta 60 meses sin comisión por apertura. El secretario de Desarrollo Económico, Carlos Henkel Escorza, destacó que el aumento de la aportación estatal ha fortalecido este esquema de financiamiento para que más MiPyMEs inviertan, crezcan y generen empleos en Hidalgo. AUDIO DE APOYO</t>
  </si>
  <si>
    <t>Ya se suma un total de 144 incendios forestales en lo que va de este año 2026. Dos de ellos, ocurridos recientemente en Epazoyucan y Pachuca, están siendo investigados formalmente por la Procuraduría General de Justicia del Estado al existir indicios claros de que fueron provocados intencionalmente. En total, los siniestros registrados han afectado alrededor de 3,600 hectáreas de vegetación en el estado hidalguense.</t>
  </si>
  <si>
    <t>Incendios forestales</t>
  </si>
  <si>
    <t>Hidalgo se mantiene entre los estados más seguros del país; esto de acuerdo con cifras oficiales del primer semestre. La entidad registró una disminución del 22.9 por ciento en el promedio diario de homicidios dolosos respecto al año pasado, y se ubica en el lugar 19 a nivel nacional en la incidencia de este delito. Como parte de la estrategia nacional de seguridad, destacan acciones coordinadas con fuerzas federales, entre ellas la detención de Alberto N, alias "El Virus", identificado como líder del cártel Nuevo Imperio. Además, Hidalgo figura entre las entidades con mejores resultados en el combate a laboratorios de drogas sintéticas y la extorsión. El gobierno estatal afirmó que mantendrá la coordinación con la federación para fortalecer la seguridad y preservar la paz.</t>
  </si>
  <si>
    <t>Incidencia Delictiva</t>
  </si>
  <si>
    <t>Fortalece Hidalgo acciones coordinadas para garantizar los derechos de las personas con discapacidad. (AUDIO GOR).</t>
  </si>
  <si>
    <t>Inclusión</t>
  </si>
  <si>
    <t>Radioescucha reporta nuevamente un tráiler de una empresa que pasa por calle Arrayanes en la colonia Piracantos, es una unidad muy pesada, y ya rompió varias tomas de agua. Este mensaje anteriormente comenta que " El chofer dice que el dueño es amigo del gobernador y puede hacer lo que quiera"</t>
  </si>
  <si>
    <t>Influyentismo</t>
  </si>
  <si>
    <t>El gobernador de Hidalgo, Julio Menchaca Salazar, anunció que su cuarto informe de gobierno se realizará el próximo 4 de septiembre en un solo evento público en Pachuca, por lo que este año no habrá informes regionales, AUDIO APOYO</t>
  </si>
  <si>
    <t>Informe De Gobierno</t>
  </si>
  <si>
    <t>El gobernador de Hidalgo, Julio Menchaca Salazar, anunció que su cuarto informe de gobierno se realizará el próximo 4 de septiembre en un solo evento público en Pachuca, por lo que este año no habrá informes regionales: "Se acuerda que el año pasado hubo estos informes regionales en Tula, en el Valle del Mezquital, en la Huasteca, a donde acudí para presentar los resultados y la evaluación del año que había concluido. Además, también he de solicitar al Congreso local ajustar la fecha oficial para que el acto se lleve a cabo en un día hábil. Uno solo va a ser en Pachuca. El calendario oficial marca el 5 de septiembre, pero cae en sábado, entonces me sugieren que sea el 4 de septiembre. Si el Congreso lo aprueba, es el 4 de septiembre. Estamos viendo el lugar para que tenga, para las personas que acudan, las mejores condiciones, por algunas situaciones sobre todo tomando en cuenta el traslado de las personas... Hoy por las circunstancias consideramos que un solo informe... Siempre es abierto… AUDIO DE APOYO</t>
  </si>
  <si>
    <t>El gobernador Julio Menchaca Salazar confirmó que su Cuarto Informe de Gobierno se realizará el próximo 4 de septiembre</t>
  </si>
  <si>
    <t>Un operador de tractocamión logró ponerse a salvo tras un presunto intento de asalto registrado sobre la carretera México-Pachuca a la altura del municipio de Tolcayuca. De acuerdo con los primeros reportes, hombres armados que viajaban en un automóvil Dodge Actitud color gris habrían disparado contra la unidad con la intención de obligar al conductor a detener su marcha.Sin embargo, el operador continuó su recorrido hasta llegar a una gasolinera ubicada en la zona de los Asados San Miguel, donde solicitó apoyo y dio aviso a las autoridades. Tras no lograr su objetivo, los presuntos agresores huyeron con dirección a Pachuca, lo que dio origen a un operativo de búsqueda por parte de las corporaciones de seguridad. Hasta el momento, las autoridades no han informado sobre personas detenidas ni han precisado el estado de salud de este conductor.</t>
  </si>
  <si>
    <t>Inseguridad Carretera</t>
  </si>
  <si>
    <t>En Ixmiquilpan, la tarde de ayer vecinos hicieron justicia por propia mano. Detuvieron y golpearon a un joven a quien descubrieron transitando en una motocicleta con reporte de robo. Tras golpearlo, lo interrogaron y le exigieron que dijera dónde vivía; posteriormente lo llevaron hasta su domicilio, en donde los propios pobladores ingresaron y recuperaron otras cuatro motocicletas con reporte de robo que se encontraban resguardadas en el sitio. Se reportó la retención de personas por presunto robo de motocicletas, mientras que las autoridades de Seguridad Pública locales únicamente se mantuvieron al margen observando las acciones de los pobladores bajo el esquema de usos y costumbres allá en Ixmiquilpan.</t>
  </si>
  <si>
    <t>Justicia Por Propia Mano</t>
  </si>
  <si>
    <t>El dirigente estatal Marco Antonio Mendoza afirmó que se presentará una denuncia penal por presuntas irregularidades en la firma de documentos relacionados con laudos laborales. Además, calificó como ilegal el embargo de prerrogativas ordenado al partido.</t>
  </si>
  <si>
    <t>PRI</t>
  </si>
  <si>
    <t>Laudos Laborales</t>
  </si>
  <si>
    <t>Radioescucha pide al Ayuntamiento limpieza de las áreas verdes en Real de la Plata</t>
  </si>
  <si>
    <t>Limpieza Urbana</t>
  </si>
  <si>
    <t>Vía telefónica secretario de Servicios Públicos Municipales, Gilberto López Islas con el tema limpieza de parques , jardines y camellones.</t>
  </si>
  <si>
    <t>La mañana de este miércoles, autoridades de los tres órdenes de gobierno desplegaron un operativo en la comunidad de San Sebastián Tenochtitlán, municipio de Nopala de Villagrán, tras el hallazgo del cuerpo sin vida de un hombre.En el sitio también fue localizada una lona con un mensaje, la cual fue asegurada por las autoridades ministeriales como parte de los indicios recabados durante el procesamiento de la escena.</t>
  </si>
  <si>
    <t>Radioescucha reporta mala iluminación en Lomas Residencial junto a la iglesia del Espíritu Santo.</t>
  </si>
  <si>
    <t>Y en un caso que duele mucho presentarles, pero es necesario hacerlo visible para que dejen de ocurrir estas agresiones: aquí en Hidalgo hay que recordar que el maltrato y la muerte de animales domésticos son sancionados penalmente. Hemos presentado aquí diversos casos de maltrato animal; sin embargo, a pesar de los esfuerzos de las autoridades por investigar y perseguir a los presuntos delincuentes, los casos siguen apareciendo.Recientemente se difundió un video donde se puede observar a un hombre arrastrando a un perro atado a la parte trasera de su camioneta, imágenes muy crueles. A casi 10 años de la reforma al Código Penal que sanciona el maltrato animal en Hidalgo, activistas señalan que el problema ya no es de las leyes, sino de su aplicación, la denuncia oportuna y la construcción de una mayor conciencia social: AUDIO DE APOYO.</t>
  </si>
  <si>
    <t>El gobernador de Hidalgo, Julio Menchaca Salazar, abordó el tema de los accidentes viales. En encuentro con medios de comunicación, fue cuestionado sobre la posibilidad de implementar en la entidad un esquema similar al de la Ciudad de México para el emplacamiento de bicicletas, motonetas y patines eléctricos, temas en los que dio su postura, aclarando que actualmente el reglamento no abarca la licencia de conducir para vehículos de este tipo de motos o de biciclos con motor: "Vamos a hacer lo que nos corresponde como estado en las políticas públicas, que incluyen también ser más estrictos, pero también es muy importante estar trabajando en la educación vial y en la conciencia</t>
  </si>
  <si>
    <t>Micromovilidad</t>
  </si>
  <si>
    <t>El gobernador de Hidalgo, Julio Menchaca Salazar, señaló que existen “posibilidades legales” para conformar un nuevo municipio, AUDIO APOYO</t>
  </si>
  <si>
    <t>Municipalización</t>
  </si>
  <si>
    <t>El gobernador de Hidalgo, Julio Menchaca Salazar, señaló que existen “posibilidades legales” para conformar un nuevo municipio</t>
  </si>
  <si>
    <t>En encuentro con los medios de comunicación Julio Menchaca hablo sobre la reventa de boletos para el palenque de la Feria de San Francisco Pachuca 2026, exhortó a la población a no adquirir entradas mediante revendedores, AUDIO APOYO</t>
  </si>
  <si>
    <t>Recuerde usted que hablamos aquí sobre la polémica que surgió en redes sociales en torno a la venta de boletos en el Palenque de la Feria de San Francisco 2026. Algunos usuarios en redes sociales se quejaron de que estaban vendiendo lugares quienes ya no alcanzaron boletos, de que a unas horas de abrirse la venta ya había revendedores y de que también había páginas falsas que estaban ofertando boletos para el Palenque y estaban siendo estafados, lo cual ocurre generalmente año con año.Ante esta situación, la Operadora de Eventos del Estado de Hidalgo fortalece ya las acciones para garantizar una venta de boletos justa y transparente para el Palenque de la Feria de San Francisco 2026, que inicia en el mes de septiembre. Con el objetivo de frenar la reventa y garantizar una compra más justa de boletos, la Operadora de Eventos se coordinó con la empresa organizadora y la boletera para fortalecer la vigilancia durante la venta. Como parte de las nuevas medidas, cada persona podrá adquirir un máximo de cuatro boletos por evento y solo para tres artistas distintos, con el propósito de evitar el acaparamiento de entradas por revendedores.</t>
  </si>
  <si>
    <t>Radioescucha reporta que en Pachuca están circulando unas patrullas falsas, que presuntamente están asaltando.</t>
  </si>
  <si>
    <t>Patrulla pirata</t>
  </si>
  <si>
    <t>Realiza Edda Vite gira de trabajo por El Arenal y San Agustín Tlaxiaca</t>
  </si>
  <si>
    <t>Procuraduría municipal del menor</t>
  </si>
  <si>
    <t>Sebiso mantiene entrega de tarjetas de programas sociales</t>
  </si>
  <si>
    <t>Programas Del Pueblo</t>
  </si>
  <si>
    <t>Concluyó el programa de refrendo vehicular en nuestro estado con resultados sumamente positivos. Se registró un incremento de 53 millones de pesos respecto al año anterior, según reportó la Secretaría de Hacienda estatal. Estos recursos obtenidos serán destinados al fortalecimiento de programas y obras públicas en beneficio de la gente. AUDIO DE APOYO.</t>
  </si>
  <si>
    <t>Refrendo Vehicular</t>
  </si>
  <si>
    <t>Vía telefónica, Guillermo Huerta Meneses, subsecretario de Ingresos de la Secretaría de Hacienda de Hidalgo: Finalizó los descuentos en el refrendo vehicular. Como bien lo comenté, ya concluimos con este programa, el pasado 30 de junio, en donde más del 54% del padrón vehicular se regularizó durante este plazo y, a partir del primero de julio, concluyeron los beneficios como seguro de responsabilidad civil, los cupones de descuento, este programa asociado a la verificación vehicular del primer semestre y, hoy, la gente tiene que pagar es su refrendo vehicular de forma normal con el impuesto sobre tenencia, si es que su vehículo supera los 200 mil pesos valor factura.</t>
  </si>
  <si>
    <t>En Tula de Allende fue entregada la rehabilitación de la calle Tulipanes en la colonia El Salitre, como parte de las obras destinadas a mejorar la infraestructura urbana del municipio. El alcalde Cristian Martínez informó que la obra abarcó más de 1,350 metros de vialidad con una inversión superior a los 5 millones de pesos de recursos municipales. Además, se instalaron 56 postes de alumbrado público para mejorar la iluminación y seguridad en la zona. El presidente municipal señaló que estas acciones forman parte de una estrategia para mejorar la conectividad y la calidad de vida de las familias, al tiempo que continuarán las obras en distintos puntos del municipio. AUDIO DE APOYO.</t>
  </si>
  <si>
    <t>Rehabilitación Vial</t>
  </si>
  <si>
    <t>Huasca será sede del Sexto Campeonato Nacional de Pesca de Trucha Inclusiva</t>
  </si>
  <si>
    <t>Turismo inclusivo</t>
  </si>
  <si>
    <t>A más de un año y medio del accidente ocurrido en un gimnasio de Tlaxcoapan, un juez de control vinculó a proceso a Edgar N., por su probable responsabilidad en el delito de lesiones culposas derivado del desplome de un elevador.La audiencia inicial se llevó a cabo el pasado 9 de julio, cuando el Ministerio Público formuló la imputación. Posteriormente, el 13 de julio, durante la continuación de la audiencia, la autoridad judicial determinó la vinculación a proceso y ordenó como medida cautelar el resguardo domiciliario del imputado mientras se desarrolla el procedimiento penal</t>
  </si>
  <si>
    <t>Vinculación A Proceso</t>
  </si>
  <si>
    <t>Por homicidio doloso calificado, robo y robo calificado, ocurridos en Mineral de la Reforma, un hombre fue vinculado a proceso</t>
  </si>
  <si>
    <t>Elementos del Ejército Mexicano mantienen bajo resguardo un área en la comunidad de Ventoquipa, perteneciente al municipio de Santiago Tulantepec, tras el hallazgo de una presunta toma clandestina de hidrocarburo. El aseguramiento ocurrió a un costado de la carretera local, donde las fuerzas federales detectaron una manguera de alta presión enterrada de manera ilícita. De acuerdo con los reportes preliminares, el tendido de la manguera corría a lo largo del antiguo derecho de vía del ferrocarril hasta perderse en las inmediaciones de una barranca de la zona. Tras el hallazgo, los militares procedieron a acordonar el perímetro para garantizar la seguridad de los pobladores y permitir las labores de investigación correspondientes. Hasta el momento, el operativo no registra personas detenidas, por lo que se espera el arribo de personal especializado para el inicio de las indagatorias.</t>
  </si>
  <si>
    <t>Tomas clandestinas</t>
  </si>
  <si>
    <t>La Secretaría de Seguridad Ciudadana (SSC) de la Ciudad de México informó este viernes la detención en Hidalgo de Alberto “N”, alias “El Virus”, identificado como objetivo prioritario generador de violencia y presunto líder de una célula delictiva con operaciones en la alcaldía Azcapotzalco, a quien las autoridades vinculan con un feminicidio, al menos cinco homicidios y diversos delitos de extorsión. La captura fue dada a conocer por el secretario de Seguridad Ciudadana de la Ciudad de México, Pablo Vázquez Camacho, quien señaló que la acción derivó de labores de investigación y de la coordinación entre distintas instancias del Gabinete de Seguridad. El funcionario destacó la participación de elementos de la Policía de la Ciudad de México, así como el apoyo de autoridades federales y estatales para concretar el operativo. Las labores de vigilancia fija y móvil permitieron establecer que el presunto delincuente se había desplazado al municipio de Tulancingo.</t>
  </si>
  <si>
    <t>La Secretaría de Educación Pública (SEP) publicó en el Diario Oficial de la Federación, el calendario escolar oficial 2026-2027 de 185 días efectivos. El ciclo iniciará el lunes 31 de agosto de 2026 y concluirá el viernes 9 de julio de 2027, aplicable a preescolar, primaria y secundaria en todo el país.</t>
  </si>
  <si>
    <t>Regreso A Clases</t>
  </si>
  <si>
    <t>Con el propósito de brindar mayores oportunidades de aprendizaje, desarrollo personal y bienestar a las familias cuautepequenses, el Sistema DIF Municipal de Cuautepec, encabezado por su presidenta Krystal Butrón, anunció el inicio de una nueva oferta de talleres que se impartirán durante tres meses en el Centro PILARES. La presidenta del DIF destacó que estos cursos buscan fortalecer las habilidades de niñas, niños, jóvenes y personas adultas, promoviendo actividades que favorezcan el autoempleo, la inclusión, la recreación y el desarrollo comunitario. Asimismo, señaló que el organismo trabaja en la renovación de sus instalaciones con el objetivo de ofrecer espacios más dignos, funcionales y seguros, que permitan brindar una mejor atención a las y los cuautepequenses.</t>
  </si>
  <si>
    <t>Curso de verano</t>
  </si>
  <si>
    <t>La mañana de este miércoles, autoridades de los tres órdenes de gobierno desplegaron un operativo en la comunidad de San Sebastián Tenochtitlán, municipio de Nopala de Villagrán, tras el hallazgo del cuerpo sin vida de un hombre. De acuerdo con los primeros reportes, el hombre sin vida en Nopala de Villagrán fue localizado sobre un camino ubicado detrás de la iglesia de la comunidad. La víctima presentaba huellas de violencia y, hasta el momento, permanece en calidad de no identificada. En el sitio también fue localizada una lona con un mensaje, la cual fue asegurada por las autoridades ministeriales como parte de los indicios recabados durante el procesamiento de la escena. Las autoridades no han confirmado el origen, autenticidad o contenido del mensaje, por lo que será integrado a la carpeta de investigación para su análisis. Tras el reporte, elementos de distintas corporaciones de seguridad acordonaron el área para preservar el lugar de los hechos. Posteriormente, personal de la Procuraduría General de Justicia del Estado de Hidalgo (PGJEH) y de Servicios Periciales realizó el procesamiento de la escena, el levantamiento de evidencias y el traslado del cuerpo para la práctica de los estudios correspondientes. Hasta el momento, las autoridades no han confirmado la identidad de la víctima ni han informado sobre personas detenidas en relación con este caso. La PGJEH mantiene abierta la carpeta de investigación para esclarecer las circunstancias en que ocurrieron los hechos, determinar el móvil del crimen e identificar a la persona fallecida.</t>
  </si>
  <si>
    <t>Entrevista vía telefónica Pablo Gómez, delegado Nacional de Movimiento Ciudadano - Habló sobre su reciente nombramiento como delegado Nacional de Movimiento Ciudadano en Hidalgo, cargo por la dirigencia nacional encabezada por Jorge Álvarez Máynez para coordinar y fortalecer la estructura de cara a los procesos electorales locales. Respecto a la relación que mantiene con el gobierno de Julio Menchaca, dijo, es una relación muy buena tanto de ida como de vuelta, con amplía participación, siempre en favor de las y los hidalguenses.</t>
  </si>
  <si>
    <t>MC</t>
  </si>
  <si>
    <t>El Fondo de Población de Naciones Unidas comparte experiencias con parteras de Hidalgo.</t>
  </si>
  <si>
    <t>Las constantes fallas en el suministro de energía eléctrica provocaron presuntos daños en dos equipos de bombeo del sistema de agua potable, situación que afectará el servicio para cientos de familias en la región. La Comisión de Agua Potable, Alcantarillado y Saneamiento de Zimapán (CAPASAZIM) informó que los pozos Centro Expositor y El Detzani sufrieron daños totales a causa de las variaciones de voltaje registradas recientemente. Debido a esta avería, el abastecimiento de agua será intermitente en la cabecera municipal, colonias de la periferia, la comunidad de Detzani y localidades aledañas, mientras se ejecutan las labores de sustitución de la infraestructura afectada. Desde hace semanas, ciudadanos han denunciado a través de redes sociales los apagones constantes. Los habitantes señalan que estas interrupciones han provocado daños en aparatos eléctricos, además de la pérdida de alimentos y medicamentos que requieren refrigeración.</t>
  </si>
  <si>
    <t>El Instituto Mexicano del Seguro Social (IMSS) en Hidalgo invita a la comunidad a participar en los cursos vacacionales de verano 2026, denominados “Verano IMSS imparable”, los cuales están dirigidos a niñas, niños y adolescentes en los Centros de Seguridad Social (CSS) de Pachuca, Ciudad Sahagún y Tepeji del Río. El objetivo de los cursos vacacionales de verano 2026 es brindar espacios de convivencia, aprendizaje, activación física y promoción de hábitos y conductas saludables a los menores durante el periodo vacacional escolar. El jefe de la Oficina de Cultura Física y Deporte de la Jefatura de Salud en el Trabajo, Prestaciones Económicas y Sociales, del IMSS en Hidalgo, Jonathan Meneses Ghenno, destacó que estos espacios que se apertura de manera anual buscan fomentar actividades deportivas, lúdicas que permitan el desarrollo integral de los menores, además de incentivas en ellos conductas saludables, en un ambiente seguro. Los cursos están dirigidos a menores desde los 6 hasta los 15 años, organizados por grupos de edad, para garantizar una atención adecuada y actividades acordes a su desarrollo físico y emocional. Los CSS de Pachuca y Tepeji del Río otorgará cursos para menores de edades de 6 a12 años, mientras que el de Ciudad Sahagún tendrá espacios para niños y adolescentes de 6 a15 años, para lo que padres o tutores deberán acudir a las instalaciones correspondientes para realizar el proceso de inscripción, la cual concluirá el 17 de julio.</t>
  </si>
  <si>
    <t>La Secretaría de Educación Pública (SEP) publicó en el Diario Oficial de la Federación el calendario escolar oficial 2026-2027 de 185 días efectivos. El ciclo iniciará el lunes 31 de agosto de 2026 y concluirá el viernes 9 de julio de 2027, aplicable a preescolar, primaria y secundaria en todo el país.</t>
  </si>
  <si>
    <t>Congreso del Estado Libre y Soberano de Hidalgo recibió del Poder Judicial del Estado de Hidalgo un paquete de iniciativas de reforma a la Ley Orgánica del Poder Judicial del Estado de Hidalgo y a la legislación en materia de mecanismos de solución de controversias, propuestas que responden a las necesidades de fortalecimiento del marco normativo para consolidar un modelo de justicia más eficiente, cercano, accesible y acorde a las transformaciones que vive el país. El diputado Andrés Velázquez Vázquez, presidente de la Junta de Gobierno, celebró la sólida coordinación y colaboración entre los poderes Ejecutivo, Legislativo y Judicial como un hecho sin precedentes orientado al fortalecimiento de las instituciones y bienestar de la población. También reconoció el liderazgo de la magistrada presidenta Rebeca Aladro Echeverría por impulsar la modernización, transparencia y humanización de la impartición de justicia, así como el respaldo del gobernador Julio Menchaca Salazar para consolidar un trabajo conjunto entre los poderes públicos.</t>
  </si>
  <si>
    <t>Iniciativa</t>
  </si>
  <si>
    <t>OEEH fortalece acciones para garantizar una venta de boletos justa y transparente para el Palenque de la Feria de San Francisco 2026</t>
  </si>
  <si>
    <t>Dos personas detenidas, drogas, armas de fuego y cartuchos útiles asegurados durante cateo de la PGJEH en Pachuca.</t>
  </si>
  <si>
    <t>Con trabajo coordinado, Hidalgo se mantiene entre los estados más seguros del país</t>
  </si>
  <si>
    <t>Capacita SSH a personal de enfermería para fortalecer la seguridad de las y los pacientes</t>
  </si>
  <si>
    <t>Capacitación médica</t>
  </si>
  <si>
    <t>Julio Menchaca consolida el impulso a las mipymes: créditos crecen casi 10 veces en cuatro años. (AUDIO JMS).</t>
  </si>
  <si>
    <t>Ayer estuvo circulando en redes sociales la noticia de que fue robado un vehículo por patrullas falsas en la carretera México-Tuxpan a la altura de Huauchinango, se reportaba que un operativo de presuntas patrullas falsas detuvo al automovilista, lo bajaron de su vehículo y después huyeron con su unidad. Este tipo de operativos también se ha reportado en San Alejo, situación que ha preocupado a la ciudadanía, locutor Jesús Riveros señaló, que les han compartido fotografías de patrullas que traen rotulado “Policía Federal Ministerial” en camionetas de último modelo, el punto, dijo, es que ya genera desconfianza el tema de los operativos en la región.</t>
  </si>
  <si>
    <t>Siguen los temas de violencia, de inseguridad, en la carretera, los intentos de asalto, que, cada vez son más comunes en las carreteras de nuestro país, comentó locutor Jesús Riveros, referente al intento de asalto a un tractocamión en Tolcayuca.</t>
  </si>
  <si>
    <t>Entrevista vía telefónica Luis Alberto Mercado, titular de la Comisión para la Protección contra Riesgos Sanitarios del Estado de Hidalgo - Habló sobre las acciones de prevención que realiza la Copriseh en Balnearios y Parque Acuáticos con el objetivo de garantizar las adecuadas condiciones sanitarias durante las vacaciones de verano.</t>
  </si>
  <si>
    <t>Un intento de asalto a tractocamión en Tolcayuca provocó una movilización de corporaciones de seguridad la noche de este martes sobre la carretera federal México-Pachuca, luego de que un operador denunciara haber sido atacado por hombres armados. De acuerdo con los primeros reportes, el conductor circulaba a la altura del municipio de Tolcayuca cuando presuntamente fue interceptado por varios sujetos que viajaban en un automóvil gris, identificado preliminarmente como un Dodge Attitude. Los agresores habrían realizado disparos contra la unidad con la intención de obligarlo a detenerse. Pese a la agresión, el operador continuó la marcha del tractocamión hasta llegar a la gasolinera ubicada en la zona de Los Asados San Miguel, donde solicitó auxilio y dio aviso a las autoridades. Información preliminar señala que la unidad de carga recibió varios impactos de arma de fuego; sin embargo, hasta el momento no se ha informado oficialmente sobre daños mayores al vehículo. Tras el reporte, elementos de corporaciones estatales y municipales implementaron un operativo de búsqueda con apoyo del sistema de videovigilancia del C5i Hidalgo, con el objetivo de ubicar a los presuntos responsables. Las primeras versiones indican que los sospechosos escaparon con dirección a Pachuca a bordo de un automóvil gris. Hasta el momento no se ha confirmado de manera oficial el modelo del vehículo, por lo que esta información permanece sujeta al avance de las investigaciones. Hasta el cierre de esta información, las autoridades no habían reportado personas detenidas en relación con los hechos.</t>
  </si>
  <si>
    <t>La PGJEH vinculó a proceso a un sujeto identificado con las iniciales S.H.J. (o U.H.J.) por los delitos de homicidio doloso calificado y robo de vehículo. El imputado engañó a la víctima para comprarle una camioneta, la asesinó para robarle la unidad y, durante su huida, sustrajo una patrulla de la policía estatal. Los hechos ocurrieron en la localidad de El Saucillo, en el municipio de Mineral de la Reforma. Tras el homicidio, se desató una persecución en la que el sospechoso robó una patrulla de la Secretaría de Seguridad Pública de Hidalgo (SSPH) antes de ser finalmente acorralado y detenido. Aunque en un primer momento el detenido declaró ser menor de edad, las indagatorias ministeriales determinaron que tiene 18 años cumplidos, por lo que será procesado como adulto.</t>
  </si>
  <si>
    <t>Julio Menchaca consolida el impulso a las mipymes: créditos crecen casi 10 veces en cuatro años.</t>
  </si>
  <si>
    <t>Sebiso mantiene entrega de tarjetas de programas sociales.</t>
  </si>
  <si>
    <t>Enfoque Regional Meridiano</t>
  </si>
  <si>
    <t>Hoy en la conferencia mañanera de la presidenta de México estuvo la Conagua y de la Semarnat en donde dieron a conocer los avances sobre el río Tula y otros dos ríos que también se están tratando de sanear.Informarón que el río Tula forma parte de los cuerpos de agua prioritaria para el gobierno federal a los problemas de contaminación identificados durante recorridos realizados por autoridades ambientales, quienes anunciaron acciones para su saneamiento y restauración en Hidalgo, AUDIO APOYO SECRETARIA DEL MEDIO AMBIENTE Y RECURSOS NATURALES A NIVEL FEDERAL ALICIA BÁRCENAS</t>
  </si>
  <si>
    <t>Saneamiento río Tula</t>
  </si>
  <si>
    <t>Por instrucciones del Gobernador Julio Menchaca Salazar, el Titular de Planeación y Persectiva del gobierno de Hidalgo, Miguel Ángel Tello, realizó un recorrido por la comunidad de San Marcos en Tula para revisar el avance de una de las obras que realiza el gobierno de México a través de la Conagua y la Semarnat. Estos trabajos buscan reducir riesgos durante las lluvias, proteger árboles y permitir que el agua se infiltre de manera natural, una solución basada en la naturaleza que retoma el modelo de Ciudad Esponja y que ya comienza a tomar forma en la región de Tula, AUDIO APOYO</t>
  </si>
  <si>
    <t>Ciudades Esponja</t>
  </si>
  <si>
    <t>Comentó conductor Jesus Gónzalez, que se sabe que hay mucho trabajo que se viene realizando en torno al río Tula, una idea clara que tiene la presidenta de México, Claudia Sheinbaum de sanear el río Tula. Recordando que fue cuando rindió protesta como presidenta de México, dijo que iba a sanear tres ríos y uno de ellos es el río Tula. Parte de los trabajos que se llevan a cabo en el río Tula son en la zona de San Marcos</t>
  </si>
  <si>
    <t>Vía telefónica Elizabeth Quintanar Gómez, titular de Turismo de Hidalgo con el tema : Festival Sabor a Hidalgo. Comentó que “Sabor a Hidalgo” reunirá la riqueza gastronómica y turística de los 37 Pueblos con Sabor, informó que el evento se realizará el sábado 1 de agosto, de 10:00 a 20:00 horas, en la plaza principal del Pueblo Mágico de Zempoala, con acceso libre para las y los visitantes.</t>
  </si>
  <si>
    <t>Festival Sabor a Hidalgo</t>
  </si>
  <si>
    <t>Entrevista pautada</t>
  </si>
  <si>
    <t>Pide Edda Vite evitar la normalización de la violencia contra la niñez y la adolescencia</t>
  </si>
  <si>
    <t>Docentes de Hidalgo participan en intercambio educativo en Estados Unidos</t>
  </si>
  <si>
    <t>Intercambio académico</t>
  </si>
  <si>
    <t>La partería, figura esencial en las comunidades indígenas, AUDIO APOYO</t>
  </si>
  <si>
    <t>Natividad Castrejón encabeza clausura del ciclo escolar 2025-2026 en Tulancingo, AUDIO APOYO</t>
  </si>
  <si>
    <t>Fin de ciclo escolar</t>
  </si>
  <si>
    <t>Sabor y tradición se reunirán en el 2.° Festival de la Barbacoa del Valle del Mezquital, AUDIO APOYO</t>
  </si>
  <si>
    <t>Festival Gastronómico</t>
  </si>
  <si>
    <t>Canal 12 Huejutla</t>
  </si>
  <si>
    <t>Contacto Informativo M</t>
  </si>
  <si>
    <t>Vía telefónica Elizabeth Quintanar Gómez, titular de Turismo de Hidalgo con el tema : “Sabor a Hidalgo” reunirá la riqueza gastronómica y turística de los 37 Pueblos con Sabor</t>
  </si>
  <si>
    <t>Jackeline Vázquez</t>
  </si>
  <si>
    <t>Miled 97.1 FM</t>
  </si>
  <si>
    <t>Línea en Alta Tensión</t>
  </si>
  <si>
    <t>María Antonieta Islas</t>
  </si>
  <si>
    <t>Se va a realizar el segundo festival de la barbacoa del Valle del Mezquital el próximo 25 de julio. Esto será en el municipio de Santiago de Anaya, donde participarán productores de 13 municipios, quienes cocinarán más de 150 borregos en hornos de tierra con la técnica tradicional de pencas de maguey. El evento va a iniciar a las 8 de la mañana y busca preservar la gastronomía regional, impulsar el consumo de productos locales y fortalecer la economía de las comunidades. Además de la venta de barbacoa, habrá concurso de la mejor salsa, exposición de artesanías, productos derivados del maguey y una amplia cartelera artística y cultural. Las autoridades estatales destacaron que el festival también promoverá los atractivos turísticos del Valle del Mezquital y esperan superar la asistencia registrada en el primer encuentro, en el primer festival realizado en el 2025. AUDIO DE APOYO</t>
  </si>
  <si>
    <t>Cambiemos de temas, y es que Huasca de Ocampo será sede del sexto campeonato nacional de pesca de trucha inclusiva los días 17 y 18 de julio, mañana viernes y sábado en el Bosque de las Truchas, un evento que reunirá a 56 equipos de tres estados del país y una delegación de San Antonio, Texas, de Estados Unidos. Los organizadores destacaron que el campeonato busca promover la inclusión a través del deporte con la participación de personas con discapacidad, niñas y niños, además de pescadores veteranos. Durante el evento habrá intérpretes de Lengua de Señas Mexicana, espacios accesibles y actividades recreativas para garantizar la participación de todas y todos los asistentes. La competencia iniciará mañana viernes con una clínica de pesca inclusiva y la ceremonia inaugural.</t>
  </si>
  <si>
    <t>La Procuraduría General de Justicia de Hidalgo obtuvo la vinculación a proceso de un hombre identificado con las iniciales S.H.J., acusado de homicidio calificado, robo y robo calificado por hechos ocurridos el pasado 7 de julio en El Saucillo, municipio de Mineral de la Reforma. De acuerdo con las investigaciones, el imputado presuntamente asesinó al propietario de una camioneta Ford F-150 cuando este se la mostraba para venderla con el fin de apoderarse del vehículo. Tras un operativo coordinado entre el C5i, la Secretaría de Seguridad Pública de Hidalgo y la Guardia Nacional, el sujeto abandonó la camioneta, robó una patrulla y finalmente fue detenido en el municipio de Zempoala. Un juez de control lo vinculó a proceso, le dictó prisión preventiva oficiosa y fijó un plazo de seis meses para el cierre de la investigación complementaria.</t>
  </si>
  <si>
    <t>Continuando con los temas de seguridad en el estado, un violento intento de asalto se registró sobre la carretera México-Pachuca, esto a la altura de Tolcayuca, donde un operador de tráiler logró salvar la vida tras ser atacado a disparos por presuntos delincuentes que intentaban obligarlo a detener su unidad. De acuerdo con la policía estatal, el conductor fue interceptado por un vehículo particular, desde el cual comenzó a dispararle. Pese al ataque, el trailero consiguió escapar y pedir ayuda a través del número de emergencia.</t>
  </si>
  <si>
    <t>Un juez federal en Hidalgo sentenció a ocho años de prisión a José N., luego de que la Fiscalía General de la República acreditó su responsabilidad en el delito de posesión ilícita de hidrocarburo. La condena también incluye el decomiso de los bienes asegurados, una multa de ocho mil UMAs, amonestación pública y la suspensión de sus derechos civiles y políticos. El ahora sentenciado José N. fue detenido en Acaxochitlán por policías municipales y estatales cuando transportaba 2 mil 138 litros de gasolina distribuidos en 11 tambos dentro de una camioneta, sin poder acreditar su legal procedencia. La sentencia fue obtenida por la Fiscalía General de la República mediante un procedimiento abreviado.</t>
  </si>
  <si>
    <t>Combate Al Huachicol</t>
  </si>
  <si>
    <t>Autoridades estatales y federales desmantelaron un presunto punto de venta de droga en el municipio de Tizayuca, mediante un cateo realizado en la colonia Huitzila. La Secretaría de Seguridad Pública de Hidalgo aseguró a un hombre y una mujer, además de 369 dosis de presuntos narcóticos. En el operativo realizado en coordinación con la Procuraduría de Hidalgo, la Defensa y la Guardia Nacional fueron decomisadas dosis de marihuana y cristal, así como una báscula de precisión, dinero en efectivo y dos teléfonos celulares. Todos los indicios quedaron a disposición del Ministerio Público para continuar con las investigaciones.</t>
  </si>
  <si>
    <t>La Secretaría de Seguridad Pública de Hidalgo desarticuló tres puntos de venta y distribución de droga en el municipio de Acatlán, donde fueron detenidas siete personas durante un operativo coordinado entre la Defensa Nacional, la Guardia Nacional y la Procuraduría Estatal. Estos cateos se realizaron en inmuebles de las localidades de Almoloya, Metepec y El Milagro en San Simón. En el lugar fueron asegurados seis hombres y una mujer, además de 883 dosis de marihuana, 203 dosis de presunto cristal, tres motocicletas, una réplica de arma de fuego, una báscula gramera y dos teléfonos celulares. Los detenidos y los indicios quedaron a disposición del Ministerio Público que continuará con las investigaciones para determinar su situación jurídica.</t>
  </si>
  <si>
    <t>El Gobierno de México informó que el Plan Maestro de Recuperación de la Presa Endhó fue diseñado con respaldo de evidencia científica y experiencias de saneamiento aplicadas en ocho países. La estrategia busca recuperar el equilibrio ecológico del embalse mediante el control sanitario, innovación tecnológica y acciones de economía circular. Como parte de los avances, se han retirado más de 109 mil 600 metros cúbicos de lirio acuático y fumigado más de 2 mil 700 hectáreas para combatir al mosco cúlex. Además, 27 comunidades ribereñas acumulan entre 7 y 8 aplicaciones de fumigación terrestre, beneficiando a más de 27 mil habitantes. Mientras, la Conagua aseguró que continuará con las acciones de saneamiento y recuperación ambiental de la Presa Endhó.</t>
  </si>
  <si>
    <t>Control lirio acuático</t>
  </si>
  <si>
    <t>La planta de Cruz Azul en Ciudad Cooperativa prevé reactivar sus operaciones en aproximadamente tres meses tras una serie de gestiones y acompañamiento técnico a través de la ventanilla única de la Sedeco. El secretario de Desarrollo Económico, Carlos Henkel Escorza, informó que este proyecto contempla una nueva línea de producción, un hospital y desarrollos deportivos, sumándose al noveno anuncio de inversiones del gobernador Julio Menchaca el próximo mes de agosto. AUDIO DE APOYO</t>
  </si>
  <si>
    <t>Cruz Azul</t>
  </si>
  <si>
    <t>A ya más de un año del accidente en el que un elevador colapsó en un inmueble del municipio de Tlaxcoapan, ¿se acuerda usted? Este elevador que cayó dos pisos y que dejó varios lesionados, pues ya un juez de control vinculó a proceso a la persona señalada como probable responsable de los hechos. La determinación judicial se dio luego de que el Ministerio Público presentara los datos de prueba recabados durante la investigación, los cuales fueron considerados suficientes para continuar con el proceso penal en contra del imputado. Como parte de las medidas cautelares, el juez fijó el plazo para el cierre de la investigación complementaria, así lo informó el asesor jurídico de las víctimas, Elton Estrada García. Este caso sin duda generó amplia atención pública debido a que el desplome del elevador dejó a varias personas lesionadas y abrió una investigación para determinar cuáles fueron las posibles responsabilidades por presuntas omisiones relacionadas con la instalación, el mantenimiento o condiciones de operación del equipo. Le vamos a dar puntual seguimiento a este tema. AUDIO DE APOYO</t>
  </si>
  <si>
    <t>La unidad móvil de Pemex ofrecerá consultas gratuitas en el municipio de Francisco I. Madero como parte de la estrategia del gobierno de Hidalgo para acercar servicios de salud a la población. Esta unidad médica móvil de Pemex estará del 13 al 17 de julio. Las y los habitantes podrán acceder sin costo a consultas de medicina general, nutrición y odontología, además de ultrasonidos, electrocardiogramas, pruebas de glucosa, colesterol y triglicéridos, así como medicamentos del cuadro básico. La directora general de Atención al Pueblo, Annaline Rivera Delgado, informó que el servicio estará disponible de 8:30 de la mañana a 4 de la tarde del 13 al 17 de julio allá en Francisco I. Madero, e invitó a la población a consultar las sedes en la página de Facebook del despacho del gobernador y aprovechar esta jornada gratuita y sin intermediarios.</t>
  </si>
  <si>
    <t>Despacho</t>
  </si>
  <si>
    <t>Unidad Médica Móvil</t>
  </si>
  <si>
    <t>El gobernador de Hidalgo, Julio Menchaca Salazar, se reunió con directivos de la gerencia divisional Centro Oriente de la Comisión Federal de Electricidad para fortalecer las acciones que garanticen el suministro de energía en todo el estado. Durante el encuentro se revisaron estrategias para mantener un servicio eléctrico de calidad y brindar atención oportuna a las necesidades de la población. Además, el mandatario entregó el instrumento legal que permitirá a la CFE operar la subestación eléctrica Corporación de Fomento de Infraestructura Industrial, con el propósito de fortalecer la infraestructura energética en Hidalgo.</t>
  </si>
  <si>
    <t>Coordinación Interinstitucional</t>
  </si>
  <si>
    <t>Ante los recientes accidentes viales en los que se han visto involucradas unidades del servicio público y particulares, la secretaria de Movilidad y Transporte de Hidalgo, Lizbeth Robles Gutiérrez, llamó a los municipios para endurecer la aplicación de los reglamentos de tránsito. Por otra parte, la presidenta del patronato del Sistema DIF Hidalgo, Edda Vite Ramos, destacó la inversión que se da al Hospital del Niño DIF para atender a niños con cáncer. De 100 millones de pesos en todo el tiempo que va de este año, pues se ha hecho una gran inversión precisamente con aparatos de última generación, precisamente para que los diagnósticos sean mucho más rápidos y los niños reciban el tratamiento adecuado. AUDIO DE APOYO</t>
  </si>
  <si>
    <t>Prevención de accidentes</t>
  </si>
  <si>
    <t>Respecto a la propuesta de pobladores de fraccionamientos que no cuentan con la municipalización para convertirse en un nuevo municipio del estado de Hidalgo, el gobernador Julio Menchaca Salazar aseguró que hay posibilidades legales. Y es que es todo un tema esta situación de los fraccionamientos porque llega el punto en el que necesitan municipalizarse para tener beneficios en cuanto a obra pública, drenaje, carretera, seguridad, alumbrado; ahí es donde pues la situación se empieza a complicar. Al momento el gobernador ha dicho no se ha aprobado nada, sí hay posibilidades, pero el estado cuenta con 84 municipios</t>
  </si>
  <si>
    <t>Como le mencionaba al principio de este espacio, fue localizada con vida, afortunadamente, qué bueno, la señora Magdalena Alvarado Hernández, conocida como la señora Lennis, quien permanecía desaparecida desde el pasado 12 de julio en el municipio de Ajacuba. Tras varios días de intensa búsqueda, vecinos que participaban de manera voluntaria en el operativo lograron encontrar a la adulta mayor la tarde de este miércoles, aparentemente, en una zona de un cerro de Tezoquipa, en Atitalaquía. Les platico la historia, les platico la historia de lo que a nosotros nos ha tocado vivir. Autoridades y cuerpos de auxilio brindaron atención a la mujer para valorar su estado de salud. AUDIO DE APOYO.</t>
  </si>
  <si>
    <t>Localización de persona</t>
  </si>
  <si>
    <t>Radioescucha reporta que no funionan las luminarias por la Plutarco</t>
  </si>
  <si>
    <t>Radioescucha Sra. Vero, pide en Avenida Revolución falta de iluminación; siempre se ve oscuro.</t>
  </si>
  <si>
    <t>Radioescucha colectivas de la zona Chavarria - La Calera siguen con sobrecupo a pesar de las vacaciones escolares.</t>
  </si>
  <si>
    <t>Radioescucha reporta falta de agua en la colonia Rojo Gómez; tenemos más de 10 días sin servicio.</t>
  </si>
  <si>
    <t>Abasto de agua</t>
  </si>
  <si>
    <t>Radioescucha reporta fuga de agua en calzada de Cuesco, ya lleva varios dias</t>
  </si>
  <si>
    <t>Radioescucha reporta una gran fuga de agua en Zona Plateada</t>
  </si>
  <si>
    <t>Radioescucha comenta que un grupo de personas permanecen bloqueando la avenida Pachuca - Tulancingo a la altura del fraccionamiento 11 de Julio en ambos sentidos</t>
  </si>
  <si>
    <t>Bloqueo Carretero</t>
  </si>
  <si>
    <t>Radioescucha pide bacheo en Fernández de Lizardi, en Av. Piracantos y el Arbolito.</t>
  </si>
  <si>
    <t>Bacheo</t>
  </si>
  <si>
    <t>Radioescucha pide limpieza en la ciclovía en la Plutarco, en la calle que sale hasta Colosio, ya que se tiene mucho escombro de la gente, como muebles, basura, etc., esto a la altura de la Plutarco. Manda foto y luego nos quejamos de que cuando llueve se tapan las coladeras.</t>
  </si>
  <si>
    <t>En vivo en cabina, Jorge Hernández, del municipio de Pachuca, informando que sigue el bacheo permanente en todo el municipio, hoy en G. Bonfil, en Rojo Gómez y en Santa Julia. También informó que continúa el programa “Colonia x colonia” para acercar los servicios a la gente a sus colonias, invita a la gente a que, si tiene alguna denuncia o situación con la que se pueda ayudar, están al pendiente para darle seguimiento.</t>
  </si>
  <si>
    <t>Atención Ciudadana</t>
  </si>
  <si>
    <t>Participación</t>
  </si>
  <si>
    <t>A través de la campaña de pulpoterapia neonatal, implementada en el ISSSTE Hidalgo, se logró recaudar 400 pulpitos tejidos que fueron donados para brindar apoyo, acompañamiento emocional y sensorial a bebés prematuros que se encuentran internados en la unidad de cuidados intensivos. La neonatóloga Daniela Solis del Hospital General Dra. Columba Rivera Osorio explicó que la pulpoterapia neonatal ha sido utilizada en distintos hospitales del mundo como una alternativa de acompañamiento para recién nacidos prematuros. Los muñecos tejidos cuentan con tentáculos suaves que recuerdan el cordón umbilical,lo que puede generar una sensación de tranquilidad y seguridad en los pequeños pacientes.</t>
  </si>
  <si>
    <t>Terapia neonatal</t>
  </si>
  <si>
    <t>Entrevista vía telefónica con la Dra. Consuelo Cabrera, subdelegada médica del ISSSTE Hidalgo, con el tema: Entrega de pulpitos crochet. Comento que se sumaron muchas asociaciones, personal, derechohabientes, no derechohabientes, tejedoras y muchas personas más. Hace 2 meses se realizó la convocatoria e identificamos que solo se tenía un pulpito en el área y surgió hacer esta campaña para los bebés de cuidados intensivos neonatales. Estos pulpitos funcionan para dar tranquilidad a los bebés; esto les ayuda con varios beneficios para regular la presión arterial, disminuye el dolor, recuperan peso, les da mucha tranquilidad.</t>
  </si>
  <si>
    <t>En la sesión ordinaria número 200, los diputados Miguel Ángel Moreno Zamora y Andrés Velázquez Vázquez, del grupo legislativo de Morena, presentaron la iniciativa que reforma la Ley Orgánica Municipal, así como la Constitución Política, ambas del Estado de Hidalgo, con el objetivo de dotar de mayor agilidad, eficiencia y oportunidad a la gestión administrativa municipal, eliminando la obligatoriedad de que los titulares de las presidencias requieran autorización previa del ayuntamiento para celebrar cualquier contrato o convenio con particulares o instituciones oficiales, lo que agiliza la celebración de instrumentos jurídicos que permitan atender con mayor oportunidad las necesidades de la población.</t>
  </si>
  <si>
    <t>El diputado Marco Antonio Mendoza Bustamante, integrante del grupo legislativo del PRI, presentó una iniciativa para reformar el Código Penal para el Estado de Hidalgo. El objetivo es que la autoridad judicial privilegie que el trabajo comunitario se ejecute mediante actividades, capacitaciones o talleres orientados a la prevención, concientización y reparación del tejido social.La propuesta busca transitar de un modelo punitivo tradicional hacia uno que priorice la educación y la reinserción social. El legislador señaló que actualmente las labores comunitarias suelen ser genéricas, por lo que se propone aplicar principios de especialización e idoneidad para que la sanción esté vinculada directamente con la conducta infractora.</t>
  </si>
  <si>
    <t>TV Cable hidalguense Canal 6</t>
  </si>
  <si>
    <t>Contigo Noticias</t>
  </si>
  <si>
    <t>Hidalgo será sede de la gimnasiada nacional 2026, teniendo como sede principal la Ciudad Deportiva de Alto Rendimiento de Hidalgo, junto con el Polideportivo de la Universidad Autónoma del Estado de Hidalgo, uno de los eventos escolares más importantes del país. La Gimnasiada Nacional 2026 reunirá a más de 5000 atletas provenientes de las 32 entidades federativas, consolidando a Hidalgo como un referente nacional en la organización de eventos deportivos de gran magnitud, además esta competencia será el proceso clasificatorio para la Gimnasiada Mundial 2027 y el campeonato escolar federado en México, brindando a las y los atletas, la oportunidad de representar al país en escenarios internacionales.</t>
  </si>
  <si>
    <t>Justa Deportiva</t>
  </si>
  <si>
    <t>Dos personas detenidas; drogas, armas de fuego y cartuchos útiles asegurados durante cateo de la PGJEH en Pachuca</t>
  </si>
  <si>
    <t>El Fondo de Población de Naciones Unidas comparte experiencias con parteras de Hidalgo</t>
  </si>
  <si>
    <t>Proporciona IAAMEH atención gerontológica en zonas alejadas</t>
  </si>
  <si>
    <t>Atención a adultos mayores</t>
  </si>
  <si>
    <t>Hidalgo busca convertirse en un escenario cada vez más atractivo para la industria del cine y la televisión. Con ese objetivo, la Secretaría de Turismo del Estado realizó un recorrido de reconocimiento con 15 casas productoras nacionales, agencias y profesionales del sector audiovisual para mostrar algunos de los principales escenarios naturales, arquitectónicos y culturales de la entidad. Durante tres días, las y los representantes de la industria cinematográfica recorrieron municipios como Omitlán de Juárez, Atotonilco el Grande, Meztitlán, Zapotlán de Juárez y Pachuca, donde conocieron espacios con potencial para la grabación de películas, series, comerciales y otros proyectos audiovisuales. En la actividad también participó la Comisión Mexicana de Filmaciones, organismo encargado de promover a México como destino para producciones nacionales e internacionales, lo que fortalece la posibilidad de que Hidalgo sea considerado para futuros proyectos del sector. Las autoridades estatales explicaron que este tipo de recorridos permite a las productoras conocer de primera mano las locaciones disponibles, así como la infraestructura, servicios y facilidades con las que cuenta cada destino para albergar filmaciones.</t>
  </si>
  <si>
    <t>Producción audiovisual</t>
  </si>
  <si>
    <t>Con el propósito de hacer más transparente la venta de boletos para el palenque de la Feria de San Francisco 2026 y combatir la reventa, la operadora de eventos del estado de Hidalgo anunció nuevas medidas que buscan garantizar un proceso de compra más justo para las y los asistentes. Como parte de los acuerdos alcanzados con la empresa organizadora del palenque y la boletera responsable de la venta, cada persona podrá adquirir un máximo de cuatro boletos por evento, y únicamente para tres artistas diferentes durante el proceso de compra. De acuerdo con la operadora de eventos, esta medida tiene como objetivo evitar que un reducido número de personas concentre grandes cantidades de entradas para revenderlas posteriormente a precios mucho más elevados, una práctica que año con año genera inconformidad entre quienes buscan asistir a los espectáculos. Durante el inicio de la venta, también participó personal de la Oficina de Defensa del Consumidor, que supervisó el cumplimiento de la normatividad vigente y brindó acompañamiento para garantizar el respeto a los derechos de las personas compradoras. La reventa de boletos representa un problema recurrente en conciertos, ferias y espectáculos masivos, ya que además de elevar los precios, limita el acceso del público y favorece prácticas que afectan la transparencia del proceso de comercialización. Con este nuevo esquema, las autoridades buscan que un mayor número de personas tengan la oportunidad de adquirir sus entradas directamente a precio oficial, fortaleciendo la confianza de los consumidores y reduciendo las posibilidades de que intermediarios acaparen los boletos.</t>
  </si>
  <si>
    <t>Fortalece Hidalgo capacidades institucionales para proteger a niñas y adolescentes mediante la Ruta NAME</t>
  </si>
  <si>
    <t>Ruta NAME</t>
  </si>
  <si>
    <t>Le presentamos también los comentarios que añadió el presidente municipal de Mineral de la Reforma, Eduardo Medezigo Rubio, sobre la urbanización en el cerro de Cubitos. “Nosotros confiamos mucho en el tema de la protección que se está tratando de dar por parte de Semarnath, tanto estatal como federal, al tema de las zonas que se mencionan mucho en el área de las fugas que pertenecen a mineral de la reforma. Esperaremos a que Semarnath resuelva. Nosotros estamos en la bajo la normativa de que pues entre mayores áreas verdes existan mucho mejor para nosotros y para todos.”</t>
  </si>
  <si>
    <t>Proyecto de urbanización</t>
  </si>
  <si>
    <t>Los delitos de robo en Mineral de la Reforma registraron una disminución del 30% durante julio, así lo informó la Secretaría de Seguridad Pública Municipal durante su conferencia mensual de seguridad, de acuerdo con el titular de la corporación, Jorge Alberto Trejo Terrazas, en mayo se contabilizaron 30 robos, mientras que en julio la cifra descendió a 21 casos. Las autoridades también reportaron 221 faltas administrativas, un incremento del 12.2% respecto a mayo, relacionadas principalmente con alteración del orden público, agresiones y conducir bajo los efectos del alcohol. La directora del C2 informó que el tiempo promedio de respuesta a los llamados de emergencia se mantiene en 9 minutos. Por su parte, el alcalde Eduardo Medez Higo Rubio anunció que tras reunirse con el Secretario de Seguridad Pública de Hidalgo, se acordó fortalecer el sistema de videovigilancia del municipio mediante la instalación de 50 kits, equivalentes a 150 cámaras que serán colocadas en puntos estratégicos para reforzar las labores de prevención y vigilancia.</t>
  </si>
  <si>
    <t>Cuatro integrantes del grupo delictivo conocido como "Los Hijos del Diablo" fueron sentenciados a siete años de prisión por el delito de extorsión, además de ser condenados al pago de 18 millones 160 mil 500 pesos por concepto de reparación del daño a favor de las víctimas. De acuerdo con la Procuraduría General de Justicia del Estado de Hidalgo (PGJEH), "Los Hijos del Diablo" mantenían un esquema de cobro de extorsiones contra concesionarios y operadores del transporte público que cubrían rutas entre Tizayuca y municipios del Estado de México. Las investigaciones establecieron que el grupo exigía pagos periódicos bajo amenazas y actos de violencia, además de utilizar diversas cuentas bancarias para recibir el dinero obtenido ilícitamente. La PGJEH informó en su momento que las cantidades exigidas alcanzaban entre un millón y 1.2 millones de pesos mensuales, recursos que las empresas habrían entregado durante varios años. En septiembre de 2023, autoridades de Hidalgo y del Estado de México desplegaron un operativo coordinado que permitió la captura de ocho presuntos integrantes de la organización criminal. Dos de ellos fueron detenidos en Tizayuca, mientras que los otros seis fueron ubicados en Zumpango y Tecámac, Estado de México, como parte de las investigaciones por las extorsiones y homicidios de transportistas. En ese momento, la PGJEH señaló que la organización era investigada no sólo por extorsión, sino también por su presunta participación en homicidios de operadores del transporte público ocurridos durante el conflicto que afectó a las rutas de pasajeros entre Hidalgo y el Valle de México.</t>
  </si>
  <si>
    <t>Sentencia</t>
  </si>
  <si>
    <t>En cabina Guadalupe Rodríguez Uribe, titular de la Secretaría de Cultura, Educación, Deporte y Juventud de Tulancingo y personal de la dirección de cultura invitan a los niños a participar en el curso de verano que el ayuntamiento impartirá a partir del lunes 20 al 31 de julio de 9 de la mañana a 3 de la tarde.</t>
  </si>
  <si>
    <t>En cabina Guadalupe Rodríguez Uribe, titular de la Secretaría de Cultura, Educación, Deporte y Juventud de Tulancingo, informó que el ayuntamiento ya abrió la convocatoria para el Premio Municipal de la Juventud 2026, por lo que invita a los interesados a inscribirse.</t>
  </si>
  <si>
    <t>El presidente municipal de Mineral de la Reforma, Eduardo Medécigo Rubio, consideró que no existen condiciones para la creación de un nuevo municipio del Estado de Hidalgo, que tomaría parte de la demarcación a su cargo. “La posibilidad legal existe, pero yo creo que no estamos en condiciones en el Estado (de Hidalgo) para que se diera un nuevo municipio. Es un tema que deberá plantearse ante el Congreso y ellos determinarán si procede o no”, puntualizó. La propuesta nació del Comité de Fraccionamientos del Sur e incluye a las unidades habitacionales, debido a que consideran que no existe atención por parte de las autoridades municipales a servicios como surtido de agua potable, recolección de basura, alumbrado, seguridad pública, entre otros. Además, el Comité acusó que las empresas constructoras no finalizan los procedimientos administrativos ante el municipio y los trámites se vuelven muy complicados para los habitantes. Dicho comité está integrado por fraccionamientos como Toledo, Bosques de Matilde, Privada Las Glorias, Cipreses, Magisterio, Tulipanes, Forjadores, Lomas de Nueva Airosa, Electricistas, San Antonio, Toledo, Matilde, Parque Urbano, Olivenza, Los Pinos, Viñedos, Señeros Privadas del Sol y San Marcos.</t>
  </si>
  <si>
    <t>Habitantes de la comunidad de San José Palma Gorda, en Mineral de la Reforma, solicitaron la atención de las autoridades responsables de la construcción del tren AIFA–Pachuca, al asegurar que los trabajos han ocasionado afectaciones en los caminos que utilizan diariamente productores y pobladores. Los vecinos señalaron que el tránsito constante de maquinaria pesada ha deteriorado las vías de acceso a parcelas y terrenos de cultivo, lo que ha complicado las labores agrícolas y la movilidad dentro de la comunidad. Indicaron que, aunque les informaron que las reparaciones se llevarán a cabo al concluir la obra, consideran necesario que se implementen medidas inmediatas para mejorar las condiciones de los caminos mientras continúan los trabajos. Otro de los señalamientos de los habitantes es que la mano de obra local no ha sido tomada en cuenta para participar en el proyecto ferroviario, pese a que la comunidad es una de las directamente impactadas por su construcción. Ante esta situación, los pobladores sostuvieron un encuentro con representantes de la obra para plantear sus inquietudes y solicitar alternativas que permitan reducir las afectaciones derivadas del desarrollo del proyecto.</t>
  </si>
  <si>
    <t>Tren AIFA</t>
  </si>
  <si>
    <t>El gobernador Julio Menchaca Salazar anunció que su cuarto informe de gobierno se realizará en una sola sede en Pachuca y ya no en cuatro regiones, como ocurrió el año pasado. Además, adelantó que propondrá modificar la fecha prevista para llevarlo a cabo el 4 de septiembre. El mandatario explicó que inicialmente contempló realizar el informe el 5 de septiembre; sin embargo, corrigió que esa fecha cae en sábado, por lo que solicitará al Congreso local autorizar el cambio para celebrarlo un día antes. Respecto a la sede, indicó que aún se encuentra en análisis, aunque adelantó que se busca un espacio con capacidad para recibir al mayor número de asistentes y garantizar las condiciones de seguridad. Menchaca Salazar explicó que, en esta ocasión, se optó por un solo evento debido a las complicaciones que representa el traslado de las personas, además de que aún restan dos informes más durante la actual administración.</t>
  </si>
  <si>
    <t>Daniel Martínez respecto a la información de que El IMSS Bienestar analiza, en coordinación con el Gobierno de México, la viabilidad de participar en la operación de las casas de salud o clínicas comunitarias de Hidalgo, opina que primero deberían de solucionar otros problemas que hay en la unidades de salud que tienen bajo su responsabilidad.</t>
  </si>
  <si>
    <t>Salud universal</t>
  </si>
  <si>
    <t>El IMSS Bienestar analiza, en coordinación con el Gobierno de México, la viabilidad de participar en la operación de las casas de salud o clínicas comunitarias de Hidalgo. Lo anterior fue informado por el coordinador estatal del organismo, Felipe Arreola Torres, señalando que se trata de una estrategia que actualmente se revisa desde el nivel federal. El funcionario explicó que el análisis busca determinar si es factible que el organismo intervenga en estos espacios. Pero recordó que, por disposición legal, las casas de salud pertenecen a los gobiernos municipales o en algunos casos, son propiedad de las propias comunidades, por lo que su administración no corresponde al IMSS Bienestar. Mientras se define la estrategia, el organismo mantiene coordinación con autoridades municipales y representantes comunitarios para acercar servicios preventivos en aquellos inmuebles que se encuentran en funcionamiento. Arreola Torres indicó que estas acciones incluyen jornadas de vacunación, actividades de planificación familiar y otros programas de prevención, siempre a petición de los gobiernos municipales o de las comunidades. Precisó que este esquema de colaboración ya se implementa en algunas casas de salud de la entidad, con el objetivo de fortalecer la atención preventiva en localidades alejadas y facilitar el acceso de la población a los servicios básicos de salud.</t>
  </si>
  <si>
    <t>Para prevenir casos, expertos adscritos a la Jurisdicción Sanitaria Regional Tulancingo, dará capacitación para prevenir casos de brucelosis tanto en seres humanos como en ganado bovino. El anuncio fue realizado durante la sesión del Comité Jurisdiccional de Vigilancia Epidemiológica (Cojuve), realizada este miércoles 15 de julio. Se aclaró que hasta el momento no existe registro de caso alguno en los municipios del Valle de Tulancingo, así como de la Sierra Otomí Tepehua, a cargo de la jurisdicción sanitaria regional. Pero se insistió que con la intención de prevenir el registro de casos, se prevé realizar la capacitación, sobre todo por el registro de altas temperaturas, una de las condicionantes de brucelosis. Se trata de infección bacteriana transmitida de animales a humanos, principalmente por consumir productos lácteos crudos o sin pasteurizar y por contacto directo con ganado infectado. Los síntomas de la enfermedad son fiebre intermitente, dolores articulares y fatiga. Su tratamiento requiere antibióticos durante varias semanas. Durante la sesión también se revisaron medidas preventivas contra la enfermedad de Chagas, entre ellas mejorar la limpieza de las viviendas, evitar la acumulación de objetos, desparasitar a las mascotas y limitar su acceso a las habitaciones. La falta de sanidad junto con la acumulación de objetos, son de las principales condicionantes para el desarrollo de insectos y parásitos que pueden provocar la enfermedad entre seres humanos. La prevención se realizará sobre todo en municipios de la Sierra Otomí Tepehua, pero sin descuidar los aspectos de prevención en la salud en las demarcaciones del Valle de Tulancingo.</t>
  </si>
  <si>
    <t>Prevención De Enfermedades</t>
  </si>
  <si>
    <t>Natividad Castrejón encabeza clausura del ciclo escolar 2025-2026 en Tulancingo</t>
  </si>
  <si>
    <t>Serán reconstruidas las instalaciones de la escuela primaria “Aquiles Serdán”, ubicado en el centro de la ciudad de Tulancingo, confirmó Natividad Castrejón Valdez, titular de la Secretaría de Educación Pública en Hidalgo. En entrevista tras encabezar la ceremonia estatal de clausura del ciclo escolar 2025-2026 desde Tulancingo, señaló que ya existe el proyecto de atención para dichas instalaciones, que por la tarde da servicio como escuela primaria “Rafael Ramírez”. Desde octubre del año pasado, madres y padres de familia, así como profesores de dicha institución educativa, reportaron que varios salones ya presentaban fisuras, por lo que mostraron preocupación del desplome de las instalaciones. Seis de los 14 salones con lo que cuenta el edificio que alberga a las instalaciones para servicios de educación, presentan daños, lo que obligó a que fuera cerrado para el servicio. Ante la falta de espacios suficientes, los estudiantes de la escuela primaria “Aquiles Serdán” han tenido qué turnar los tiempos y días para asistir a tomar clases. Castrejón Valdez reiteró que ya existe el proyecto para la reconstrucción de las instalaciones, aunque no dio a conocer la inversión que se realizará. Queda también pendiente conocer si la intervención física será en etapas, y por lo tanto, si las actividades académicas se llevarán a cabo en otras instalaciones, en tanto se finaliza la obra civil. En tema, relacionado, respecto a la posible demolición de las instalaciones de la escuela primaria “Miguel Hidalgo”, también ubicado en el centro de Tulancingo, el funcionario estatal dijo no conocer de dicha propuesta. Desde hace varios años se han difundido versiones de la posible desaparición de dicho plantel educativo, debido a que la mayoría de estudiantes no son vecinos de la zona, sino hijos de comerciantes y prestadores de servicios que laboran en el centro de la ciudad.</t>
  </si>
  <si>
    <t>Reconstrucción de escuela</t>
  </si>
  <si>
    <t>Sebiso publica resultados del programa Desarrollo Inclusivo</t>
  </si>
  <si>
    <t>Desarrollo inclusivo</t>
  </si>
  <si>
    <t>Vía telefónica el reporte de Bombero y Protección Civil con Abner Yáñez informa de las diversas emergencias reportadas por la ciudadanía y que fueron atendidas.</t>
  </si>
  <si>
    <t>Auxilio a la ciudadanía</t>
  </si>
  <si>
    <t>Con el fin de evitar cobros desproporcionados tanto en licencias de funcionamiento como en alumbrado público, el Congreso de Hidalgo presentó dos iniciativas de reforma a la Ley de Hacienda para los Municipios, con las que busca regular las contribuciones y que ya no existan más acciones de inconstitucionalidad. La primera pretende que el cobro de las licencias de funcionamiento comercial, industrial o de servicios se calcule únicamente sobre la superficie que realmente se usa para la actividad del negocio, evitando cobros desproporcionados y dando certeza jurídica a las autoridades municipales y a los comerciantes. Mientras que la segunda iniciativa busca actualizar la forma en que se cobra el derecho por servicio de alumbrado público, estableciendo un nuevo esquema para su determinación que esté alineado con el marco constitucional vigente. Durante sesión ordinaria, el diputado Miguel Moreno Zamora expuso que ambas iniciativas responden a una misma visión, construir un sistema hacendario municipal más claro, más transparente y jurídicamente más sólido. Agregó que la propuesta es resultado del análisis de los criterios emitidos por la Suprema Corte de Justicia de la Nación, de los planteamientos formulados por la Comisión Nacional de Derechos Humanos, las opiniones técnicas del Instituto de Desarrollo Técnico de las Haciendas Públicas y del estudio de experiencias exitosas implementadas en otros estados.</t>
  </si>
  <si>
    <t>Con el objetivo de fortalecer la autonomía económica de las mujeres y brindarles mayores oportunidades de desarrollo, el Gobierno de Tulancingo, a través de la Instancia Municipal de las Mujeres, pondrá en marcha este año la primera Escuela Municipal de Emprendimiento. La titular de la dependencia, Abigail de la Cruz Morales, informó que el proyecto ofrecerá capacitación en educación financiera, marketing digital, ventas por redes sociales, creación de contenido, marca personal y administración de negocios, para apoyar a mujeres que deseen iniciar o fortalecer sus proyectos productivos. Explicó que esta estrategia responde a la necesidad de combatir la violencia económica, una de las problemáticas detectadas entre las usuarias que atiende la dependencia, al promover herramientas que les permitan generar ingresos propios y alcanzar mayor independencia. La escuela estará dirigida a mujeres mayores de edad, con o sin experiencia en el emprendimiento, y complementará las acciones permanentes de la Instancia Municipal de las Mujeres en materia de prevención de la violencia de género, derechos humanos y empoderamiento femenino. Las instalaciones estarán ubicadas en la calle Tolteca s/n, a un costado del polígono de la colonia Guadalupe. Las interesadas podrán solicitar informes e inscribirse al teléfono 775 974 2084. Con esta iniciativa, el Gobierno de Tulancingo reafirma su compromiso de impulsar políticas públicas que favorezcan la igualdad de oportunidades y el bienestar de las mujeres.</t>
  </si>
  <si>
    <t>Impulso a mujeres emprendedoras</t>
  </si>
  <si>
    <t>Aunque Hidalgo se ubicó entre las entidades con mayor crecimiento económico del país al cierre de 2025, los indicadores más recientes muestran que ese dinamismo aún no se refleja de manera equitativa en el mercado laboral, particularmente para las mujeres. De acuerdo con el observatorio México, ¿Cómo Vamos?, durante el cuarto trimestre de 2025 la economía hidalguense registró un crecimiento anual de 9.12 por ciento, el segundo más alto del país. Además, el crecimiento promedio de los últimos cinco años alcanzó 4.78 por ciento, muy por encima del promedio nacional de 1.92 por ciento. La actividad económica del estado continúa impulsada principalmente por la industria manufacturera, que representa 25.9 por ciento del total de la economía estatal, seguida por el comercio al por menor, con 12 por ciento, y la construcción, con 11.3 por ciento. Sin embargo, el buen desempeño económico contrasta con los indicadores laborales. México, ¿Cómo Vamos? reportó que, a nivel nacional, por cada 100 hombres registrados ante el Instituto Mexicano del Seguro Social (IMSS), únicamente hay 68 mujeres, reflejando una importante brecha de género en el empleo formal. En el primer semestre de 2026 se generaron 262 mil 628 puestos de trabajo formales en el país, de los cuales 174 mil 47 correspondieron a hombres y 88 mil 581 a mujeres, el menor acumulado para un primer semestre desde 2005. El organismo señaló que el semáforo de generación de empleo formal permanece en color rojo tanto para hombres como para mujeres, debido a que no se alcanzó la meta de crear 100 mil nuevos empleos mensuales distribuidos de manera equitativa entre ambos sexos. En el caso de Hidalgo, la participación laboral femenina también refleja un rezago. Durante el primer trimestre de 2026, 46.3 por ciento de las mujeres participaban en el mercado laboral, cifra 28.4 puntos porcentuales inferior a la de los hombres. Con este resultado, la entidad ocupa el lugar 16 nacional en participación laboral femenina. Además, el observatorio advierte que 37.8 por ciento de la población hidalguense vive en pobreza laboral, es decir, que los ingresos obtenidos por el trabajo no son suficientes para cubrir la canasta alimentaria básica del hogar. Este porcentaje supera el promedio nacional de 30.7 por ciento, ubicando a Hidalgo como la novena entidad con peor desempeño en este indicador. México, ¿Cómo Vamos? subrayó que el crecimiento económico, por sí solo, no garantiza una reducción de las desigualdades laborales. Incluso entidades con un desempeño favorable en generación de empleo pueden mantener amplias brechas de género si no implementan políticas específicas para incrementar la participación y permanencia de las mujeres en el mercado laboral.</t>
  </si>
  <si>
    <t>Sedeco</t>
  </si>
  <si>
    <t>Brecha de género</t>
  </si>
  <si>
    <t>Andrés Torres critica la redacción de la columna “Ajedrez Político” de Mara Olvera, sin embargo, además que él se pone a conversar con Aldo Falcón y persona de la producción. Cabe resaltar que es a través de su live en Facebook que se realiza este monitoreo.</t>
  </si>
  <si>
    <t>Mara Olvera y su columna Ajedrez Político habla que la educación y la salud son vectores integrales del apoyo social del gobernador del pueblo que no descansa en la creación de políticas públicas que le devuelvan a las y los hidalguenses el bienestar al que tienen derecho. Educación y salud son piezas calves en el equilibrio del desarrollo y dignidad humana, habrán de seguir creciendo en la actual administración de alternancia política. Julio Menchaca se encuentra consolidando las estrategias de desarrollo social o dignidad humana que hacen de su proyecto político el destierro de la marginación y la desigualdad de las y los hidalguenses.</t>
  </si>
  <si>
    <t>Nuevo modelo de gobierno</t>
  </si>
  <si>
    <t>Mara Olvera</t>
  </si>
  <si>
    <t>Sabor y tradición se reunirán en el 2.° Festival de la Barbacoa del Valle del Mezquital</t>
  </si>
  <si>
    <t>El Ayuntamiento de Pachuca realizó la segunda jornada del programa “Colonia x Colonia” en la colonia Santa Matilde, con el propósito de acercar los servicios municipales a las y los vecinos, brindar atención directa y facilitar la realización de trámites sin necesidad de trasladarse a las oficinas de la Presidencia. Más de 40 servicios municipales estuvieron disponibles en un solo espacio, a través de módulos de atención instalados por las diferentes dependencias de la administración municipal, donde la ciudadanía recibió asesorías, orientación y atención personalizada para resolver sus solicitudes de manera ágil y oportuna. Durante esta jornada se brindaron 410 atenciones ciudadanas, encabezadas por el presidente municipal, Jorge Reyes. Las áreas con mayor número de servicios fueron Obras Públicas, Servicios Municipales, Secretaría General, DIF Pachuca, Medio Ambiente y Bienestar, reflejando la respuesta de las y los habitantes de Santa Matilde y el trabajo coordinado de las dependencias municipales.</t>
  </si>
  <si>
    <t>En respuesta a un radioescucha que dice que mucho se ha hablado de la creación del municipio número 85 para todos los fraccionamientos del sur y el gobernador dice que es viable, Andrés torres dice que esto lo ve difícil y es complicado que en estos momentos se pueda hacer esta iniciativa porque vienen tiempos electorales que harían difícil que este proceso avance.</t>
  </si>
  <si>
    <t>En respuesta a un radioescucha que comenta que vienen las elecciones y varios diputados dejarán a su suplentes para ir por una candidatura, Andrés Torres dice que eso no es así, porque nadie va a dejar un sueldo como el que tienen nada más por aventurarse sin tener nada seguro, sean diputados locales o federales.</t>
  </si>
  <si>
    <t>Aspirantes</t>
  </si>
  <si>
    <t>Andrés Torres comenta que ya son tres meses fuera del aire en el 1010 AM El Vocero Huasteco y no hay señales de cuándo se pueda reestablecer el servicio debido a los adeudos que hay con la Comisión Federal de Electricidad y a la falta de presupuesto para comprar diésel para abastecer la planta de energía.</t>
  </si>
  <si>
    <t>Graduación</t>
  </si>
  <si>
    <t>Menchaca Salazar coordina acciones con CFE para garantizar servicio eléctrico en Hidalgo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</si>
</sst>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3" tableType="queryTable" totalsRowShown="0">
  <autoFilter ref="A1:M173"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3"/>
  <sheetViews>
    <sheetView tabSelected="1" topLeftCell="A151" workbookViewId="0">
      <selection activeCell="C131" sqref="C131"/>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2.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46218</v>
      </c>
      <c r="B2" s="1" t="str">
        <f ca="1">IF(Información1[[#This Row],[Fecha]]='Ajuste de fechas'!$A$2,"Día actual","Día anterior")</f>
        <v>Día anterior</v>
      </c>
      <c r="C2" s="3" t="s">
        <v>40</v>
      </c>
      <c r="D2" t="s">
        <v>41</v>
      </c>
      <c r="E2" s="3" t="s">
        <v>97</v>
      </c>
      <c r="F2" s="3" t="s">
        <v>6</v>
      </c>
      <c r="G2" s="3" t="s">
        <v>98</v>
      </c>
      <c r="H2" s="3" t="s">
        <v>8</v>
      </c>
      <c r="I2" s="3" t="s">
        <v>7</v>
      </c>
      <c r="J2" s="3" t="s">
        <v>31</v>
      </c>
      <c r="K2" s="3" t="s">
        <v>42</v>
      </c>
      <c r="L2" s="3" t="s">
        <v>25</v>
      </c>
      <c r="M2">
        <v>1</v>
      </c>
    </row>
    <row r="3" spans="1:13" x14ac:dyDescent="0.25">
      <c r="A3" s="2">
        <v>46218</v>
      </c>
      <c r="B3" s="1" t="str">
        <f ca="1">IF(Información1[[#This Row],[Fecha]]='Ajuste de fechas'!$A$2,"Día actual","Día anterior")</f>
        <v>Día anterior</v>
      </c>
      <c r="C3" s="3" t="s">
        <v>40</v>
      </c>
      <c r="D3" t="s">
        <v>41</v>
      </c>
      <c r="E3" s="3" t="s">
        <v>99</v>
      </c>
      <c r="F3" s="3" t="s">
        <v>6</v>
      </c>
      <c r="G3" s="3" t="s">
        <v>50</v>
      </c>
      <c r="H3" s="3" t="s">
        <v>8</v>
      </c>
      <c r="I3" s="3" t="s">
        <v>14</v>
      </c>
      <c r="J3" s="3" t="s">
        <v>31</v>
      </c>
      <c r="K3" s="3" t="s">
        <v>37</v>
      </c>
      <c r="L3" s="3" t="s">
        <v>25</v>
      </c>
      <c r="M3">
        <v>1</v>
      </c>
    </row>
    <row r="4" spans="1:13" x14ac:dyDescent="0.25">
      <c r="A4" s="2">
        <v>46218</v>
      </c>
      <c r="B4" s="1" t="str">
        <f ca="1">IF(Información1[[#This Row],[Fecha]]='Ajuste de fechas'!$A$2,"Día actual","Día anterior")</f>
        <v>Día anterior</v>
      </c>
      <c r="C4" s="3" t="s">
        <v>40</v>
      </c>
      <c r="D4" t="s">
        <v>41</v>
      </c>
      <c r="E4" s="3" t="s">
        <v>100</v>
      </c>
      <c r="F4" s="3" t="s">
        <v>6</v>
      </c>
      <c r="G4" s="3" t="s">
        <v>50</v>
      </c>
      <c r="H4" s="3" t="s">
        <v>8</v>
      </c>
      <c r="I4" s="3" t="s">
        <v>14</v>
      </c>
      <c r="J4" s="3" t="s">
        <v>31</v>
      </c>
      <c r="K4" s="3" t="s">
        <v>37</v>
      </c>
      <c r="L4" s="3" t="s">
        <v>25</v>
      </c>
      <c r="M4">
        <v>1</v>
      </c>
    </row>
    <row r="5" spans="1:13" x14ac:dyDescent="0.25">
      <c r="A5" s="2">
        <v>46218</v>
      </c>
      <c r="B5" s="1" t="str">
        <f ca="1">IF(Información1[[#This Row],[Fecha]]='Ajuste de fechas'!$A$2,"Día actual","Día anterior")</f>
        <v>Día anterior</v>
      </c>
      <c r="C5" s="3" t="s">
        <v>40</v>
      </c>
      <c r="D5" t="s">
        <v>41</v>
      </c>
      <c r="E5" s="3" t="s">
        <v>101</v>
      </c>
      <c r="F5" s="3" t="s">
        <v>6</v>
      </c>
      <c r="G5" s="3" t="s">
        <v>50</v>
      </c>
      <c r="H5" s="3" t="s">
        <v>8</v>
      </c>
      <c r="I5" s="3" t="s">
        <v>14</v>
      </c>
      <c r="J5" s="3" t="s">
        <v>31</v>
      </c>
      <c r="K5" s="3" t="s">
        <v>37</v>
      </c>
      <c r="L5" s="3" t="s">
        <v>25</v>
      </c>
      <c r="M5">
        <v>1</v>
      </c>
    </row>
    <row r="6" spans="1:13" x14ac:dyDescent="0.25">
      <c r="A6" s="2">
        <v>46218</v>
      </c>
      <c r="B6" s="1" t="str">
        <f ca="1">IF(Información1[[#This Row],[Fecha]]='Ajuste de fechas'!$A$2,"Día actual","Día anterior")</f>
        <v>Día anterior</v>
      </c>
      <c r="C6" s="3" t="s">
        <v>40</v>
      </c>
      <c r="D6" t="s">
        <v>41</v>
      </c>
      <c r="E6" s="3" t="s">
        <v>102</v>
      </c>
      <c r="F6" s="3" t="s">
        <v>6</v>
      </c>
      <c r="G6" s="3" t="s">
        <v>50</v>
      </c>
      <c r="H6" s="3" t="s">
        <v>8</v>
      </c>
      <c r="I6" s="3" t="s">
        <v>14</v>
      </c>
      <c r="J6" s="3" t="s">
        <v>31</v>
      </c>
      <c r="K6" s="3" t="s">
        <v>37</v>
      </c>
      <c r="L6" s="3" t="s">
        <v>25</v>
      </c>
      <c r="M6">
        <v>1</v>
      </c>
    </row>
    <row r="7" spans="1:13" x14ac:dyDescent="0.25">
      <c r="A7" s="2">
        <v>46218</v>
      </c>
      <c r="B7" s="1" t="str">
        <f ca="1">IF(Información1[[#This Row],[Fecha]]='Ajuste de fechas'!$A$2,"Día actual","Día anterior")</f>
        <v>Día anterior</v>
      </c>
      <c r="C7" s="3" t="s">
        <v>40</v>
      </c>
      <c r="D7" t="s">
        <v>41</v>
      </c>
      <c r="E7" s="3" t="s">
        <v>103</v>
      </c>
      <c r="F7" s="3" t="s">
        <v>6</v>
      </c>
      <c r="G7" s="3" t="s">
        <v>50</v>
      </c>
      <c r="H7" s="3" t="s">
        <v>8</v>
      </c>
      <c r="I7" s="3" t="s">
        <v>14</v>
      </c>
      <c r="J7" s="3" t="s">
        <v>31</v>
      </c>
      <c r="K7" s="3" t="s">
        <v>37</v>
      </c>
      <c r="L7" s="3" t="s">
        <v>25</v>
      </c>
      <c r="M7">
        <v>1</v>
      </c>
    </row>
    <row r="8" spans="1:13" x14ac:dyDescent="0.25">
      <c r="A8" s="2">
        <v>46218</v>
      </c>
      <c r="B8" s="1" t="str">
        <f ca="1">IF(Información1[[#This Row],[Fecha]]='Ajuste de fechas'!$A$2,"Día actual","Día anterior")</f>
        <v>Día anterior</v>
      </c>
      <c r="C8" s="3" t="s">
        <v>16</v>
      </c>
      <c r="D8" t="s">
        <v>51</v>
      </c>
      <c r="E8" s="3" t="s">
        <v>104</v>
      </c>
      <c r="F8" s="3" t="s">
        <v>15</v>
      </c>
      <c r="G8" s="3" t="s">
        <v>105</v>
      </c>
      <c r="H8" s="3" t="s">
        <v>8</v>
      </c>
      <c r="I8" s="3" t="s">
        <v>7</v>
      </c>
      <c r="J8" s="3" t="s">
        <v>31</v>
      </c>
      <c r="K8" s="3" t="s">
        <v>64</v>
      </c>
      <c r="L8" s="3" t="s">
        <v>24</v>
      </c>
      <c r="M8">
        <v>1</v>
      </c>
    </row>
    <row r="9" spans="1:13" x14ac:dyDescent="0.25">
      <c r="A9" s="2">
        <v>46218</v>
      </c>
      <c r="B9" s="1" t="str">
        <f ca="1">IF(Información1[[#This Row],[Fecha]]='Ajuste de fechas'!$A$2,"Día actual","Día anterior")</f>
        <v>Día anterior</v>
      </c>
      <c r="C9" s="3" t="s">
        <v>16</v>
      </c>
      <c r="D9" t="s">
        <v>51</v>
      </c>
      <c r="E9" s="3" t="s">
        <v>106</v>
      </c>
      <c r="F9" s="3" t="s">
        <v>15</v>
      </c>
      <c r="G9" s="3" t="s">
        <v>105</v>
      </c>
      <c r="H9" s="3" t="s">
        <v>8</v>
      </c>
      <c r="I9" s="3" t="s">
        <v>7</v>
      </c>
      <c r="J9" s="3" t="s">
        <v>31</v>
      </c>
      <c r="K9" s="3" t="s">
        <v>52</v>
      </c>
      <c r="L9" s="3" t="s">
        <v>24</v>
      </c>
      <c r="M9">
        <v>1</v>
      </c>
    </row>
    <row r="10" spans="1:13" x14ac:dyDescent="0.25">
      <c r="A10" s="2">
        <v>46218</v>
      </c>
      <c r="B10" s="1" t="str">
        <f ca="1">IF(Información1[[#This Row],[Fecha]]='Ajuste de fechas'!$A$2,"Día actual","Día anterior")</f>
        <v>Día anterior</v>
      </c>
      <c r="C10" s="3" t="s">
        <v>65</v>
      </c>
      <c r="D10" t="s">
        <v>66</v>
      </c>
      <c r="E10" s="3" t="s">
        <v>107</v>
      </c>
      <c r="F10" s="3" t="s">
        <v>75</v>
      </c>
      <c r="G10" s="3" t="s">
        <v>108</v>
      </c>
      <c r="H10" s="3" t="s">
        <v>8</v>
      </c>
      <c r="I10" s="3" t="s">
        <v>7</v>
      </c>
      <c r="J10" s="3" t="s">
        <v>31</v>
      </c>
      <c r="K10" s="3" t="s">
        <v>67</v>
      </c>
      <c r="L10" s="3" t="s">
        <v>26</v>
      </c>
      <c r="M10">
        <v>1</v>
      </c>
    </row>
    <row r="11" spans="1:13" x14ac:dyDescent="0.25">
      <c r="A11" s="2">
        <v>46218</v>
      </c>
      <c r="B11" s="1" t="str">
        <f ca="1">IF(Información1[[#This Row],[Fecha]]='Ajuste de fechas'!$A$2,"Día actual","Día anterior")</f>
        <v>Día anterior</v>
      </c>
      <c r="C11" s="3" t="s">
        <v>40</v>
      </c>
      <c r="D11" t="s">
        <v>41</v>
      </c>
      <c r="E11" s="3" t="s">
        <v>109</v>
      </c>
      <c r="F11" s="3" t="s">
        <v>11</v>
      </c>
      <c r="G11" s="3" t="s">
        <v>110</v>
      </c>
      <c r="H11" s="3" t="s">
        <v>8</v>
      </c>
      <c r="I11" s="3" t="s">
        <v>7</v>
      </c>
      <c r="J11" s="3" t="s">
        <v>32</v>
      </c>
      <c r="K11" s="3" t="s">
        <v>42</v>
      </c>
      <c r="L11" s="3" t="s">
        <v>24</v>
      </c>
      <c r="M11">
        <v>1</v>
      </c>
    </row>
    <row r="12" spans="1:13" x14ac:dyDescent="0.25">
      <c r="A12" s="2">
        <v>46218</v>
      </c>
      <c r="B12" s="1" t="str">
        <f ca="1">IF(Información1[[#This Row],[Fecha]]='Ajuste de fechas'!$A$2,"Día actual","Día anterior")</f>
        <v>Día anterior</v>
      </c>
      <c r="C12" s="3" t="s">
        <v>40</v>
      </c>
      <c r="D12" t="s">
        <v>41</v>
      </c>
      <c r="E12" s="3" t="s">
        <v>43</v>
      </c>
      <c r="F12" s="3" t="s">
        <v>10</v>
      </c>
      <c r="G12" s="3" t="s">
        <v>98</v>
      </c>
      <c r="H12" s="3" t="s">
        <v>8</v>
      </c>
      <c r="I12" s="3" t="s">
        <v>39</v>
      </c>
      <c r="J12" s="3" t="s">
        <v>33</v>
      </c>
      <c r="K12" s="3" t="s">
        <v>42</v>
      </c>
      <c r="L12" s="3" t="s">
        <v>25</v>
      </c>
      <c r="M12">
        <v>1</v>
      </c>
    </row>
    <row r="13" spans="1:13" x14ac:dyDescent="0.25">
      <c r="A13" s="2">
        <v>46218</v>
      </c>
      <c r="B13" s="1" t="str">
        <f ca="1">IF(Información1[[#This Row],[Fecha]]='Ajuste de fechas'!$A$2,"Día actual","Día anterior")</f>
        <v>Día anterior</v>
      </c>
      <c r="C13" s="3" t="s">
        <v>40</v>
      </c>
      <c r="D13" t="s">
        <v>41</v>
      </c>
      <c r="E13" s="3" t="s">
        <v>44</v>
      </c>
      <c r="F13" s="3" t="s">
        <v>10</v>
      </c>
      <c r="G13" s="3" t="s">
        <v>98</v>
      </c>
      <c r="H13" s="3" t="s">
        <v>8</v>
      </c>
      <c r="I13" s="3" t="s">
        <v>39</v>
      </c>
      <c r="J13" s="3" t="s">
        <v>33</v>
      </c>
      <c r="K13" s="3" t="s">
        <v>42</v>
      </c>
      <c r="L13" s="3" t="s">
        <v>25</v>
      </c>
      <c r="M13">
        <v>1</v>
      </c>
    </row>
    <row r="14" spans="1:13" x14ac:dyDescent="0.25">
      <c r="A14" s="2">
        <v>46218</v>
      </c>
      <c r="B14" s="1" t="str">
        <f ca="1">IF(Información1[[#This Row],[Fecha]]='Ajuste de fechas'!$A$2,"Día actual","Día anterior")</f>
        <v>Día anterior</v>
      </c>
      <c r="C14" s="3" t="s">
        <v>40</v>
      </c>
      <c r="D14" t="s">
        <v>41</v>
      </c>
      <c r="E14" s="3" t="s">
        <v>45</v>
      </c>
      <c r="F14" s="3" t="s">
        <v>34</v>
      </c>
      <c r="G14" s="3" t="s">
        <v>98</v>
      </c>
      <c r="H14" s="3" t="s">
        <v>8</v>
      </c>
      <c r="I14" s="3" t="s">
        <v>39</v>
      </c>
      <c r="J14" s="3" t="s">
        <v>31</v>
      </c>
      <c r="K14" s="3" t="s">
        <v>42</v>
      </c>
      <c r="L14" s="3" t="s">
        <v>25</v>
      </c>
      <c r="M14">
        <v>1</v>
      </c>
    </row>
    <row r="15" spans="1:13" x14ac:dyDescent="0.25">
      <c r="A15" s="2">
        <v>46218</v>
      </c>
      <c r="B15" s="1" t="str">
        <f ca="1">IF(Información1[[#This Row],[Fecha]]='Ajuste de fechas'!$A$2,"Día actual","Día anterior")</f>
        <v>Día anterior</v>
      </c>
      <c r="C15" s="3" t="s">
        <v>40</v>
      </c>
      <c r="D15" t="s">
        <v>41</v>
      </c>
      <c r="E15" s="3" t="s">
        <v>49</v>
      </c>
      <c r="F15" s="3" t="s">
        <v>30</v>
      </c>
      <c r="G15" s="3" t="s">
        <v>98</v>
      </c>
      <c r="H15" s="3" t="s">
        <v>8</v>
      </c>
      <c r="I15" s="3" t="s">
        <v>39</v>
      </c>
      <c r="J15" s="3" t="s">
        <v>13</v>
      </c>
      <c r="K15" s="3" t="s">
        <v>42</v>
      </c>
      <c r="L15" s="3" t="s">
        <v>25</v>
      </c>
      <c r="M15">
        <v>1</v>
      </c>
    </row>
    <row r="16" spans="1:13" x14ac:dyDescent="0.25">
      <c r="A16" s="2">
        <v>46218</v>
      </c>
      <c r="B16" s="1" t="str">
        <f ca="1">IF(Información1[[#This Row],[Fecha]]='Ajuste de fechas'!$A$2,"Día actual","Día anterior")</f>
        <v>Día anterior</v>
      </c>
      <c r="C16" s="3" t="s">
        <v>40</v>
      </c>
      <c r="D16" t="s">
        <v>41</v>
      </c>
      <c r="E16" s="3" t="s">
        <v>46</v>
      </c>
      <c r="F16" s="3" t="s">
        <v>9</v>
      </c>
      <c r="G16" s="3" t="s">
        <v>98</v>
      </c>
      <c r="H16" s="3" t="s">
        <v>8</v>
      </c>
      <c r="I16" s="3" t="s">
        <v>39</v>
      </c>
      <c r="J16" s="3" t="s">
        <v>31</v>
      </c>
      <c r="K16" s="3" t="s">
        <v>42</v>
      </c>
      <c r="L16" s="3" t="s">
        <v>25</v>
      </c>
      <c r="M16">
        <v>1</v>
      </c>
    </row>
    <row r="17" spans="1:13" x14ac:dyDescent="0.25">
      <c r="A17" s="2">
        <v>46218</v>
      </c>
      <c r="B17" s="1" t="str">
        <f ca="1">IF(Información1[[#This Row],[Fecha]]='Ajuste de fechas'!$A$2,"Día actual","Día anterior")</f>
        <v>Día anterior</v>
      </c>
      <c r="C17" s="3" t="s">
        <v>40</v>
      </c>
      <c r="D17" t="s">
        <v>41</v>
      </c>
      <c r="E17" s="3" t="s">
        <v>47</v>
      </c>
      <c r="F17" s="3" t="s">
        <v>38</v>
      </c>
      <c r="G17" s="3" t="s">
        <v>98</v>
      </c>
      <c r="H17" s="3" t="s">
        <v>8</v>
      </c>
      <c r="I17" s="3" t="s">
        <v>39</v>
      </c>
      <c r="J17" s="3" t="s">
        <v>31</v>
      </c>
      <c r="K17" s="3" t="s">
        <v>42</v>
      </c>
      <c r="L17" s="3" t="s">
        <v>25</v>
      </c>
      <c r="M17">
        <v>1</v>
      </c>
    </row>
    <row r="18" spans="1:13" x14ac:dyDescent="0.25">
      <c r="A18" s="2">
        <v>46218</v>
      </c>
      <c r="B18" s="1" t="str">
        <f ca="1">IF(Información1[[#This Row],[Fecha]]='Ajuste de fechas'!$A$2,"Día actual","Día anterior")</f>
        <v>Día anterior</v>
      </c>
      <c r="C18" s="3" t="s">
        <v>40</v>
      </c>
      <c r="D18" t="s">
        <v>41</v>
      </c>
      <c r="E18" s="3" t="s">
        <v>48</v>
      </c>
      <c r="F18" s="3" t="s">
        <v>6</v>
      </c>
      <c r="G18" s="3" t="s">
        <v>98</v>
      </c>
      <c r="H18" s="3" t="s">
        <v>8</v>
      </c>
      <c r="I18" s="3" t="s">
        <v>39</v>
      </c>
      <c r="J18" s="3" t="s">
        <v>31</v>
      </c>
      <c r="K18" s="3" t="s">
        <v>42</v>
      </c>
      <c r="L18" s="3" t="s">
        <v>25</v>
      </c>
      <c r="M18">
        <v>1</v>
      </c>
    </row>
    <row r="19" spans="1:13" x14ac:dyDescent="0.25">
      <c r="A19" s="2">
        <v>46218</v>
      </c>
      <c r="B19" s="1" t="str">
        <f ca="1">IF(Información1[[#This Row],[Fecha]]='Ajuste de fechas'!$A$2,"Día actual","Día anterior")</f>
        <v>Día anterior</v>
      </c>
      <c r="C19" s="3" t="s">
        <v>65</v>
      </c>
      <c r="D19" t="s">
        <v>66</v>
      </c>
      <c r="E19" s="3" t="s">
        <v>114</v>
      </c>
      <c r="F19" s="3" t="s">
        <v>9</v>
      </c>
      <c r="G19" s="3" t="s">
        <v>115</v>
      </c>
      <c r="H19" s="3" t="s">
        <v>8</v>
      </c>
      <c r="I19" s="3" t="s">
        <v>7</v>
      </c>
      <c r="J19" s="3" t="s">
        <v>31</v>
      </c>
      <c r="K19" s="3" t="s">
        <v>67</v>
      </c>
      <c r="L19" s="3" t="s">
        <v>26</v>
      </c>
      <c r="M19">
        <v>1</v>
      </c>
    </row>
    <row r="20" spans="1:13" x14ac:dyDescent="0.25">
      <c r="A20" s="2">
        <v>46218</v>
      </c>
      <c r="B20" s="1" t="str">
        <f ca="1">IF(Información1[[#This Row],[Fecha]]='Ajuste de fechas'!$A$2,"Día actual","Día anterior")</f>
        <v>Día anterior</v>
      </c>
      <c r="C20" s="3" t="s">
        <v>16</v>
      </c>
      <c r="D20" t="s">
        <v>51</v>
      </c>
      <c r="E20" s="3" t="s">
        <v>116</v>
      </c>
      <c r="F20" s="3" t="s">
        <v>54</v>
      </c>
      <c r="G20" s="3" t="s">
        <v>117</v>
      </c>
      <c r="H20" s="3" t="s">
        <v>8</v>
      </c>
      <c r="I20" s="3" t="s">
        <v>7</v>
      </c>
      <c r="J20" s="3" t="s">
        <v>31</v>
      </c>
      <c r="K20" s="3" t="s">
        <v>64</v>
      </c>
      <c r="L20" s="3" t="s">
        <v>24</v>
      </c>
      <c r="M20">
        <v>1</v>
      </c>
    </row>
    <row r="21" spans="1:13" x14ac:dyDescent="0.25">
      <c r="A21" s="2">
        <v>46218</v>
      </c>
      <c r="B21" s="1" t="str">
        <f ca="1">IF(Información1[[#This Row],[Fecha]]='Ajuste de fechas'!$A$2,"Día actual","Día anterior")</f>
        <v>Día anterior</v>
      </c>
      <c r="C21" s="3" t="s">
        <v>16</v>
      </c>
      <c r="D21" t="s">
        <v>51</v>
      </c>
      <c r="E21" s="3" t="s">
        <v>118</v>
      </c>
      <c r="F21" s="3" t="s">
        <v>10</v>
      </c>
      <c r="G21" s="3" t="s">
        <v>119</v>
      </c>
      <c r="H21" s="3" t="s">
        <v>8</v>
      </c>
      <c r="I21" s="3" t="s">
        <v>7</v>
      </c>
      <c r="J21" s="3" t="s">
        <v>33</v>
      </c>
      <c r="K21" s="3" t="s">
        <v>64</v>
      </c>
      <c r="L21" s="3" t="s">
        <v>24</v>
      </c>
      <c r="M21">
        <v>1</v>
      </c>
    </row>
    <row r="22" spans="1:13" x14ac:dyDescent="0.25">
      <c r="A22" s="2">
        <v>46218</v>
      </c>
      <c r="B22" s="1" t="str">
        <f ca="1">IF(Información1[[#This Row],[Fecha]]='Ajuste de fechas'!$A$2,"Día actual","Día anterior")</f>
        <v>Día anterior</v>
      </c>
      <c r="C22" s="3" t="s">
        <v>16</v>
      </c>
      <c r="D22" t="s">
        <v>51</v>
      </c>
      <c r="E22" s="3" t="s">
        <v>120</v>
      </c>
      <c r="F22" s="3" t="s">
        <v>10</v>
      </c>
      <c r="G22" s="3" t="s">
        <v>119</v>
      </c>
      <c r="H22" s="3" t="s">
        <v>8</v>
      </c>
      <c r="I22" s="3" t="s">
        <v>7</v>
      </c>
      <c r="J22" s="3" t="s">
        <v>33</v>
      </c>
      <c r="K22" s="3" t="s">
        <v>64</v>
      </c>
      <c r="L22" s="3" t="s">
        <v>24</v>
      </c>
      <c r="M22">
        <v>1</v>
      </c>
    </row>
    <row r="23" spans="1:13" x14ac:dyDescent="0.25">
      <c r="A23" s="2">
        <v>46218</v>
      </c>
      <c r="B23" s="1" t="str">
        <f ca="1">IF(Información1[[#This Row],[Fecha]]='Ajuste de fechas'!$A$2,"Día actual","Día anterior")</f>
        <v>Día anterior</v>
      </c>
      <c r="C23" s="3" t="s">
        <v>16</v>
      </c>
      <c r="D23" t="s">
        <v>51</v>
      </c>
      <c r="E23" s="3" t="s">
        <v>121</v>
      </c>
      <c r="F23" s="3" t="s">
        <v>9</v>
      </c>
      <c r="G23" s="3" t="s">
        <v>76</v>
      </c>
      <c r="H23" s="3" t="s">
        <v>8</v>
      </c>
      <c r="I23" s="3" t="s">
        <v>7</v>
      </c>
      <c r="J23" s="3" t="s">
        <v>31</v>
      </c>
      <c r="K23" s="3" t="s">
        <v>52</v>
      </c>
      <c r="L23" s="3" t="s">
        <v>24</v>
      </c>
      <c r="M23">
        <v>1</v>
      </c>
    </row>
    <row r="24" spans="1:13" x14ac:dyDescent="0.25">
      <c r="A24" s="2">
        <v>46218</v>
      </c>
      <c r="B24" s="1" t="str">
        <f ca="1">IF(Información1[[#This Row],[Fecha]]='Ajuste de fechas'!$A$2,"Día actual","Día anterior")</f>
        <v>Día anterior</v>
      </c>
      <c r="C24" s="3" t="s">
        <v>40</v>
      </c>
      <c r="D24" t="s">
        <v>41</v>
      </c>
      <c r="E24" s="3" t="s">
        <v>122</v>
      </c>
      <c r="F24" s="3" t="s">
        <v>9</v>
      </c>
      <c r="G24" s="3" t="s">
        <v>76</v>
      </c>
      <c r="H24" s="3" t="s">
        <v>8</v>
      </c>
      <c r="I24" s="3" t="s">
        <v>7</v>
      </c>
      <c r="J24" s="3" t="s">
        <v>31</v>
      </c>
      <c r="K24" s="3" t="s">
        <v>42</v>
      </c>
      <c r="L24" s="3" t="s">
        <v>24</v>
      </c>
      <c r="M24">
        <v>1</v>
      </c>
    </row>
    <row r="25" spans="1:13" x14ac:dyDescent="0.25">
      <c r="A25" s="2">
        <v>46218</v>
      </c>
      <c r="B25" s="1" t="str">
        <f ca="1">IF(Información1[[#This Row],[Fecha]]='Ajuste de fechas'!$A$2,"Día actual","Día anterior")</f>
        <v>Día anterior</v>
      </c>
      <c r="C25" s="3" t="s">
        <v>40</v>
      </c>
      <c r="D25" t="s">
        <v>41</v>
      </c>
      <c r="E25" s="3" t="s">
        <v>123</v>
      </c>
      <c r="F25" s="3" t="s">
        <v>6</v>
      </c>
      <c r="G25" s="3" t="s">
        <v>68</v>
      </c>
      <c r="H25" s="3" t="s">
        <v>8</v>
      </c>
      <c r="I25" s="3" t="s">
        <v>14</v>
      </c>
      <c r="J25" s="3" t="s">
        <v>31</v>
      </c>
      <c r="K25" s="3" t="s">
        <v>37</v>
      </c>
      <c r="L25" s="3" t="s">
        <v>25</v>
      </c>
      <c r="M25">
        <v>1</v>
      </c>
    </row>
    <row r="26" spans="1:13" x14ac:dyDescent="0.25">
      <c r="A26" s="2">
        <v>46218</v>
      </c>
      <c r="B26" s="1" t="str">
        <f ca="1">IF(Información1[[#This Row],[Fecha]]='Ajuste de fechas'!$A$2,"Día actual","Día anterior")</f>
        <v>Día anterior</v>
      </c>
      <c r="C26" s="3" t="s">
        <v>16</v>
      </c>
      <c r="D26" t="s">
        <v>51</v>
      </c>
      <c r="E26" s="3" t="s">
        <v>124</v>
      </c>
      <c r="F26" s="3" t="s">
        <v>11</v>
      </c>
      <c r="G26" s="3" t="s">
        <v>125</v>
      </c>
      <c r="H26" s="3" t="s">
        <v>8</v>
      </c>
      <c r="I26" s="3" t="s">
        <v>7</v>
      </c>
      <c r="J26" s="3" t="s">
        <v>32</v>
      </c>
      <c r="K26" s="3" t="s">
        <v>52</v>
      </c>
      <c r="L26" s="3" t="s">
        <v>24</v>
      </c>
      <c r="M26">
        <v>1</v>
      </c>
    </row>
    <row r="27" spans="1:13" x14ac:dyDescent="0.25">
      <c r="A27" s="2">
        <v>46218</v>
      </c>
      <c r="B27" s="1" t="str">
        <f ca="1">IF(Información1[[#This Row],[Fecha]]='Ajuste de fechas'!$A$2,"Día actual","Día anterior")</f>
        <v>Día anterior</v>
      </c>
      <c r="C27" s="3" t="s">
        <v>65</v>
      </c>
      <c r="D27" t="s">
        <v>66</v>
      </c>
      <c r="E27" s="3" t="s">
        <v>126</v>
      </c>
      <c r="F27" s="3" t="s">
        <v>15</v>
      </c>
      <c r="G27" s="3" t="s">
        <v>95</v>
      </c>
      <c r="H27" s="3" t="s">
        <v>8</v>
      </c>
      <c r="I27" s="3" t="s">
        <v>7</v>
      </c>
      <c r="J27" s="3" t="s">
        <v>31</v>
      </c>
      <c r="K27" s="3" t="s">
        <v>67</v>
      </c>
      <c r="L27" s="3" t="s">
        <v>26</v>
      </c>
      <c r="M27">
        <v>1</v>
      </c>
    </row>
    <row r="28" spans="1:13" x14ac:dyDescent="0.25">
      <c r="A28" s="2">
        <v>46218</v>
      </c>
      <c r="B28" s="1" t="str">
        <f ca="1">IF(Información1[[#This Row],[Fecha]]='Ajuste de fechas'!$A$2,"Día actual","Día anterior")</f>
        <v>Día anterior</v>
      </c>
      <c r="C28" s="3" t="s">
        <v>16</v>
      </c>
      <c r="D28" t="s">
        <v>51</v>
      </c>
      <c r="E28" s="3" t="s">
        <v>127</v>
      </c>
      <c r="F28" s="3" t="s">
        <v>15</v>
      </c>
      <c r="G28" s="3" t="s">
        <v>95</v>
      </c>
      <c r="H28" s="3" t="s">
        <v>8</v>
      </c>
      <c r="I28" s="3" t="s">
        <v>7</v>
      </c>
      <c r="J28" s="3" t="s">
        <v>31</v>
      </c>
      <c r="K28" s="3" t="s">
        <v>52</v>
      </c>
      <c r="L28" s="3" t="s">
        <v>24</v>
      </c>
      <c r="M28">
        <v>1</v>
      </c>
    </row>
    <row r="29" spans="1:13" x14ac:dyDescent="0.25">
      <c r="A29" s="2">
        <v>46218</v>
      </c>
      <c r="B29" s="1" t="str">
        <f ca="1">IF(Información1[[#This Row],[Fecha]]='Ajuste de fechas'!$A$2,"Día actual","Día anterior")</f>
        <v>Día anterior</v>
      </c>
      <c r="C29" s="3" t="s">
        <v>16</v>
      </c>
      <c r="D29" t="s">
        <v>51</v>
      </c>
      <c r="E29" s="3" t="s">
        <v>128</v>
      </c>
      <c r="F29" s="3" t="s">
        <v>35</v>
      </c>
      <c r="G29" s="3" t="s">
        <v>129</v>
      </c>
      <c r="H29" s="3" t="s">
        <v>8</v>
      </c>
      <c r="I29" s="3" t="s">
        <v>7</v>
      </c>
      <c r="J29" s="3" t="s">
        <v>31</v>
      </c>
      <c r="K29" s="3" t="s">
        <v>52</v>
      </c>
      <c r="L29" s="3" t="s">
        <v>24</v>
      </c>
      <c r="M29">
        <v>1</v>
      </c>
    </row>
    <row r="30" spans="1:13" x14ac:dyDescent="0.25">
      <c r="A30" s="2">
        <v>46218</v>
      </c>
      <c r="B30" s="1" t="str">
        <f ca="1">IF(Información1[[#This Row],[Fecha]]='Ajuste de fechas'!$A$2,"Día actual","Día anterior")</f>
        <v>Día anterior</v>
      </c>
      <c r="C30" s="3" t="s">
        <v>16</v>
      </c>
      <c r="D30" t="s">
        <v>51</v>
      </c>
      <c r="E30" s="3" t="s">
        <v>130</v>
      </c>
      <c r="F30" s="3" t="s">
        <v>12</v>
      </c>
      <c r="G30" s="3" t="s">
        <v>131</v>
      </c>
      <c r="H30" s="3" t="s">
        <v>8</v>
      </c>
      <c r="I30" s="3" t="s">
        <v>7</v>
      </c>
      <c r="J30" s="3" t="s">
        <v>31</v>
      </c>
      <c r="K30" s="3" t="s">
        <v>52</v>
      </c>
      <c r="L30" s="3" t="s">
        <v>24</v>
      </c>
      <c r="M30">
        <v>1</v>
      </c>
    </row>
    <row r="31" spans="1:13" x14ac:dyDescent="0.25">
      <c r="A31" s="2">
        <v>46218</v>
      </c>
      <c r="B31" s="1" t="str">
        <f ca="1">IF(Información1[[#This Row],[Fecha]]='Ajuste de fechas'!$A$2,"Día actual","Día anterior")</f>
        <v>Día anterior</v>
      </c>
      <c r="C31" s="3" t="s">
        <v>16</v>
      </c>
      <c r="D31" t="s">
        <v>51</v>
      </c>
      <c r="E31" s="3" t="s">
        <v>132</v>
      </c>
      <c r="F31" s="3" t="s">
        <v>9</v>
      </c>
      <c r="G31" s="3" t="s">
        <v>133</v>
      </c>
      <c r="H31" s="3" t="s">
        <v>8</v>
      </c>
      <c r="I31" s="3" t="s">
        <v>7</v>
      </c>
      <c r="J31" s="3" t="s">
        <v>31</v>
      </c>
      <c r="K31" s="3" t="s">
        <v>64</v>
      </c>
      <c r="L31" s="3" t="s">
        <v>26</v>
      </c>
      <c r="M31">
        <v>1</v>
      </c>
    </row>
    <row r="32" spans="1:13" x14ac:dyDescent="0.25">
      <c r="A32" s="2">
        <v>46218</v>
      </c>
      <c r="B32" s="1" t="str">
        <f ca="1">IF(Información1[[#This Row],[Fecha]]='Ajuste de fechas'!$A$2,"Día actual","Día anterior")</f>
        <v>Día anterior</v>
      </c>
      <c r="C32" s="3" t="s">
        <v>40</v>
      </c>
      <c r="D32" t="s">
        <v>41</v>
      </c>
      <c r="E32" s="3" t="s">
        <v>134</v>
      </c>
      <c r="F32" s="3" t="s">
        <v>10</v>
      </c>
      <c r="G32" s="3" t="s">
        <v>135</v>
      </c>
      <c r="H32" s="3" t="s">
        <v>8</v>
      </c>
      <c r="I32" s="3" t="s">
        <v>14</v>
      </c>
      <c r="J32" s="3" t="s">
        <v>33</v>
      </c>
      <c r="K32" s="3" t="s">
        <v>37</v>
      </c>
      <c r="L32" s="3" t="s">
        <v>25</v>
      </c>
      <c r="M32">
        <v>1</v>
      </c>
    </row>
    <row r="33" spans="1:13" x14ac:dyDescent="0.25">
      <c r="A33" s="2">
        <v>46218</v>
      </c>
      <c r="B33" s="1" t="str">
        <f ca="1">IF(Información1[[#This Row],[Fecha]]='Ajuste de fechas'!$A$2,"Día actual","Día anterior")</f>
        <v>Día anterior</v>
      </c>
      <c r="C33" s="3" t="s">
        <v>16</v>
      </c>
      <c r="D33" t="s">
        <v>51</v>
      </c>
      <c r="E33" s="3" t="s">
        <v>136</v>
      </c>
      <c r="F33" s="3" t="s">
        <v>15</v>
      </c>
      <c r="G33" s="3" t="s">
        <v>137</v>
      </c>
      <c r="H33" s="3" t="s">
        <v>8</v>
      </c>
      <c r="I33" s="3" t="s">
        <v>7</v>
      </c>
      <c r="J33" s="3" t="s">
        <v>31</v>
      </c>
      <c r="K33" s="3" t="s">
        <v>64</v>
      </c>
      <c r="L33" s="3" t="s">
        <v>24</v>
      </c>
      <c r="M33">
        <v>1</v>
      </c>
    </row>
    <row r="34" spans="1:13" x14ac:dyDescent="0.25">
      <c r="A34" s="2">
        <v>46218</v>
      </c>
      <c r="B34" s="1" t="str">
        <f ca="1">IF(Información1[[#This Row],[Fecha]]='Ajuste de fechas'!$A$2,"Día actual","Día anterior")</f>
        <v>Día anterior</v>
      </c>
      <c r="C34" s="3" t="s">
        <v>16</v>
      </c>
      <c r="D34" t="s">
        <v>51</v>
      </c>
      <c r="E34" s="3" t="s">
        <v>138</v>
      </c>
      <c r="F34" s="3" t="s">
        <v>15</v>
      </c>
      <c r="G34" s="3" t="s">
        <v>137</v>
      </c>
      <c r="H34" s="3" t="s">
        <v>8</v>
      </c>
      <c r="I34" s="3" t="s">
        <v>7</v>
      </c>
      <c r="J34" s="3" t="s">
        <v>31</v>
      </c>
      <c r="K34" s="3" t="s">
        <v>52</v>
      </c>
      <c r="L34" s="3" t="s">
        <v>24</v>
      </c>
      <c r="M34">
        <v>1</v>
      </c>
    </row>
    <row r="35" spans="1:13" x14ac:dyDescent="0.25">
      <c r="A35" s="2">
        <v>46218</v>
      </c>
      <c r="B35" s="1" t="str">
        <f ca="1">IF(Información1[[#This Row],[Fecha]]='Ajuste de fechas'!$A$2,"Día actual","Día anterior")</f>
        <v>Día anterior</v>
      </c>
      <c r="C35" s="3" t="s">
        <v>40</v>
      </c>
      <c r="D35" t="s">
        <v>41</v>
      </c>
      <c r="E35" s="3" t="s">
        <v>139</v>
      </c>
      <c r="F35" s="3" t="s">
        <v>15</v>
      </c>
      <c r="G35" s="3" t="s">
        <v>137</v>
      </c>
      <c r="H35" s="3" t="s">
        <v>8</v>
      </c>
      <c r="I35" s="3" t="s">
        <v>7</v>
      </c>
      <c r="J35" s="3" t="s">
        <v>31</v>
      </c>
      <c r="K35" s="3" t="s">
        <v>42</v>
      </c>
      <c r="L35" s="3" t="s">
        <v>24</v>
      </c>
      <c r="M35">
        <v>1</v>
      </c>
    </row>
    <row r="36" spans="1:13" x14ac:dyDescent="0.25">
      <c r="A36" s="2">
        <v>46218</v>
      </c>
      <c r="B36" s="1" t="str">
        <f ca="1">IF(Información1[[#This Row],[Fecha]]='Ajuste de fechas'!$A$2,"Día actual","Día anterior")</f>
        <v>Día anterior</v>
      </c>
      <c r="C36" s="3" t="s">
        <v>16</v>
      </c>
      <c r="D36" t="s">
        <v>51</v>
      </c>
      <c r="E36" s="3" t="s">
        <v>140</v>
      </c>
      <c r="F36" s="3" t="s">
        <v>11</v>
      </c>
      <c r="G36" s="3" t="s">
        <v>141</v>
      </c>
      <c r="H36" s="3" t="s">
        <v>8</v>
      </c>
      <c r="I36" s="3" t="s">
        <v>7</v>
      </c>
      <c r="J36" s="3" t="s">
        <v>32</v>
      </c>
      <c r="K36" s="3" t="s">
        <v>64</v>
      </c>
      <c r="L36" s="3" t="s">
        <v>24</v>
      </c>
      <c r="M36">
        <v>1</v>
      </c>
    </row>
    <row r="37" spans="1:13" x14ac:dyDescent="0.25">
      <c r="A37" s="2">
        <v>46218</v>
      </c>
      <c r="B37" s="1" t="str">
        <f ca="1">IF(Información1[[#This Row],[Fecha]]='Ajuste de fechas'!$A$2,"Día actual","Día anterior")</f>
        <v>Día anterior</v>
      </c>
      <c r="C37" s="3" t="s">
        <v>16</v>
      </c>
      <c r="D37" t="s">
        <v>51</v>
      </c>
      <c r="E37" s="3" t="s">
        <v>142</v>
      </c>
      <c r="F37" s="3" t="s">
        <v>10</v>
      </c>
      <c r="G37" s="3" t="s">
        <v>143</v>
      </c>
      <c r="H37" s="3" t="s">
        <v>8</v>
      </c>
      <c r="I37" s="3" t="s">
        <v>7</v>
      </c>
      <c r="J37" s="3" t="s">
        <v>33</v>
      </c>
      <c r="K37" s="3" t="s">
        <v>52</v>
      </c>
      <c r="L37" s="3" t="s">
        <v>24</v>
      </c>
      <c r="M37">
        <v>1</v>
      </c>
    </row>
    <row r="38" spans="1:13" x14ac:dyDescent="0.25">
      <c r="A38" s="2">
        <v>46218</v>
      </c>
      <c r="B38" s="1" t="str">
        <f ca="1">IF(Información1[[#This Row],[Fecha]]='Ajuste de fechas'!$A$2,"Día actual","Día anterior")</f>
        <v>Día anterior</v>
      </c>
      <c r="C38" s="3" t="s">
        <v>16</v>
      </c>
      <c r="D38" t="s">
        <v>51</v>
      </c>
      <c r="E38" s="3" t="s">
        <v>144</v>
      </c>
      <c r="F38" s="3" t="s">
        <v>145</v>
      </c>
      <c r="G38" s="3" t="s">
        <v>146</v>
      </c>
      <c r="H38" s="3" t="s">
        <v>8</v>
      </c>
      <c r="I38" s="3" t="s">
        <v>7</v>
      </c>
      <c r="J38" s="3" t="s">
        <v>72</v>
      </c>
      <c r="K38" s="3" t="s">
        <v>64</v>
      </c>
      <c r="L38" s="3" t="s">
        <v>24</v>
      </c>
      <c r="M38">
        <v>1</v>
      </c>
    </row>
    <row r="39" spans="1:13" x14ac:dyDescent="0.25">
      <c r="A39" s="2">
        <v>46218</v>
      </c>
      <c r="B39" s="1" t="str">
        <f ca="1">IF(Información1[[#This Row],[Fecha]]='Ajuste de fechas'!$A$2,"Día actual","Día anterior")</f>
        <v>Día anterior</v>
      </c>
      <c r="C39" s="3" t="s">
        <v>40</v>
      </c>
      <c r="D39" t="s">
        <v>41</v>
      </c>
      <c r="E39" s="3" t="s">
        <v>147</v>
      </c>
      <c r="F39" s="3" t="s">
        <v>10</v>
      </c>
      <c r="G39" s="3" t="s">
        <v>148</v>
      </c>
      <c r="H39" s="3" t="s">
        <v>8</v>
      </c>
      <c r="I39" s="3" t="s">
        <v>7</v>
      </c>
      <c r="J39" s="3" t="s">
        <v>33</v>
      </c>
      <c r="K39" s="3" t="s">
        <v>37</v>
      </c>
      <c r="L39" s="3" t="s">
        <v>25</v>
      </c>
      <c r="M39">
        <v>1</v>
      </c>
    </row>
    <row r="40" spans="1:13" x14ac:dyDescent="0.25">
      <c r="A40" s="2">
        <v>46218</v>
      </c>
      <c r="B40" s="1" t="str">
        <f ca="1">IF(Información1[[#This Row],[Fecha]]='Ajuste de fechas'!$A$2,"Día actual","Día anterior")</f>
        <v>Día anterior</v>
      </c>
      <c r="C40" s="3" t="s">
        <v>40</v>
      </c>
      <c r="D40" t="s">
        <v>41</v>
      </c>
      <c r="E40" s="3" t="s">
        <v>149</v>
      </c>
      <c r="F40" s="3" t="s">
        <v>10</v>
      </c>
      <c r="G40" s="3" t="s">
        <v>148</v>
      </c>
      <c r="H40" s="3" t="s">
        <v>8</v>
      </c>
      <c r="I40" s="3" t="s">
        <v>7</v>
      </c>
      <c r="J40" s="3" t="s">
        <v>33</v>
      </c>
      <c r="K40" s="3" t="s">
        <v>42</v>
      </c>
      <c r="L40" s="3" t="s">
        <v>36</v>
      </c>
      <c r="M40">
        <v>1</v>
      </c>
    </row>
    <row r="41" spans="1:13" x14ac:dyDescent="0.25">
      <c r="A41" s="2">
        <v>46218</v>
      </c>
      <c r="B41" s="1" t="str">
        <f ca="1">IF(Información1[[#This Row],[Fecha]]='Ajuste de fechas'!$A$2,"Día actual","Día anterior")</f>
        <v>Día anterior</v>
      </c>
      <c r="C41" s="3" t="s">
        <v>16</v>
      </c>
      <c r="D41" t="s">
        <v>51</v>
      </c>
      <c r="E41" s="3" t="s">
        <v>150</v>
      </c>
      <c r="F41" s="3" t="s">
        <v>35</v>
      </c>
      <c r="G41" s="3" t="s">
        <v>71</v>
      </c>
      <c r="H41" s="3" t="s">
        <v>8</v>
      </c>
      <c r="I41" s="3" t="s">
        <v>7</v>
      </c>
      <c r="J41" s="3" t="s">
        <v>31</v>
      </c>
      <c r="K41" s="3" t="s">
        <v>64</v>
      </c>
      <c r="L41" s="3" t="s">
        <v>24</v>
      </c>
      <c r="M41">
        <v>1</v>
      </c>
    </row>
    <row r="42" spans="1:13" x14ac:dyDescent="0.25">
      <c r="A42" s="2">
        <v>46218</v>
      </c>
      <c r="B42" s="1" t="str">
        <f ca="1">IF(Información1[[#This Row],[Fecha]]='Ajuste de fechas'!$A$2,"Día actual","Día anterior")</f>
        <v>Día anterior</v>
      </c>
      <c r="C42" s="3" t="s">
        <v>40</v>
      </c>
      <c r="D42" t="s">
        <v>41</v>
      </c>
      <c r="E42" s="3" t="s">
        <v>151</v>
      </c>
      <c r="F42" s="3" t="s">
        <v>10</v>
      </c>
      <c r="G42" s="3" t="s">
        <v>77</v>
      </c>
      <c r="H42" s="3" t="s">
        <v>8</v>
      </c>
      <c r="I42" s="3" t="s">
        <v>14</v>
      </c>
      <c r="J42" s="3" t="s">
        <v>33</v>
      </c>
      <c r="K42" s="3" t="s">
        <v>37</v>
      </c>
      <c r="L42" s="3" t="s">
        <v>25</v>
      </c>
      <c r="M42">
        <v>1</v>
      </c>
    </row>
    <row r="43" spans="1:13" x14ac:dyDescent="0.25">
      <c r="A43" s="2">
        <v>46218</v>
      </c>
      <c r="B43" s="1" t="str">
        <f ca="1">IF(Información1[[#This Row],[Fecha]]='Ajuste de fechas'!$A$2,"Día actual","Día anterior")</f>
        <v>Día anterior</v>
      </c>
      <c r="C43" s="3" t="s">
        <v>16</v>
      </c>
      <c r="D43" t="s">
        <v>51</v>
      </c>
      <c r="E43" s="3" t="s">
        <v>152</v>
      </c>
      <c r="F43" s="3" t="s">
        <v>13</v>
      </c>
      <c r="G43" s="3" t="s">
        <v>73</v>
      </c>
      <c r="H43" s="3" t="s">
        <v>8</v>
      </c>
      <c r="I43" s="3" t="s">
        <v>7</v>
      </c>
      <c r="J43" s="3" t="s">
        <v>13</v>
      </c>
      <c r="K43" s="3" t="s">
        <v>52</v>
      </c>
      <c r="L43" s="3" t="s">
        <v>24</v>
      </c>
      <c r="M43">
        <v>1</v>
      </c>
    </row>
    <row r="44" spans="1:13" x14ac:dyDescent="0.25">
      <c r="A44" s="2">
        <v>46218</v>
      </c>
      <c r="B44" s="1" t="str">
        <f ca="1">IF(Información1[[#This Row],[Fecha]]='Ajuste de fechas'!$A$2,"Día actual","Día anterior")</f>
        <v>Día anterior</v>
      </c>
      <c r="C44" s="3" t="s">
        <v>16</v>
      </c>
      <c r="D44" t="s">
        <v>51</v>
      </c>
      <c r="E44" s="3" t="s">
        <v>153</v>
      </c>
      <c r="F44" s="3" t="s">
        <v>15</v>
      </c>
      <c r="G44" s="3" t="s">
        <v>154</v>
      </c>
      <c r="H44" s="3" t="s">
        <v>8</v>
      </c>
      <c r="I44" s="3" t="s">
        <v>7</v>
      </c>
      <c r="J44" s="3" t="s">
        <v>31</v>
      </c>
      <c r="K44" s="3" t="s">
        <v>52</v>
      </c>
      <c r="L44" s="3" t="s">
        <v>24</v>
      </c>
      <c r="M44">
        <v>1</v>
      </c>
    </row>
    <row r="45" spans="1:13" x14ac:dyDescent="0.25">
      <c r="A45" s="2">
        <v>46218</v>
      </c>
      <c r="B45" s="1" t="str">
        <f ca="1">IF(Información1[[#This Row],[Fecha]]='Ajuste de fechas'!$A$2,"Día actual","Día anterior")</f>
        <v>Día anterior</v>
      </c>
      <c r="C45" s="3" t="s">
        <v>16</v>
      </c>
      <c r="D45" t="s">
        <v>51</v>
      </c>
      <c r="E45" s="3" t="s">
        <v>155</v>
      </c>
      <c r="F45" s="3" t="s">
        <v>15</v>
      </c>
      <c r="G45" s="3" t="s">
        <v>156</v>
      </c>
      <c r="H45" s="3" t="s">
        <v>8</v>
      </c>
      <c r="I45" s="3" t="s">
        <v>7</v>
      </c>
      <c r="J45" s="3" t="s">
        <v>31</v>
      </c>
      <c r="K45" s="3" t="s">
        <v>64</v>
      </c>
      <c r="L45" s="3" t="s">
        <v>24</v>
      </c>
      <c r="M45">
        <v>1</v>
      </c>
    </row>
    <row r="46" spans="1:13" x14ac:dyDescent="0.25">
      <c r="A46" s="2">
        <v>46218</v>
      </c>
      <c r="B46" s="1" t="str">
        <f ca="1">IF(Información1[[#This Row],[Fecha]]='Ajuste de fechas'!$A$2,"Día actual","Día anterior")</f>
        <v>Día anterior</v>
      </c>
      <c r="C46" s="3" t="s">
        <v>40</v>
      </c>
      <c r="D46" t="s">
        <v>41</v>
      </c>
      <c r="E46" s="3" t="s">
        <v>157</v>
      </c>
      <c r="F46" s="3" t="s">
        <v>15</v>
      </c>
      <c r="G46" s="3" t="s">
        <v>156</v>
      </c>
      <c r="H46" s="3" t="s">
        <v>8</v>
      </c>
      <c r="I46" s="3" t="s">
        <v>7</v>
      </c>
      <c r="J46" s="3" t="s">
        <v>31</v>
      </c>
      <c r="K46" s="3" t="s">
        <v>42</v>
      </c>
      <c r="L46" s="3" t="s">
        <v>24</v>
      </c>
      <c r="M46">
        <v>1</v>
      </c>
    </row>
    <row r="47" spans="1:13" x14ac:dyDescent="0.25">
      <c r="A47" s="2">
        <v>46218</v>
      </c>
      <c r="B47" s="1" t="str">
        <f ca="1">IF(Información1[[#This Row],[Fecha]]='Ajuste de fechas'!$A$2,"Día actual","Día anterior")</f>
        <v>Día anterior</v>
      </c>
      <c r="C47" s="3" t="s">
        <v>16</v>
      </c>
      <c r="D47" t="s">
        <v>51</v>
      </c>
      <c r="E47" s="3" t="s">
        <v>158</v>
      </c>
      <c r="F47" s="3" t="s">
        <v>15</v>
      </c>
      <c r="G47" s="3" t="s">
        <v>84</v>
      </c>
      <c r="H47" s="3" t="s">
        <v>8</v>
      </c>
      <c r="I47" s="3" t="s">
        <v>7</v>
      </c>
      <c r="J47" s="3" t="s">
        <v>31</v>
      </c>
      <c r="K47" s="3" t="s">
        <v>64</v>
      </c>
      <c r="L47" s="3" t="s">
        <v>24</v>
      </c>
      <c r="M47">
        <v>1</v>
      </c>
    </row>
    <row r="48" spans="1:13" x14ac:dyDescent="0.25">
      <c r="A48" s="2">
        <v>46218</v>
      </c>
      <c r="B48" s="1" t="str">
        <f ca="1">IF(Información1[[#This Row],[Fecha]]='Ajuste de fechas'!$A$2,"Día actual","Día anterior")</f>
        <v>Día anterior</v>
      </c>
      <c r="C48" s="3" t="s">
        <v>16</v>
      </c>
      <c r="D48" t="s">
        <v>51</v>
      </c>
      <c r="E48" s="3" t="s">
        <v>159</v>
      </c>
      <c r="F48" s="3" t="s">
        <v>63</v>
      </c>
      <c r="G48" s="3" t="s">
        <v>84</v>
      </c>
      <c r="H48" s="3" t="s">
        <v>8</v>
      </c>
      <c r="I48" s="3" t="s">
        <v>7</v>
      </c>
      <c r="J48" s="3" t="s">
        <v>31</v>
      </c>
      <c r="K48" s="3" t="s">
        <v>52</v>
      </c>
      <c r="L48" s="3" t="s">
        <v>24</v>
      </c>
      <c r="M48">
        <v>1</v>
      </c>
    </row>
    <row r="49" spans="1:13" x14ac:dyDescent="0.25">
      <c r="A49" s="2">
        <v>46218</v>
      </c>
      <c r="B49" s="1" t="str">
        <f ca="1">IF(Información1[[#This Row],[Fecha]]='Ajuste de fechas'!$A$2,"Día actual","Día anterior")</f>
        <v>Día anterior</v>
      </c>
      <c r="C49" s="3" t="s">
        <v>40</v>
      </c>
      <c r="D49" t="s">
        <v>41</v>
      </c>
      <c r="E49" s="3" t="s">
        <v>160</v>
      </c>
      <c r="F49" s="3" t="s">
        <v>10</v>
      </c>
      <c r="G49" s="3" t="s">
        <v>161</v>
      </c>
      <c r="H49" s="3" t="s">
        <v>8</v>
      </c>
      <c r="I49" s="3" t="s">
        <v>14</v>
      </c>
      <c r="J49" s="3" t="s">
        <v>33</v>
      </c>
      <c r="K49" s="3" t="s">
        <v>37</v>
      </c>
      <c r="L49" s="3" t="s">
        <v>25</v>
      </c>
      <c r="M49">
        <v>1</v>
      </c>
    </row>
    <row r="50" spans="1:13" x14ac:dyDescent="0.25">
      <c r="A50" s="2">
        <v>46218</v>
      </c>
      <c r="B50" s="1" t="str">
        <f ca="1">IF(Información1[[#This Row],[Fecha]]='Ajuste de fechas'!$A$2,"Día actual","Día anterior")</f>
        <v>Día anterior</v>
      </c>
      <c r="C50" s="3" t="s">
        <v>111</v>
      </c>
      <c r="D50" t="s">
        <v>112</v>
      </c>
      <c r="E50" s="3" t="s">
        <v>162</v>
      </c>
      <c r="F50" s="3" t="s">
        <v>80</v>
      </c>
      <c r="G50" s="3" t="s">
        <v>163</v>
      </c>
      <c r="H50" s="3" t="s">
        <v>8</v>
      </c>
      <c r="I50" s="3" t="s">
        <v>7</v>
      </c>
      <c r="J50" s="3" t="s">
        <v>31</v>
      </c>
      <c r="K50" s="3" t="s">
        <v>113</v>
      </c>
      <c r="L50" s="3" t="s">
        <v>26</v>
      </c>
      <c r="M50">
        <v>1</v>
      </c>
    </row>
    <row r="51" spans="1:13" x14ac:dyDescent="0.25">
      <c r="A51" s="2">
        <v>46218</v>
      </c>
      <c r="B51" s="1" t="str">
        <f ca="1">IF(Información1[[#This Row],[Fecha]]='Ajuste de fechas'!$A$2,"Día actual","Día anterior")</f>
        <v>Día anterior</v>
      </c>
      <c r="C51" s="3" t="s">
        <v>40</v>
      </c>
      <c r="D51" t="s">
        <v>41</v>
      </c>
      <c r="E51" s="3" t="s">
        <v>164</v>
      </c>
      <c r="F51" s="3" t="s">
        <v>74</v>
      </c>
      <c r="G51" s="3" t="s">
        <v>165</v>
      </c>
      <c r="H51" s="3" t="s">
        <v>8</v>
      </c>
      <c r="I51" s="3" t="s">
        <v>7</v>
      </c>
      <c r="J51" s="3" t="s">
        <v>31</v>
      </c>
      <c r="K51" s="3" t="s">
        <v>42</v>
      </c>
      <c r="L51" s="3" t="s">
        <v>26</v>
      </c>
      <c r="M51">
        <v>1</v>
      </c>
    </row>
    <row r="52" spans="1:13" x14ac:dyDescent="0.25">
      <c r="A52" s="2">
        <v>46218</v>
      </c>
      <c r="B52" s="1" t="str">
        <f ca="1">IF(Información1[[#This Row],[Fecha]]='Ajuste de fechas'!$A$2,"Día actual","Día anterior")</f>
        <v>Día anterior</v>
      </c>
      <c r="C52" s="3" t="s">
        <v>16</v>
      </c>
      <c r="D52" t="s">
        <v>51</v>
      </c>
      <c r="E52" s="3" t="s">
        <v>166</v>
      </c>
      <c r="F52" s="3" t="s">
        <v>94</v>
      </c>
      <c r="G52" s="3" t="s">
        <v>167</v>
      </c>
      <c r="H52" s="3" t="s">
        <v>8</v>
      </c>
      <c r="I52" s="3" t="s">
        <v>7</v>
      </c>
      <c r="J52" s="3" t="s">
        <v>31</v>
      </c>
      <c r="K52" s="3" t="s">
        <v>64</v>
      </c>
      <c r="L52" s="3" t="s">
        <v>24</v>
      </c>
      <c r="M52">
        <v>1</v>
      </c>
    </row>
    <row r="53" spans="1:13" x14ac:dyDescent="0.25">
      <c r="A53" s="2">
        <v>46218</v>
      </c>
      <c r="B53" s="1" t="str">
        <f ca="1">IF(Información1[[#This Row],[Fecha]]='Ajuste de fechas'!$A$2,"Día actual","Día anterior")</f>
        <v>Día anterior</v>
      </c>
      <c r="C53" s="3" t="s">
        <v>16</v>
      </c>
      <c r="D53" t="s">
        <v>51</v>
      </c>
      <c r="E53" s="3" t="s">
        <v>166</v>
      </c>
      <c r="F53" s="3" t="s">
        <v>94</v>
      </c>
      <c r="G53" s="3" t="s">
        <v>167</v>
      </c>
      <c r="H53" s="3" t="s">
        <v>8</v>
      </c>
      <c r="I53" s="3" t="s">
        <v>7</v>
      </c>
      <c r="J53" s="3" t="s">
        <v>31</v>
      </c>
      <c r="K53" s="3" t="s">
        <v>52</v>
      </c>
      <c r="L53" s="3" t="s">
        <v>24</v>
      </c>
      <c r="M53">
        <v>1</v>
      </c>
    </row>
    <row r="54" spans="1:13" x14ac:dyDescent="0.25">
      <c r="A54" s="2">
        <v>46218</v>
      </c>
      <c r="B54" s="1" t="str">
        <f ca="1">IF(Información1[[#This Row],[Fecha]]='Ajuste de fechas'!$A$2,"Día actual","Día anterior")</f>
        <v>Día anterior</v>
      </c>
      <c r="C54" s="3" t="s">
        <v>40</v>
      </c>
      <c r="D54" t="s">
        <v>41</v>
      </c>
      <c r="E54" s="3" t="s">
        <v>168</v>
      </c>
      <c r="F54" s="3" t="s">
        <v>94</v>
      </c>
      <c r="G54" s="3" t="s">
        <v>167</v>
      </c>
      <c r="H54" s="3" t="s">
        <v>8</v>
      </c>
      <c r="I54" s="3" t="s">
        <v>7</v>
      </c>
      <c r="J54" s="3" t="s">
        <v>31</v>
      </c>
      <c r="K54" s="3" t="s">
        <v>42</v>
      </c>
      <c r="L54" s="3" t="s">
        <v>36</v>
      </c>
      <c r="M54">
        <v>1</v>
      </c>
    </row>
    <row r="55" spans="1:13" x14ac:dyDescent="0.25">
      <c r="A55" s="2">
        <v>46218</v>
      </c>
      <c r="B55" s="1" t="str">
        <f ca="1">IF(Información1[[#This Row],[Fecha]]='Ajuste de fechas'!$A$2,"Día actual","Día anterior")</f>
        <v>Día anterior</v>
      </c>
      <c r="C55" s="3" t="s">
        <v>16</v>
      </c>
      <c r="D55" t="s">
        <v>51</v>
      </c>
      <c r="E55" s="3" t="s">
        <v>169</v>
      </c>
      <c r="F55" s="3" t="s">
        <v>10</v>
      </c>
      <c r="G55" s="3" t="s">
        <v>170</v>
      </c>
      <c r="H55" s="3" t="s">
        <v>8</v>
      </c>
      <c r="I55" s="3" t="s">
        <v>7</v>
      </c>
      <c r="J55" s="3" t="s">
        <v>33</v>
      </c>
      <c r="K55" s="3" t="s">
        <v>52</v>
      </c>
      <c r="L55" s="3" t="s">
        <v>24</v>
      </c>
      <c r="M55">
        <v>1</v>
      </c>
    </row>
    <row r="56" spans="1:13" x14ac:dyDescent="0.25">
      <c r="A56" s="2">
        <v>46218</v>
      </c>
      <c r="B56" s="1" t="str">
        <f ca="1">IF(Información1[[#This Row],[Fecha]]='Ajuste de fechas'!$A$2,"Día actual","Día anterior")</f>
        <v>Día anterior</v>
      </c>
      <c r="C56" s="3" t="s">
        <v>40</v>
      </c>
      <c r="D56" t="s">
        <v>41</v>
      </c>
      <c r="E56" s="3" t="s">
        <v>82</v>
      </c>
      <c r="F56" s="3" t="s">
        <v>15</v>
      </c>
      <c r="G56" s="3" t="s">
        <v>83</v>
      </c>
      <c r="H56" s="3" t="s">
        <v>8</v>
      </c>
      <c r="I56" s="3" t="s">
        <v>7</v>
      </c>
      <c r="J56" s="3" t="s">
        <v>31</v>
      </c>
      <c r="K56" s="3" t="s">
        <v>42</v>
      </c>
      <c r="L56" s="3" t="s">
        <v>26</v>
      </c>
      <c r="M56">
        <v>1</v>
      </c>
    </row>
    <row r="57" spans="1:13" x14ac:dyDescent="0.25">
      <c r="A57" s="2">
        <v>46218</v>
      </c>
      <c r="B57" s="1" t="str">
        <f ca="1">IF(Información1[[#This Row],[Fecha]]='Ajuste de fechas'!$A$2,"Día actual","Día anterior")</f>
        <v>Día anterior</v>
      </c>
      <c r="C57" s="3" t="s">
        <v>16</v>
      </c>
      <c r="D57" t="s">
        <v>51</v>
      </c>
      <c r="E57" s="3" t="s">
        <v>173</v>
      </c>
      <c r="F57" s="3" t="s">
        <v>78</v>
      </c>
      <c r="G57" s="3" t="s">
        <v>174</v>
      </c>
      <c r="H57" s="3" t="s">
        <v>8</v>
      </c>
      <c r="I57" s="3" t="s">
        <v>7</v>
      </c>
      <c r="J57" s="3" t="s">
        <v>13</v>
      </c>
      <c r="K57" s="3" t="s">
        <v>64</v>
      </c>
      <c r="L57" s="3" t="s">
        <v>24</v>
      </c>
      <c r="M57">
        <v>1</v>
      </c>
    </row>
    <row r="58" spans="1:13" x14ac:dyDescent="0.25">
      <c r="A58" s="2">
        <v>46218</v>
      </c>
      <c r="B58" s="1" t="str">
        <f ca="1">IF(Información1[[#This Row],[Fecha]]='Ajuste de fechas'!$A$2,"Día actual","Día anterior")</f>
        <v>Día anterior</v>
      </c>
      <c r="C58" s="3" t="s">
        <v>16</v>
      </c>
      <c r="D58" t="s">
        <v>51</v>
      </c>
      <c r="E58" s="3" t="s">
        <v>175</v>
      </c>
      <c r="F58" s="3" t="s">
        <v>35</v>
      </c>
      <c r="G58" s="3" t="s">
        <v>174</v>
      </c>
      <c r="H58" s="3" t="s">
        <v>8</v>
      </c>
      <c r="I58" s="3" t="s">
        <v>7</v>
      </c>
      <c r="J58" s="3" t="s">
        <v>31</v>
      </c>
      <c r="K58" s="3" t="s">
        <v>64</v>
      </c>
      <c r="L58" s="3" t="s">
        <v>26</v>
      </c>
      <c r="M58">
        <v>1</v>
      </c>
    </row>
    <row r="59" spans="1:13" x14ac:dyDescent="0.25">
      <c r="A59" s="2">
        <v>46218</v>
      </c>
      <c r="B59" s="1" t="str">
        <f ca="1">IF(Información1[[#This Row],[Fecha]]='Ajuste de fechas'!$A$2,"Día actual","Día anterior")</f>
        <v>Día anterior</v>
      </c>
      <c r="C59" s="3" t="s">
        <v>55</v>
      </c>
      <c r="D59" t="s">
        <v>56</v>
      </c>
      <c r="E59" s="3" t="s">
        <v>176</v>
      </c>
      <c r="F59" s="3" t="s">
        <v>11</v>
      </c>
      <c r="G59" s="3" t="s">
        <v>177</v>
      </c>
      <c r="H59" s="3" t="s">
        <v>8</v>
      </c>
      <c r="I59" s="3" t="s">
        <v>7</v>
      </c>
      <c r="J59" s="3" t="s">
        <v>32</v>
      </c>
      <c r="K59" s="3" t="s">
        <v>57</v>
      </c>
      <c r="L59" s="3" t="s">
        <v>24</v>
      </c>
      <c r="M59">
        <v>1</v>
      </c>
    </row>
    <row r="60" spans="1:13" x14ac:dyDescent="0.25">
      <c r="A60" s="2">
        <v>46218</v>
      </c>
      <c r="B60" s="1" t="str">
        <f ca="1">IF(Información1[[#This Row],[Fecha]]='Ajuste de fechas'!$A$2,"Día actual","Día anterior")</f>
        <v>Día anterior</v>
      </c>
      <c r="C60" s="3" t="s">
        <v>55</v>
      </c>
      <c r="D60" t="s">
        <v>56</v>
      </c>
      <c r="E60" s="3" t="s">
        <v>178</v>
      </c>
      <c r="F60" s="3" t="s">
        <v>11</v>
      </c>
      <c r="G60" s="3" t="s">
        <v>110</v>
      </c>
      <c r="H60" s="3" t="s">
        <v>8</v>
      </c>
      <c r="I60" s="3" t="s">
        <v>7</v>
      </c>
      <c r="J60" s="3" t="s">
        <v>32</v>
      </c>
      <c r="K60" s="3" t="s">
        <v>57</v>
      </c>
      <c r="L60" s="3" t="s">
        <v>24</v>
      </c>
      <c r="M60">
        <v>1</v>
      </c>
    </row>
    <row r="61" spans="1:13" x14ac:dyDescent="0.25">
      <c r="A61" s="2">
        <v>46218</v>
      </c>
      <c r="B61" s="1" t="str">
        <f ca="1">IF(Información1[[#This Row],[Fecha]]='Ajuste de fechas'!$A$2,"Día actual","Día anterior")</f>
        <v>Día anterior</v>
      </c>
      <c r="C61" s="3" t="s">
        <v>55</v>
      </c>
      <c r="D61" t="s">
        <v>56</v>
      </c>
      <c r="E61" s="3" t="s">
        <v>179</v>
      </c>
      <c r="F61" s="3" t="s">
        <v>11</v>
      </c>
      <c r="G61" s="3" t="s">
        <v>180</v>
      </c>
      <c r="H61" s="3" t="s">
        <v>8</v>
      </c>
      <c r="I61" s="3" t="s">
        <v>7</v>
      </c>
      <c r="J61" s="3" t="s">
        <v>32</v>
      </c>
      <c r="K61" s="3" t="s">
        <v>57</v>
      </c>
      <c r="L61" s="3" t="s">
        <v>24</v>
      </c>
      <c r="M61">
        <v>1</v>
      </c>
    </row>
    <row r="62" spans="1:13" x14ac:dyDescent="0.25">
      <c r="A62" s="2">
        <v>46218</v>
      </c>
      <c r="B62" s="1" t="str">
        <f ca="1">IF(Información1[[#This Row],[Fecha]]='Ajuste de fechas'!$A$2,"Día actual","Día anterior")</f>
        <v>Día anterior</v>
      </c>
      <c r="C62" s="3" t="s">
        <v>55</v>
      </c>
      <c r="D62" t="s">
        <v>56</v>
      </c>
      <c r="E62" s="3" t="s">
        <v>181</v>
      </c>
      <c r="F62" s="3" t="s">
        <v>10</v>
      </c>
      <c r="G62" s="3" t="s">
        <v>182</v>
      </c>
      <c r="H62" s="3" t="s">
        <v>8</v>
      </c>
      <c r="I62" s="3" t="s">
        <v>7</v>
      </c>
      <c r="J62" s="3" t="s">
        <v>33</v>
      </c>
      <c r="K62" s="3" t="s">
        <v>57</v>
      </c>
      <c r="L62" s="3" t="s">
        <v>24</v>
      </c>
      <c r="M62">
        <v>1</v>
      </c>
    </row>
    <row r="63" spans="1:13" x14ac:dyDescent="0.25">
      <c r="A63" s="2">
        <v>46218</v>
      </c>
      <c r="B63" s="1" t="str">
        <f ca="1">IF(Información1[[#This Row],[Fecha]]='Ajuste de fechas'!$A$2,"Día actual","Día anterior")</f>
        <v>Día anterior</v>
      </c>
      <c r="C63" s="3" t="s">
        <v>55</v>
      </c>
      <c r="D63" t="s">
        <v>56</v>
      </c>
      <c r="E63" s="3" t="s">
        <v>183</v>
      </c>
      <c r="F63" s="3" t="s">
        <v>12</v>
      </c>
      <c r="G63" s="3" t="s">
        <v>71</v>
      </c>
      <c r="H63" s="3" t="s">
        <v>8</v>
      </c>
      <c r="I63" s="3" t="s">
        <v>14</v>
      </c>
      <c r="J63" s="3" t="s">
        <v>31</v>
      </c>
      <c r="K63" s="3" t="s">
        <v>57</v>
      </c>
      <c r="L63" s="3" t="s">
        <v>24</v>
      </c>
      <c r="M63">
        <v>1</v>
      </c>
    </row>
    <row r="64" spans="1:13" x14ac:dyDescent="0.25">
      <c r="A64" s="2">
        <v>46218</v>
      </c>
      <c r="B64" s="1" t="str">
        <f ca="1">IF(Información1[[#This Row],[Fecha]]='Ajuste de fechas'!$A$2,"Día actual","Día anterior")</f>
        <v>Día anterior</v>
      </c>
      <c r="C64" s="3" t="s">
        <v>55</v>
      </c>
      <c r="D64" t="s">
        <v>56</v>
      </c>
      <c r="E64" s="3" t="s">
        <v>183</v>
      </c>
      <c r="F64" s="3" t="s">
        <v>35</v>
      </c>
      <c r="G64" s="3" t="s">
        <v>71</v>
      </c>
      <c r="H64" s="3" t="s">
        <v>8</v>
      </c>
      <c r="I64" s="3" t="s">
        <v>7</v>
      </c>
      <c r="J64" s="3" t="s">
        <v>31</v>
      </c>
      <c r="K64" s="3" t="s">
        <v>57</v>
      </c>
      <c r="L64" s="3" t="s">
        <v>24</v>
      </c>
      <c r="M64">
        <v>1</v>
      </c>
    </row>
    <row r="65" spans="1:13" x14ac:dyDescent="0.25">
      <c r="A65" s="2">
        <v>46218</v>
      </c>
      <c r="B65" s="1" t="str">
        <f ca="1">IF(Información1[[#This Row],[Fecha]]='Ajuste de fechas'!$A$2,"Día actual","Día anterior")</f>
        <v>Día anterior</v>
      </c>
      <c r="C65" s="3" t="s">
        <v>58</v>
      </c>
      <c r="D65" t="s">
        <v>59</v>
      </c>
      <c r="E65" s="3" t="s">
        <v>184</v>
      </c>
      <c r="F65" s="3" t="s">
        <v>185</v>
      </c>
      <c r="G65" s="3" t="s">
        <v>92</v>
      </c>
      <c r="H65" s="3" t="s">
        <v>8</v>
      </c>
      <c r="I65" s="3" t="s">
        <v>7</v>
      </c>
      <c r="J65" s="3" t="s">
        <v>72</v>
      </c>
      <c r="K65" s="3" t="s">
        <v>60</v>
      </c>
      <c r="L65" s="3" t="s">
        <v>36</v>
      </c>
      <c r="M65">
        <v>1</v>
      </c>
    </row>
    <row r="66" spans="1:13" x14ac:dyDescent="0.25">
      <c r="A66" s="2">
        <v>46218</v>
      </c>
      <c r="B66" s="1" t="str">
        <f ca="1">IF(Información1[[#This Row],[Fecha]]='Ajuste de fechas'!$A$2,"Día actual","Día anterior")</f>
        <v>Día anterior</v>
      </c>
      <c r="C66" s="3" t="s">
        <v>58</v>
      </c>
      <c r="D66" t="s">
        <v>59</v>
      </c>
      <c r="E66" s="3" t="s">
        <v>171</v>
      </c>
      <c r="F66" s="3" t="s">
        <v>63</v>
      </c>
      <c r="G66" s="3" t="s">
        <v>172</v>
      </c>
      <c r="H66" s="3" t="s">
        <v>8</v>
      </c>
      <c r="I66" s="3" t="s">
        <v>7</v>
      </c>
      <c r="J66" s="3" t="s">
        <v>31</v>
      </c>
      <c r="K66" s="3" t="s">
        <v>60</v>
      </c>
      <c r="L66" s="3" t="s">
        <v>26</v>
      </c>
      <c r="M66">
        <v>1</v>
      </c>
    </row>
    <row r="67" spans="1:13" x14ac:dyDescent="0.25">
      <c r="A67" s="2">
        <v>46218</v>
      </c>
      <c r="B67" s="1" t="str">
        <f ca="1">IF(Información1[[#This Row],[Fecha]]='Ajuste de fechas'!$A$2,"Día actual","Día anterior")</f>
        <v>Día anterior</v>
      </c>
      <c r="C67" s="3" t="s">
        <v>58</v>
      </c>
      <c r="D67" t="s">
        <v>59</v>
      </c>
      <c r="E67" s="3" t="s">
        <v>186</v>
      </c>
      <c r="F67" s="3" t="s">
        <v>17</v>
      </c>
      <c r="G67" s="3" t="s">
        <v>115</v>
      </c>
      <c r="H67" s="3" t="s">
        <v>8</v>
      </c>
      <c r="I67" s="3" t="s">
        <v>7</v>
      </c>
      <c r="J67" s="3" t="s">
        <v>31</v>
      </c>
      <c r="K67" s="3" t="s">
        <v>60</v>
      </c>
      <c r="L67" s="3" t="s">
        <v>26</v>
      </c>
      <c r="M67">
        <v>1</v>
      </c>
    </row>
    <row r="68" spans="1:13" x14ac:dyDescent="0.25">
      <c r="A68" s="2">
        <v>46218</v>
      </c>
      <c r="B68" s="1" t="str">
        <f ca="1">IF(Información1[[#This Row],[Fecha]]='Ajuste de fechas'!$A$2,"Día actual","Día anterior")</f>
        <v>Día anterior</v>
      </c>
      <c r="C68" s="3" t="s">
        <v>58</v>
      </c>
      <c r="D68" t="s">
        <v>59</v>
      </c>
      <c r="E68" s="3" t="s">
        <v>187</v>
      </c>
      <c r="F68" s="3" t="s">
        <v>11</v>
      </c>
      <c r="G68" s="3" t="s">
        <v>50</v>
      </c>
      <c r="H68" s="3" t="s">
        <v>8</v>
      </c>
      <c r="I68" s="3" t="s">
        <v>14</v>
      </c>
      <c r="J68" s="3" t="s">
        <v>32</v>
      </c>
      <c r="K68" s="3" t="s">
        <v>60</v>
      </c>
      <c r="L68" s="3" t="s">
        <v>24</v>
      </c>
      <c r="M68">
        <v>1</v>
      </c>
    </row>
    <row r="69" spans="1:13" x14ac:dyDescent="0.25">
      <c r="A69" s="2">
        <v>46218</v>
      </c>
      <c r="B69" s="1" t="str">
        <f ca="1">IF(Información1[[#This Row],[Fecha]]='Ajuste de fechas'!$A$2,"Día actual","Día anterior")</f>
        <v>Día anterior</v>
      </c>
      <c r="C69" s="3" t="s">
        <v>58</v>
      </c>
      <c r="D69" t="s">
        <v>59</v>
      </c>
      <c r="E69" s="3" t="s">
        <v>188</v>
      </c>
      <c r="F69" s="3" t="s">
        <v>11</v>
      </c>
      <c r="G69" s="3" t="s">
        <v>182</v>
      </c>
      <c r="H69" s="3" t="s">
        <v>8</v>
      </c>
      <c r="I69" s="3" t="s">
        <v>7</v>
      </c>
      <c r="J69" s="3" t="s">
        <v>32</v>
      </c>
      <c r="K69" s="3" t="s">
        <v>60</v>
      </c>
      <c r="L69" s="3" t="s">
        <v>24</v>
      </c>
      <c r="M69">
        <v>1</v>
      </c>
    </row>
    <row r="70" spans="1:13" x14ac:dyDescent="0.25">
      <c r="A70" s="2">
        <v>46218</v>
      </c>
      <c r="B70" s="1" t="str">
        <f ca="1">IF(Información1[[#This Row],[Fecha]]='Ajuste de fechas'!$A$2,"Día actual","Día anterior")</f>
        <v>Día anterior</v>
      </c>
      <c r="C70" s="3" t="s">
        <v>58</v>
      </c>
      <c r="D70" t="s">
        <v>59</v>
      </c>
      <c r="E70" s="3" t="s">
        <v>189</v>
      </c>
      <c r="F70" s="3" t="s">
        <v>11</v>
      </c>
      <c r="G70" s="3" t="s">
        <v>180</v>
      </c>
      <c r="H70" s="3" t="s">
        <v>8</v>
      </c>
      <c r="I70" s="3" t="s">
        <v>7</v>
      </c>
      <c r="J70" s="3" t="s">
        <v>32</v>
      </c>
      <c r="K70" s="3" t="s">
        <v>60</v>
      </c>
      <c r="L70" s="3" t="s">
        <v>24</v>
      </c>
      <c r="M70">
        <v>1</v>
      </c>
    </row>
    <row r="71" spans="1:13" x14ac:dyDescent="0.25">
      <c r="A71" s="2">
        <v>46218</v>
      </c>
      <c r="B71" s="1" t="str">
        <f ca="1">IF(Información1[[#This Row],[Fecha]]='Ajuste de fechas'!$A$2,"Día actual","Día anterior")</f>
        <v>Día anterior</v>
      </c>
      <c r="C71" s="3" t="s">
        <v>58</v>
      </c>
      <c r="D71" t="s">
        <v>59</v>
      </c>
      <c r="E71" s="3" t="s">
        <v>190</v>
      </c>
      <c r="F71" s="3" t="s">
        <v>30</v>
      </c>
      <c r="G71" s="3" t="s">
        <v>191</v>
      </c>
      <c r="H71" s="3" t="s">
        <v>8</v>
      </c>
      <c r="I71" s="3" t="s">
        <v>7</v>
      </c>
      <c r="J71" s="3" t="s">
        <v>13</v>
      </c>
      <c r="K71" s="3" t="s">
        <v>60</v>
      </c>
      <c r="L71" s="3" t="s">
        <v>24</v>
      </c>
      <c r="M71">
        <v>1</v>
      </c>
    </row>
    <row r="72" spans="1:13" x14ac:dyDescent="0.25">
      <c r="A72" s="2">
        <v>46218</v>
      </c>
      <c r="B72" s="1" t="str">
        <f ca="1">IF(Información1[[#This Row],[Fecha]]='Ajuste de fechas'!$A$2,"Día actual","Día anterior")</f>
        <v>Día anterior</v>
      </c>
      <c r="C72" s="3" t="s">
        <v>58</v>
      </c>
      <c r="D72" t="s">
        <v>59</v>
      </c>
      <c r="E72" s="3" t="s">
        <v>88</v>
      </c>
      <c r="F72" s="3" t="s">
        <v>80</v>
      </c>
      <c r="G72" s="3" t="s">
        <v>81</v>
      </c>
      <c r="H72" s="3" t="s">
        <v>8</v>
      </c>
      <c r="I72" s="3" t="s">
        <v>7</v>
      </c>
      <c r="J72" s="3" t="s">
        <v>31</v>
      </c>
      <c r="K72" s="3" t="s">
        <v>60</v>
      </c>
      <c r="L72" s="3" t="s">
        <v>26</v>
      </c>
      <c r="M72">
        <v>1</v>
      </c>
    </row>
    <row r="73" spans="1:13" x14ac:dyDescent="0.25">
      <c r="A73" s="2">
        <v>46218</v>
      </c>
      <c r="B73" s="1" t="str">
        <f ca="1">IF(Información1[[#This Row],[Fecha]]='Ajuste de fechas'!$A$2,"Día actual","Día anterior")</f>
        <v>Día anterior</v>
      </c>
      <c r="C73" s="3" t="s">
        <v>58</v>
      </c>
      <c r="D73" t="s">
        <v>59</v>
      </c>
      <c r="E73" s="3" t="s">
        <v>192</v>
      </c>
      <c r="F73" s="3" t="s">
        <v>63</v>
      </c>
      <c r="G73" s="3" t="s">
        <v>84</v>
      </c>
      <c r="H73" s="3" t="s">
        <v>8</v>
      </c>
      <c r="I73" s="3" t="s">
        <v>7</v>
      </c>
      <c r="J73" s="3" t="s">
        <v>31</v>
      </c>
      <c r="K73" s="3" t="s">
        <v>60</v>
      </c>
      <c r="L73" s="3" t="s">
        <v>26</v>
      </c>
      <c r="M73">
        <v>1</v>
      </c>
    </row>
    <row r="74" spans="1:13" x14ac:dyDescent="0.25">
      <c r="A74" s="2">
        <v>46218</v>
      </c>
      <c r="B74" s="1" t="str">
        <f ca="1">IF(Información1[[#This Row],[Fecha]]='Ajuste de fechas'!$A$2,"Día actual","Día anterior")</f>
        <v>Día anterior</v>
      </c>
      <c r="C74" s="3" t="s">
        <v>58</v>
      </c>
      <c r="D74" t="s">
        <v>59</v>
      </c>
      <c r="E74" s="3" t="s">
        <v>132</v>
      </c>
      <c r="F74" s="3" t="s">
        <v>9</v>
      </c>
      <c r="G74" s="3" t="s">
        <v>133</v>
      </c>
      <c r="H74" s="3" t="s">
        <v>8</v>
      </c>
      <c r="I74" s="3" t="s">
        <v>7</v>
      </c>
      <c r="J74" s="3" t="s">
        <v>31</v>
      </c>
      <c r="K74" s="3" t="s">
        <v>60</v>
      </c>
      <c r="L74" s="3" t="s">
        <v>26</v>
      </c>
      <c r="M74">
        <v>1</v>
      </c>
    </row>
    <row r="75" spans="1:13" x14ac:dyDescent="0.25">
      <c r="A75" s="2">
        <v>46218</v>
      </c>
      <c r="B75" s="1" t="str">
        <f ca="1">IF(Información1[[#This Row],[Fecha]]='Ajuste de fechas'!$A$2,"Día actual","Día anterior")</f>
        <v>Día anterior</v>
      </c>
      <c r="C75" s="3" t="s">
        <v>58</v>
      </c>
      <c r="D75" t="s">
        <v>59</v>
      </c>
      <c r="E75" s="3" t="s">
        <v>193</v>
      </c>
      <c r="F75" s="3" t="s">
        <v>35</v>
      </c>
      <c r="G75" s="3" t="s">
        <v>62</v>
      </c>
      <c r="H75" s="3" t="s">
        <v>8</v>
      </c>
      <c r="I75" s="3" t="s">
        <v>7</v>
      </c>
      <c r="J75" s="3" t="s">
        <v>31</v>
      </c>
      <c r="K75" s="3" t="s">
        <v>60</v>
      </c>
      <c r="L75" s="3" t="s">
        <v>26</v>
      </c>
      <c r="M75">
        <v>1</v>
      </c>
    </row>
    <row r="76" spans="1:13" x14ac:dyDescent="0.25">
      <c r="A76" s="2">
        <v>46218</v>
      </c>
      <c r="B76" s="1" t="str">
        <f ca="1">IF(Información1[[#This Row],[Fecha]]='Ajuste de fechas'!$A$2,"Día actual","Día anterior")</f>
        <v>Día anterior</v>
      </c>
      <c r="C76" s="3" t="s">
        <v>58</v>
      </c>
      <c r="D76" t="s">
        <v>59</v>
      </c>
      <c r="E76" s="3" t="s">
        <v>194</v>
      </c>
      <c r="F76" s="3" t="s">
        <v>12</v>
      </c>
      <c r="G76" s="3" t="s">
        <v>131</v>
      </c>
      <c r="H76" s="3" t="s">
        <v>8</v>
      </c>
      <c r="I76" s="3" t="s">
        <v>7</v>
      </c>
      <c r="J76" s="3" t="s">
        <v>31</v>
      </c>
      <c r="K76" s="3" t="s">
        <v>60</v>
      </c>
      <c r="L76" s="3" t="s">
        <v>26</v>
      </c>
      <c r="M76">
        <v>1</v>
      </c>
    </row>
    <row r="77" spans="1:13" x14ac:dyDescent="0.25">
      <c r="A77" s="2">
        <v>46218</v>
      </c>
      <c r="B77" s="1" t="str">
        <f ca="1">IF(Información1[[#This Row],[Fecha]]='Ajuste de fechas'!$A$2,"Día actual","Día anterior")</f>
        <v>Día anterior</v>
      </c>
      <c r="C77" s="3" t="s">
        <v>58</v>
      </c>
      <c r="D77" t="s">
        <v>59</v>
      </c>
      <c r="E77" s="3" t="s">
        <v>195</v>
      </c>
      <c r="F77" s="3" t="s">
        <v>54</v>
      </c>
      <c r="G77" s="3" t="s">
        <v>196</v>
      </c>
      <c r="H77" s="3" t="s">
        <v>8</v>
      </c>
      <c r="I77" s="3" t="s">
        <v>7</v>
      </c>
      <c r="J77" s="3" t="s">
        <v>31</v>
      </c>
      <c r="K77" s="3" t="s">
        <v>60</v>
      </c>
      <c r="L77" s="3" t="s">
        <v>26</v>
      </c>
      <c r="M77">
        <v>1</v>
      </c>
    </row>
    <row r="78" spans="1:13" x14ac:dyDescent="0.25">
      <c r="A78" s="2">
        <v>46218</v>
      </c>
      <c r="B78" s="1" t="str">
        <f ca="1">IF(Información1[[#This Row],[Fecha]]='Ajuste de fechas'!$A$2,"Día actual","Día anterior")</f>
        <v>Día anterior</v>
      </c>
      <c r="C78" s="3" t="s">
        <v>58</v>
      </c>
      <c r="D78" t="s">
        <v>59</v>
      </c>
      <c r="E78" s="3" t="s">
        <v>197</v>
      </c>
      <c r="F78" s="3" t="s">
        <v>15</v>
      </c>
      <c r="G78" s="3" t="s">
        <v>95</v>
      </c>
      <c r="H78" s="3" t="s">
        <v>8</v>
      </c>
      <c r="I78" s="3" t="s">
        <v>7</v>
      </c>
      <c r="J78" s="3" t="s">
        <v>31</v>
      </c>
      <c r="K78" s="3" t="s">
        <v>60</v>
      </c>
      <c r="L78" s="3" t="s">
        <v>26</v>
      </c>
      <c r="M78">
        <v>1</v>
      </c>
    </row>
    <row r="79" spans="1:13" x14ac:dyDescent="0.25">
      <c r="A79" s="2">
        <v>46218</v>
      </c>
      <c r="B79" s="1" t="str">
        <f ca="1">IF(Información1[[#This Row],[Fecha]]='Ajuste de fechas'!$A$2,"Día actual","Día anterior")</f>
        <v>Día anterior</v>
      </c>
      <c r="C79" s="3" t="s">
        <v>55</v>
      </c>
      <c r="D79" t="s">
        <v>61</v>
      </c>
      <c r="E79" s="3" t="s">
        <v>198</v>
      </c>
      <c r="F79" s="3" t="s">
        <v>11</v>
      </c>
      <c r="G79" s="3" t="s">
        <v>161</v>
      </c>
      <c r="H79" s="3" t="s">
        <v>8</v>
      </c>
      <c r="I79" s="3" t="s">
        <v>14</v>
      </c>
      <c r="J79" s="3" t="s">
        <v>32</v>
      </c>
      <c r="K79" s="3" t="s">
        <v>57</v>
      </c>
      <c r="L79" s="3" t="s">
        <v>24</v>
      </c>
      <c r="M79">
        <v>1</v>
      </c>
    </row>
    <row r="80" spans="1:13" x14ac:dyDescent="0.25">
      <c r="A80" s="2">
        <v>46218</v>
      </c>
      <c r="B80" s="1" t="str">
        <f ca="1">IF(Información1[[#This Row],[Fecha]]='Ajuste de fechas'!$A$2,"Día actual","Día anterior")</f>
        <v>Día anterior</v>
      </c>
      <c r="C80" s="3" t="s">
        <v>55</v>
      </c>
      <c r="D80" t="s">
        <v>61</v>
      </c>
      <c r="E80" s="3" t="s">
        <v>199</v>
      </c>
      <c r="F80" s="3" t="s">
        <v>11</v>
      </c>
      <c r="G80" s="3" t="s">
        <v>141</v>
      </c>
      <c r="H80" s="3" t="s">
        <v>8</v>
      </c>
      <c r="I80" s="3" t="s">
        <v>14</v>
      </c>
      <c r="J80" s="3" t="s">
        <v>32</v>
      </c>
      <c r="K80" s="3" t="s">
        <v>57</v>
      </c>
      <c r="L80" s="3" t="s">
        <v>25</v>
      </c>
      <c r="M80">
        <v>1</v>
      </c>
    </row>
    <row r="81" spans="1:13" x14ac:dyDescent="0.25">
      <c r="A81" s="2">
        <v>46218</v>
      </c>
      <c r="B81" s="1" t="str">
        <f ca="1">IF(Información1[[#This Row],[Fecha]]='Ajuste de fechas'!$A$2,"Día actual","Día anterior")</f>
        <v>Día anterior</v>
      </c>
      <c r="C81" s="3" t="s">
        <v>55</v>
      </c>
      <c r="D81" t="s">
        <v>61</v>
      </c>
      <c r="E81" s="3" t="s">
        <v>200</v>
      </c>
      <c r="F81" s="3" t="s">
        <v>54</v>
      </c>
      <c r="G81" s="3" t="s">
        <v>89</v>
      </c>
      <c r="H81" s="3" t="s">
        <v>8</v>
      </c>
      <c r="I81" s="3" t="s">
        <v>7</v>
      </c>
      <c r="J81" s="3" t="s">
        <v>31</v>
      </c>
      <c r="K81" s="3" t="s">
        <v>53</v>
      </c>
      <c r="L81" s="3" t="s">
        <v>36</v>
      </c>
      <c r="M81">
        <v>1</v>
      </c>
    </row>
    <row r="82" spans="1:13" x14ac:dyDescent="0.25">
      <c r="A82" s="2">
        <v>46218</v>
      </c>
      <c r="B82" s="1" t="str">
        <f ca="1">IF(Información1[[#This Row],[Fecha]]='Ajuste de fechas'!$A$2,"Día actual","Día anterior")</f>
        <v>Día anterior</v>
      </c>
      <c r="C82" s="3" t="s">
        <v>55</v>
      </c>
      <c r="D82" t="s">
        <v>61</v>
      </c>
      <c r="E82" s="3" t="s">
        <v>201</v>
      </c>
      <c r="F82" s="3" t="s">
        <v>12</v>
      </c>
      <c r="G82" s="3" t="s">
        <v>141</v>
      </c>
      <c r="H82" s="3" t="s">
        <v>8</v>
      </c>
      <c r="I82" s="3" t="s">
        <v>7</v>
      </c>
      <c r="J82" s="3" t="s">
        <v>31</v>
      </c>
      <c r="K82" s="3" t="s">
        <v>57</v>
      </c>
      <c r="L82" s="3" t="s">
        <v>24</v>
      </c>
      <c r="M82">
        <v>1</v>
      </c>
    </row>
    <row r="83" spans="1:13" x14ac:dyDescent="0.25">
      <c r="A83" s="2">
        <v>46218</v>
      </c>
      <c r="B83" s="1" t="str">
        <f ca="1">IF(Información1[[#This Row],[Fecha]]='Ajuste de fechas'!$A$2,"Día actual","Día anterior")</f>
        <v>Día anterior</v>
      </c>
      <c r="C83" s="3" t="s">
        <v>55</v>
      </c>
      <c r="D83" t="s">
        <v>61</v>
      </c>
      <c r="E83" s="3" t="s">
        <v>202</v>
      </c>
      <c r="F83" s="3" t="s">
        <v>35</v>
      </c>
      <c r="G83" s="3" t="s">
        <v>174</v>
      </c>
      <c r="H83" s="3" t="s">
        <v>8</v>
      </c>
      <c r="I83" s="3" t="s">
        <v>7</v>
      </c>
      <c r="J83" s="3" t="s">
        <v>31</v>
      </c>
      <c r="K83" s="3" t="s">
        <v>57</v>
      </c>
      <c r="L83" s="3" t="s">
        <v>24</v>
      </c>
      <c r="M83">
        <v>1</v>
      </c>
    </row>
    <row r="84" spans="1:13" x14ac:dyDescent="0.25">
      <c r="A84" s="2">
        <v>46218</v>
      </c>
      <c r="B84" s="1" t="str">
        <f ca="1">IF(Información1[[#This Row],[Fecha]]='Ajuste de fechas'!$A$2,"Día actual","Día anterior")</f>
        <v>Día anterior</v>
      </c>
      <c r="C84" s="3" t="s">
        <v>55</v>
      </c>
      <c r="D84" t="s">
        <v>61</v>
      </c>
      <c r="E84" s="3" t="s">
        <v>193</v>
      </c>
      <c r="F84" s="3" t="s">
        <v>35</v>
      </c>
      <c r="G84" s="3" t="s">
        <v>62</v>
      </c>
      <c r="H84" s="3" t="s">
        <v>8</v>
      </c>
      <c r="I84" s="3" t="s">
        <v>7</v>
      </c>
      <c r="J84" s="3" t="s">
        <v>31</v>
      </c>
      <c r="K84" s="3" t="s">
        <v>53</v>
      </c>
      <c r="L84" s="3" t="s">
        <v>26</v>
      </c>
      <c r="M84">
        <v>1</v>
      </c>
    </row>
    <row r="85" spans="1:13" x14ac:dyDescent="0.25">
      <c r="A85" s="2">
        <v>46218</v>
      </c>
      <c r="B85" s="1" t="str">
        <f ca="1">IF(Información1[[#This Row],[Fecha]]='Ajuste de fechas'!$A$2,"Día actual","Día anterior")</f>
        <v>Día anterior</v>
      </c>
      <c r="C85" s="3" t="s">
        <v>55</v>
      </c>
      <c r="D85" t="s">
        <v>61</v>
      </c>
      <c r="E85" s="3" t="s">
        <v>203</v>
      </c>
      <c r="F85" s="3" t="s">
        <v>15</v>
      </c>
      <c r="G85" s="3" t="s">
        <v>95</v>
      </c>
      <c r="H85" s="3" t="s">
        <v>8</v>
      </c>
      <c r="I85" s="3" t="s">
        <v>7</v>
      </c>
      <c r="J85" s="3" t="s">
        <v>31</v>
      </c>
      <c r="K85" s="3" t="s">
        <v>53</v>
      </c>
      <c r="L85" s="3" t="s">
        <v>26</v>
      </c>
      <c r="M85">
        <v>1</v>
      </c>
    </row>
    <row r="86" spans="1:13" x14ac:dyDescent="0.25">
      <c r="A86" s="2">
        <v>46218</v>
      </c>
      <c r="B86" s="1" t="str">
        <f ca="1">IF(Información1[[#This Row],[Fecha]]='Ajuste de fechas'!$A$2,"Día actual","Día anterior")</f>
        <v>Día anterior</v>
      </c>
      <c r="C86" s="3" t="s">
        <v>55</v>
      </c>
      <c r="D86" t="s">
        <v>61</v>
      </c>
      <c r="E86" s="3" t="s">
        <v>204</v>
      </c>
      <c r="F86" s="3" t="s">
        <v>74</v>
      </c>
      <c r="G86" s="3" t="s">
        <v>165</v>
      </c>
      <c r="H86" s="3" t="s">
        <v>8</v>
      </c>
      <c r="I86" s="3" t="s">
        <v>7</v>
      </c>
      <c r="J86" s="3" t="s">
        <v>31</v>
      </c>
      <c r="K86" s="3" t="s">
        <v>53</v>
      </c>
      <c r="L86" s="3" t="s">
        <v>26</v>
      </c>
      <c r="M86">
        <v>1</v>
      </c>
    </row>
    <row r="87" spans="1:13" x14ac:dyDescent="0.25">
      <c r="A87" s="2">
        <v>46219</v>
      </c>
      <c r="B87" s="1" t="str">
        <f ca="1">IF(Información1[[#This Row],[Fecha]]='Ajuste de fechas'!$A$2,"Día actual","Día anterior")</f>
        <v>Día actual</v>
      </c>
      <c r="C87" s="3" t="s">
        <v>16</v>
      </c>
      <c r="D87" t="s">
        <v>205</v>
      </c>
      <c r="E87" s="3" t="s">
        <v>206</v>
      </c>
      <c r="F87" s="3" t="s">
        <v>11</v>
      </c>
      <c r="G87" s="3" t="s">
        <v>207</v>
      </c>
      <c r="H87" s="3" t="s">
        <v>8</v>
      </c>
      <c r="I87" s="3" t="s">
        <v>7</v>
      </c>
      <c r="J87" s="3" t="s">
        <v>32</v>
      </c>
      <c r="K87" s="3" t="s">
        <v>64</v>
      </c>
      <c r="L87" s="3" t="s">
        <v>24</v>
      </c>
      <c r="M87">
        <v>1</v>
      </c>
    </row>
    <row r="88" spans="1:13" x14ac:dyDescent="0.25">
      <c r="A88" s="2">
        <v>46219</v>
      </c>
      <c r="B88" s="1" t="str">
        <f ca="1">IF(Información1[[#This Row],[Fecha]]='Ajuste de fechas'!$A$2,"Día actual","Día anterior")</f>
        <v>Día actual</v>
      </c>
      <c r="C88" s="3" t="s">
        <v>16</v>
      </c>
      <c r="D88" t="s">
        <v>205</v>
      </c>
      <c r="E88" s="3" t="s">
        <v>208</v>
      </c>
      <c r="F88" s="3" t="s">
        <v>17</v>
      </c>
      <c r="G88" s="3" t="s">
        <v>209</v>
      </c>
      <c r="H88" s="3" t="s">
        <v>8</v>
      </c>
      <c r="I88" s="3" t="s">
        <v>7</v>
      </c>
      <c r="J88" s="3" t="s">
        <v>31</v>
      </c>
      <c r="K88" s="3" t="s">
        <v>64</v>
      </c>
      <c r="L88" s="3" t="s">
        <v>24</v>
      </c>
      <c r="M88">
        <v>1</v>
      </c>
    </row>
    <row r="89" spans="1:13" x14ac:dyDescent="0.25">
      <c r="A89" s="2">
        <v>46219</v>
      </c>
      <c r="B89" s="1" t="str">
        <f ca="1">IF(Información1[[#This Row],[Fecha]]='Ajuste de fechas'!$A$2,"Día actual","Día anterior")</f>
        <v>Día actual</v>
      </c>
      <c r="C89" s="3" t="s">
        <v>16</v>
      </c>
      <c r="D89" t="s">
        <v>205</v>
      </c>
      <c r="E89" s="3" t="s">
        <v>210</v>
      </c>
      <c r="F89" s="3" t="s">
        <v>11</v>
      </c>
      <c r="G89" s="3" t="s">
        <v>207</v>
      </c>
      <c r="H89" s="3" t="s">
        <v>8</v>
      </c>
      <c r="I89" s="3" t="s">
        <v>7</v>
      </c>
      <c r="J89" s="3" t="s">
        <v>32</v>
      </c>
      <c r="K89" s="3" t="s">
        <v>64</v>
      </c>
      <c r="L89" s="3" t="s">
        <v>24</v>
      </c>
      <c r="M89">
        <v>1</v>
      </c>
    </row>
    <row r="90" spans="1:13" x14ac:dyDescent="0.25">
      <c r="A90" s="2">
        <v>46219</v>
      </c>
      <c r="B90" s="1" t="str">
        <f ca="1">IF(Información1[[#This Row],[Fecha]]='Ajuste de fechas'!$A$2,"Día actual","Día anterior")</f>
        <v>Día actual</v>
      </c>
      <c r="C90" s="3" t="s">
        <v>16</v>
      </c>
      <c r="D90" t="s">
        <v>205</v>
      </c>
      <c r="E90" s="3" t="s">
        <v>211</v>
      </c>
      <c r="F90" s="3" t="s">
        <v>63</v>
      </c>
      <c r="G90" s="3" t="s">
        <v>212</v>
      </c>
      <c r="H90" s="3" t="s">
        <v>8</v>
      </c>
      <c r="I90" s="3" t="s">
        <v>7</v>
      </c>
      <c r="J90" s="3" t="s">
        <v>31</v>
      </c>
      <c r="K90" s="3" t="s">
        <v>64</v>
      </c>
      <c r="L90" s="3" t="s">
        <v>213</v>
      </c>
      <c r="M90">
        <v>1</v>
      </c>
    </row>
    <row r="91" spans="1:13" x14ac:dyDescent="0.25">
      <c r="A91" s="2">
        <v>46219</v>
      </c>
      <c r="B91" s="1" t="str">
        <f ca="1">IF(Información1[[#This Row],[Fecha]]='Ajuste de fechas'!$A$2,"Día actual","Día anterior")</f>
        <v>Día actual</v>
      </c>
      <c r="C91" s="3" t="s">
        <v>16</v>
      </c>
      <c r="D91" t="s">
        <v>205</v>
      </c>
      <c r="E91" s="3" t="s">
        <v>214</v>
      </c>
      <c r="F91" s="3" t="s">
        <v>80</v>
      </c>
      <c r="G91" s="3" t="s">
        <v>163</v>
      </c>
      <c r="H91" s="3" t="s">
        <v>8</v>
      </c>
      <c r="I91" s="3" t="s">
        <v>7</v>
      </c>
      <c r="J91" s="3" t="s">
        <v>31</v>
      </c>
      <c r="K91" s="3" t="s">
        <v>64</v>
      </c>
      <c r="L91" s="3" t="s">
        <v>26</v>
      </c>
      <c r="M91">
        <v>1</v>
      </c>
    </row>
    <row r="92" spans="1:13" x14ac:dyDescent="0.25">
      <c r="A92" s="2">
        <v>46219</v>
      </c>
      <c r="B92" s="1" t="str">
        <f ca="1">IF(Información1[[#This Row],[Fecha]]='Ajuste de fechas'!$A$2,"Día actual","Día anterior")</f>
        <v>Día actual</v>
      </c>
      <c r="C92" s="3" t="s">
        <v>111</v>
      </c>
      <c r="D92" t="s">
        <v>112</v>
      </c>
      <c r="E92" s="3" t="s">
        <v>215</v>
      </c>
      <c r="F92" s="3" t="s">
        <v>34</v>
      </c>
      <c r="G92" s="3" t="s">
        <v>216</v>
      </c>
      <c r="H92" s="3" t="s">
        <v>8</v>
      </c>
      <c r="I92" s="3" t="s">
        <v>7</v>
      </c>
      <c r="J92" s="3" t="s">
        <v>31</v>
      </c>
      <c r="K92" s="3" t="s">
        <v>113</v>
      </c>
      <c r="L92" s="3" t="s">
        <v>26</v>
      </c>
      <c r="M92">
        <v>1</v>
      </c>
    </row>
    <row r="93" spans="1:13" x14ac:dyDescent="0.25">
      <c r="A93" s="2">
        <v>46219</v>
      </c>
      <c r="B93" s="1" t="str">
        <f ca="1">IF(Información1[[#This Row],[Fecha]]='Ajuste de fechas'!$A$2,"Día actual","Día anterior")</f>
        <v>Día actual</v>
      </c>
      <c r="C93" s="3" t="s">
        <v>65</v>
      </c>
      <c r="D93" t="s">
        <v>66</v>
      </c>
      <c r="E93" s="3" t="s">
        <v>217</v>
      </c>
      <c r="F93" s="3" t="s">
        <v>9</v>
      </c>
      <c r="G93" s="3" t="s">
        <v>115</v>
      </c>
      <c r="H93" s="3" t="s">
        <v>8</v>
      </c>
      <c r="I93" s="3" t="s">
        <v>7</v>
      </c>
      <c r="J93" s="3" t="s">
        <v>31</v>
      </c>
      <c r="K93" s="3" t="s">
        <v>67</v>
      </c>
      <c r="L93" s="3" t="s">
        <v>26</v>
      </c>
      <c r="M93">
        <v>1</v>
      </c>
    </row>
    <row r="94" spans="1:13" x14ac:dyDescent="0.25">
      <c r="A94" s="2">
        <v>46219</v>
      </c>
      <c r="B94" s="1" t="str">
        <f ca="1">IF(Información1[[#This Row],[Fecha]]='Ajuste de fechas'!$A$2,"Día actual","Día anterior")</f>
        <v>Día actual</v>
      </c>
      <c r="C94" s="3" t="s">
        <v>65</v>
      </c>
      <c r="D94" t="s">
        <v>66</v>
      </c>
      <c r="E94" s="3" t="s">
        <v>218</v>
      </c>
      <c r="F94" s="3" t="s">
        <v>34</v>
      </c>
      <c r="G94" s="3" t="s">
        <v>219</v>
      </c>
      <c r="H94" s="3" t="s">
        <v>8</v>
      </c>
      <c r="I94" s="3" t="s">
        <v>7</v>
      </c>
      <c r="J94" s="3" t="s">
        <v>31</v>
      </c>
      <c r="K94" s="3" t="s">
        <v>67</v>
      </c>
      <c r="L94" s="3" t="s">
        <v>26</v>
      </c>
      <c r="M94">
        <v>1</v>
      </c>
    </row>
    <row r="95" spans="1:13" x14ac:dyDescent="0.25">
      <c r="A95" s="2">
        <v>46219</v>
      </c>
      <c r="B95" s="1" t="str">
        <f ca="1">IF(Información1[[#This Row],[Fecha]]='Ajuste de fechas'!$A$2,"Día actual","Día anterior")</f>
        <v>Día actual</v>
      </c>
      <c r="C95" s="3" t="s">
        <v>65</v>
      </c>
      <c r="D95" t="s">
        <v>66</v>
      </c>
      <c r="E95" s="3" t="s">
        <v>220</v>
      </c>
      <c r="F95" s="3" t="s">
        <v>17</v>
      </c>
      <c r="G95" s="3" t="s">
        <v>221</v>
      </c>
      <c r="H95" s="3" t="s">
        <v>8</v>
      </c>
      <c r="I95" s="3" t="s">
        <v>7</v>
      </c>
      <c r="J95" s="3" t="s">
        <v>31</v>
      </c>
      <c r="K95" s="3" t="s">
        <v>67</v>
      </c>
      <c r="L95" s="3" t="s">
        <v>26</v>
      </c>
      <c r="M95">
        <v>1</v>
      </c>
    </row>
    <row r="96" spans="1:13" x14ac:dyDescent="0.25">
      <c r="A96" s="2">
        <v>46219</v>
      </c>
      <c r="B96" s="1" t="str">
        <f ca="1">IF(Información1[[#This Row],[Fecha]]='Ajuste de fechas'!$A$2,"Día actual","Día anterior")</f>
        <v>Día actual</v>
      </c>
      <c r="C96" s="3" t="s">
        <v>222</v>
      </c>
      <c r="D96" t="s">
        <v>223</v>
      </c>
      <c r="E96" s="3" t="s">
        <v>224</v>
      </c>
      <c r="F96" s="3" t="s">
        <v>63</v>
      </c>
      <c r="G96" s="3" t="s">
        <v>212</v>
      </c>
      <c r="H96" s="3" t="s">
        <v>8</v>
      </c>
      <c r="I96" s="3" t="s">
        <v>39</v>
      </c>
      <c r="J96" s="3" t="s">
        <v>31</v>
      </c>
      <c r="K96" s="3" t="s">
        <v>225</v>
      </c>
      <c r="L96" s="3" t="s">
        <v>213</v>
      </c>
      <c r="M96">
        <v>1</v>
      </c>
    </row>
    <row r="97" spans="1:13" x14ac:dyDescent="0.25">
      <c r="A97" s="2">
        <v>46219</v>
      </c>
      <c r="B97" s="1" t="str">
        <f ca="1">IF(Información1[[#This Row],[Fecha]]='Ajuste de fechas'!$A$2,"Día actual","Día anterior")</f>
        <v>Día actual</v>
      </c>
      <c r="C97" s="3" t="s">
        <v>226</v>
      </c>
      <c r="D97" t="s">
        <v>227</v>
      </c>
      <c r="E97" s="3" t="s">
        <v>224</v>
      </c>
      <c r="F97" s="3" t="s">
        <v>63</v>
      </c>
      <c r="G97" s="3" t="s">
        <v>212</v>
      </c>
      <c r="H97" s="3" t="s">
        <v>8</v>
      </c>
      <c r="I97" s="3" t="s">
        <v>39</v>
      </c>
      <c r="J97" s="3" t="s">
        <v>31</v>
      </c>
      <c r="K97" s="3" t="s">
        <v>228</v>
      </c>
      <c r="L97" s="3" t="s">
        <v>213</v>
      </c>
      <c r="M97">
        <v>1</v>
      </c>
    </row>
    <row r="98" spans="1:13" x14ac:dyDescent="0.25">
      <c r="A98" s="2">
        <v>46219</v>
      </c>
      <c r="B98" s="1" t="str">
        <f ca="1">IF(Información1[[#This Row],[Fecha]]='Ajuste de fechas'!$A$2,"Día actual","Día anterior")</f>
        <v>Día actual</v>
      </c>
      <c r="C98" s="3" t="s">
        <v>16</v>
      </c>
      <c r="D98" t="s">
        <v>51</v>
      </c>
      <c r="E98" s="3" t="s">
        <v>229</v>
      </c>
      <c r="F98" s="3" t="s">
        <v>17</v>
      </c>
      <c r="G98" s="3" t="s">
        <v>221</v>
      </c>
      <c r="H98" s="3" t="s">
        <v>8</v>
      </c>
      <c r="I98" s="3" t="s">
        <v>7</v>
      </c>
      <c r="J98" s="3" t="s">
        <v>31</v>
      </c>
      <c r="K98" s="3" t="s">
        <v>52</v>
      </c>
      <c r="L98" s="3" t="s">
        <v>24</v>
      </c>
      <c r="M98">
        <v>1</v>
      </c>
    </row>
    <row r="99" spans="1:13" x14ac:dyDescent="0.25">
      <c r="A99" s="2">
        <v>46219</v>
      </c>
      <c r="B99" s="1" t="str">
        <f ca="1">IF(Información1[[#This Row],[Fecha]]='Ajuste de fechas'!$A$2,"Día actual","Día anterior")</f>
        <v>Día actual</v>
      </c>
      <c r="C99" s="3" t="s">
        <v>16</v>
      </c>
      <c r="D99" t="s">
        <v>51</v>
      </c>
      <c r="E99" s="3" t="s">
        <v>230</v>
      </c>
      <c r="F99" s="3" t="s">
        <v>63</v>
      </c>
      <c r="G99" s="3" t="s">
        <v>172</v>
      </c>
      <c r="H99" s="3" t="s">
        <v>8</v>
      </c>
      <c r="I99" s="3" t="s">
        <v>7</v>
      </c>
      <c r="J99" s="3" t="s">
        <v>31</v>
      </c>
      <c r="K99" s="3" t="s">
        <v>52</v>
      </c>
      <c r="L99" s="3" t="s">
        <v>24</v>
      </c>
      <c r="M99">
        <v>1</v>
      </c>
    </row>
    <row r="100" spans="1:13" x14ac:dyDescent="0.25">
      <c r="A100" s="2">
        <v>46219</v>
      </c>
      <c r="B100" s="1" t="str">
        <f ca="1">IF(Información1[[#This Row],[Fecha]]='Ajuste de fechas'!$A$2,"Día actual","Día anterior")</f>
        <v>Día actual</v>
      </c>
      <c r="C100" s="3" t="s">
        <v>16</v>
      </c>
      <c r="D100" t="s">
        <v>51</v>
      </c>
      <c r="E100" s="3" t="s">
        <v>231</v>
      </c>
      <c r="F100" s="3" t="s">
        <v>35</v>
      </c>
      <c r="G100" s="3" t="s">
        <v>174</v>
      </c>
      <c r="H100" s="3" t="s">
        <v>8</v>
      </c>
      <c r="I100" s="3" t="s">
        <v>7</v>
      </c>
      <c r="J100" s="3" t="s">
        <v>31</v>
      </c>
      <c r="K100" s="3" t="s">
        <v>52</v>
      </c>
      <c r="L100" s="3" t="s">
        <v>24</v>
      </c>
      <c r="M100">
        <v>1</v>
      </c>
    </row>
    <row r="101" spans="1:13" x14ac:dyDescent="0.25">
      <c r="A101" s="2">
        <v>46219</v>
      </c>
      <c r="B101" s="1" t="str">
        <f ca="1">IF(Información1[[#This Row],[Fecha]]='Ajuste de fechas'!$A$2,"Día actual","Día anterior")</f>
        <v>Día actual</v>
      </c>
      <c r="C101" s="3" t="s">
        <v>16</v>
      </c>
      <c r="D101" t="s">
        <v>51</v>
      </c>
      <c r="E101" s="3" t="s">
        <v>232</v>
      </c>
      <c r="F101" s="3" t="s">
        <v>11</v>
      </c>
      <c r="G101" s="3" t="s">
        <v>141</v>
      </c>
      <c r="H101" s="3" t="s">
        <v>8</v>
      </c>
      <c r="I101" s="3" t="s">
        <v>7</v>
      </c>
      <c r="J101" s="3" t="s">
        <v>32</v>
      </c>
      <c r="K101" s="3" t="s">
        <v>52</v>
      </c>
      <c r="L101" s="3" t="s">
        <v>24</v>
      </c>
      <c r="M101">
        <v>1</v>
      </c>
    </row>
    <row r="102" spans="1:13" x14ac:dyDescent="0.25">
      <c r="A102" s="2">
        <v>46219</v>
      </c>
      <c r="B102" s="1" t="str">
        <f ca="1">IF(Información1[[#This Row],[Fecha]]='Ajuste de fechas'!$A$2,"Día actual","Día anterior")</f>
        <v>Día actual</v>
      </c>
      <c r="C102" s="3" t="s">
        <v>16</v>
      </c>
      <c r="D102" t="s">
        <v>51</v>
      </c>
      <c r="E102" s="3" t="s">
        <v>233</v>
      </c>
      <c r="F102" s="3" t="s">
        <v>11</v>
      </c>
      <c r="G102" s="3" t="s">
        <v>234</v>
      </c>
      <c r="H102" s="3" t="s">
        <v>8</v>
      </c>
      <c r="I102" s="3" t="s">
        <v>7</v>
      </c>
      <c r="J102" s="3" t="s">
        <v>32</v>
      </c>
      <c r="K102" s="3" t="s">
        <v>52</v>
      </c>
      <c r="L102" s="3" t="s">
        <v>24</v>
      </c>
      <c r="M102">
        <v>1</v>
      </c>
    </row>
    <row r="103" spans="1:13" x14ac:dyDescent="0.25">
      <c r="A103" s="2">
        <v>46219</v>
      </c>
      <c r="B103" s="1" t="str">
        <f ca="1">IF(Información1[[#This Row],[Fecha]]='Ajuste de fechas'!$A$2,"Día actual","Día anterior")</f>
        <v>Día actual</v>
      </c>
      <c r="C103" s="3" t="s">
        <v>16</v>
      </c>
      <c r="D103" t="s">
        <v>51</v>
      </c>
      <c r="E103" s="3" t="s">
        <v>235</v>
      </c>
      <c r="F103" s="3" t="s">
        <v>12</v>
      </c>
      <c r="G103" s="3" t="s">
        <v>62</v>
      </c>
      <c r="H103" s="3" t="s">
        <v>8</v>
      </c>
      <c r="I103" s="3" t="s">
        <v>7</v>
      </c>
      <c r="J103" s="3" t="s">
        <v>31</v>
      </c>
      <c r="K103" s="3" t="s">
        <v>52</v>
      </c>
      <c r="L103" s="3" t="s">
        <v>24</v>
      </c>
      <c r="M103">
        <v>1</v>
      </c>
    </row>
    <row r="104" spans="1:13" x14ac:dyDescent="0.25">
      <c r="A104" s="2">
        <v>46219</v>
      </c>
      <c r="B104" s="1" t="str">
        <f ca="1">IF(Información1[[#This Row],[Fecha]]='Ajuste de fechas'!$A$2,"Día actual","Día anterior")</f>
        <v>Día actual</v>
      </c>
      <c r="C104" s="3" t="s">
        <v>16</v>
      </c>
      <c r="D104" t="s">
        <v>51</v>
      </c>
      <c r="E104" s="3" t="s">
        <v>236</v>
      </c>
      <c r="F104" s="3" t="s">
        <v>12</v>
      </c>
      <c r="G104" s="3" t="s">
        <v>62</v>
      </c>
      <c r="H104" s="3" t="s">
        <v>8</v>
      </c>
      <c r="I104" s="3" t="s">
        <v>7</v>
      </c>
      <c r="J104" s="3" t="s">
        <v>31</v>
      </c>
      <c r="K104" s="3" t="s">
        <v>52</v>
      </c>
      <c r="L104" s="3" t="s">
        <v>24</v>
      </c>
      <c r="M104">
        <v>1</v>
      </c>
    </row>
    <row r="105" spans="1:13" x14ac:dyDescent="0.25">
      <c r="A105" s="2">
        <v>46219</v>
      </c>
      <c r="B105" s="1" t="str">
        <f ca="1">IF(Información1[[#This Row],[Fecha]]='Ajuste de fechas'!$A$2,"Día actual","Día anterior")</f>
        <v>Día actual</v>
      </c>
      <c r="C105" s="3" t="s">
        <v>16</v>
      </c>
      <c r="D105" t="s">
        <v>51</v>
      </c>
      <c r="E105" s="3" t="s">
        <v>237</v>
      </c>
      <c r="F105" s="3" t="s">
        <v>11</v>
      </c>
      <c r="G105" s="3" t="s">
        <v>238</v>
      </c>
      <c r="H105" s="3" t="s">
        <v>8</v>
      </c>
      <c r="I105" s="3" t="s">
        <v>7</v>
      </c>
      <c r="J105" s="3" t="s">
        <v>32</v>
      </c>
      <c r="K105" s="3" t="s">
        <v>52</v>
      </c>
      <c r="L105" s="3" t="s">
        <v>24</v>
      </c>
      <c r="M105">
        <v>1</v>
      </c>
    </row>
    <row r="106" spans="1:13" x14ac:dyDescent="0.25">
      <c r="A106" s="2">
        <v>46219</v>
      </c>
      <c r="B106" s="1" t="str">
        <f ca="1">IF(Información1[[#This Row],[Fecha]]='Ajuste de fechas'!$A$2,"Día actual","Día anterior")</f>
        <v>Día actual</v>
      </c>
      <c r="C106" s="3" t="s">
        <v>16</v>
      </c>
      <c r="D106" t="s">
        <v>51</v>
      </c>
      <c r="E106" s="3" t="s">
        <v>239</v>
      </c>
      <c r="F106" s="3" t="s">
        <v>13</v>
      </c>
      <c r="G106" s="3" t="s">
        <v>240</v>
      </c>
      <c r="H106" s="3" t="s">
        <v>8</v>
      </c>
      <c r="I106" s="3" t="s">
        <v>7</v>
      </c>
      <c r="J106" s="3" t="s">
        <v>13</v>
      </c>
      <c r="K106" s="3" t="s">
        <v>52</v>
      </c>
      <c r="L106" s="3" t="s">
        <v>24</v>
      </c>
      <c r="M106">
        <v>1</v>
      </c>
    </row>
    <row r="107" spans="1:13" x14ac:dyDescent="0.25">
      <c r="A107" s="2">
        <v>46219</v>
      </c>
      <c r="B107" s="1" t="str">
        <f ca="1">IF(Información1[[#This Row],[Fecha]]='Ajuste de fechas'!$A$2,"Día actual","Día anterior")</f>
        <v>Día actual</v>
      </c>
      <c r="C107" s="3" t="s">
        <v>16</v>
      </c>
      <c r="D107" t="s">
        <v>51</v>
      </c>
      <c r="E107" s="3" t="s">
        <v>241</v>
      </c>
      <c r="F107" s="3" t="s">
        <v>78</v>
      </c>
      <c r="G107" s="3" t="s">
        <v>174</v>
      </c>
      <c r="H107" s="3" t="s">
        <v>8</v>
      </c>
      <c r="I107" s="3" t="s">
        <v>7</v>
      </c>
      <c r="J107" s="3" t="s">
        <v>13</v>
      </c>
      <c r="K107" s="3" t="s">
        <v>52</v>
      </c>
      <c r="L107" s="3" t="s">
        <v>24</v>
      </c>
      <c r="M107">
        <v>1</v>
      </c>
    </row>
    <row r="108" spans="1:13" x14ac:dyDescent="0.25">
      <c r="A108" s="2">
        <v>46219</v>
      </c>
      <c r="B108" s="1" t="str">
        <f ca="1">IF(Información1[[#This Row],[Fecha]]='Ajuste de fechas'!$A$2,"Día actual","Día anterior")</f>
        <v>Día actual</v>
      </c>
      <c r="C108" s="3" t="s">
        <v>16</v>
      </c>
      <c r="D108" t="s">
        <v>51</v>
      </c>
      <c r="E108" s="3" t="s">
        <v>242</v>
      </c>
      <c r="F108" s="3" t="s">
        <v>243</v>
      </c>
      <c r="G108" s="3" t="s">
        <v>244</v>
      </c>
      <c r="H108" s="3" t="s">
        <v>8</v>
      </c>
      <c r="I108" s="3" t="s">
        <v>7</v>
      </c>
      <c r="J108" s="3" t="s">
        <v>31</v>
      </c>
      <c r="K108" s="3" t="s">
        <v>52</v>
      </c>
      <c r="L108" s="3" t="s">
        <v>24</v>
      </c>
      <c r="M108">
        <v>1</v>
      </c>
    </row>
    <row r="109" spans="1:13" x14ac:dyDescent="0.25">
      <c r="A109" s="2">
        <v>46219</v>
      </c>
      <c r="B109" s="1" t="str">
        <f ca="1">IF(Información1[[#This Row],[Fecha]]='Ajuste de fechas'!$A$2,"Día actual","Día anterior")</f>
        <v>Día actual</v>
      </c>
      <c r="C109" s="3" t="s">
        <v>16</v>
      </c>
      <c r="D109" t="s">
        <v>51</v>
      </c>
      <c r="E109" s="3" t="s">
        <v>245</v>
      </c>
      <c r="F109" s="3" t="s">
        <v>15</v>
      </c>
      <c r="G109" s="3" t="s">
        <v>246</v>
      </c>
      <c r="H109" s="3" t="s">
        <v>8</v>
      </c>
      <c r="I109" s="3" t="s">
        <v>7</v>
      </c>
      <c r="J109" s="3" t="s">
        <v>31</v>
      </c>
      <c r="K109" s="3" t="s">
        <v>52</v>
      </c>
      <c r="L109" s="3" t="s">
        <v>24</v>
      </c>
      <c r="M109">
        <v>1</v>
      </c>
    </row>
    <row r="110" spans="1:13" x14ac:dyDescent="0.25">
      <c r="A110" s="2">
        <v>46219</v>
      </c>
      <c r="B110" s="1" t="str">
        <f ca="1">IF(Información1[[#This Row],[Fecha]]='Ajuste de fechas'!$A$2,"Día actual","Día anterior")</f>
        <v>Día actual</v>
      </c>
      <c r="C110" s="3" t="s">
        <v>16</v>
      </c>
      <c r="D110" t="s">
        <v>51</v>
      </c>
      <c r="E110" s="3" t="s">
        <v>247</v>
      </c>
      <c r="F110" s="3" t="s">
        <v>38</v>
      </c>
      <c r="G110" s="3" t="s">
        <v>248</v>
      </c>
      <c r="H110" s="3" t="s">
        <v>8</v>
      </c>
      <c r="I110" s="3" t="s">
        <v>7</v>
      </c>
      <c r="J110" s="3" t="s">
        <v>31</v>
      </c>
      <c r="K110" s="3" t="s">
        <v>52</v>
      </c>
      <c r="L110" s="3" t="s">
        <v>24</v>
      </c>
      <c r="M110">
        <v>1</v>
      </c>
    </row>
    <row r="111" spans="1:13" x14ac:dyDescent="0.25">
      <c r="A111" s="2">
        <v>46219</v>
      </c>
      <c r="B111" s="1" t="str">
        <f ca="1">IF(Información1[[#This Row],[Fecha]]='Ajuste de fechas'!$A$2,"Día actual","Día anterior")</f>
        <v>Día actual</v>
      </c>
      <c r="C111" s="3" t="s">
        <v>16</v>
      </c>
      <c r="D111" t="s">
        <v>51</v>
      </c>
      <c r="E111" s="3" t="s">
        <v>249</v>
      </c>
      <c r="F111" s="3" t="s">
        <v>15</v>
      </c>
      <c r="G111" s="3" t="s">
        <v>156</v>
      </c>
      <c r="H111" s="3" t="s">
        <v>8</v>
      </c>
      <c r="I111" s="3" t="s">
        <v>7</v>
      </c>
      <c r="J111" s="3" t="s">
        <v>31</v>
      </c>
      <c r="K111" s="3" t="s">
        <v>52</v>
      </c>
      <c r="L111" s="3" t="s">
        <v>24</v>
      </c>
      <c r="M111">
        <v>1</v>
      </c>
    </row>
    <row r="112" spans="1:13" x14ac:dyDescent="0.25">
      <c r="A112" s="2">
        <v>46219</v>
      </c>
      <c r="B112" s="1" t="str">
        <f ca="1">IF(Información1[[#This Row],[Fecha]]='Ajuste de fechas'!$A$2,"Día actual","Día anterior")</f>
        <v>Día actual</v>
      </c>
      <c r="C112" s="3" t="s">
        <v>16</v>
      </c>
      <c r="D112" t="s">
        <v>51</v>
      </c>
      <c r="E112" s="3" t="s">
        <v>250</v>
      </c>
      <c r="F112" s="3" t="s">
        <v>10</v>
      </c>
      <c r="G112" s="3" t="s">
        <v>251</v>
      </c>
      <c r="H112" s="3" t="s">
        <v>8</v>
      </c>
      <c r="I112" s="3" t="s">
        <v>7</v>
      </c>
      <c r="J112" s="3" t="s">
        <v>33</v>
      </c>
      <c r="K112" s="3" t="s">
        <v>52</v>
      </c>
      <c r="L112" s="3" t="s">
        <v>24</v>
      </c>
      <c r="M112">
        <v>1</v>
      </c>
    </row>
    <row r="113" spans="1:13" x14ac:dyDescent="0.25">
      <c r="A113" s="2">
        <v>46219</v>
      </c>
      <c r="B113" s="1" t="str">
        <f ca="1">IF(Información1[[#This Row],[Fecha]]='Ajuste de fechas'!$A$2,"Día actual","Día anterior")</f>
        <v>Día actual</v>
      </c>
      <c r="C113" s="3" t="s">
        <v>40</v>
      </c>
      <c r="D113" t="s">
        <v>41</v>
      </c>
      <c r="E113" s="3" t="s">
        <v>252</v>
      </c>
      <c r="F113" s="3" t="s">
        <v>10</v>
      </c>
      <c r="G113" s="3" t="s">
        <v>77</v>
      </c>
      <c r="H113" s="3" t="s">
        <v>8</v>
      </c>
      <c r="I113" s="3" t="s">
        <v>14</v>
      </c>
      <c r="J113" s="3" t="s">
        <v>33</v>
      </c>
      <c r="K113" s="3" t="s">
        <v>37</v>
      </c>
      <c r="L113" s="3" t="s">
        <v>25</v>
      </c>
      <c r="M113">
        <v>1</v>
      </c>
    </row>
    <row r="114" spans="1:13" x14ac:dyDescent="0.25">
      <c r="A114" s="2">
        <v>46219</v>
      </c>
      <c r="B114" s="1" t="str">
        <f ca="1">IF(Información1[[#This Row],[Fecha]]='Ajuste de fechas'!$A$2,"Día actual","Día anterior")</f>
        <v>Día actual</v>
      </c>
      <c r="C114" s="3" t="s">
        <v>40</v>
      </c>
      <c r="D114" t="s">
        <v>41</v>
      </c>
      <c r="E114" s="3" t="s">
        <v>253</v>
      </c>
      <c r="F114" s="3" t="s">
        <v>10</v>
      </c>
      <c r="G114" s="3" t="s">
        <v>77</v>
      </c>
      <c r="H114" s="3" t="s">
        <v>8</v>
      </c>
      <c r="I114" s="3" t="s">
        <v>14</v>
      </c>
      <c r="J114" s="3" t="s">
        <v>33</v>
      </c>
      <c r="K114" s="3" t="s">
        <v>37</v>
      </c>
      <c r="L114" s="3" t="s">
        <v>25</v>
      </c>
      <c r="M114">
        <v>1</v>
      </c>
    </row>
    <row r="115" spans="1:13" x14ac:dyDescent="0.25">
      <c r="A115" s="2">
        <v>46219</v>
      </c>
      <c r="B115" s="1" t="str">
        <f ca="1">IF(Información1[[#This Row],[Fecha]]='Ajuste de fechas'!$A$2,"Día actual","Día anterior")</f>
        <v>Día actual</v>
      </c>
      <c r="C115" s="3" t="s">
        <v>40</v>
      </c>
      <c r="D115" t="s">
        <v>41</v>
      </c>
      <c r="E115" s="3" t="s">
        <v>254</v>
      </c>
      <c r="F115" s="3" t="s">
        <v>38</v>
      </c>
      <c r="G115" s="3" t="s">
        <v>79</v>
      </c>
      <c r="H115" s="3" t="s">
        <v>8</v>
      </c>
      <c r="I115" s="3" t="s">
        <v>14</v>
      </c>
      <c r="J115" s="3" t="s">
        <v>31</v>
      </c>
      <c r="K115" s="3" t="s">
        <v>37</v>
      </c>
      <c r="L115" s="3" t="s">
        <v>25</v>
      </c>
      <c r="M115">
        <v>1</v>
      </c>
    </row>
    <row r="116" spans="1:13" x14ac:dyDescent="0.25">
      <c r="A116" s="2">
        <v>46219</v>
      </c>
      <c r="B116" s="1" t="str">
        <f ca="1">IF(Información1[[#This Row],[Fecha]]='Ajuste de fechas'!$A$2,"Día actual","Día anterior")</f>
        <v>Día actual</v>
      </c>
      <c r="C116" s="3" t="s">
        <v>40</v>
      </c>
      <c r="D116" t="s">
        <v>41</v>
      </c>
      <c r="E116" s="3" t="s">
        <v>255</v>
      </c>
      <c r="F116" s="3" t="s">
        <v>6</v>
      </c>
      <c r="G116" s="3" t="s">
        <v>256</v>
      </c>
      <c r="H116" s="3" t="s">
        <v>8</v>
      </c>
      <c r="I116" s="3" t="s">
        <v>14</v>
      </c>
      <c r="J116" s="3" t="s">
        <v>31</v>
      </c>
      <c r="K116" s="3" t="s">
        <v>37</v>
      </c>
      <c r="L116" s="3" t="s">
        <v>25</v>
      </c>
      <c r="M116">
        <v>1</v>
      </c>
    </row>
    <row r="117" spans="1:13" x14ac:dyDescent="0.25">
      <c r="A117" s="2">
        <v>46219</v>
      </c>
      <c r="B117" s="1" t="str">
        <f ca="1">IF(Información1[[#This Row],[Fecha]]='Ajuste de fechas'!$A$2,"Día actual","Día anterior")</f>
        <v>Día actual</v>
      </c>
      <c r="C117" s="3" t="s">
        <v>40</v>
      </c>
      <c r="D117" t="s">
        <v>41</v>
      </c>
      <c r="E117" s="3" t="s">
        <v>257</v>
      </c>
      <c r="F117" s="3" t="s">
        <v>6</v>
      </c>
      <c r="G117" s="3" t="s">
        <v>68</v>
      </c>
      <c r="H117" s="3" t="s">
        <v>8</v>
      </c>
      <c r="I117" s="3" t="s">
        <v>14</v>
      </c>
      <c r="J117" s="3" t="s">
        <v>31</v>
      </c>
      <c r="K117" s="3" t="s">
        <v>37</v>
      </c>
      <c r="L117" s="3" t="s">
        <v>25</v>
      </c>
      <c r="M117">
        <v>1</v>
      </c>
    </row>
    <row r="118" spans="1:13" x14ac:dyDescent="0.25">
      <c r="A118" s="2">
        <v>46219</v>
      </c>
      <c r="B118" s="1" t="str">
        <f ca="1">IF(Información1[[#This Row],[Fecha]]='Ajuste de fechas'!$A$2,"Día actual","Día anterior")</f>
        <v>Día actual</v>
      </c>
      <c r="C118" s="3" t="s">
        <v>40</v>
      </c>
      <c r="D118" t="s">
        <v>41</v>
      </c>
      <c r="E118" s="3" t="s">
        <v>258</v>
      </c>
      <c r="F118" s="3" t="s">
        <v>6</v>
      </c>
      <c r="G118" s="3" t="s">
        <v>68</v>
      </c>
      <c r="H118" s="3" t="s">
        <v>8</v>
      </c>
      <c r="I118" s="3" t="s">
        <v>14</v>
      </c>
      <c r="J118" s="3" t="s">
        <v>31</v>
      </c>
      <c r="K118" s="3" t="s">
        <v>37</v>
      </c>
      <c r="L118" s="3" t="s">
        <v>25</v>
      </c>
      <c r="M118">
        <v>1</v>
      </c>
    </row>
    <row r="119" spans="1:13" x14ac:dyDescent="0.25">
      <c r="A119" s="2">
        <v>46219</v>
      </c>
      <c r="B119" s="1" t="str">
        <f ca="1">IF(Información1[[#This Row],[Fecha]]='Ajuste de fechas'!$A$2,"Día actual","Día anterior")</f>
        <v>Día actual</v>
      </c>
      <c r="C119" s="3" t="s">
        <v>40</v>
      </c>
      <c r="D119" t="s">
        <v>41</v>
      </c>
      <c r="E119" s="3" t="s">
        <v>259</v>
      </c>
      <c r="F119" s="3" t="s">
        <v>10</v>
      </c>
      <c r="G119" s="3" t="s">
        <v>260</v>
      </c>
      <c r="H119" s="3" t="s">
        <v>8</v>
      </c>
      <c r="I119" s="3" t="s">
        <v>7</v>
      </c>
      <c r="J119" s="3" t="s">
        <v>33</v>
      </c>
      <c r="K119" s="3" t="s">
        <v>37</v>
      </c>
      <c r="L119" s="3" t="s">
        <v>24</v>
      </c>
      <c r="M119">
        <v>1</v>
      </c>
    </row>
    <row r="120" spans="1:13" x14ac:dyDescent="0.25">
      <c r="A120" s="2">
        <v>46219</v>
      </c>
      <c r="B120" s="1" t="str">
        <f ca="1">IF(Información1[[#This Row],[Fecha]]='Ajuste de fechas'!$A$2,"Día actual","Día anterior")</f>
        <v>Día actual</v>
      </c>
      <c r="C120" s="3" t="s">
        <v>40</v>
      </c>
      <c r="D120" t="s">
        <v>41</v>
      </c>
      <c r="E120" s="3" t="s">
        <v>261</v>
      </c>
      <c r="F120" s="3" t="s">
        <v>10</v>
      </c>
      <c r="G120" s="3" t="s">
        <v>262</v>
      </c>
      <c r="H120" s="3" t="s">
        <v>8</v>
      </c>
      <c r="I120" s="3" t="s">
        <v>7</v>
      </c>
      <c r="J120" s="3" t="s">
        <v>33</v>
      </c>
      <c r="K120" s="3" t="s">
        <v>37</v>
      </c>
      <c r="L120" s="3" t="s">
        <v>25</v>
      </c>
      <c r="M120">
        <v>1</v>
      </c>
    </row>
    <row r="121" spans="1:13" x14ac:dyDescent="0.25">
      <c r="A121" s="2">
        <v>46219</v>
      </c>
      <c r="B121" s="1" t="str">
        <f ca="1">IF(Información1[[#This Row],[Fecha]]='Ajuste de fechas'!$A$2,"Día actual","Día anterior")</f>
        <v>Día actual</v>
      </c>
      <c r="C121" s="3" t="s">
        <v>40</v>
      </c>
      <c r="D121" t="s">
        <v>41</v>
      </c>
      <c r="E121" s="3" t="s">
        <v>263</v>
      </c>
      <c r="F121" s="3" t="s">
        <v>10</v>
      </c>
      <c r="G121" s="3" t="s">
        <v>148</v>
      </c>
      <c r="H121" s="3" t="s">
        <v>8</v>
      </c>
      <c r="I121" s="3" t="s">
        <v>7</v>
      </c>
      <c r="J121" s="3" t="s">
        <v>33</v>
      </c>
      <c r="K121" s="3" t="s">
        <v>37</v>
      </c>
      <c r="L121" s="3" t="s">
        <v>25</v>
      </c>
      <c r="M121">
        <v>1</v>
      </c>
    </row>
    <row r="122" spans="1:13" x14ac:dyDescent="0.25">
      <c r="A122" s="2">
        <v>46219</v>
      </c>
      <c r="B122" s="1" t="str">
        <f ca="1">IF(Información1[[#This Row],[Fecha]]='Ajuste de fechas'!$A$2,"Día actual","Día anterior")</f>
        <v>Día actual</v>
      </c>
      <c r="C122" s="3" t="s">
        <v>40</v>
      </c>
      <c r="D122" t="s">
        <v>41</v>
      </c>
      <c r="E122" s="3" t="s">
        <v>264</v>
      </c>
      <c r="F122" s="3" t="s">
        <v>10</v>
      </c>
      <c r="G122" s="3" t="s">
        <v>265</v>
      </c>
      <c r="H122" s="3" t="s">
        <v>8</v>
      </c>
      <c r="I122" s="3" t="s">
        <v>7</v>
      </c>
      <c r="J122" s="3" t="s">
        <v>33</v>
      </c>
      <c r="K122" s="3" t="s">
        <v>42</v>
      </c>
      <c r="L122" s="3" t="s">
        <v>266</v>
      </c>
      <c r="M122">
        <v>1</v>
      </c>
    </row>
    <row r="123" spans="1:13" x14ac:dyDescent="0.25">
      <c r="A123" s="2">
        <v>46219</v>
      </c>
      <c r="B123" s="1" t="str">
        <f ca="1">IF(Información1[[#This Row],[Fecha]]='Ajuste de fechas'!$A$2,"Día actual","Día anterior")</f>
        <v>Día actual</v>
      </c>
      <c r="C123" s="3" t="s">
        <v>40</v>
      </c>
      <c r="D123" t="s">
        <v>41</v>
      </c>
      <c r="E123" s="3" t="s">
        <v>267</v>
      </c>
      <c r="F123" s="3" t="s">
        <v>11</v>
      </c>
      <c r="G123" s="3" t="s">
        <v>268</v>
      </c>
      <c r="H123" s="3" t="s">
        <v>8</v>
      </c>
      <c r="I123" s="3" t="s">
        <v>7</v>
      </c>
      <c r="J123" s="3" t="s">
        <v>32</v>
      </c>
      <c r="K123" s="3" t="s">
        <v>42</v>
      </c>
      <c r="L123" s="3" t="s">
        <v>24</v>
      </c>
      <c r="M123">
        <v>1</v>
      </c>
    </row>
    <row r="124" spans="1:13" x14ac:dyDescent="0.25">
      <c r="A124" s="2">
        <v>46219</v>
      </c>
      <c r="B124" s="1" t="str">
        <f ca="1">IF(Información1[[#This Row],[Fecha]]='Ajuste de fechas'!$A$2,"Día actual","Día anterior")</f>
        <v>Día actual</v>
      </c>
      <c r="C124" s="3" t="s">
        <v>40</v>
      </c>
      <c r="D124" t="s">
        <v>41</v>
      </c>
      <c r="E124" s="3" t="s">
        <v>269</v>
      </c>
      <c r="F124" s="3" t="s">
        <v>11</v>
      </c>
      <c r="G124" s="3" t="s">
        <v>268</v>
      </c>
      <c r="H124" s="3" t="s">
        <v>8</v>
      </c>
      <c r="I124" s="3" t="s">
        <v>7</v>
      </c>
      <c r="J124" s="3" t="s">
        <v>32</v>
      </c>
      <c r="K124" s="3" t="s">
        <v>42</v>
      </c>
      <c r="L124" s="3" t="s">
        <v>36</v>
      </c>
      <c r="M124">
        <v>1</v>
      </c>
    </row>
    <row r="125" spans="1:13" x14ac:dyDescent="0.25">
      <c r="A125" s="2">
        <v>46219</v>
      </c>
      <c r="B125" s="1" t="str">
        <f ca="1">IF(Información1[[#This Row],[Fecha]]='Ajuste de fechas'!$A$2,"Día actual","Día anterior")</f>
        <v>Día actual</v>
      </c>
      <c r="C125" s="3" t="s">
        <v>40</v>
      </c>
      <c r="D125" t="s">
        <v>41</v>
      </c>
      <c r="E125" s="3" t="s">
        <v>270</v>
      </c>
      <c r="F125" s="3" t="s">
        <v>30</v>
      </c>
      <c r="G125" s="3" t="s">
        <v>191</v>
      </c>
      <c r="H125" s="3" t="s">
        <v>8</v>
      </c>
      <c r="I125" s="3" t="s">
        <v>7</v>
      </c>
      <c r="J125" s="3" t="s">
        <v>13</v>
      </c>
      <c r="K125" s="3" t="s">
        <v>42</v>
      </c>
      <c r="L125" s="3" t="s">
        <v>24</v>
      </c>
      <c r="M125">
        <v>1</v>
      </c>
    </row>
    <row r="126" spans="1:13" x14ac:dyDescent="0.25">
      <c r="A126" s="2">
        <v>46219</v>
      </c>
      <c r="B126" s="1" t="str">
        <f ca="1">IF(Información1[[#This Row],[Fecha]]='Ajuste de fechas'!$A$2,"Día actual","Día anterior")</f>
        <v>Día actual</v>
      </c>
      <c r="C126" s="3" t="s">
        <v>40</v>
      </c>
      <c r="D126" t="s">
        <v>41</v>
      </c>
      <c r="E126" s="3" t="s">
        <v>271</v>
      </c>
      <c r="F126" s="3" t="s">
        <v>30</v>
      </c>
      <c r="G126" s="3" t="s">
        <v>191</v>
      </c>
      <c r="H126" s="3" t="s">
        <v>8</v>
      </c>
      <c r="I126" s="3" t="s">
        <v>7</v>
      </c>
      <c r="J126" s="3" t="s">
        <v>13</v>
      </c>
      <c r="K126" s="3" t="s">
        <v>42</v>
      </c>
      <c r="L126" s="3" t="s">
        <v>24</v>
      </c>
      <c r="M126">
        <v>1</v>
      </c>
    </row>
    <row r="127" spans="1:13" x14ac:dyDescent="0.25">
      <c r="A127" s="2">
        <v>46219</v>
      </c>
      <c r="B127" s="1" t="str">
        <f ca="1">IF(Información1[[#This Row],[Fecha]]='Ajuste de fechas'!$A$2,"Día actual","Día anterior")</f>
        <v>Día actual</v>
      </c>
      <c r="C127" s="3" t="s">
        <v>40</v>
      </c>
      <c r="D127" t="s">
        <v>41</v>
      </c>
      <c r="E127" s="3" t="s">
        <v>175</v>
      </c>
      <c r="F127" s="3" t="s">
        <v>35</v>
      </c>
      <c r="G127" s="3" t="s">
        <v>174</v>
      </c>
      <c r="H127" s="3" t="s">
        <v>8</v>
      </c>
      <c r="I127" s="3" t="s">
        <v>7</v>
      </c>
      <c r="J127" s="3" t="s">
        <v>31</v>
      </c>
      <c r="K127" s="3" t="s">
        <v>42</v>
      </c>
      <c r="L127" s="3" t="s">
        <v>26</v>
      </c>
      <c r="M127">
        <v>1</v>
      </c>
    </row>
    <row r="128" spans="1:13" x14ac:dyDescent="0.25">
      <c r="A128" s="2">
        <v>46219</v>
      </c>
      <c r="B128" s="1" t="str">
        <f ca="1">IF(Información1[[#This Row],[Fecha]]='Ajuste de fechas'!$A$2,"Día actual","Día anterior")</f>
        <v>Día actual</v>
      </c>
      <c r="C128" s="3" t="s">
        <v>40</v>
      </c>
      <c r="D128" t="s">
        <v>41</v>
      </c>
      <c r="E128" s="3" t="s">
        <v>43</v>
      </c>
      <c r="F128" s="3" t="s">
        <v>10</v>
      </c>
      <c r="G128" s="3" t="s">
        <v>265</v>
      </c>
      <c r="H128" s="3" t="s">
        <v>8</v>
      </c>
      <c r="I128" s="3" t="s">
        <v>39</v>
      </c>
      <c r="J128" s="3" t="s">
        <v>33</v>
      </c>
      <c r="K128" s="3" t="s">
        <v>42</v>
      </c>
      <c r="L128" s="3" t="s">
        <v>25</v>
      </c>
      <c r="M128">
        <v>1</v>
      </c>
    </row>
    <row r="129" spans="1:13" x14ac:dyDescent="0.25">
      <c r="A129" s="2">
        <v>46219</v>
      </c>
      <c r="B129" s="1" t="str">
        <f ca="1">IF(Información1[[#This Row],[Fecha]]='Ajuste de fechas'!$A$2,"Día actual","Día anterior")</f>
        <v>Día actual</v>
      </c>
      <c r="C129" s="3" t="s">
        <v>40</v>
      </c>
      <c r="D129" t="s">
        <v>41</v>
      </c>
      <c r="E129" s="3" t="s">
        <v>44</v>
      </c>
      <c r="F129" s="3" t="s">
        <v>10</v>
      </c>
      <c r="G129" s="3" t="s">
        <v>265</v>
      </c>
      <c r="H129" s="3" t="s">
        <v>8</v>
      </c>
      <c r="I129" s="3" t="s">
        <v>39</v>
      </c>
      <c r="J129" s="3" t="s">
        <v>33</v>
      </c>
      <c r="K129" s="3" t="s">
        <v>42</v>
      </c>
      <c r="L129" s="3" t="s">
        <v>25</v>
      </c>
      <c r="M129">
        <v>1</v>
      </c>
    </row>
    <row r="130" spans="1:13" x14ac:dyDescent="0.25">
      <c r="A130" s="2">
        <v>46219</v>
      </c>
      <c r="B130" s="1" t="str">
        <f ca="1">IF(Información1[[#This Row],[Fecha]]='Ajuste de fechas'!$A$2,"Día actual","Día anterior")</f>
        <v>Día actual</v>
      </c>
      <c r="C130" s="3" t="s">
        <v>40</v>
      </c>
      <c r="D130" t="s">
        <v>41</v>
      </c>
      <c r="E130" s="3" t="s">
        <v>45</v>
      </c>
      <c r="F130" s="3" t="s">
        <v>34</v>
      </c>
      <c r="G130" s="3" t="s">
        <v>265</v>
      </c>
      <c r="H130" s="3" t="s">
        <v>8</v>
      </c>
      <c r="I130" s="3" t="s">
        <v>39</v>
      </c>
      <c r="J130" s="3" t="s">
        <v>31</v>
      </c>
      <c r="K130" s="3" t="s">
        <v>42</v>
      </c>
      <c r="L130" s="3" t="s">
        <v>25</v>
      </c>
      <c r="M130">
        <v>1</v>
      </c>
    </row>
    <row r="131" spans="1:13" x14ac:dyDescent="0.25">
      <c r="A131" s="2">
        <v>46219</v>
      </c>
      <c r="B131" s="1" t="str">
        <f ca="1">IF(Información1[[#This Row],[Fecha]]='Ajuste de fechas'!$A$2,"Día actual","Día anterior")</f>
        <v>Día actual</v>
      </c>
      <c r="C131" s="3" t="s">
        <v>40</v>
      </c>
      <c r="D131" t="s">
        <v>41</v>
      </c>
      <c r="E131" s="3" t="s">
        <v>49</v>
      </c>
      <c r="F131" s="3" t="s">
        <v>30</v>
      </c>
      <c r="G131" s="3" t="s">
        <v>265</v>
      </c>
      <c r="H131" s="3" t="s">
        <v>8</v>
      </c>
      <c r="I131" s="3" t="s">
        <v>39</v>
      </c>
      <c r="J131" s="3" t="s">
        <v>13</v>
      </c>
      <c r="K131" s="3" t="s">
        <v>42</v>
      </c>
      <c r="L131" s="3" t="s">
        <v>25</v>
      </c>
      <c r="M131">
        <v>1</v>
      </c>
    </row>
    <row r="132" spans="1:13" x14ac:dyDescent="0.25">
      <c r="A132" s="2">
        <v>46219</v>
      </c>
      <c r="B132" s="1" t="str">
        <f ca="1">IF(Información1[[#This Row],[Fecha]]='Ajuste de fechas'!$A$2,"Día actual","Día anterior")</f>
        <v>Día actual</v>
      </c>
      <c r="C132" s="3" t="s">
        <v>40</v>
      </c>
      <c r="D132" t="s">
        <v>41</v>
      </c>
      <c r="E132" s="3" t="s">
        <v>46</v>
      </c>
      <c r="F132" s="3" t="s">
        <v>9</v>
      </c>
      <c r="G132" s="3" t="s">
        <v>265</v>
      </c>
      <c r="H132" s="3" t="s">
        <v>8</v>
      </c>
      <c r="I132" s="3" t="s">
        <v>39</v>
      </c>
      <c r="J132" s="3" t="s">
        <v>31</v>
      </c>
      <c r="K132" s="3" t="s">
        <v>42</v>
      </c>
      <c r="L132" s="3" t="s">
        <v>25</v>
      </c>
      <c r="M132">
        <v>1</v>
      </c>
    </row>
    <row r="133" spans="1:13" x14ac:dyDescent="0.25">
      <c r="A133" s="2">
        <v>46219</v>
      </c>
      <c r="B133" s="1" t="str">
        <f ca="1">IF(Información1[[#This Row],[Fecha]]='Ajuste de fechas'!$A$2,"Día actual","Día anterior")</f>
        <v>Día actual</v>
      </c>
      <c r="C133" s="3" t="s">
        <v>40</v>
      </c>
      <c r="D133" t="s">
        <v>41</v>
      </c>
      <c r="E133" s="3" t="s">
        <v>47</v>
      </c>
      <c r="F133" s="3" t="s">
        <v>38</v>
      </c>
      <c r="G133" s="3" t="s">
        <v>265</v>
      </c>
      <c r="H133" s="3" t="s">
        <v>8</v>
      </c>
      <c r="I133" s="3" t="s">
        <v>39</v>
      </c>
      <c r="J133" s="3" t="s">
        <v>31</v>
      </c>
      <c r="K133" s="3" t="s">
        <v>42</v>
      </c>
      <c r="L133" s="3" t="s">
        <v>25</v>
      </c>
      <c r="M133">
        <v>1</v>
      </c>
    </row>
    <row r="134" spans="1:13" x14ac:dyDescent="0.25">
      <c r="A134" s="2">
        <v>46219</v>
      </c>
      <c r="B134" s="1" t="str">
        <f ca="1">IF(Información1[[#This Row],[Fecha]]='Ajuste de fechas'!$A$2,"Día actual","Día anterior")</f>
        <v>Día actual</v>
      </c>
      <c r="C134" s="3" t="s">
        <v>40</v>
      </c>
      <c r="D134" t="s">
        <v>41</v>
      </c>
      <c r="E134" s="3" t="s">
        <v>48</v>
      </c>
      <c r="F134" s="3" t="s">
        <v>6</v>
      </c>
      <c r="G134" s="3" t="s">
        <v>265</v>
      </c>
      <c r="H134" s="3" t="s">
        <v>8</v>
      </c>
      <c r="I134" s="3" t="s">
        <v>39</v>
      </c>
      <c r="J134" s="3" t="s">
        <v>31</v>
      </c>
      <c r="K134" s="3" t="s">
        <v>42</v>
      </c>
      <c r="L134" s="3" t="s">
        <v>25</v>
      </c>
      <c r="M134">
        <v>1</v>
      </c>
    </row>
    <row r="135" spans="1:13" x14ac:dyDescent="0.25">
      <c r="A135" s="2">
        <v>46218</v>
      </c>
      <c r="B135" s="1" t="str">
        <f ca="1">IF(Información1[[#This Row],[Fecha]]='Ajuste de fechas'!$A$2,"Día actual","Día anterior")</f>
        <v>Día anterior</v>
      </c>
      <c r="C135" s="3" t="s">
        <v>272</v>
      </c>
      <c r="D135" t="s">
        <v>273</v>
      </c>
      <c r="E135" s="3" t="s">
        <v>274</v>
      </c>
      <c r="F135" s="3" t="s">
        <v>13</v>
      </c>
      <c r="G135" s="3" t="s">
        <v>275</v>
      </c>
      <c r="H135" s="3" t="s">
        <v>70</v>
      </c>
      <c r="I135" s="3" t="s">
        <v>7</v>
      </c>
      <c r="J135" s="3" t="s">
        <v>13</v>
      </c>
      <c r="K135" s="3" t="s">
        <v>53</v>
      </c>
      <c r="L135" s="3" t="s">
        <v>24</v>
      </c>
      <c r="M135">
        <v>1</v>
      </c>
    </row>
    <row r="136" spans="1:13" x14ac:dyDescent="0.25">
      <c r="A136" s="2">
        <v>46218</v>
      </c>
      <c r="B136" s="1" t="str">
        <f ca="1">IF(Información1[[#This Row],[Fecha]]='Ajuste de fechas'!$A$2,"Día actual","Día anterior")</f>
        <v>Día anterior</v>
      </c>
      <c r="C136" s="3" t="s">
        <v>272</v>
      </c>
      <c r="D136" t="s">
        <v>273</v>
      </c>
      <c r="E136" s="3" t="s">
        <v>276</v>
      </c>
      <c r="F136" s="3" t="s">
        <v>35</v>
      </c>
      <c r="G136" s="3" t="s">
        <v>62</v>
      </c>
      <c r="H136" s="3" t="s">
        <v>70</v>
      </c>
      <c r="I136" s="3" t="s">
        <v>7</v>
      </c>
      <c r="J136" s="3" t="s">
        <v>31</v>
      </c>
      <c r="K136" s="3" t="s">
        <v>53</v>
      </c>
      <c r="L136" s="3" t="s">
        <v>26</v>
      </c>
      <c r="M136">
        <v>1</v>
      </c>
    </row>
    <row r="137" spans="1:13" x14ac:dyDescent="0.25">
      <c r="A137" s="2">
        <v>46218</v>
      </c>
      <c r="B137" s="1" t="str">
        <f ca="1">IF(Información1[[#This Row],[Fecha]]='Ajuste de fechas'!$A$2,"Día actual","Día anterior")</f>
        <v>Día anterior</v>
      </c>
      <c r="C137" s="3" t="s">
        <v>272</v>
      </c>
      <c r="D137" t="s">
        <v>273</v>
      </c>
      <c r="E137" s="3" t="s">
        <v>175</v>
      </c>
      <c r="F137" s="3" t="s">
        <v>35</v>
      </c>
      <c r="G137" s="3" t="s">
        <v>174</v>
      </c>
      <c r="H137" s="3" t="s">
        <v>70</v>
      </c>
      <c r="I137" s="3" t="s">
        <v>7</v>
      </c>
      <c r="J137" s="3" t="s">
        <v>31</v>
      </c>
      <c r="K137" s="3" t="s">
        <v>53</v>
      </c>
      <c r="L137" s="3" t="s">
        <v>26</v>
      </c>
      <c r="M137">
        <v>1</v>
      </c>
    </row>
    <row r="138" spans="1:13" x14ac:dyDescent="0.25">
      <c r="A138" s="2">
        <v>46218</v>
      </c>
      <c r="B138" s="1" t="str">
        <f ca="1">IF(Información1[[#This Row],[Fecha]]='Ajuste de fechas'!$A$2,"Día actual","Día anterior")</f>
        <v>Día anterior</v>
      </c>
      <c r="C138" s="3" t="s">
        <v>272</v>
      </c>
      <c r="D138" t="s">
        <v>273</v>
      </c>
      <c r="E138" s="3" t="s">
        <v>194</v>
      </c>
      <c r="F138" s="3" t="s">
        <v>12</v>
      </c>
      <c r="G138" s="3" t="s">
        <v>131</v>
      </c>
      <c r="H138" s="3" t="s">
        <v>70</v>
      </c>
      <c r="I138" s="3" t="s">
        <v>7</v>
      </c>
      <c r="J138" s="3" t="s">
        <v>31</v>
      </c>
      <c r="K138" s="3" t="s">
        <v>53</v>
      </c>
      <c r="L138" s="3" t="s">
        <v>26</v>
      </c>
      <c r="M138">
        <v>1</v>
      </c>
    </row>
    <row r="139" spans="1:13" x14ac:dyDescent="0.25">
      <c r="A139" s="2">
        <v>46218</v>
      </c>
      <c r="B139" s="1" t="str">
        <f ca="1">IF(Información1[[#This Row],[Fecha]]='Ajuste de fechas'!$A$2,"Día actual","Día anterior")</f>
        <v>Día anterior</v>
      </c>
      <c r="C139" s="3" t="s">
        <v>272</v>
      </c>
      <c r="D139" t="s">
        <v>273</v>
      </c>
      <c r="E139" s="3" t="s">
        <v>277</v>
      </c>
      <c r="F139" s="3" t="s">
        <v>17</v>
      </c>
      <c r="G139" s="3" t="s">
        <v>115</v>
      </c>
      <c r="H139" s="3" t="s">
        <v>70</v>
      </c>
      <c r="I139" s="3" t="s">
        <v>7</v>
      </c>
      <c r="J139" s="3" t="s">
        <v>31</v>
      </c>
      <c r="K139" s="3" t="s">
        <v>53</v>
      </c>
      <c r="L139" s="3" t="s">
        <v>26</v>
      </c>
      <c r="M139">
        <v>1</v>
      </c>
    </row>
    <row r="140" spans="1:13" x14ac:dyDescent="0.25">
      <c r="A140" s="2">
        <v>46218</v>
      </c>
      <c r="B140" s="1" t="str">
        <f ca="1">IF(Información1[[#This Row],[Fecha]]='Ajuste de fechas'!$A$2,"Día actual","Día anterior")</f>
        <v>Día anterior</v>
      </c>
      <c r="C140" s="3" t="s">
        <v>272</v>
      </c>
      <c r="D140" t="s">
        <v>273</v>
      </c>
      <c r="E140" s="3" t="s">
        <v>278</v>
      </c>
      <c r="F140" s="3" t="s">
        <v>74</v>
      </c>
      <c r="G140" s="3" t="s">
        <v>279</v>
      </c>
      <c r="H140" s="3" t="s">
        <v>70</v>
      </c>
      <c r="I140" s="3" t="s">
        <v>7</v>
      </c>
      <c r="J140" s="3" t="s">
        <v>31</v>
      </c>
      <c r="K140" s="3" t="s">
        <v>53</v>
      </c>
      <c r="L140" s="3" t="s">
        <v>26</v>
      </c>
      <c r="M140">
        <v>1</v>
      </c>
    </row>
    <row r="141" spans="1:13" x14ac:dyDescent="0.25">
      <c r="A141" s="2">
        <v>46218</v>
      </c>
      <c r="B141" s="1" t="str">
        <f ca="1">IF(Información1[[#This Row],[Fecha]]='Ajuste de fechas'!$A$2,"Día actual","Día anterior")</f>
        <v>Día anterior</v>
      </c>
      <c r="C141" s="3" t="s">
        <v>272</v>
      </c>
      <c r="D141" t="s">
        <v>273</v>
      </c>
      <c r="E141" s="3" t="s">
        <v>280</v>
      </c>
      <c r="F141" s="3" t="s">
        <v>63</v>
      </c>
      <c r="G141" s="3" t="s">
        <v>281</v>
      </c>
      <c r="H141" s="3" t="s">
        <v>70</v>
      </c>
      <c r="I141" s="3" t="s">
        <v>7</v>
      </c>
      <c r="J141" s="3" t="s">
        <v>31</v>
      </c>
      <c r="K141" s="3" t="s">
        <v>53</v>
      </c>
      <c r="L141" s="3" t="s">
        <v>24</v>
      </c>
      <c r="M141">
        <v>1</v>
      </c>
    </row>
    <row r="142" spans="1:13" x14ac:dyDescent="0.25">
      <c r="A142" s="2">
        <v>46218</v>
      </c>
      <c r="B142" s="1" t="str">
        <f ca="1">IF(Información1[[#This Row],[Fecha]]='Ajuste de fechas'!$A$2,"Día actual","Día anterior")</f>
        <v>Día anterior</v>
      </c>
      <c r="C142" s="3" t="s">
        <v>272</v>
      </c>
      <c r="D142" t="s">
        <v>273</v>
      </c>
      <c r="E142" s="3" t="s">
        <v>282</v>
      </c>
      <c r="F142" s="3" t="s">
        <v>63</v>
      </c>
      <c r="G142" s="3" t="s">
        <v>84</v>
      </c>
      <c r="H142" s="3" t="s">
        <v>70</v>
      </c>
      <c r="I142" s="3" t="s">
        <v>7</v>
      </c>
      <c r="J142" s="3" t="s">
        <v>31</v>
      </c>
      <c r="K142" s="3" t="s">
        <v>53</v>
      </c>
      <c r="L142" s="3" t="s">
        <v>26</v>
      </c>
      <c r="M142">
        <v>1</v>
      </c>
    </row>
    <row r="143" spans="1:13" x14ac:dyDescent="0.25">
      <c r="A143" s="2">
        <v>46218</v>
      </c>
      <c r="B143" s="1" t="str">
        <f ca="1">IF(Información1[[#This Row],[Fecha]]='Ajuste de fechas'!$A$2,"Día actual","Día anterior")</f>
        <v>Día anterior</v>
      </c>
      <c r="C143" s="3" t="s">
        <v>272</v>
      </c>
      <c r="D143" t="s">
        <v>273</v>
      </c>
      <c r="E143" s="3" t="s">
        <v>283</v>
      </c>
      <c r="F143" s="3" t="s">
        <v>9</v>
      </c>
      <c r="G143" s="3" t="s">
        <v>284</v>
      </c>
      <c r="H143" s="3" t="s">
        <v>70</v>
      </c>
      <c r="I143" s="3" t="s">
        <v>7</v>
      </c>
      <c r="J143" s="3" t="s">
        <v>31</v>
      </c>
      <c r="K143" s="3" t="s">
        <v>53</v>
      </c>
      <c r="L143" s="3" t="s">
        <v>26</v>
      </c>
      <c r="M143">
        <v>1</v>
      </c>
    </row>
    <row r="144" spans="1:13" x14ac:dyDescent="0.25">
      <c r="A144" s="2">
        <v>46218</v>
      </c>
      <c r="B144" s="1" t="str">
        <f ca="1">IF(Información1[[#This Row],[Fecha]]='Ajuste de fechas'!$A$2,"Día actual","Día anterior")</f>
        <v>Día anterior</v>
      </c>
      <c r="C144" s="3" t="s">
        <v>272</v>
      </c>
      <c r="D144" t="s">
        <v>273</v>
      </c>
      <c r="E144" s="3" t="s">
        <v>162</v>
      </c>
      <c r="F144" s="3" t="s">
        <v>80</v>
      </c>
      <c r="G144" s="3" t="s">
        <v>163</v>
      </c>
      <c r="H144" s="3" t="s">
        <v>70</v>
      </c>
      <c r="I144" s="3" t="s">
        <v>7</v>
      </c>
      <c r="J144" s="3" t="s">
        <v>31</v>
      </c>
      <c r="K144" s="3" t="s">
        <v>53</v>
      </c>
      <c r="L144" s="3" t="s">
        <v>26</v>
      </c>
      <c r="M144">
        <v>1</v>
      </c>
    </row>
    <row r="145" spans="1:13" x14ac:dyDescent="0.25">
      <c r="A145" s="2">
        <v>46218</v>
      </c>
      <c r="B145" s="1" t="str">
        <f ca="1">IF(Información1[[#This Row],[Fecha]]='Ajuste de fechas'!$A$2,"Día actual","Día anterior")</f>
        <v>Día anterior</v>
      </c>
      <c r="C145" s="3" t="s">
        <v>272</v>
      </c>
      <c r="D145" t="s">
        <v>273</v>
      </c>
      <c r="E145" s="3" t="s">
        <v>285</v>
      </c>
      <c r="F145" s="3" t="s">
        <v>10</v>
      </c>
      <c r="G145" s="3" t="s">
        <v>286</v>
      </c>
      <c r="H145" s="3" t="s">
        <v>70</v>
      </c>
      <c r="I145" s="3" t="s">
        <v>7</v>
      </c>
      <c r="J145" s="3" t="s">
        <v>33</v>
      </c>
      <c r="K145" s="3" t="s">
        <v>53</v>
      </c>
      <c r="L145" s="3" t="s">
        <v>24</v>
      </c>
      <c r="M145">
        <v>1</v>
      </c>
    </row>
    <row r="146" spans="1:13" x14ac:dyDescent="0.25">
      <c r="A146" s="2">
        <v>46218</v>
      </c>
      <c r="B146" s="1" t="str">
        <f ca="1">IF(Información1[[#This Row],[Fecha]]='Ajuste de fechas'!$A$2,"Día actual","Día anterior")</f>
        <v>Día anterior</v>
      </c>
      <c r="C146" s="3" t="s">
        <v>272</v>
      </c>
      <c r="D146" t="s">
        <v>273</v>
      </c>
      <c r="E146" s="3" t="s">
        <v>287</v>
      </c>
      <c r="F146" s="3" t="s">
        <v>10</v>
      </c>
      <c r="G146" s="3" t="s">
        <v>131</v>
      </c>
      <c r="H146" s="3" t="s">
        <v>70</v>
      </c>
      <c r="I146" s="3" t="s">
        <v>7</v>
      </c>
      <c r="J146" s="3" t="s">
        <v>33</v>
      </c>
      <c r="K146" s="3" t="s">
        <v>53</v>
      </c>
      <c r="L146" s="3" t="s">
        <v>24</v>
      </c>
      <c r="M146">
        <v>1</v>
      </c>
    </row>
    <row r="147" spans="1:13" x14ac:dyDescent="0.25">
      <c r="A147" s="2">
        <v>46219</v>
      </c>
      <c r="B147" s="1" t="str">
        <f ca="1">IF(Información1[[#This Row],[Fecha]]='Ajuste de fechas'!$A$2,"Día actual","Día anterior")</f>
        <v>Día actual</v>
      </c>
      <c r="C147" s="3" t="s">
        <v>85</v>
      </c>
      <c r="D147" t="s">
        <v>86</v>
      </c>
      <c r="E147" s="3" t="s">
        <v>175</v>
      </c>
      <c r="F147" s="3" t="s">
        <v>35</v>
      </c>
      <c r="G147" s="3" t="s">
        <v>174</v>
      </c>
      <c r="H147" s="3" t="s">
        <v>8</v>
      </c>
      <c r="I147" s="3" t="s">
        <v>7</v>
      </c>
      <c r="J147" s="3" t="s">
        <v>31</v>
      </c>
      <c r="K147" s="3" t="s">
        <v>87</v>
      </c>
      <c r="L147" s="3" t="s">
        <v>26</v>
      </c>
      <c r="M147">
        <v>1</v>
      </c>
    </row>
    <row r="148" spans="1:13" x14ac:dyDescent="0.25">
      <c r="A148" s="2">
        <v>46219</v>
      </c>
      <c r="B148" s="1" t="str">
        <f ca="1">IF(Información1[[#This Row],[Fecha]]='Ajuste de fechas'!$A$2,"Día actual","Día anterior")</f>
        <v>Día actual</v>
      </c>
      <c r="C148" s="3" t="s">
        <v>85</v>
      </c>
      <c r="D148" t="s">
        <v>86</v>
      </c>
      <c r="E148" s="3" t="s">
        <v>288</v>
      </c>
      <c r="F148" s="3" t="s">
        <v>35</v>
      </c>
      <c r="G148" s="3" t="s">
        <v>289</v>
      </c>
      <c r="H148" s="3" t="s">
        <v>8</v>
      </c>
      <c r="I148" s="3" t="s">
        <v>7</v>
      </c>
      <c r="J148" s="3" t="s">
        <v>31</v>
      </c>
      <c r="K148" s="3" t="s">
        <v>87</v>
      </c>
      <c r="L148" s="3" t="s">
        <v>24</v>
      </c>
      <c r="M148">
        <v>1</v>
      </c>
    </row>
    <row r="149" spans="1:13" x14ac:dyDescent="0.25">
      <c r="A149" s="2">
        <v>46219</v>
      </c>
      <c r="B149" s="1" t="str">
        <f ca="1">IF(Información1[[#This Row],[Fecha]]='Ajuste de fechas'!$A$2,"Día actual","Día anterior")</f>
        <v>Día actual</v>
      </c>
      <c r="C149" s="3" t="s">
        <v>85</v>
      </c>
      <c r="D149" t="s">
        <v>86</v>
      </c>
      <c r="E149" s="3" t="s">
        <v>290</v>
      </c>
      <c r="F149" s="3" t="s">
        <v>10</v>
      </c>
      <c r="G149" s="3" t="s">
        <v>182</v>
      </c>
      <c r="H149" s="3" t="s">
        <v>8</v>
      </c>
      <c r="I149" s="3" t="s">
        <v>7</v>
      </c>
      <c r="J149" s="3" t="s">
        <v>33</v>
      </c>
      <c r="K149" s="3" t="s">
        <v>87</v>
      </c>
      <c r="L149" s="3" t="s">
        <v>36</v>
      </c>
      <c r="M149">
        <v>1</v>
      </c>
    </row>
    <row r="150" spans="1:13" x14ac:dyDescent="0.25">
      <c r="A150" s="2">
        <v>46219</v>
      </c>
      <c r="B150" s="1" t="str">
        <f ca="1">IF(Información1[[#This Row],[Fecha]]='Ajuste de fechas'!$A$2,"Día actual","Día anterior")</f>
        <v>Día actual</v>
      </c>
      <c r="C150" s="3" t="s">
        <v>85</v>
      </c>
      <c r="D150" t="s">
        <v>86</v>
      </c>
      <c r="E150" s="3" t="s">
        <v>291</v>
      </c>
      <c r="F150" s="3" t="s">
        <v>10</v>
      </c>
      <c r="G150" s="3" t="s">
        <v>93</v>
      </c>
      <c r="H150" s="3" t="s">
        <v>8</v>
      </c>
      <c r="I150" s="3" t="s">
        <v>7</v>
      </c>
      <c r="J150" s="3" t="s">
        <v>33</v>
      </c>
      <c r="K150" s="3" t="s">
        <v>87</v>
      </c>
      <c r="L150" s="3" t="s">
        <v>36</v>
      </c>
      <c r="M150">
        <v>1</v>
      </c>
    </row>
    <row r="151" spans="1:13" x14ac:dyDescent="0.25">
      <c r="A151" s="2">
        <v>46219</v>
      </c>
      <c r="B151" s="1" t="str">
        <f ca="1">IF(Información1[[#This Row],[Fecha]]='Ajuste de fechas'!$A$2,"Día actual","Día anterior")</f>
        <v>Día actual</v>
      </c>
      <c r="C151" s="3" t="s">
        <v>85</v>
      </c>
      <c r="D151" t="s">
        <v>86</v>
      </c>
      <c r="E151" s="3" t="s">
        <v>292</v>
      </c>
      <c r="F151" s="3" t="s">
        <v>10</v>
      </c>
      <c r="G151" s="3" t="s">
        <v>156</v>
      </c>
      <c r="H151" s="3" t="s">
        <v>8</v>
      </c>
      <c r="I151" s="3" t="s">
        <v>7</v>
      </c>
      <c r="J151" s="3" t="s">
        <v>33</v>
      </c>
      <c r="K151" s="3" t="s">
        <v>87</v>
      </c>
      <c r="L151" s="3" t="s">
        <v>24</v>
      </c>
      <c r="M151">
        <v>1</v>
      </c>
    </row>
    <row r="152" spans="1:13" x14ac:dyDescent="0.25">
      <c r="A152" s="2">
        <v>46219</v>
      </c>
      <c r="B152" s="1" t="str">
        <f ca="1">IF(Información1[[#This Row],[Fecha]]='Ajuste de fechas'!$A$2,"Día actual","Día anterior")</f>
        <v>Día actual</v>
      </c>
      <c r="C152" s="3" t="s">
        <v>85</v>
      </c>
      <c r="D152" t="s">
        <v>86</v>
      </c>
      <c r="E152" s="3" t="s">
        <v>293</v>
      </c>
      <c r="F152" s="3" t="s">
        <v>11</v>
      </c>
      <c r="G152" s="3" t="s">
        <v>294</v>
      </c>
      <c r="H152" s="3" t="s">
        <v>8</v>
      </c>
      <c r="I152" s="3" t="s">
        <v>7</v>
      </c>
      <c r="J152" s="3" t="s">
        <v>32</v>
      </c>
      <c r="K152" s="3" t="s">
        <v>87</v>
      </c>
      <c r="L152" s="3" t="s">
        <v>24</v>
      </c>
      <c r="M152">
        <v>1</v>
      </c>
    </row>
    <row r="153" spans="1:13" x14ac:dyDescent="0.25">
      <c r="A153" s="2">
        <v>46219</v>
      </c>
      <c r="B153" s="1" t="str">
        <f ca="1">IF(Información1[[#This Row],[Fecha]]='Ajuste de fechas'!$A$2,"Día actual","Día anterior")</f>
        <v>Día actual</v>
      </c>
      <c r="C153" s="3" t="s">
        <v>85</v>
      </c>
      <c r="D153" t="s">
        <v>86</v>
      </c>
      <c r="E153" s="3" t="s">
        <v>295</v>
      </c>
      <c r="F153" s="3" t="s">
        <v>15</v>
      </c>
      <c r="G153" s="3" t="s">
        <v>137</v>
      </c>
      <c r="H153" s="3" t="s">
        <v>8</v>
      </c>
      <c r="I153" s="3" t="s">
        <v>7</v>
      </c>
      <c r="J153" s="3" t="s">
        <v>31</v>
      </c>
      <c r="K153" s="3" t="s">
        <v>87</v>
      </c>
      <c r="L153" s="3" t="s">
        <v>24</v>
      </c>
      <c r="M153">
        <v>1</v>
      </c>
    </row>
    <row r="154" spans="1:13" x14ac:dyDescent="0.25">
      <c r="A154" s="2">
        <v>46219</v>
      </c>
      <c r="B154" s="1" t="str">
        <f ca="1">IF(Información1[[#This Row],[Fecha]]='Ajuste de fechas'!$A$2,"Día actual","Día anterior")</f>
        <v>Día actual</v>
      </c>
      <c r="C154" s="3" t="s">
        <v>85</v>
      </c>
      <c r="D154" t="s">
        <v>86</v>
      </c>
      <c r="E154" s="3" t="s">
        <v>296</v>
      </c>
      <c r="F154" s="3" t="s">
        <v>11</v>
      </c>
      <c r="G154" s="3" t="s">
        <v>297</v>
      </c>
      <c r="H154" s="3" t="s">
        <v>8</v>
      </c>
      <c r="I154" s="3" t="s">
        <v>7</v>
      </c>
      <c r="J154" s="3" t="s">
        <v>32</v>
      </c>
      <c r="K154" s="3" t="s">
        <v>87</v>
      </c>
      <c r="L154" s="3" t="s">
        <v>25</v>
      </c>
      <c r="M154">
        <v>1</v>
      </c>
    </row>
    <row r="155" spans="1:13" x14ac:dyDescent="0.25">
      <c r="A155" s="2">
        <v>46219</v>
      </c>
      <c r="B155" s="1" t="str">
        <f ca="1">IF(Información1[[#This Row],[Fecha]]='Ajuste de fechas'!$A$2,"Día actual","Día anterior")</f>
        <v>Día actual</v>
      </c>
      <c r="C155" s="3" t="s">
        <v>85</v>
      </c>
      <c r="D155" t="s">
        <v>86</v>
      </c>
      <c r="E155" s="3" t="s">
        <v>298</v>
      </c>
      <c r="F155" s="3" t="s">
        <v>11</v>
      </c>
      <c r="G155" s="3" t="s">
        <v>297</v>
      </c>
      <c r="H155" s="3" t="s">
        <v>8</v>
      </c>
      <c r="I155" s="3" t="s">
        <v>7</v>
      </c>
      <c r="J155" s="3" t="s">
        <v>32</v>
      </c>
      <c r="K155" s="3" t="s">
        <v>87</v>
      </c>
      <c r="L155" s="3" t="s">
        <v>24</v>
      </c>
      <c r="M155">
        <v>1</v>
      </c>
    </row>
    <row r="156" spans="1:13" x14ac:dyDescent="0.25">
      <c r="A156" s="2">
        <v>46219</v>
      </c>
      <c r="B156" s="1" t="str">
        <f ca="1">IF(Información1[[#This Row],[Fecha]]='Ajuste de fechas'!$A$2,"Día actual","Día anterior")</f>
        <v>Día actual</v>
      </c>
      <c r="C156" s="3" t="s">
        <v>85</v>
      </c>
      <c r="D156" t="s">
        <v>86</v>
      </c>
      <c r="E156" s="3" t="s">
        <v>299</v>
      </c>
      <c r="F156" s="3" t="s">
        <v>10</v>
      </c>
      <c r="G156" s="3" t="s">
        <v>300</v>
      </c>
      <c r="H156" s="3" t="s">
        <v>8</v>
      </c>
      <c r="I156" s="3" t="s">
        <v>7</v>
      </c>
      <c r="J156" s="3" t="s">
        <v>33</v>
      </c>
      <c r="K156" s="3" t="s">
        <v>87</v>
      </c>
      <c r="L156" s="3" t="s">
        <v>24</v>
      </c>
      <c r="M156">
        <v>1</v>
      </c>
    </row>
    <row r="157" spans="1:13" x14ac:dyDescent="0.25">
      <c r="A157" s="2">
        <v>46219</v>
      </c>
      <c r="B157" s="1" t="str">
        <f ca="1">IF(Información1[[#This Row],[Fecha]]='Ajuste de fechas'!$A$2,"Día actual","Día anterior")</f>
        <v>Día actual</v>
      </c>
      <c r="C157" s="3" t="s">
        <v>85</v>
      </c>
      <c r="D157" t="s">
        <v>86</v>
      </c>
      <c r="E157" s="3" t="s">
        <v>301</v>
      </c>
      <c r="F157" s="3" t="s">
        <v>34</v>
      </c>
      <c r="G157" s="3" t="s">
        <v>219</v>
      </c>
      <c r="H157" s="3" t="s">
        <v>8</v>
      </c>
      <c r="I157" s="3" t="s">
        <v>7</v>
      </c>
      <c r="J157" s="3" t="s">
        <v>31</v>
      </c>
      <c r="K157" s="3" t="s">
        <v>87</v>
      </c>
      <c r="L157" s="3" t="s">
        <v>26</v>
      </c>
      <c r="M157">
        <v>1</v>
      </c>
    </row>
    <row r="158" spans="1:13" x14ac:dyDescent="0.25">
      <c r="A158" s="2">
        <v>46219</v>
      </c>
      <c r="B158" s="1" t="str">
        <f ca="1">IF(Información1[[#This Row],[Fecha]]='Ajuste de fechas'!$A$2,"Día actual","Día anterior")</f>
        <v>Día actual</v>
      </c>
      <c r="C158" s="3" t="s">
        <v>85</v>
      </c>
      <c r="D158" t="s">
        <v>86</v>
      </c>
      <c r="E158" s="3" t="s">
        <v>302</v>
      </c>
      <c r="F158" s="3" t="s">
        <v>34</v>
      </c>
      <c r="G158" s="3" t="s">
        <v>303</v>
      </c>
      <c r="H158" s="3" t="s">
        <v>8</v>
      </c>
      <c r="I158" s="3" t="s">
        <v>7</v>
      </c>
      <c r="J158" s="3" t="s">
        <v>31</v>
      </c>
      <c r="K158" s="3" t="s">
        <v>87</v>
      </c>
      <c r="L158" s="3" t="s">
        <v>24</v>
      </c>
      <c r="M158">
        <v>1</v>
      </c>
    </row>
    <row r="159" spans="1:13" x14ac:dyDescent="0.25">
      <c r="A159" s="2">
        <v>46219</v>
      </c>
      <c r="B159" s="1" t="str">
        <f ca="1">IF(Información1[[#This Row],[Fecha]]='Ajuste de fechas'!$A$2,"Día actual","Día anterior")</f>
        <v>Día actual</v>
      </c>
      <c r="C159" s="3" t="s">
        <v>85</v>
      </c>
      <c r="D159" t="s">
        <v>86</v>
      </c>
      <c r="E159" s="3" t="s">
        <v>304</v>
      </c>
      <c r="F159" s="3" t="s">
        <v>74</v>
      </c>
      <c r="G159" s="3" t="s">
        <v>305</v>
      </c>
      <c r="H159" s="3" t="s">
        <v>8</v>
      </c>
      <c r="I159" s="3" t="s">
        <v>7</v>
      </c>
      <c r="J159" s="3" t="s">
        <v>31</v>
      </c>
      <c r="K159" s="3" t="s">
        <v>87</v>
      </c>
      <c r="L159" s="3" t="s">
        <v>26</v>
      </c>
      <c r="M159">
        <v>1</v>
      </c>
    </row>
    <row r="160" spans="1:13" x14ac:dyDescent="0.25">
      <c r="A160" s="2">
        <v>46219</v>
      </c>
      <c r="B160" s="1" t="str">
        <f ca="1">IF(Información1[[#This Row],[Fecha]]='Ajuste de fechas'!$A$2,"Día actual","Día anterior")</f>
        <v>Día actual</v>
      </c>
      <c r="C160" s="3" t="s">
        <v>85</v>
      </c>
      <c r="D160" t="s">
        <v>86</v>
      </c>
      <c r="E160" s="3" t="s">
        <v>306</v>
      </c>
      <c r="F160" s="3" t="s">
        <v>10</v>
      </c>
      <c r="G160" s="3" t="s">
        <v>307</v>
      </c>
      <c r="H160" s="3" t="s">
        <v>8</v>
      </c>
      <c r="I160" s="3" t="s">
        <v>7</v>
      </c>
      <c r="J160" s="3" t="s">
        <v>33</v>
      </c>
      <c r="K160" s="3" t="s">
        <v>87</v>
      </c>
      <c r="L160" s="3" t="s">
        <v>24</v>
      </c>
      <c r="M160">
        <v>1</v>
      </c>
    </row>
    <row r="161" spans="1:13" x14ac:dyDescent="0.25">
      <c r="A161" s="2">
        <v>46219</v>
      </c>
      <c r="B161" s="1" t="str">
        <f ca="1">IF(Información1[[#This Row],[Fecha]]='Ajuste de fechas'!$A$2,"Día actual","Día anterior")</f>
        <v>Día actual</v>
      </c>
      <c r="C161" s="3" t="s">
        <v>85</v>
      </c>
      <c r="D161" t="s">
        <v>86</v>
      </c>
      <c r="E161" s="3" t="s">
        <v>308</v>
      </c>
      <c r="F161" s="3" t="s">
        <v>30</v>
      </c>
      <c r="G161" s="3" t="s">
        <v>191</v>
      </c>
      <c r="H161" s="3" t="s">
        <v>8</v>
      </c>
      <c r="I161" s="3" t="s">
        <v>7</v>
      </c>
      <c r="J161" s="3" t="s">
        <v>13</v>
      </c>
      <c r="K161" s="3" t="s">
        <v>87</v>
      </c>
      <c r="L161" s="3" t="s">
        <v>24</v>
      </c>
      <c r="M161">
        <v>1</v>
      </c>
    </row>
    <row r="162" spans="1:13" x14ac:dyDescent="0.25">
      <c r="A162" s="2">
        <v>46219</v>
      </c>
      <c r="B162" s="1" t="str">
        <f ca="1">IF(Información1[[#This Row],[Fecha]]='Ajuste de fechas'!$A$2,"Día actual","Día anterior")</f>
        <v>Día actual</v>
      </c>
      <c r="C162" s="3" t="s">
        <v>85</v>
      </c>
      <c r="D162" t="s">
        <v>86</v>
      </c>
      <c r="E162" s="3" t="s">
        <v>309</v>
      </c>
      <c r="F162" s="3" t="s">
        <v>10</v>
      </c>
      <c r="G162" s="3" t="s">
        <v>310</v>
      </c>
      <c r="H162" s="3" t="s">
        <v>8</v>
      </c>
      <c r="I162" s="3" t="s">
        <v>7</v>
      </c>
      <c r="J162" s="3" t="s">
        <v>33</v>
      </c>
      <c r="K162" s="3" t="s">
        <v>87</v>
      </c>
      <c r="L162" s="3" t="s">
        <v>24</v>
      </c>
      <c r="M162">
        <v>1</v>
      </c>
    </row>
    <row r="163" spans="1:13" x14ac:dyDescent="0.25">
      <c r="A163" s="2">
        <v>46219</v>
      </c>
      <c r="B163" s="1" t="str">
        <f ca="1">IF(Información1[[#This Row],[Fecha]]='Ajuste de fechas'!$A$2,"Día actual","Día anterior")</f>
        <v>Día actual</v>
      </c>
      <c r="C163" s="3" t="s">
        <v>85</v>
      </c>
      <c r="D163" t="s">
        <v>86</v>
      </c>
      <c r="E163" s="3" t="s">
        <v>311</v>
      </c>
      <c r="F163" s="3" t="s">
        <v>312</v>
      </c>
      <c r="G163" s="3" t="s">
        <v>313</v>
      </c>
      <c r="H163" s="3" t="s">
        <v>8</v>
      </c>
      <c r="I163" s="3" t="s">
        <v>7</v>
      </c>
      <c r="J163" s="3" t="s">
        <v>31</v>
      </c>
      <c r="K163" s="3" t="s">
        <v>87</v>
      </c>
      <c r="L163" s="3" t="s">
        <v>24</v>
      </c>
      <c r="M163">
        <v>1</v>
      </c>
    </row>
    <row r="164" spans="1:13" x14ac:dyDescent="0.25">
      <c r="A164" s="2">
        <v>46219</v>
      </c>
      <c r="B164" s="1" t="str">
        <f ca="1">IF(Información1[[#This Row],[Fecha]]='Ajuste de fechas'!$A$2,"Día actual","Día anterior")</f>
        <v>Día actual</v>
      </c>
      <c r="C164" s="3" t="s">
        <v>69</v>
      </c>
      <c r="D164" t="s">
        <v>90</v>
      </c>
      <c r="E164" s="3" t="s">
        <v>314</v>
      </c>
      <c r="F164" s="3" t="s">
        <v>9</v>
      </c>
      <c r="G164" s="3" t="s">
        <v>69</v>
      </c>
      <c r="H164" s="3" t="s">
        <v>70</v>
      </c>
      <c r="I164" s="3" t="s">
        <v>14</v>
      </c>
      <c r="J164" s="3" t="s">
        <v>31</v>
      </c>
      <c r="K164" s="3" t="s">
        <v>91</v>
      </c>
      <c r="L164" s="3" t="s">
        <v>25</v>
      </c>
      <c r="M164">
        <v>1</v>
      </c>
    </row>
    <row r="165" spans="1:13" x14ac:dyDescent="0.25">
      <c r="A165" s="2">
        <v>46219</v>
      </c>
      <c r="B165" s="1" t="str">
        <f ca="1">IF(Información1[[#This Row],[Fecha]]='Ajuste de fechas'!$A$2,"Día actual","Día anterior")</f>
        <v>Día actual</v>
      </c>
      <c r="C165" s="3" t="s">
        <v>69</v>
      </c>
      <c r="D165" t="s">
        <v>90</v>
      </c>
      <c r="E165" s="3" t="s">
        <v>315</v>
      </c>
      <c r="F165" s="3" t="s">
        <v>15</v>
      </c>
      <c r="G165" s="3" t="s">
        <v>316</v>
      </c>
      <c r="H165" s="3" t="s">
        <v>70</v>
      </c>
      <c r="I165" s="3" t="s">
        <v>39</v>
      </c>
      <c r="J165" s="3" t="s">
        <v>31</v>
      </c>
      <c r="K165" s="3" t="s">
        <v>317</v>
      </c>
      <c r="L165" s="3" t="s">
        <v>25</v>
      </c>
      <c r="M165">
        <v>1</v>
      </c>
    </row>
    <row r="166" spans="1:13" x14ac:dyDescent="0.25">
      <c r="A166" s="2">
        <v>46219</v>
      </c>
      <c r="B166" s="1" t="str">
        <f ca="1">IF(Información1[[#This Row],[Fecha]]='Ajuste de fechas'!$A$2,"Día actual","Día anterior")</f>
        <v>Día actual</v>
      </c>
      <c r="C166" s="3" t="s">
        <v>69</v>
      </c>
      <c r="D166" t="s">
        <v>90</v>
      </c>
      <c r="E166" s="3" t="s">
        <v>214</v>
      </c>
      <c r="F166" s="3" t="s">
        <v>80</v>
      </c>
      <c r="G166" s="3" t="s">
        <v>163</v>
      </c>
      <c r="H166" s="3" t="s">
        <v>70</v>
      </c>
      <c r="I166" s="3" t="s">
        <v>7</v>
      </c>
      <c r="J166" s="3" t="s">
        <v>31</v>
      </c>
      <c r="K166" s="3" t="s">
        <v>91</v>
      </c>
      <c r="L166" s="3" t="s">
        <v>26</v>
      </c>
      <c r="M166">
        <v>1</v>
      </c>
    </row>
    <row r="167" spans="1:13" x14ac:dyDescent="0.25">
      <c r="A167" s="2">
        <v>46219</v>
      </c>
      <c r="B167" s="1" t="str">
        <f ca="1">IF(Información1[[#This Row],[Fecha]]='Ajuste de fechas'!$A$2,"Día actual","Día anterior")</f>
        <v>Día actual</v>
      </c>
      <c r="C167" s="3" t="s">
        <v>69</v>
      </c>
      <c r="D167" t="s">
        <v>90</v>
      </c>
      <c r="E167" s="3" t="s">
        <v>318</v>
      </c>
      <c r="F167" s="3" t="s">
        <v>17</v>
      </c>
      <c r="G167" s="3" t="s">
        <v>221</v>
      </c>
      <c r="H167" s="3" t="s">
        <v>70</v>
      </c>
      <c r="I167" s="3" t="s">
        <v>7</v>
      </c>
      <c r="J167" s="3" t="s">
        <v>31</v>
      </c>
      <c r="K167" s="3" t="s">
        <v>91</v>
      </c>
      <c r="L167" s="3" t="s">
        <v>26</v>
      </c>
      <c r="M167">
        <v>1</v>
      </c>
    </row>
    <row r="168" spans="1:13" x14ac:dyDescent="0.25">
      <c r="A168" s="2">
        <v>46219</v>
      </c>
      <c r="B168" s="1" t="str">
        <f ca="1">IF(Información1[[#This Row],[Fecha]]='Ajuste de fechas'!$A$2,"Día actual","Día anterior")</f>
        <v>Día actual</v>
      </c>
      <c r="C168" s="3" t="s">
        <v>69</v>
      </c>
      <c r="D168" t="s">
        <v>90</v>
      </c>
      <c r="E168" s="3" t="s">
        <v>319</v>
      </c>
      <c r="F168" s="3" t="s">
        <v>10</v>
      </c>
      <c r="G168" s="3" t="s">
        <v>265</v>
      </c>
      <c r="H168" s="3" t="s">
        <v>70</v>
      </c>
      <c r="I168" s="3" t="s">
        <v>7</v>
      </c>
      <c r="J168" s="3" t="s">
        <v>33</v>
      </c>
      <c r="K168" s="3" t="s">
        <v>91</v>
      </c>
      <c r="L168" s="3" t="s">
        <v>24</v>
      </c>
      <c r="M168">
        <v>1</v>
      </c>
    </row>
    <row r="169" spans="1:13" x14ac:dyDescent="0.25">
      <c r="A169" s="2">
        <v>46219</v>
      </c>
      <c r="B169" s="1" t="str">
        <f ca="1">IF(Información1[[#This Row],[Fecha]]='Ajuste de fechas'!$A$2,"Día actual","Día anterior")</f>
        <v>Día actual</v>
      </c>
      <c r="C169" s="3" t="s">
        <v>69</v>
      </c>
      <c r="D169" t="s">
        <v>90</v>
      </c>
      <c r="E169" s="3" t="s">
        <v>320</v>
      </c>
      <c r="F169" s="3" t="s">
        <v>15</v>
      </c>
      <c r="G169" s="3" t="s">
        <v>156</v>
      </c>
      <c r="H169" s="3" t="s">
        <v>70</v>
      </c>
      <c r="I169" s="3" t="s">
        <v>7</v>
      </c>
      <c r="J169" s="3" t="s">
        <v>31</v>
      </c>
      <c r="K169" s="3" t="s">
        <v>91</v>
      </c>
      <c r="L169" s="3" t="s">
        <v>25</v>
      </c>
      <c r="M169">
        <v>1</v>
      </c>
    </row>
    <row r="170" spans="1:13" x14ac:dyDescent="0.25">
      <c r="A170" s="2">
        <v>46219</v>
      </c>
      <c r="B170" s="1" t="str">
        <f ca="1">IF(Información1[[#This Row],[Fecha]]='Ajuste de fechas'!$A$2,"Día actual","Día anterior")</f>
        <v>Día actual</v>
      </c>
      <c r="C170" s="3" t="s">
        <v>69</v>
      </c>
      <c r="D170" t="s">
        <v>90</v>
      </c>
      <c r="E170" s="3" t="s">
        <v>321</v>
      </c>
      <c r="F170" s="3" t="s">
        <v>13</v>
      </c>
      <c r="G170" s="3" t="s">
        <v>322</v>
      </c>
      <c r="H170" s="3" t="s">
        <v>70</v>
      </c>
      <c r="I170" s="3" t="s">
        <v>7</v>
      </c>
      <c r="J170" s="3" t="s">
        <v>13</v>
      </c>
      <c r="K170" s="3" t="s">
        <v>91</v>
      </c>
      <c r="L170" s="3" t="s">
        <v>25</v>
      </c>
      <c r="M170">
        <v>1</v>
      </c>
    </row>
    <row r="171" spans="1:13" x14ac:dyDescent="0.25">
      <c r="A171" s="2">
        <v>46219</v>
      </c>
      <c r="B171" s="1" t="str">
        <f ca="1">IF(Información1[[#This Row],[Fecha]]='Ajuste de fechas'!$A$2,"Día actual","Día anterior")</f>
        <v>Día actual</v>
      </c>
      <c r="C171" s="3" t="s">
        <v>69</v>
      </c>
      <c r="D171" t="s">
        <v>90</v>
      </c>
      <c r="E171" s="3" t="s">
        <v>323</v>
      </c>
      <c r="F171" s="3" t="s">
        <v>9</v>
      </c>
      <c r="G171" s="3" t="s">
        <v>96</v>
      </c>
      <c r="H171" s="3" t="s">
        <v>70</v>
      </c>
      <c r="I171" s="3" t="s">
        <v>14</v>
      </c>
      <c r="J171" s="3" t="s">
        <v>31</v>
      </c>
      <c r="K171" s="3" t="s">
        <v>91</v>
      </c>
      <c r="L171" s="3" t="s">
        <v>25</v>
      </c>
      <c r="M171">
        <v>1</v>
      </c>
    </row>
    <row r="172" spans="1:13" x14ac:dyDescent="0.25">
      <c r="A172" s="2">
        <v>46219</v>
      </c>
      <c r="B172" s="1" t="str">
        <f ca="1">IF(Información1[[#This Row],[Fecha]]='Ajuste de fechas'!$A$2,"Día actual","Día anterior")</f>
        <v>Día actual</v>
      </c>
      <c r="C172" s="3" t="s">
        <v>69</v>
      </c>
      <c r="D172" t="s">
        <v>90</v>
      </c>
      <c r="E172" s="3" t="s">
        <v>301</v>
      </c>
      <c r="F172" s="3" t="s">
        <v>34</v>
      </c>
      <c r="G172" s="3" t="s">
        <v>324</v>
      </c>
      <c r="H172" s="3" t="s">
        <v>70</v>
      </c>
      <c r="I172" s="3" t="s">
        <v>7</v>
      </c>
      <c r="J172" s="3" t="s">
        <v>31</v>
      </c>
      <c r="K172" s="3" t="s">
        <v>91</v>
      </c>
      <c r="L172" s="3" t="s">
        <v>26</v>
      </c>
      <c r="M172">
        <v>1</v>
      </c>
    </row>
    <row r="173" spans="1:13" x14ac:dyDescent="0.25">
      <c r="A173" s="2">
        <v>46219</v>
      </c>
      <c r="B173" s="1" t="str">
        <f ca="1">IF(Información1[[#This Row],[Fecha]]='Ajuste de fechas'!$A$2,"Día actual","Día anterior")</f>
        <v>Día actual</v>
      </c>
      <c r="C173" s="3" t="s">
        <v>69</v>
      </c>
      <c r="D173" t="s">
        <v>90</v>
      </c>
      <c r="E173" s="3" t="s">
        <v>325</v>
      </c>
      <c r="F173" s="3" t="s">
        <v>15</v>
      </c>
      <c r="G173" s="3" t="s">
        <v>246</v>
      </c>
      <c r="H173" s="3" t="s">
        <v>70</v>
      </c>
      <c r="I173" s="3" t="s">
        <v>7</v>
      </c>
      <c r="J173" s="3" t="s">
        <v>31</v>
      </c>
      <c r="K173" s="3" t="s">
        <v>91</v>
      </c>
      <c r="L173" s="3" t="s">
        <v>26</v>
      </c>
      <c r="M17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46219</v>
      </c>
      <c r="B2" s="2">
        <f ca="1">A2-1</f>
        <v>46218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2026-07-17T00:05:52Z</dcterms:modified>
</cp:coreProperties>
</file>