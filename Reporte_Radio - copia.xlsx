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B41F09D2-2F5B-4FE1-AC10-FB03EC063860}"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Radio!$A$1:$M$196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156" i="2"/>
  <c r="B158" i="2"/>
  <c r="B161" i="2"/>
  <c r="B164" i="2"/>
  <c r="B167" i="2"/>
  <c r="B170" i="2"/>
  <c r="B173" i="2"/>
  <c r="B176" i="2"/>
  <c r="B179" i="2"/>
  <c r="B182" i="2"/>
  <c r="B185" i="2"/>
  <c r="B188" i="2"/>
  <c r="B191" i="2"/>
  <c r="B194"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49" i="2"/>
  <c r="B151" i="2"/>
  <c r="B153" i="2"/>
  <c r="B155" i="2"/>
  <c r="B159" i="2"/>
  <c r="B163" i="2"/>
  <c r="B166" i="2"/>
  <c r="B169" i="2"/>
  <c r="B172" i="2"/>
  <c r="B175" i="2"/>
  <c r="B178" i="2"/>
  <c r="B181" i="2"/>
  <c r="B184" i="2"/>
  <c r="B187" i="2"/>
  <c r="B190" i="2"/>
  <c r="B193" i="2"/>
  <c r="B196"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50" i="2"/>
  <c r="B152" i="2"/>
  <c r="B154" i="2"/>
  <c r="B157" i="2"/>
  <c r="B160" i="2"/>
  <c r="B162" i="2"/>
  <c r="B165" i="2"/>
  <c r="B168" i="2"/>
  <c r="B171" i="2"/>
  <c r="B174" i="2"/>
  <c r="B177" i="2"/>
  <c r="B180" i="2"/>
  <c r="B183" i="2"/>
  <c r="B186" i="2"/>
  <c r="B189" i="2"/>
  <c r="B192" i="2"/>
  <c r="B195"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<sst xmlns="http://schemas.openxmlformats.org/spreadsheetml/2006/main" count="1965" uniqueCount="362">
  <si>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</si>
  <si>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</si>
  <si>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</si>
  <si>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</si>
  <si>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</si>
  <si>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</si>
  <si>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</si>
  <si>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</si>
  <si>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</si>
  <si>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</si>
  <si>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</si>
  <si>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</si>
  <si>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</si>
  <si>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</si>
  <si>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</si>
  <si>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</si>
  <si>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</si>
  <si>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</si>
  <si>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</si>
  <si>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</si>
  <si>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</si>
  <si>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</si>
  <si>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</si>
  <si>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</si>
  <si>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</si>
  <si>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</si>
  <si>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</si>
  <si>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</si>
  <si>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</si>
  <si>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</si>
  <si>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</si>
  <si>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</si>
  <si>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</si>
  <si>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</si>
  <si>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</si>
  <si>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</si>
  <si>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</si>
  <si>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</si>
  <si>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</si>
  <si>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</si>
  <si>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</si>
  <si>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</si>
  <si>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</si>
  <si>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</si>
  <si>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</si>
  <si>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</si>
  <si>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</si>
  <si>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</si>
  <si>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PGJEH</t>
  </si>
  <si>
    <t>Juan Carlos Santamaria</t>
  </si>
  <si>
    <t>NQ 90.1 FM</t>
  </si>
  <si>
    <t>Jesús Riveros</t>
  </si>
  <si>
    <t>Enlace Hidalgo1</t>
  </si>
  <si>
    <t>Eulalio Larrieta agradece Paola García y Lic. Sarahi Pineda, por estar atentas a los mensajes de la ciudadanía y por atenderlos.</t>
  </si>
  <si>
    <t>Congreso</t>
  </si>
  <si>
    <t>Enlace Hidalgo2</t>
  </si>
  <si>
    <t>Auxilio a la ciudadanía</t>
  </si>
  <si>
    <t>TV local</t>
  </si>
  <si>
    <t>Radiodifusoras</t>
  </si>
  <si>
    <t>Ultra 102.9 FM</t>
  </si>
  <si>
    <t>Ultra Noticias1</t>
  </si>
  <si>
    <t>Daniel Martínez</t>
  </si>
  <si>
    <t>Vía telefónica el reporte de Bombero y Protección Civil con Abner Yáñez informa de las diversas emergencias reportadas por la ciudadanía y que fueron atendidas.</t>
  </si>
  <si>
    <t>Ke Buena 106.7 FM</t>
  </si>
  <si>
    <t>Noticias 106.7</t>
  </si>
  <si>
    <t>David Cárdenas</t>
  </si>
  <si>
    <t>Enfoque Regional Meridiano</t>
  </si>
  <si>
    <t>Jesús González</t>
  </si>
  <si>
    <t>La Poderosa Tuxpan 93.1 FM</t>
  </si>
  <si>
    <t>NN Nuestras Noticias Zona Norte</t>
  </si>
  <si>
    <t>Liz Argüelles</t>
  </si>
  <si>
    <t>Entrevista</t>
  </si>
  <si>
    <t>Abasto de agua</t>
  </si>
  <si>
    <t>Enfoque Regional Matutino</t>
  </si>
  <si>
    <t>Rodolfo López</t>
  </si>
  <si>
    <t>Participación</t>
  </si>
  <si>
    <t>Radio Lobo 96.7 FM</t>
  </si>
  <si>
    <t>TSJEH</t>
  </si>
  <si>
    <t>Rutas de la Reconstrucción</t>
  </si>
  <si>
    <t>Cultura</t>
  </si>
  <si>
    <t>Feria Patronal</t>
  </si>
  <si>
    <t>Ataque Armado</t>
  </si>
  <si>
    <t>Ordenamiento Territorial</t>
  </si>
  <si>
    <t>Proceso Por Feminicidio</t>
  </si>
  <si>
    <t>Alerta Meteorológica</t>
  </si>
  <si>
    <t>Conmemoración Aniversario</t>
  </si>
  <si>
    <t>OCSAD</t>
  </si>
  <si>
    <t>Feria Del Libro</t>
  </si>
  <si>
    <t>Modernización Tuzobús</t>
  </si>
  <si>
    <t>Día de los pueblos indígenas</t>
  </si>
  <si>
    <t>Turismo</t>
  </si>
  <si>
    <t>Recolección De Basura</t>
  </si>
  <si>
    <t>Pueblos con sabor</t>
  </si>
  <si>
    <t>Saderh</t>
  </si>
  <si>
    <t>Feria Pachuca</t>
  </si>
  <si>
    <t>Mundial De Futbol</t>
  </si>
  <si>
    <t>Luminarias</t>
  </si>
  <si>
    <t>Certificación de idioma</t>
  </si>
  <si>
    <t>Realizan Primer Foro Estatal "Hidalgo contra la Trata de Personas", AUDIO APOYO</t>
  </si>
  <si>
    <t>Combate a trata de personas</t>
  </si>
  <si>
    <t>Sedeco</t>
  </si>
  <si>
    <t>Contenido gubernamental</t>
  </si>
  <si>
    <t>Vía telefónica Prisco Gutiérrez titular CEDSPI, el tema : 31 conmemoración del día internacional de los pueblos indigenas</t>
  </si>
  <si>
    <t>Firma De Convenio</t>
  </si>
  <si>
    <t>Ordenamiento ecológico</t>
  </si>
  <si>
    <t>Enlace Noticias</t>
  </si>
  <si>
    <t>Gina Lorenzo</t>
  </si>
  <si>
    <t>Secuestro virtual</t>
  </si>
  <si>
    <t>Sentencia</t>
  </si>
  <si>
    <t>Localización de cuerpo</t>
  </si>
  <si>
    <t>Investigadora del ITSOEH obtiene patente del IMPI en tecnología alimentaria</t>
  </si>
  <si>
    <t>Registro de patente</t>
  </si>
  <si>
    <t>Irving Sánchez</t>
  </si>
  <si>
    <t>SSPH frustra secuestro virtual y evita el pago del rescate en Tulancingo de Bravo</t>
  </si>
  <si>
    <t>Tepeji del Río se une al Programa Regional de Desarrollo Urbano y Ordenamiento Territorial de Tula.</t>
  </si>
  <si>
    <t>Julio Menchaca refuerza infraestructura de Calnali con más de 123 millones de pesos</t>
  </si>
  <si>
    <t>Expo industrial</t>
  </si>
  <si>
    <t>SSPH ejecuta dos cateos simultáneos en Tulancingo; asegura a dos hombres, vehículos robados y presunto narcótico</t>
  </si>
  <si>
    <t>Combate a la delincuencia</t>
  </si>
  <si>
    <t>El ayuntamiento de Pachuca intervendrá alrededor de 100 de los 130 parques y jardines que tiene registrados el municipio, principalmente en mejora del alumbrado público en aquellos espacios donde existe una mayor incidencia delictiva. Así lo informó el secretario de Servicios Municipales, Gilberto López, quien explicó que el programa contempla trabajos de iluminación, limpieza y rehabilitación de juegos infantiles para recuperar las condiciones de estos espacios públicos. "Tenemos registrados en parques y jardines alrededor de 130 parques, de los cuales más o menos vamos a intervenir 100. El tema en lo fuerte que vamos a poner es el alumbrado público; estamos priorizando los parques que tienen un poquito de mayor inseguridad", señaló. Entre los primeros espacios atendidos mencionó los parques de La Maestranza, San Clemente, San Antonio, Parque de Poblamiento y Piracantos, debido a que presentan mayores problemas relacionados con la seguridad. El funcionario indicó que, además del alumbrado, las cuadrillas municipales realizarán jornadas de limpieza, reparación de juegos infantiles con apoyo de soldadores y herreros, así como labores generales de mantenimiento. "Vamos a aprovechar para darles limpieza, como si fuera una faena, reparar los juegos con el apoyo de nuestros soldadores y herreros y dejarlos en condiciones", comentó.</t>
  </si>
  <si>
    <t>Rehabilitación de espacios públicos</t>
  </si>
  <si>
    <t>Los seis elevadores del Tuzobús serán rehabilitados como parte de la renovación de las estaciones y contarán con paredes de cristal, botón de pánico y cámaras de videovigilancia para la seguridad de las personas usuarias. Así lo informó el oficial Mayor, Edgar Orlando Ángeles Pérez, quien explicó que estos equipos están distribuidos en tres estaciones, en cada una hay dos elevadores y todos permanecen cerrados. Tras la rehabilitación, esta infraestructura será para personas con discapacidad. Originalmente se contempló que operaran mediante una tarjeta de acceso para controlar su uso y se analiza mantener un sistema de registro para garantizar que sean utilizados por la población a la que están dirigidos. La reactivación de los elevadores forma parte de la modernización de 36 estaciones del Tuzobús lo cual implicará impermeabilización, renovación de pisos, puertas, señalética y drenaje para los sanitarios. “Te tenemos un problema muy grande, se filtra el agua impresionantemente, o sea, cuando llueve, llueve adentro de la estación. Entonces, tenemos que atender el tema de impermeabilización”. Ángeles Pérez adelantó que además se instalará piso podotáctil para personas con discapacidad visual.</t>
  </si>
  <si>
    <t>Oficialía Mayor</t>
  </si>
  <si>
    <t>El ayuntamiento de Pachuca destinará 25 millones de pesos a trabajos de bacheo durante 2026, monto similar al ejercido el año pasado, con el objetivo de atender el deterioro de las vialidades y ampliar la cobertura de reparación en distintos puntos de la ciudad. El presidente municipal, Jorge Alberto Reyes Hernández, informó que el recurso forma parte de las acciones de infraestructura contempladas para este año y que, sumado a la inversión realizada en 2025, representará una bolsa de 50 millones de pesos destinada al mantenimiento de calles durante los dos primeros años de la administración. El alcalde indicó que con los 25 millones de pesos ejercidos en 2025 fue posible intervenir alrededor de 68 calles de la capital hidalguense, por lo que este año se busca mantener el ritmo de atención a las vialidades. Además, explicó que recientemente el cabildo aprobó una segunda modificación al Presupuesto de Egresos 2026 para redistribuir recursos hacia rubros prioritarios, entre ellos infraestructura, obra pública y servicios municipales.</t>
  </si>
  <si>
    <t>Bacheo</t>
  </si>
  <si>
    <t>En cabina Norma Juárez, directora de Fomento Industrial in formó que el distintivo “Hecho en Tulancingo”, otorgado de manera oficial al municipio por el Instituto Mexicano de la Propiedad Industrial (IMPI), tiene como propósito incentivar el consumo local mediante la identificación del origen de los productos, proyectar el talento tulancinguense a nivel estatal y nacional y generar valor agregado que incremente la competitividad de los productores. en este sentido, señaló que en unos días se lanzará la convocatoria para que hombres y mujeres del municipio que producen insumos con calidad, puedan obtener este distintivo.</t>
  </si>
  <si>
    <t>Apoyo A Mipymes</t>
  </si>
  <si>
    <t>Gobierno de la Transformación pasa del compromiso a los hechos: Julio Menchaca</t>
  </si>
  <si>
    <t>Seis hombres detenidos en el municipio de Tula tras un operativo en el que fueron aseguradas armas de fuego, cartuchos, cargadores y droga fueron sentenciados por un juez federal a penas de más de 11 años de prisión, informó la Fiscalía General de la República (FGR). Los hechos se remontan a 2025, cuando un reporte ciudadano alertó sobre la presencia de personas armadas en la comunidad de San Marcos. En respuesta, autoridades desplegaron un operativo que culminó con la captura de los ahora sentenciados. Durante la intervención, los agentes aseguraron un importante arsenal integrado por 14 armas de fuego, mil 92 cartuchos útiles y 46 cargadores. Además, decomisaron 56 bolsas con marihuana y 59 bolsas con una sustancia con características del clorhidrato de metanfetamina. Tras el proceso de investigación, el Ministerio Público Federal acreditó la responsabilidad de Jesús “N”, Miguel “N”, Rubén “N”, Abraham “N”, Ángel “N” y Alan “N” por delitos relacionados con la portación de armas de fuego, posesión de cartuchos y cargadores de uso exclusivo de las Fuerzas Armadas, así como delitos contra la salud en su modalidad de narcomenudeo. Como resultado, cinco de los implicados fueron condenados a 11 años y dos meses de prisión, mientras que Alan “N” recibió una sentencia de 12 años y seis meses, al considerar el juez la existencia de agravantes en los delitos que se le imputaron.</t>
  </si>
  <si>
    <t>Personal de atención a emergencias rescataron a una turista de nacionalidad alemana que sufrió una fractura de consideración mientras realizaba senderismo en las alturas del cerro conocido como La Muñeca, en el municipio de Ixmiquilpan. Debido a lo escarpado del terreno, los brigadistas tuvieron que implementar un operativo de descenso vertical con sistema de cuerdas. Tras varios minutos de maniobras especializadas, los rescatistas lograron llegar hasta la víctima —cuya identidad se mantiene bajo reserva— para brindarle los primeros auxilios y estabilizarla en una camilla rígida. Una vez concretado el rescate en la zona alta de la montaña, la mujer fue descendida a un punto seguro y trasladada de urgencia a un hospital de la región para recibir atención médica especializada por la fractura sufrida.</t>
  </si>
  <si>
    <t>Rescate de persona</t>
  </si>
  <si>
    <t>Una unidad de transporte público de la ruta Virreyes resultó incendiada la mañana de este jueves al interior de un domicilio ubicado en la comunidad de San Miguel Nopalapa, en el municipio de Epazoyucan, Hidalgo. De acuerdo con información de Protección Civil municipal, el reporte de emergencia fue recibido mediante una llamada ciudadana que alertó sobre un incendio dentro de una propiedad de la localidad. Hasta el momento no se ha determinado qué provocó que la unidad comenzara a incendiarse, por lo que serán las autoridades correspondientes las encargadas de realizar las revisiones necesarias para establecer el origen del fuego.</t>
  </si>
  <si>
    <t>Control de incendios</t>
  </si>
  <si>
    <t>Elementos de la Secretaría de Seguridad Ciudadana de Tizayuca atendieron un reporte sobre una persona inconsciente localizada en la vía pública sobre la avenida Juárez Sur, en la colonia Centro. Ello tras recibir un reporte sobre la presencia de un hombre que permanecía sobre la banqueta, al exterior de un establecimiento comercial, quien presentaba un aparente golpe en la cabeza. Tras recibir la información, los elementos acudieron al sitio y confirmaron la presencia de la persona, por lo que solicitaron apoyo de Protección Civil y Bomberos mediante el Centro de Control y Comando (C2). El personal de atención a emergencias hizo revisión corporal a la persona, confirmando que ya no presentaba signos vitales. De manera preliminar, se informó que la persona localizada vestía una playera blanca, chamarra color café, pants azul marino, calcetas negras y sandalias azules. El sitio donde se localizó a la persona fue acordonado, en tanto que personal de la Procuraduría General de Justicia del Estado de Hidalgo inició las investigaciones respectivas al caso, para establecer las responsabilidades legales correspondientes.</t>
  </si>
  <si>
    <t>En menos de 24 horas, dos hombres fueron localizados sin vida en eventos diferentes en cuerpos de agua ubicados dentro del municipio de Acaxochitlán. La primera situación se registró en las cascadas de la localidad de Chimalapa, donde un joven de 19 años de edad, entró a dicho cuerpo de agua para nadar; sin embargo, fue arrastrado por la corriente. Ante la emergencia, sus acompañantes solicitaron el apoyo de cuerpos de emergencia, quienes acudieron al sitio, iniciando la búsqueda del joven hombre. Finalmente fue localizado dentro de las mismas cascadas; al realizarle revisión corporal, se confirmó que ya no contaba con signos vitales. La segunda situación se registró la mañana del jueves 30 de julio, cuando fue recibido reporte sobre el hallazgo de un cuerpo sin vida, flotando en aguas de la presa El Tejocotal, dentro del mismo municipio de Acaxochitlán. Los elementos policiacos, así como los de Protección Civil local, confirmaron la existencia en el sitio del cuerpo de un hombre, que se encontraba boca abajo, desnudo y en avanzado estado de descomposición. Hasta el momento no se ha determinado la identidad de dicha persona. En ambos casos, personal del Ministerio Público local ha iniciado las investigaciones respectivas a los casos.</t>
  </si>
  <si>
    <t>A poco más de un mes de la desaparición de dos trabajadores de la Comisión Federal de Electricidad, no se conoce de avances sobre la investigación para lograr su localización. La última ubicación conocida de Adolfo López Saldaña, de 40 años, y Marco Antonio Sarmiento García, de 60, ambos trabajadores de la paraestatal, fue el pasado 26 de junio, dentro del municipio de Acaxochitlán, dentro del Estado de Hidalgo. Unas horas después de reportarse la desaparición de ambas personas fueron localizadas las camionetas en las que viajaban, las cuales fueron encontradas abandonadas en un paraje precisamente del municipio de Acaxochitlán. Autoridades en materia de seguridad pública de los estados de Puebla, Tlaxcala así como Hidalgo, iniciaron labores de búsqueda de ambos trabajadores de la CFE. Posteriormente, la Fiscalía General de la República atrajo la investigación; sin embargo, hasta la fecha no se conoce resultados sobre las indagatorias. Durante visita de trabajo al municipio de Tulancingo, el Secretario General del Gobierno del Estado de Hidalgo, Guillermo Olivares Reyna, fue cuestionado sobre el avance de las investigaciones respectivas al caso. El funcionario sólo respondió que se seguía con dichas investigaciones para localizar a ambos trabajadores de la CFE. Familiares, amigos y compañeros de trabajo de López Saldaña y Sarmiento García, han realizado manifestaciones para exigir que se intensifique la investigación para tener resultados a la brevedad. Además de realizar publicaciones en redes sociales, han realizado distribución de volantes, así como colocaron una lona y cartulinas en la sede administrativa de la CFE en Tulancingo, con la misma exigencia de acelerar las acciones de búsqueda y localización. Consultados algunos de sus compañeros de trabajo al respecto, señalaron que no tienen información alguna sobre el avance de las investigaciones sobre el caso.</t>
  </si>
  <si>
    <t>Búsqueda de personas</t>
  </si>
  <si>
    <t>Dos proyectos buscan instalarse en la reserva de 700 hectáreas donde se pretendía construir el Parque de Economía Circular, en Tula, luego de que ese proyecto fue cancelado tras una consulta indígena con resultado negativo. Se trata de una propuesta de inversión privada presentada por el gobierno estatal ante la Secretaría de Economía y de un proyecto energético impulsado por la Secretaría de Energía, ambos actualmente en evaluación para ocupar el predio donde originalmente se proyectó el Parque de Economía Circular. Luego de que la Federación descartó el proyecto original, el gobierno estatal presentó una nueva propuesta para atraer una empresa a ese polígono. "La semana pasada hicimos una plática con la Secretaría de Economía y le presentamos un nuevo proyecto para nuestro estado", indicó el titular de la Secretaría de Desarrollo Económico estatal. Agregó que la propuesta fue recibida "con buenos ojos" y existe una alta posibilidad de que la empresa se establezca en ese sitio. Carlos Henkel Escorza evitó revelar el nombre de la compañía o el giro al que pertenece, al argumentar que el proyecto aún se encuentra en etapa de prospección. "Todavía no lo puedo anunciar, todavía no puedo mencionar cuál es el giro; están prospectando y les presentamos la propuesta de Tula. Esperemos que la vean viable y que, en suma, entre la Secretaría de Economía y la Secretaría de Desarrollo Económico logremos consolidar esta inversión", declaró. Al preguntarle si se trata de una empresa relacionada con el manejo de residuos, respondió: "No, nada que ver". Únete a nuestro canal: ¡EL UNIVERSAL HIDALGO ya está en Whatsapp!, desde tu dispositivo móvil entérate de las noticias más relevantes del día, artículos de opinión, entretenimiento, tendencias y más.</t>
  </si>
  <si>
    <t>Atracción De Inversiones</t>
  </si>
  <si>
    <t>La instalación de un parque fotovoltaico en Tecozautla no se llevará a cabo, luego de que la empresa encargada del proyecto decidiera retirarse tras el rechazo expresado por comunidades de la región durante el proceso de consulta indígena. El secretario de Desarrollo Económico de Hidalgo, Carlos Henkel Escorza, informó que la compañía presentó formalmente su desistimiento, por lo que el Gobierno federal ya no continuará con los trámites relacionados con la obra. El funcionario señaló que, aunque se realizaron reuniones para explicar los alcances del proyecto, la oposición de un sector de la población impidió que la inversión avanzara. Añadió que también existieron diversos factores que influyeron en que la iniciativa no lograra concretarse.La propuesta contemplaba una inversión de aproximadamente 150 millones de dólares para desarrollar una planta de generación de energía solar de 100 megavatios, mediante la instalación de más de 200 mil paneles. Desde que fue anunciado, el proyecto enfrentó resistencia por parte de habitantes de San Joaquín, El Mercader, Maguey Verde y San Francisco, quienes manifestaron su preocupación por los posibles impactos ambientales y promovieron recursos legales para impedir su construcción en un predio de 588 hectáreas.</t>
  </si>
  <si>
    <t>Parque Fotovoltaico</t>
  </si>
  <si>
    <t>El Sitmah informa: Un conductor de un vehículo particular no respetó la luz roja del semáforo y realizó un corte de circulación a la altura de Zona Plateada, en sentido norte, invadiendo el paso de la unidad económico 2 del servicio Exprés 2 del Transporte Metropolitano. Ante esta acción, el operador efectuó un frenado de emergencia para evitar una colisión. Tras provocar el accidente, el vehículo particular se dio a la fuga.</t>
  </si>
  <si>
    <t>Accidente Tuzobús</t>
  </si>
  <si>
    <t>Respecto a las fotografías y publicaciones que circulan en redes sociales sobre un presunto incendio del C2 Móvil de Tulancingo, la Secretaría de Seguridad Ciudadana aclara: 1. Es falso que el C2 Móvil haya sufrido un incendio o presente afectaciones. La unidad se encuentra en óptimas condiciones y continúa operando con normalidad para las labores de vigilancia, monitoreo y atención. 2. Existió un hecho que correspondió a un cortocircuito ocurrido en un punto externo al C2 Móvil, el cual fue atendido de manera inmediata mediante el uso de un extintor, conforme a los protocolos de acción preventiva establecidos, sin que se generaran daños a la unidad ni riesgos mayores. El incidente ocurrió la mañana del pasado miércoles y fue controlado de forma oportuna gracias a la respuesta inmediata del personal presente. La Secretaría de Seguridad Ciudadana hace un llamado a la ciudadanía a informarse a través de los canales oficiales y a evitar difundir información o material fuera de contexto que pueda generar desinformación o especulación.</t>
  </si>
  <si>
    <t>Noticias falsas</t>
  </si>
  <si>
    <t>El secretario de Servicios Municipales de Tulancingo, Alberto Santuario, informó que el municipio analiza la posibilidad de reinstalar contenedores de basura en algunas colonias, siempre que la solicitud sea presentada por los enlaces vecinales y se determine que su colocación es viable. En entrevista, explicó que este tipo de infraestructura resulta útil principalmente en privadas o zonas donde el camión recolector no puede ingresar con facilidad. No obstante, señaló que cada petición será evaluada para verificar que los contenedores sean utilizados de manera adecuada y no generen problemas sanitarios. Como ejemplo, mencionó que durante la Feria de Los Angelitos no se instalaron contenedores fijos, como ocurría en años anteriores, ya que fueron sustituidos por un contenedor móvil ubicado en la calle Rodríguez y Coss. Esta medida, dijo, busca evitar la acumulación de basura y reducir posibles focos de infección, además de facilitar la recolección de residuos mediante una logística coordinada con el comité organizador.</t>
  </si>
  <si>
    <t>Daniel Martínez respecto a que a regidora de Tulancingo, Abril Chávez Reyes, junto con otros nueve munícipes, solicitó al Ayuntamiento la autorización y el pago con recursos públicos de viáticos, vuelos y hospedaje para viajar a Bogotá, Colombia para asistir a la Cumbre Internacional del Agua prevista del 25 al 28 de agosto; señala que con qué méritos o qué han presentado en la Asamblea Municipal para que justifiquen su presencia en este viaje.</t>
  </si>
  <si>
    <t>Viaje al extranjero</t>
  </si>
  <si>
    <t>El Gobierno Municipal de Tulancingo concluyó la actualización del Programa Municipal de Desarrollo Urbano y Ordenamiento Territorial (PMDU), el principal instrumento técnico que definirá cómo crecerá el municipio en los próximos años, privilegiando el equilibrio entre desarrollo, infraestructura, movilidad, medio ambiente y bienestar social. Con este documento, la administración encabezada por la presidenta municipal Lorena García Cázares da un paso estratégico para consolidar un modelo de ciudad ordenada, sustentable y con mayor certeza para la inversión pública y privada, respondiendo a los nuevos retos derivados del crecimiento urbano y de las necesidades de una población en constante transformación. La actualización del PMDU integra información técnica especializada, sustentada en censos, estudios de campo, sistemas de información geográfica y diagnósticos territoriales. El programa establece criterios para orientar el uso del suelo, el desarrollo urbano, la protección de los recursos naturales, la movilidad, la infraestructura y la ocupación territorial, convirtiéndose en una herramienta que permitirá tomar decisiones con mayor certeza. Su elaboración fue resultado del trabajo coordinado entre las áreas de Planeación y Movilidad Urbana, Ordenamiento Territorial y Agrario, Licencias y Permisos, así como Obras Públicas, cuyas aportaciones permitieron integrar un documento con enfoque técnico, jurídico y operativo que responda a las necesidades actuales y futuras de Tulancingo. Concluido el proceso de integración, el documento fue remitido a la Secretaría de Infraestructura Pública y Desarrollo Urbano Sostenible del Gobierno del Estado de Hidalgo para la emisión del dictamen de congruencia correspondiente, conforme a lo establecido en el artículo 16 de la Ley de Asentamientos Humanos, Desarrollo Urbano y Ordenamiento Territorial del Estado de Hidalgo.</t>
  </si>
  <si>
    <t>Hasta el momento, el Departamento de Ejecución Fiscal del Gobierno municipal de Tulancingo no ha realizado ningún procedimiento de embargo hacia deudores de contribuciones locales. Lo anterior fue informado por Atziri Suzette Flores León, titular de dicha dependencia, señalando que hasta se han concretado 109 convenios de pago con deudores de pago de contribuciones, sobre todo impuesto predial. Dichos convenios representan un monto total de 896 mil pesos aproximadamente, de los cuales hasta el momento han sido recuperados 543 mil pesos. Enfatizó que ha existido respuesta positiva por parte de los contribuyentes morosos, pues luego de ser notificados, se presentan en las oficinas de Impuesto Predial. Ahí se les ofrece la posibilidad de ponerse al corriente en sus pagos pendientes mediante la firma de un convenio de pagos mensuales, mismo que no debe rebasar el año corriente. Señaló que se han emitido invitaciones de pago a cinco mil 633 cuentas que pertenecen a 152 colonias y comunidades del municipio, ubicando en el centro de la ciudad, así como en colonias de la periferia donde principalmente se registra rezago en el cumplimiento de las contribuciones. Es en la zona centro de la ciudad de Tulancingo, así como en colonias de la periferia donde se registra el mayor rezago en el pago del impuesto predial. La funcionaria calculó que de cubrirse los adeudos pendientes de contribuciones, podría alcanzarse una recaudación de recursos públicos por aproximadamente cien millones de pesos. Por su parte, la titular del Departamento de Impuesto Predial, Claudia Espinosa Castillo, señaló que por el pago del impuesto predial se ha alcanzado una recaudación de 38 millones 375 mil 935 pesos. Dicha cantidad corresponde desde inicios del presente año y hasta el corte del pasado viernes 24 de julio.</t>
  </si>
  <si>
    <t>Predial</t>
  </si>
  <si>
    <t>Vía telefónica Milton Cortés informó que ya salió el cartel para el Teatro del Pueblo de la Feria de San Francisco Pachuca 2026. La entrada a la feria tendrá un costo de 60 pesos.</t>
  </si>
  <si>
    <t>Vía telefónica Milton Cortés informó que el próximo 1 de agosto se llevará a cabo el festival Sabor a Hidalgo en el Pueblo Mágico de Zempoala. De las 10:00 a 20:00 horas, este encuentro reunirá a los 37 Pueblos con Sabor, cocineras y cocineros tradicionales, artesanos, productores y prestadores de servicios turísticos, con el propósito de mostrar la diversidad gastronómica del estado y fortalecer la economía de las comunidades a través del turismo.</t>
  </si>
  <si>
    <t>Está por concluir la obra en el Río de las Avenidas hasta llevar al bulevar Las Torres, lo que permitirá el desahogo del tráfico. Una obra que ofrecerá un mejor movilidad.</t>
  </si>
  <si>
    <t>Rehabilitación Vial</t>
  </si>
  <si>
    <t>Andrés Torres comenta que están a punto de iniciar transmisiones en el 1010 AM El Vocero Huasteco, ya se firmó el contrato con la CFE para el transformador. Se están haciendo pruebas para tener energía en la planta y reiniciar transmisiones. Recuerda que fue el gobernador Julio Menchaca quien puso esta nueva estación en marcha, la cual no se recuperó, sino que gracias a las gestiones del Oficial Mayor, el Secretario de Gobierno y el gobernador.</t>
  </si>
  <si>
    <t>En Tasquillo, les está costando mucho trabajo el tema de la recolección de basura, pasaron muchos días sin tener este servicio, pues no tenían dónde hacer el depósito final de estos desechos porque les cerraron el relleno sanitario.</t>
  </si>
  <si>
    <t>Relleno Sanitario</t>
  </si>
  <si>
    <t>Un video difundido a través de redes sociales exhibe una riña entre un repartidor de comida y un operador del transporte público ocurrida sobre el bulevar Río de las Avenidas, en Pachuca, Hidalgo. De acuerdo con las imágenes, ambos hombres descendieron de sus unidades y comenzaron a golpearse a la altura del cruce con la avenida Madero, mientras automovilistas y peatones presenciaban el enfrentamiento.</t>
  </si>
  <si>
    <t>Riña</t>
  </si>
  <si>
    <t>La noche de este jueves se registró un accidente vial en Hidalgo, luego de que un vehículo volcara sobre el bulevar G. Bonfil, en Pachuca, dejando como saldo preliminar tres personas lesionadas. Personal de Protección Civil acudió al lugar.</t>
  </si>
  <si>
    <t>La tarde de este jueves se registró un incendio en un negocio de alimentos ubicado sobre el bulevar Felipe Ángeles, en Pachuca, lo que generó la movilización de cuerpos de emergencia. Elementos del H. Cuerpo de Bomberos acudieron al sitio y lograron controlar y extinguir el fuego, el cual alcanzó la estructura de material ligero del establecimiento, evitando que las llamas se propagaran a inmuebles cercanos. De acuerdo con el reporte preliminar, no se registraron personas lesionadas; únicamente se reportaron daños materiales. Las autoridades realizarán las investigaciones correspondientes para determinar el origen del incendio.</t>
  </si>
  <si>
    <t>Para este 31 de julio se pronostican lluvias puntuales fuertes de 25 a 50 mm en las regiones centro, suroeste y sur de Hidalgo, además de temperaturas máximas de 35 a 40 °C en el norte y rachas de viento de hasta 60 km/h.</t>
  </si>
  <si>
    <t>Hidalgo fortalece la protección de la infancia desde los municipios</t>
  </si>
  <si>
    <t>DIFH</t>
  </si>
  <si>
    <t>Procuraduría municipal del menor</t>
  </si>
  <si>
    <t>Unidad de Planeación trabaja en la elaboración del Programa Regional de Desarrollo Urbano y Ordenamiento Territorial de Pachuca</t>
  </si>
  <si>
    <t>Se reportó el incendio de un vehículo particular registrado la tarde de este lunes sobre la carretera federal México-Tampico, a la altura de la localidad de Paso de León, dentro del municipio de Atotonilco El Grande. De acuerdo con los primeros reportes, un aparente cortocircuito en el área del motor habría originado el siniestro. En cuestión de minutos, el fuego se propagó por toda la unidad, dejándola completamente reducida a chatarra.</t>
  </si>
  <si>
    <t>Gobierno de Hidalgo potencia desarrollo de Tlanchinol con más de 294 millones de pesos</t>
  </si>
  <si>
    <t>Regidores de Epazoyucan exhiben presuntas anomalias que detonaron conflicto interno. Mediante video expusieron a la opinion publica la operación en su contra por parte del gobierno local, AUDIO APOYO</t>
  </si>
  <si>
    <t>Enfrentamiento político</t>
  </si>
  <si>
    <t>Radioescucha reporta falta de agua en la Plutarco Elias Calles</t>
  </si>
  <si>
    <t>Radioescucha reporta falta de agua en calle Nicolas Bravo Barrio La Palma, llevamos más de una semana y media sin agua, no tenemos apoyo de Caasim</t>
  </si>
  <si>
    <t>Radioescucha, hemos visto a los políticos, al gobernador, que existe la posibilidad de entrar taxis de aplicación; les exigimos que hagan su trabajo más que nada. A los hidalguenses pedimos taxis de aplicación y que los políticos sepan que el pueblo manda.</t>
  </si>
  <si>
    <t>Apps de transporte</t>
  </si>
  <si>
    <t>En cabina, participación de Jorge Hernández, director de Comunicación Social del Ayuntamiento de Pachuca, con el tema: En avenida 9 ya se realizo el perfilado y corte, bacheo, seguimos pintando guarniciones en G. Bonfil, invitando hacer su denuncia para operativo rastrillo y seguimos pendientes de los reportes</t>
  </si>
  <si>
    <t>Eulalio Larrieta agradece a Carlos Gamiño por estar al pendiente de temas.</t>
  </si>
  <si>
    <t>El Instituto Hidalguense de Educación abrió el registro para un curso de preparación rumbo a la certificación TOEFL dirigido a docentes y al público en general. La capacitación se impartirá del 5 de septiembre al 7 de noviembre en modalidad mixta, con clases presenciales los días sábados y acceso permanente a una plataforma digital. El secretario de Educación Pública de Hidalgo, Natividad Castrejón Valdez, señaló que el objetivo es fortalecer las habilidades de comprensión auditiva, lectura, expresión oral y escrita para obtener un puntaje competitivo. Las inscripciones permanecerán abiertas hasta el próximo 28 de agosto en la coordinación de programas de inglés del IHE en Pachuca.</t>
  </si>
  <si>
    <t>Radioescucha pide información sobre la dependencia que ofrece el curso de preparación para la certificación TOEFL, comenta conductor que el día de ayer ya se estuvo repidiendo la informacón , pero vuelve a repetir info.</t>
  </si>
  <si>
    <t>La Secretaría de Seguridad Pública de Hidalgo, en coordinación con la Procuraduría General de Justicia del Estado, la Defensa y la Guardia Nacional, ejecutaron dos cateos simultáneos en Tulancingo de Bravo, donde fue desarticulado un presunto punto de venta de narcóticos. En la colonia Loma Bonita fueron detenidos dos hombres y aseguradas 593 dosis de presunta marihuana, 110 dosis de aparente cristal, un automóvil, dos motocicletas (una con reporte de robo) y tres teléfonos celulares. En un segundo operativo en la colonia Vicente Guerrero, las autoridades recuperaron otro vehículo con reporte de robo vigente. Los detenidos y los objetos asegurados quedaron a disposición del Ministerio Público.</t>
  </si>
  <si>
    <t>SSPH ejecutan dos cateos simultáneos en Tulancingo; asegura a dos hombres , vehículos robados y presunto narcótico</t>
  </si>
  <si>
    <t>En el marco del Día Mundial contra la Trata de Personas, Hidalgo realizó el primer foro estatal "Hidalgo contra la trata de personas" en Mineral del Monte con la participación de autoridades municipales y servidores públicos. Durante la jornada se impartieron ponencias sobre prevención, derechos humanos, procuración de justicia y protección de niñas, niños y adolescentes, además de analizar los riesgos que representan las nuevas tecnologías para la captación de víctimas por parte de grupos delictivos. El gobierno estatal reiteró su compromiso de fortalecer la capacitación, la coordinación institucional y las acciones para prevenir este delito y proteger a las víctimas.</t>
  </si>
  <si>
    <t>Aseguran 80 mil litros de combustible ilegal en Atotonilco de Tula</t>
  </si>
  <si>
    <t>Combate Al Huachicol</t>
  </si>
  <si>
    <t>XALTOKA 104.7 FM</t>
  </si>
  <si>
    <t>Víctor Hugo Espinosa</t>
  </si>
  <si>
    <t>Radio Ahuatl 107.7 FM</t>
  </si>
  <si>
    <t>Alfredo Hernández</t>
  </si>
  <si>
    <t>Diez estudiantes de la Universidad Politécnica de la Energía realizan una estadía profesional en el Instituto Mexicano del Petróleo, donde fortalecen su formación en un entorno especializado del sector energético. Las y los jóvenes del programa de Técnico Superior Universitario en Perforación y Servicios a Pozos participan en actividades prácticas relacionadas con su carrera, lo que les permite aplicar sus conocimientos, desarrollar habilidades técnicas y conocer los procesos y tecnologías que utiliza la industria petrolera. La UPE destacó que estas estancias forman parte de su modelo educativo para facilitar la incorporación al mercado laboral.</t>
  </si>
  <si>
    <t>Estadía Profesional</t>
  </si>
  <si>
    <t>La FILIJ Hidalgo 2026 inicia con un tributo a 31 minutos</t>
  </si>
  <si>
    <t>La FILIJ Hidalgo 2026 abre sus puertas con más de 200 actividades para toda la familia</t>
  </si>
  <si>
    <t>Otro evento próximo es la Feria Internacional del Libro Infantil y Juvenil Hidalgo 2026, que ofrecerá una programación de 290 actividades dirigidas principalmente a niñas, niños y jóvenes. La Secretaría de Cultura informó que participarán 40 casas editoriales con más de 80 sellos distribuidos en 50 stands dentro de la Biblioteca Central Ricardo Garibay. Además de presentaciones de libros, habrá talleres, conferencias, teatro, cuentacuentos, conciertos y actividades incluyentes como una función para personas sordas. La feria también será sede de la entrega de los Premios Estatales Ricardo Garibay, Efraín Rebolledo y Margarita Michelena. AUDIO DE APOYO</t>
  </si>
  <si>
    <t>El dia de ayer se dio la presentación de la cartelera del Teatro del Pueblo de la Feria de San Francisco Pachuca 2026, se llevara acabo del 24 de septiembre al 18 de Octubre , informando que no habrá incremento en el precio de entrada; por ello, el acceso general tendrá un costo de 60 pesos, mientras que niñas, niños y personas adultas mayores con credencial del INAPAM pagarán 40 pesos.Asimismo, reiteró que las personas con discapacidad continuarán ingresando de manera gratuita, como parte de la accesibilidad e inclusión.</t>
  </si>
  <si>
    <t>Marco Antonio Aranzabal, director de la Operadora de Eventos de Hidalgo informo que hasta el momento no exixte una cartelera taurina confirmada para la feria de San Francisco Pachuca 2026, AUDIO APOYO</t>
  </si>
  <si>
    <t>En Ixmiquilpan, una de las tradiciones regionales más representativas del Valle del Mezquital se vive durante la fiesta en honor al Señor de Jalpan, donde cada 15 de agosto se realiza la colocación de la banda presidencial a la imagen venerada en el exconvento de San Miguel Arcángel. La ceremonia es encabezada por autoridades eclesiásticas y municipales. Sobre este inicio de actividades habló en entrevista telefónica el párroco José David Botello Uribe.Respecto a la afluencia de personas y visitantes que acuden durante estas fechas a la parroquia de Ixmiquilpan, el párroco detalló. Sobre el significado de la colocación de la banda presidencial por parte del presidente municipal y del obispo Juan Pedro Juárez Meléndez el 15 de agosto, explicó:Como dato destacado, el periodista resaltó al cierre que, tras 80 años de llevarse a cabo esta procesión en septiembre, por primera vez se suspenderá el tianguis tradicional de los lunes en Ixmiquilpan el próximo 7 de septiembre.</t>
  </si>
  <si>
    <t>La Secretaría de Agricultura y Desarrollo Rural de Hidalgo y la Universidad Autónoma Chapingo firmaron un convenio de colaboración para realizar 4,965 análisis de fertilidad de suelo en beneficio de productores de la entidad. Este proyecto permitirá conocer con precisión las condiciones de las parcelas mediante estudios de pH, textura, materia orgánica, conductividad eléctrica y otros parámetros con el fin de orientar las decisiones sobre cultivos y fertilización. En este análisis de suelo que busca beneficiar a los productores, primero se divide el terreno, se separan las zonas que tengan el mismo color y tipo de tierra. De ahí se empiezan a recoger de 10 a 20 muestras de todo el campo para su análisis y, después de mezclar y revolver bien, se envían para dar los resultados sobre las condiciones del suelo. Esta es una estrategia importante para no desgastar los suelos por el uso excesivo. Las autoridades estatales señalaron que esta información técnica ayudará a mejorar la productividad, la rentabilidad y el manejo sostenible del campo hidalguense. AUDIO DE APOYO.</t>
  </si>
  <si>
    <t>Radioescucha del Fraccionamiento Renacimiento: piden a las autoridades podar los árboles</t>
  </si>
  <si>
    <t>Limpieza Urbana</t>
  </si>
  <si>
    <t>Radioescucha reporta que no le ponen aún el alumbrado público en la colonia Santa Gertrudis; manda foto del oficio que ya ingresaron a la dependencia, pero siguen sin respuesta.</t>
  </si>
  <si>
    <t>La SEMARNATH informo que gracias a las cámaras trampa instaladas en el área del Ejido Xithi en Tepetilán , lograron registrar diversas especies, entre ellas puma, guajolote silvestre, coyote, zorra gris, mapache y caracara, además de otros ejemplares que forman parte de la biodiversidad de la región.</t>
  </si>
  <si>
    <t>Semarnath</t>
  </si>
  <si>
    <t>Monitoreo biológico</t>
  </si>
  <si>
    <t>Participación semanal de Mtro. Julio Valera con el tema ; Plan Kukulkán que es la estrategia de seguridad para el Mundial</t>
  </si>
  <si>
    <t>Durante la elaboración del ordenamiento ecológico municipal, el gobierno de Tepetitlán, la presidenta municipal de Ana Elsa Castillo Cea, fue entrevistada y le preguntaron que hace unas semanas la Semarnat informo en la mañanera sobre el avance extraordinario y el combate al lirio , que no tenemos mosco , “A la presidenta le dan una información pero esa información no es real”. Es un tema horrible en el municipio y la realidad que se vive es otra, se estan realizando acciones pero cuando regreso el trabajo de la presidencia de la republica lo dejamos de hacer. Es un tema complejo, reconozco que el gobierno del Estado ha sido el único que, el tema del gobernador y el secretario de gobierno, porque si hablamos, por ejemplo, de la Secretaría del Medio Ambiente de Hidalgo nunca ha hecho presencia en el municipio para ver la problemática , reconocer al gobernador que se preocupa y mando trituradoras, esta de la mano y si tenemos un detalle buscan el acercamiento con nosotros, AUDIO APOYO</t>
  </si>
  <si>
    <t>El proyecto para construir un parque fotovoltaico en el municipio de Tecozautla fue cancelado luego de que la población manifestara su rechazo durante una consulta indígena, informó el secretario de Desarrollo Económico de Hidalgo, Carlos Henkel Escorza. El funcionario explicó que la empresa responsable de la inversión presentó una carta de desistimiento, por lo que el gobierno federal, encargado del desarrollo de este tipo de proyectos, ya no continuará con el proceso, AUDIO APOYO</t>
  </si>
  <si>
    <t>La Secretaría de Cultura analiza un presunto plagio de bordados tradicionales de Jaltocán, luego de que artesanos denunciaran en redes la venta de diseños similares mediante el sublimado. La titular de la dependencia, Neyda Naranjo Baltazar, detalló que ante estas alertas de posibles plagios e imitaciones en municipios como Jaltocán, el tema será analizado en el Consejo Técnico Artesanal para proteger el valor de sus creaciones. AUDIO DE APOYO</t>
  </si>
  <si>
    <t>Plagio</t>
  </si>
  <si>
    <t>Con la participación de alrededor de 250 personas, el Ayuntamiento de Pachuca, a través de la Secretaría de Planeación y Evaluación, realizó las Mesas de Participación Ciudadana para integrar las propuestas y necesidades de la población al proceso de actualización del Plan Municipal de Desarrollo.El encuentro se llevó a cabo en el Auditorio Ejidal de Santiago Tlapacoya, donde habitantes, representantes de distintos sectores y personas servidoras públicas participaron en mesas de trabajo enfocadas en analizar los principales retos y áreas de oportunidad del municipio.Durante la jornada se abordaron temas relacionados con seguridad pública, servicios públicos municipales, desarrollo económico, tesorería, planeación y asuntos generales. Las propuestas recabadas serán revisadas como parte de la actualización del documento que orientará las políticas públicas y acciones del Gobierno Municipal durante los próximos años.</t>
  </si>
  <si>
    <t>Plan Municipal de Desarrollo</t>
  </si>
  <si>
    <t>Este sábado 1 de agosto en Zempoala será sede del festival sabor Hidalgo con experiencias gastronómicas y turismo comunitario.</t>
  </si>
  <si>
    <t>Radioescucha reporta que un taxi que les hizo un servicio a familiares de Galerias al Centro de Pachuca, les cambio un billete de 100 por uno de 20, pide que tengan cuidado con este tipo de choferes</t>
  </si>
  <si>
    <t>Queja transporte público</t>
  </si>
  <si>
    <t>Radioescucha reporta no pasa el camión de la basura en Francisco I.Madero</t>
  </si>
  <si>
    <t>Hidalgo reconoce a 101 personas artesanas por obtener récord en la exposición de bordados y tejidos más grande del mundo, AUDIO APOYO</t>
  </si>
  <si>
    <t>Récord Guinness</t>
  </si>
  <si>
    <t>Bordadoras y bordadores de Tenangos de la sierra Otomí-Tepehua recibieron el reconocimiento oficial por parte de Récord Guinness tras su participación en la elaboración del bordado más grande del mundo. La ceremonia se llevó a cabo en el municipio de Jaltocán, donde artesanas y artesanos de 11 municipios hidalguenses fueron distinguidos por haber formado parte de este proyecto colectivo que permitió establecer la marca mundial. Durante este evento se destacó que esta hazaña representa el talento, la creatividad y la riqueza cultural de los pueblos originarios de Hidalgo, además de contribuir a la preservación y promoción del tradicional bordado de Tenango. AUDIO DE APOYO</t>
  </si>
  <si>
    <t>Daniel Fragoso Torres subsecretario de Educación Media Superior y Superior de la Secretaría de Educación Pública estatal (SEPH), dijo que existen 31 patentes vigentes y 79 proyectos en proceso de patentamiento, detalló que las patentes vigentes se distibuyen en 6 intituciones y los desarrollos abarcan nanotecnología, optomecatrónica, inteligencia artificial, robótica, salud, ingeniería, agricultura de precisión y energías limpias, AUDIO APOYO</t>
  </si>
  <si>
    <t>El plan maestro de recuperación de la presa Endho implementado por el Gobierno de México mediante la Comisión Nacional del Agua,la iniciativa se fortaleció con las aportaciones técnicas de investigadores y especialistas de instituciones académicas y científicas de reconocido prestigio nacional e internacional con el propósito de asegurar que las acciones de restauración ambiental se sustenten en evidencia científica y las mejores prácticas disponibles como parte del proceso de consolidación del proyecto se revisó literatura científica especializada y se solicitaron opiniones técnicas de expertos en agronomía, biotecnología, ingeniería, parasitología agrícola, calidad del agua y restauración de ecosistemas, entre otras especialidades.</t>
  </si>
  <si>
    <t>Restauración Ecológica</t>
  </si>
  <si>
    <t>Gobierno de la Transformación pasa del compromiso a los hechos: Julio Menchaca, AUDIO APOYO</t>
  </si>
  <si>
    <t>Continúan las rutas de la transformación. El gobernador Julio Menchaca supervisó en Tepehuacán de Guerrero las acciones de reconstrucción tras las afectaciones por la vaguada monzónica de 2025. Informó que los gobiernos estatal y federal invertirán más de 700 millones de pesos para habilitar caminos, puentes e infraestructura dañada. La Secretaría de Infraestructura, Comunicaciones y Transportes destinará más de 525 millones de pesos para reconstruir vialidades y accesos a comunidades, mientras que el gobierno estatal ha invertido más de 172 millones en obras carreteras, vivienda y muros de contención. Además, se anunciaron mejoras en redes de agua potable y la rehabilitación de escuelas afectadas por las lluvias. AUDIO DE APOYO</t>
  </si>
  <si>
    <t>Al iniciar el mes de agosto ya se programan eventos importantes. Ajacuba será sede de la décimo séptima Feria de la Planta Medicinal, que se llevará a cabo del 7 al 9 de agosto con la participación de más de 20 médicos tradicionales, terapeutas, artesanos, naturistas y especialistas de ocho estados del país. El evento busca promover la medicina ancestral, el bienestar y las tradiciones que distinguen al municipio:La Secretaría de Turismo de Hidalgo destacó que Ajacuba es un referente por sus aguas termales, su gastronomía y su vínculo con la naturaleza, mientras que las autoridades municipales señalaron que la feria fortalece el turismo, preserva los saberes tradicionales y genera beneficios para la economía local. Además, se contará con la participación de médicos, artesanos y agrupaciones culturales de municipios como Ajacuba, Apan, Atitalaquia, Zempoala, Mineral del Monte, Tetepango, Mineral de la Reforma, Huautla, Francisco I. Madero, Tlaxcoapan, San Agustín Tlaxiaca, San Bartolo Tutotepec, Tulancingo, Ixmiquilpan, Huejutla y Pachuca. AUDIO DE APOYO</t>
  </si>
  <si>
    <t>Turismo cultural</t>
  </si>
  <si>
    <t>Radioescucha Sr. Juan, dicen que no hacen nada para quitar las fisuras del paso hacia el Barrio La Españita</t>
  </si>
  <si>
    <t>Vialidad En Mal Estado</t>
  </si>
  <si>
    <t>Radioescucha reporta en muy mal estado en la calle Sabino y Fernández de Lizardi; se encuentra en pésimas condiciones. Ya pasé el reporte varias veces.</t>
  </si>
  <si>
    <t>Radioescucha reporta calle Dagmar en Piracantos atrás de la Unidad Deportiva</t>
  </si>
  <si>
    <t>Radioescucha reporta baches que revientan las llantas en el Nuevo Hidalgo, en el puente del Venado hacia el Centro.</t>
  </si>
  <si>
    <t>La Coordinación Nacional de Becas para el Bienestar publicó el calendario oficial de depósitos de agosto de 2026 para un grupo específico de beneficiarios de la Beca Rita Cetina, correspondiente a estudiantes de primaria que recibirán el apoyo destinado a útiles y uniformes escolares. De acuerdo con la información oficial, el depósito será de 2,500 pesos y se entregará de manera escalonada entre el 3 y el 14 de agosto, siguiendo el orden alfabético del primer apellido del estudiante beneficiario.</t>
  </si>
  <si>
    <t>Beca Rita Cetina</t>
  </si>
  <si>
    <t>Un total de 70 habitantes de Cuautepec de Hinojosa recibieron atención odontológica especializada durante la reciente Jornada de Salud Bucal efectuada en el auditorio municipal, iniciativa que fue posible gracias a la coordinación entre el Sistema DIF Hidalgo y el Sistema DIF municipal. La brigada médica permitió acercar servicios especializados a familias provenientes de distintas comunidades de la demarcación, facilitando el acceso a procedimientos odontológicos que normalmente resultan difíciles de obtener para muchos sectores de la población, ya sea por sus costos o por la disponibilidad del servicio. A lo largo de la actividad, el personal de salud realizó un total de 60 limpiezas dentales, seis extracciones y cuatro aplicaciones de resina. Dichas intervenciones estuvieron orientadas a promover la higiene oral y a prevenir posibles complicaciones médicas futuras entre la población beneficiada. Sobre el desarrollo del evento, Krystal Butrón, presidenta del Sistema DIF Cuautepec, destacó que acercar servicios de salud es indispensable para generar bienestar en el municipio. De igual forma, confirmó que continuarán las gestiones conjuntas con el organismo estatal para mantener este tipo de programas en beneficio de más habitantes.</t>
  </si>
  <si>
    <t>Salud bucal</t>
  </si>
  <si>
    <t>Familiares, amigos y activistas feministas se reunieron este viernes 31 de julio en la colonia San Isidro, en Santiago Tulantepec, para recordar a las víctimas del triple feminicidio ocurrido hace dos años y exigir que el caso no quede impune. La ceremonia religiosa se realizó en el callejón de la calle Miguel Hidalgo, frente al domicilio donde fueron privadas de la vida Lupita, Yosselin y Daniela, así como el beb en gestación al momento de los hechos. El inmueble permanece acordonado desde el crimen. Con veladoras, globos blancos, cartulinas y lonas con fotografías de las víctimas, los asistentes participaron en un rosario en memoria de las jóvenes, al tiempo que elevaron oraciones para pedir fortaleza a sus familias y justicia para el caso. (NOTA LEIDA DEL SOL DE TULANCINGO).</t>
  </si>
  <si>
    <t>Colusión con delincuentes</t>
  </si>
  <si>
    <t>Hidalgo reconoce a 101 personas artesanas por obtener récord en la exposición de bordados y tejidos más grande del mundo</t>
  </si>
  <si>
    <t>Unidad de Planeación trabaja en la elaboración del Programa Regional de Desarrollo Urbano y Ordenamiento Territorial de Pachuca.</t>
  </si>
  <si>
    <t>La Magistrada Presidenta del Tribunal Superior de Justicia del Estado de Hidalgo, Rebeca Aladro Echeverría, reconoció como un acto de justicia, la entrega de certificados Guinness World Record a 101 artesanos y artesanas hidalguenses provenientes de 12 municipios, quienes recibieron sus respectivos certificados este 30 de julio en el marco del Día Mundial del Bordado tras haber participado en el proyecto “La Exposición de Bordados y Tejidos Más Grande del Mundo”. Desde la Plaza de Armas del municipio de Tenango de Doria, Rebeca Aladro participó como invitada de honor y testigo de la entrega de dichos reconocimientos que ponen en alto el nombre del estado y muestran el trabajo artesanal de las y los bordadores, a todo el mundo a través de la plataforma del récord Guinness. (AUDIO REA). Junto a la secretaria de Turismo de Hidalgo, Elizabeth Quintanar, así como con Ernesto Velázquez Vázquez, director de Medios Internacionales de la Sectur federal, Rebeca Aladro expresó que cuando el talento recibe el reconocimiento que se merece, se fortalece la identidad y el tejido social de las comunidades. (AUDIO RAE)</t>
  </si>
  <si>
    <t>Hidalgo y Tlaxcala celebran con foro el Día Mundial del Bordado</t>
  </si>
  <si>
    <t>Impulso a artesanos</t>
  </si>
  <si>
    <t>Zempoala recibirá el festival Sabor a Hidalgo con experiencias gastronómicas y turismo comunitario</t>
  </si>
  <si>
    <t>Gobierno de Hidalgo respalda el desarrollo industrial con la Expo 'Momentum 2026'.</t>
  </si>
  <si>
    <t>UTVM fortalece vínculo con sectores productivos y sociales</t>
  </si>
  <si>
    <t>Vinculación Académica</t>
  </si>
  <si>
    <t>Gobierno de Hidalgo potencia desarrollo de Tlanchinol con más de 294 millones de pesos. (AUDIO ASG)</t>
  </si>
  <si>
    <t>Gobierno de la Transformación pasa del compromiso a los hechos: Julio Menchaca. (AUDIO JMS).</t>
  </si>
  <si>
    <t>Se solicita el apoyo de la ciudadanía para localizar a Jorge Luis Cruz Guevara, de 18 años de edad, quien fue reportado como desaparecido en el municipio de Toluca, Estado de México. Cualquier información que pueda contribuir a su localización es de suma importancia. Si cuentas con algún dato, comunícate de inmediato a los números que aparecen en la ficha de búsqueda. La ficha de búsqueda es emitida por la fiscalía general del Justicia del Estado de México, pero la persona desaparecida es originaria del municipio de Cuautepec.</t>
  </si>
  <si>
    <t>Ficha De Búsqueda</t>
  </si>
  <si>
    <t>Entrevista en cabina Ing. Minerva González Gayoso, secretaria de Fomento Económico de Tulancingo - Habló sobre el programa Hecho en Tulancingo, una iniciativa municipal y plataforma digital lanzada en mayo de 2026 para impulsar la competitividad, abrir nuevos mercados y fortalecer la cadena de valor de las micro, pequeñas y medianas empresas (MIPYMES) locales.</t>
  </si>
  <si>
    <t>Respecto a las fotografías y publicaciones que circulan en redes sociales sobre un presunto incendio del C2 Móvil de Tulancingo, la Secretaría de Seguridad Ciudadana aclara: Es falso que el C2 Móvil haya sufrido un incendio o presente afectaciones. La unidad se encuentra en óptimas condiciones y continúa operando con normalidad para las labores de vigilancia, monitoreo y atención. Existió un hecho que correspondió a un cortocircuito ocurrido en un punto externo al C2 Móvil, el cual fue atendido de manera inmediata mediante el uso de un extintor, conforme a los protocolos de acción preventiva establecidos, sin que se generaran daños a la unidad ni riesgos mayores. El incidente ocurrió la mañana del pasado miércoles y fue controlado de forma oportuna gracias a la respuesta inmediata del personal presente. La Secretaría de Seguridad Ciudadana hace un llamado a la ciudadanía a informarse a través de los canales oficiales y a evitar difundir información o material fuera de contexto que pueda generar desinformación o especulación.</t>
  </si>
  <si>
    <t>La falta de recolección de basura reportada por vecinos de las colonias Indeco, Zapotlán de Allende, Medias Tierras y Guadalupe se debió a una falla mecánica en el camión compactador asignado a esa ruta, informó el secretario de Servicios Municipales de Tulancingo, Alberto Santuario. el funcionario explicó que el servicio quedó restablecido ese mismo día, luego de que se implementó un plan emergente que consistió en enviar dos unidades de manera simultánea para regularizar la recolección de residuos en la zona afectada. Añadió que las fallas mecánicas en los vehículos representan uno de los principales problemas que enfrenta la dependencia; sin embargo, indicó que el municipio se encuentra en proceso de adquirir dos nuevas unidades que serán incorporadas a la flotilla vehicular para fortalecer el servicio.</t>
  </si>
  <si>
    <t>Con la participación de alrededor de 30 emprendedores, este sábado 2 de agosto se realizará el Bazar Diverso en la pérgola del jardín Felipe Ángeles, una iniciativa que busca fortalecer la economía local y promover espacios de inclusión y convivencia para la población. El evento, programado de 9:00 a 16:00 horas, reunirá principalmente a emprendedoras y emprendedores de Cuautepec, además de participantes de municipios vecinos, quienes ofrecerán artesanías, joyería, cosméticos, alimentos, productos para el cuidado de la salud y diversos artículos y servicios. La actividad es organizada por el Gobierno Municipal de Cuautepec de Hinojosa, encabezado por el alcalde Jorge Hernández Araus, en coordinación con el Comité Organizador de la Marcha LGBT del Valle de Tulancingo y el regidor Geovanni Islas, como parte de las acciones para fomentar la igualdad de oportunidades y respaldar a los pequeños negocios. De acuerdo con las autoridades municipales, el bazar pretende incentivar el consumo local y abrir espacios para que integrantes de la comunidad sexogenérica-diversa y personas aliadas puedan promover sus emprendimientos, además de fortalecer una cultura de respeto e inclusión.</t>
  </si>
  <si>
    <t>Inclusión sexogenérica</t>
  </si>
  <si>
    <t>Del 30 de julio al 2 de agosto, el Pueblo Mágico de Mineral del Monte, Hidalgo, será sede del 26° Festival de la Plata, una celebración que rinde homenaje a la tradición minera y al trabajo de los artesanos plateros de la región. Durante cuatro días, visitantes y habitantes podrán disfrutar de una amplia agenda de actividades que incluye la coronación de la reina del festival, la ceremonia de inauguración, recorridos por los pabellones, presentaciones musicales, danza, exposiciones y talleres creativos.</t>
  </si>
  <si>
    <t>Festival Turístico</t>
  </si>
  <si>
    <t>En su colaboración semanal, Gustavo Rosales informó que, el día de mañana 1 de agosto en punto de las 06:00 horas, se realizará la carrera atlética por el 50 aniversario de la Policía Industrial Bancaria, una carrera conmemorativa de este órgano de seguridad respetado y con mucha tradición en nuestra entidad, expresó.</t>
  </si>
  <si>
    <t>Entrevista vía telefónica Elizabeth Quintanar, secretaria de Turismo - Habló sobre el encuentro “Sabor a Hidalgo” que se realizará este sábado 1 de agosto a partir de las 10:00 horas en el Centro Histórico de Zempoala. Este festival, reunirá la riqueza gastronómica y turística de los 37 pueblos con sabor del Estado, el objetivo dijo, “es que las familias tengan un motivo para visitar Hidalgo durante el verano”.</t>
  </si>
  <si>
    <t>En su colaboración matutina, David Cárdenas informó sobre la Magistrada Presidenta del Tribunal Superior de Justicia del Estado de Hidalgo, Rebeca Aladro Echeverría, quien, reconoció como un acto de justicia, la entrega de certificados Guinness World Record a 101 artesanos y artesanas hidalguenses provenientes de 12 municipios, quienes recibieron sus respectivos certificados este 30 de julio en el marco del Día Mundial del Bordado tras haber participado en el proyecto “La Exposición de Bordados y Tejidos Más Grande del Mundo”. Desde la Plaza de Armas del municipio de Tenango de Doria, Rebeca Aladro participó como invitada de honor y testigo de la entrega de dichos reconocimientos que ponen en alto el nombre del estado y muestran el trabajo artesanal de las y los bordadores, a todo el mundo a través de la plataforma del récord Guinness. (AUDIO REA). Junto a la secretaria de Turismo de Hidalgo, Elizabeth Quintanar, así como con Ernesto Velázquez Vázquez, director de Medios Internacionales de la Sectur federal, Rebeca Aladro expresó que cuando el talento recibe el reconocimiento que se merece, se fortalece la identidad y el tejido social de las comunidades.</t>
  </si>
  <si>
    <t>Suma TV</t>
  </si>
  <si>
    <t>https://www.facebook.com/watch/?v=1715838162896717</t>
  </si>
  <si>
    <t>Circulan 60 nuevas vagonetas del Sistema de Transporte Metropolitano</t>
  </si>
  <si>
    <t>Alimentadoras Tuzobús</t>
  </si>
  <si>
    <t>Redacción</t>
  </si>
  <si>
    <t>Anuncia Saderh apertura de ventanillas para Apoyos y Subsidios 2026</t>
  </si>
  <si>
    <t>Impulso al agro</t>
  </si>
  <si>
    <t>La madrugada de hoy, autoridades localizaron un bulto en una zona ubicada entre Villa de Tezuntepec, en el estado de Hidalgo.</t>
  </si>
  <si>
    <t>Se registró la noche de ayer domingo sobre la calle Pirámides, cerca de un campo de fútbol en la colonia 16 de enero aquí en Tula, donde vecinos reportaron múltiples detonaciones de armas de fuego.Al arribar, localizaron a dos hombres con heridas provocadas por impacto de bala</t>
  </si>
  <si>
    <t>La noche del sábado se registró un ataque armado en la colonia El Montecillo, donde un trabajador del motel Los Pinos fue asesinado.</t>
  </si>
  <si>
    <t>Comentó conductor que el fin de semana en Hidalgo, se registraron varios hechos violentos.”De verdad que nos sorprende lo que está sucediendo en algunos municipios de Hidalgo”.</t>
  </si>
  <si>
    <t>Ola De Violencia</t>
  </si>
  <si>
    <t>Se reporta bloqueo total sobre la carretera México-Tuxpan específicamente en el kilómetro 118 de la carretera de cuota y sobre el kilómetro 76 en la carretera libre Santiago Tepepa, solicitan que los trabajos de rehabilitación de la carretera federal, así como mayor seguridad, pue reportan asaltos y despojos sobre la carretera de cuota. Comentan que no van a retirar el bloqueo hasta que haya diálogo y solución por parte de las autoridades.</t>
  </si>
  <si>
    <t>Inseguridad Carretera</t>
  </si>
  <si>
    <t>Una mujer denunció a través de redes sociales haber sido víctima de un asalto sobre la altura de la presa El Tejocotal en Acaxochitlán. Comentó que un grupo de hombres armados se hicieron pasar por elementos policiales para obligarla a detener su vehículo y cometer el asalto. AUDIO VIDEO.</t>
  </si>
  <si>
    <t>Una movilización de cuerpos de emergencia se registró la noche de ayer en el complejo Cinépolis de Galerías Pachuca tras el reporte de humo en una de las salas, desalojando la sala como medida preventiva.</t>
  </si>
  <si>
    <t>Prevención de incendios</t>
  </si>
  <si>
    <t>Una mujer murió tras ser atropellada la mañana de hoy lunes sobre la calzada Melchoro Campo en Tula.</t>
  </si>
  <si>
    <t>Atropellamiento</t>
  </si>
  <si>
    <t>En Tezontepec de Aldama, la noche del sábado, policías municipales acudieron a un reporte en la Cruz de Mangas, donde vecinos indicaron que en un predio donde habitaban paracaidistas se había registrado un hecho de violencia. Al ingresar, los policías encontraban el cuerpo de un hombre adulto degollado con golpes en el rostro y estaba atado de pies y manos con un cinturón y un cable eléctrico.</t>
  </si>
  <si>
    <t>En estos momentos en Zumpango estado de México se lleva acabo la 1era. Sesión Ordinaria del Consejo de Desarrollo Metropolitano del Valle de México, donde esta el gobernador Julio Menchaca, y tambien participa la jefa de gobierno de la CDMX Clara Brugada.</t>
  </si>
  <si>
    <t>ZMVM</t>
  </si>
  <si>
    <t>Luego de confirmarse el fallecimiento de una de las personas lesionadas por la explosión registrada en la colonia San Juan Otlaxpa, en Tepeji del Río, el regidor Alejandro Maldonado informó que se impulsarán acciones para fortalecer la prevención de accidentes relacionados con el uso de pirotecnia durante las fiestas patronales.</t>
  </si>
  <si>
    <t>Explosión Pirotecnia</t>
  </si>
  <si>
    <t>En esta misma conferencia semanal, el titular de la Unidad de Planeación y Prospectiva, Miguel Tello, presentó los resultados del indicador trimestral de la actividad económica estatal, conocido como ITAEE. Se trata de un indicador que permite dar seguimiento al comportamiento de la economía en las entidades federativas, AUDIO APOYO</t>
  </si>
  <si>
    <t>Mañanera de Hidalgo</t>
  </si>
  <si>
    <t>Durante la ronda de preguntas de la sala de prensa, el secretario de Desarrollo Económico, Carlos Henkel, fue cuestionado sobre dos proyectos ubicados en Tula, uno de ellos fue el hospital Medens, localizado frente al hospital regional de Tula, y sobre el status del proyecto para la instalación de una tienda Walmart en este municipio, AUDIO APOYO</t>
  </si>
  <si>
    <t>Durante la mañanera el secretario de Desarrollo Económico Carlos Henkel, informó cómo avanzan los proyectos de inversión en la zona industrial de la región Tula Tepeji, AUDIO APOYO</t>
  </si>
  <si>
    <t>Hoy se llevo acabo la conferencia de prensa semanal del gobierno de Hidalgo el secretario de Desarrollo Económico, Carlos Henkel, expuso los factores que de acuerdo con la administración estatal han posicionado a Hidalgo entre las entidades con condiciones favorables para la inversión, AUDIO APOYO</t>
  </si>
  <si>
    <t>Reproducción de audio del video del gobernador Julio Menchaca Salazar en círculos de círculos de diálogo</t>
  </si>
  <si>
    <t>Como parte de la estrategia de círculos de diálogo del gobernador Julio Menchaca Salazar sostuvo un encuentro con representantes del sector empresarial para conocer el avance de las inversiones que se han concretado y se encuentran en desarrollo en la entidad. En la reunión estuvieron Fernando Garrido, presidente de Coparmex Hidalgo, Jorge González, presidente del consejo coordinador empresarial de Hidalgo, así como representantes de Mercado Libre, Laboratorios Carnot y Ánfora.Durante el encuentro se abordaron temas relacionados con el desarrollo de proyectos de inversión y la participación crecimiento económico de Hidalgo, AUDIO APOYO</t>
  </si>
  <si>
    <t>Una mujer sin vida fue localizada al interior de un automóvil sumergido en las aguas negras del Canal Requena, a la altura de la comunidad del Humo en Tepatepec. Tras las labores de rescate de la unidad, la víctima fue identificada como administrativa y secretaria adscrita a la Secretaría de Seguridad Pública del Estado de Hidalgo.</t>
  </si>
  <si>
    <t>De acuerdo con el Diagnóstico Nacional de Supervisión Penitenciaria, aproximadamente el 90 % de los 261 centros penitenciarios estatales del país presentan problemáticas de cogobierno y cobro de cuotas por parte de los internos. El informe técnico señala que las autoridades nacionales y estatales han puesto especial atención en la revisión y ejecución de cateos dentro de los penales de 11 entidades federativas, entre las que se incluye a Hidalgo.</t>
  </si>
  <si>
    <t>Diagnóstico penitenciario</t>
  </si>
  <si>
    <t>Autoridades estatales y federales pusieron en marcha asambleas informativas en Tenango de Doria, Huehuetla y San Bartolo Tutotepec para presentar los planes de relocalización a familias cuyas viviendas quedaron situadas en zonas de alto riesgo tras los deslaves de la vaguada monzónica de 2025. El programa incluye un apoyo económico único para gastos de mudanza y un procedimiento formal de acompañamiento para garantizar un traslado voluntario y seguro ante la previsión de lluvias intensas para el otoño de 2026.</t>
  </si>
  <si>
    <t>Despacho</t>
  </si>
  <si>
    <t>Reubicación de viviendas</t>
  </si>
  <si>
    <t>En representación del gobernador Julio Menchaca Salazar, el secretario de Gobierno, Guillermo Olivares Reyna, asistió al cambio de mesa directiva del Club Pachuca Rotary para el periodo 2026-2027, donde Efrén Valencia Ibarra tomó protesta como nuevo presidente en sucesión de Francisco Gerardo Baños Paz. Durante la ceremonia, el funcionario destacó el papel de la sociedad civil organizada para impulsar proyectos de inversión y bienestar social en la entidad.</t>
  </si>
  <si>
    <t>Toma de protesta</t>
  </si>
  <si>
    <t>La Secretaría de Bienestar e Inclusión Social de Hidalgo (Sebiso) continuará con la distribución de tarjetas de programas bancarizados en las regiones Otomí-Tepehua, Sierra Alta y Sierra Baja, priorizando municipios afectados por la vaguada monzónica de 2025 como San Bartolo Tutotepec, Huehuetla, Metztitlán y Tianguistengo. El titular de la dependencia, Ricardo Gómez Moreno, precisó que esta primera fase contempla una dispersión de 390 millones de pesos para beneficiar a 39 mil personas</t>
  </si>
  <si>
    <t>Bienestar</t>
  </si>
  <si>
    <t>Programas Del Pueblo</t>
  </si>
  <si>
    <t>La Secretaría de Turismo de Hidalgo llevó a cabo el festival gastronómico "Sabor a Hidalgo" en el Pueblo Mágico de Zempoala, reuniendo a los 37 municipios distinguidos como Pueblos con Sabor. Durante el evento se expusieron platillos tradicionales como el chimbote, el mole, las dobladitas y el tamal de recaudo. Asimismo, las autoridades anunciaron que esta oferta gastronómica contará con un pabellón especial denominado "Hidalgo Tiene Algo" durante la próxima Feria San Francisco en Pachuca. AUDIO DE APOYO</t>
  </si>
  <si>
    <t>El cuerpo sin vida de un hombre maniatado y con heridas producidas por arma blanca fue hallado dentro de una vivienda en el fraccionamiento Las Cruces, en la comunidad de La Cruz de Mangas, municipio de Tezontepec de Aldama. Vecinos alertaron al 911 sobre la presencia del lesionado, acudiendo corporaciones de seguridad para resguardar la zona mientras la representación social iniciaba las diligencias correspondientes.</t>
  </si>
  <si>
    <t>Un hombre falleció y otro más resultó con lesiones de gravedad tras sufrir un ataque con armas de fuego en las inmediaciones del campo de fútbol de la colonia 16 de Enero, sobre la calle Pirámides en Tula de Allende. Los agresores se dieron a la fuga antes de la llegada de los cuerpos de seguridad, quienes implementaron un operativo de búsqueda en la zona.</t>
  </si>
  <si>
    <t>En acciones coordinadas de seguridad entre la SSPH, la PGJEH, la Sedena y la Guardia Nacional, se ejecutaron dos cateos simultáneos en las colonias Las Palmas y La Lagunita, en el municipio de Singuilucan. Como resultado de las diligencias se aseguraron 1,467 litros de hidrocarburo, 103 contenedores, mangueras de alta presión, así como 200 dosis de presunta marihuana y 87 de aparente cristal.</t>
  </si>
  <si>
    <t>Autoridades de protección civil confirmaron el deceso de una de las tres personas que resultaron lesionadas la semana pasada tras la explosión de una bodega presuntamente utilizada para almacenar pirotecnia en la comunidad de San Juan Otlaxpan, municipio de Tepeji del Río. La persona se encontraba hospitalizada debido a la gravedad de las quemaduras causadas por la detonación.</t>
  </si>
  <si>
    <t>El encargado de la recepción de un hotel ubicado en la colonia Montecillo, en Tula de Allende, fue privado de la vida tras recibir al menos cinco impactos de proyectil de arma de fuego. La víctima, de aproximadamente 60 años, fue localizada por empleados del establecimiento tras escuchar las detonaciones, dando paso a la intervención de peritos de la PGJEH para el levantamiento del cuerpo y el inicio de las investigaciones.</t>
  </si>
  <si>
    <t>Ejecuciones</t>
  </si>
  <si>
    <t>Un operativo conjunto integrado por la Guardia Nacional, la Sedena, la SSPH y la PGJEH desmanteló un centro clandestino de almacenamiento de combustible en la localidad de Zacamulpa, municipio de Atotonilco de Tula. Durante el cateo se decomisaron 80 mil litros de gasolina ilegal, cuatro cisternas de 10 mil litros, 14 contenedores, 110 metros de manguera, dosis de presunta droga y 24 vehículos (entre ellos 11 autotanques y seis unidades con reporte de robo vigente).</t>
  </si>
  <si>
    <t>Elementos de Protección Civil de Mineral de la Reforma y del Cuerpo de Bomberos del Estado sofocaron un incendio de llantas y residuos sólidos urbanos registrado en las inmediaciones del Corredor de la Montaña. Tras las maniobras de control, las corporaciones confirmaron que el incidente fue liquidado en su totalidad sin que se reportaran personas lesionadas ni riesgo para la población.</t>
  </si>
  <si>
    <t>A pesar de que los casos confirmados de COVID-19 en el país cayeron 76 % en comparación con el mismo periodo de 2025, el boletín epidemiológico de la semana 29 ubica a Hidalgo en el tercer lugar nacional con 117 casos acumulados y seis fallecimientos. Las autoridades de salud mantienen la vigilancia epidemiológica ante el incremento progresivo en la tasa de positividad registrado desde mayo.</t>
  </si>
  <si>
    <t>SSH</t>
  </si>
  <si>
    <t>Covid 19</t>
  </si>
  <si>
    <t>Hidalgo alcanzó un aumento de casi seis puntos porcentuales en la eficiencia terminal de educación media superior durante los últimos tres ciclos escolares, pasando del 67.8 % al 73.4 %. El titular de la SEPH, Natividad Castrejón Valdéz, informó además que la entidad logró una cobertura del 80.5 % en este nivel académico —ubicándose en el sexto lugar nacional— y anunció la puesta en marcha del programa "Identidad y Cohesión" para reducir los índices de deserción escolar.</t>
  </si>
  <si>
    <t>Permanencia escolar</t>
  </si>
  <si>
    <t>Con la participación de más de 1,200 figuras educativas entre docentes, directivos y supervisores, el Instituto Hidalguense de Educación (IHE) concluyó las actividades del ciclo escolar 2025-2026 de la Jornada Académica Comunitaria de Saberes y Pensamiento Científico. El secretario de Educación Pública de Hidalgo, Natividad Castrejón Valdéz, destacó que la iniciativa fortaleció el aprendizaje de 26,400 estudiantes de educación básica en los municipios de Chilcuautla, Francisco I. Madero, Mixquiahuala de Juárez y Progreso de Obregón.</t>
  </si>
  <si>
    <t>Formación continua</t>
  </si>
  <si>
    <t>La Procuraduría General de Justicia del Estado de Hidalgo (PGJEH) resguarda 462 cuerpos y restos humanos en el Servicio Médico Forense. La directora de la División Científica, Yasmín García Escobar, detalló que cerca de 100 personas ya han sido identificadas y se busca a sus familiares. Del total bajo resguardo, el 80 % corresponde a hombres, el 20 % a mujeres y 51 a fetos o productos de gestación. Asimismo, precisó que la mayoría de los ingresos no están vinculados a homicidios, sino a accidentes, decesos hospitalarios o personas en condición de movilidad. AUDIO DE APOYO.</t>
  </si>
  <si>
    <t>Identificación de restos</t>
  </si>
  <si>
    <t>El mandatario estatal, Julio Menchaca Salazar, adelantó que la Secretaría de Movilidad (Semoth) presentará próximamente un esquema de regularización para las tarifas del transporte público, con especial énfasis en el servicio de taxis. El objetivo de la estrategia es evitar cobros excesivos y garantizar un equilibrio justo entre usuarios y prestadores del servicio, fortaleciendo la calidad de la atención al turismo y la ciudadanía local.</t>
  </si>
  <si>
    <t>Tarifario de taxis</t>
  </si>
  <si>
    <t>El gobernador de Hidalgo, Julio Menchaca Salazar, afirmó que las diferencias registradas en diversos ayuntamientos deben atenderse mediante la conciliación y el respeto a la autonomía municipal del Artículo 115 constitucional. Indicó que la administración estatal mantiene comunicación constante para acompañar y conciliar intereses, priorizando el bienestar de la ciudadanía y la gobernabilidad sobre disputas internas. AUDIO DE APOYO.</t>
  </si>
  <si>
    <t>Conciliación</t>
  </si>
  <si>
    <t>Radioescucha reporta calle Juan Diego, esta en pesimas condiciones</t>
  </si>
  <si>
    <t>Conductor Eulalio Larrieta opina sobre el reporte de radioescucha por cobro de tarifa en taxi y comenta que el transporte todavía no saca la tarifa de los taxis y están haciendo su agosto ya en agosto. Entonces, por favor, SEMOT si ya tienen las tarifas, pues que las compartan.</t>
  </si>
  <si>
    <t>Alteración tarifa de transporte</t>
  </si>
  <si>
    <t>Radioescucha reporta que ayer al mediodía, una dama en un taxi con número 374 y medallón 3779 me cobró 90 pesos de los Tuzos al Aquiles Serdán, le dij que cobraban 80 pesos y al bajar le di 80 y me exigió que le diera los 90. Es un abuso.</t>
  </si>
  <si>
    <t>Radioescucha comenta y reporta: “Da mucha tristeza y vergüenza como este gobierno cuestiona el transporte público ya que es un asco, el abuso de los taxistas con sobrecupo, las colectivas, inseguridad, etcétera. Y todo esto lo permite el gobierno dejo video de evidencia. Un conductor de taxi muy agresivo agredió con maniobras a un particular. Ojalá que con la evidencia lo puedan detener”</t>
  </si>
  <si>
    <t>Deficiencias transporte público</t>
  </si>
  <si>
    <t>Radioescucha reporta falta de agua en Valle del Palma en Nicolas Bravo</t>
  </si>
  <si>
    <t>Comenta conductor Eulalio sobre la fuga de Valle del Palamar, que ya lleva más de un mes y medioa de este reporte, y no se realiza nada, esperemos que ya nos apoyen</t>
  </si>
  <si>
    <t>Fuga De Agua</t>
  </si>
  <si>
    <t>Radioescucha reporta que sigue la fuga en Valle del Palmar, ya tiene que la estamos reportando.</t>
  </si>
  <si>
    <t>Radioescucha reporta fuga de agua en el cerro frente a Plaza Q</t>
  </si>
  <si>
    <t>Radioescucha reporta bloqueo total sobre la carretera México-Tuxpan específicamente en el kilómetro 118 de la carretera de cuota y sobre el kilómetro 76 en la carretera libre Santiago Tepepa.</t>
  </si>
  <si>
    <t>Bloqueo Carretero</t>
  </si>
  <si>
    <t>Radioescucha pide información sobre la certificación TOEFL, ya que se marco a número y comentaron que no es ese. Comenta conductor que la semana pasada ya se estuvo dando la infro, pero que buscan y le mandan la info</t>
  </si>
  <si>
    <t>Maratones por la Lectura abordan los riesgos de los retos virales en las escuelas</t>
  </si>
  <si>
    <t>Fomento A La Lectura</t>
  </si>
  <si>
    <t>Conalep Hidalgo y Semarnath presentan el proyecto Agrofly ante la Secretaría de Agricultura y Desarrollo Rural del Gobierno de México</t>
  </si>
  <si>
    <t>Innovación tecnológica</t>
  </si>
  <si>
    <t>La incidencia de Covid-19 en el estado de Hidalgo mantiene una tendencia al alza tras confirmarse 18 nuevos contagios en la última semana, de acuerdo con los informes de la Secretaría de Salud federal emitidos por la Dirección General de Epidemiología. Al corte de la Semana Epidemiológica 29 (del 19 al 25 de julio de 2026), la entidad acumula 117 casos positivos a Covid-19</t>
  </si>
  <si>
    <t>Acerca Sebiso beneficios a migrantes y sus familias en Ajacuba</t>
  </si>
  <si>
    <t>Apoyo A Migrantes</t>
  </si>
  <si>
    <t>En cabina, participación de Jorge Hernández, director de Comunicación Social del Ayuntamiento de Pachuca, con el tema: El fin de semana realizamos faena en Fraccionamiento Nuevo Hidalgo, hoy en el Cerro de Cubitos campaña gratuita de esterilización y vacuna antirrábica para perros y gatos a partir de las 9:00am</t>
  </si>
  <si>
    <t>Menchaca Salazar inagura Feria Internacional del Libro Infantil y Juvenil de Hidalgo 2026</t>
  </si>
  <si>
    <t>Realizan programa desde las instalaciones del Rehilete, y durante el programa realiza intervenciones Jerusalem Kuri del Campo Directora General del Museo Interactivo para la Niñez y la Juventud Hidalguense "El Rehilete" con el tema : Curso de verano y actividades</t>
  </si>
  <si>
    <t>Curso de verano</t>
  </si>
  <si>
    <t>Locutor Jesús Riveros da lectura a comentario de radioescucha que reporte inseguridad sobre la carretera México-Tuxpan a la altura del Tejocotal, perteneciente al municipio de Acaxochitlán, solicitan más seguridad al alcalde; Jesús Riveros responde que el alcalde del municipio anunció que se trabajará de manera coordinada con la Guardia Nacional, el municipio y el Estado, porque este tramo se ha vuelto un foco rojo en materia de seguridad</t>
  </si>
  <si>
    <t>Inseguridad</t>
  </si>
  <si>
    <t>Entrevista vía telefónica Ricardo Perea, presidente municipal de Acaxochitlán - Habló sobre la situación del cierre de la la carretera México–Tuxpan tanto la autopista de cuota como la carretera libre, a la altura de Santiago Tepepa, en el municipio de Acaxochitlán, explicó que se establecieron acuerdos entre pobladores y autoridades para acordar el inicio de obras de reencarpetamiento para este lunes, además, se establecerán mesas de diálogo en materia de seguridad.</t>
  </si>
  <si>
    <t>Locutor Jesús Riveros da lectura a comentario de radioescucha del comité de padres de familia de la Escuela Secundaria General No. 1 Benito Juárez, reportan que se contrató a una empresa constructora por parte del programa La Escuela es Nuestra para la remodelación de los baños, señalan que la empresa no ha podido entrar a trabajar al plantel porque el director no les está permitiendo la entrada, los padres de familia acusan conflicto de intereses por parte del director del plantel para la realización de obras por un monto de 600 mil pesos. Derivado de lo anterior, buscaron a servicios regionales, sin embargo, por periodo vacacional se les informó que serán atendidos hasta el próximo 10 de agosto.</t>
  </si>
  <si>
    <t>Queja padres de familia</t>
  </si>
  <si>
    <t>Con la presencia de autoridades de los tres órdenes de gobierno, representantes del sector ganadero, productores, expositores y familias, fue inaugurada oficialmente la Expo Feria Internacional Ganadera Tulancingo 2026, considerada uno de los eventos más importantes de Hidalgo por su impacto económico, turístico y cultural. La ceremonia fue encabezada por la presidenta municipal, Lorena García Cázares; acompañada por la senadora Simey Olvera Bautista; el secretario de Seguridad Pública de Hidalgo, Salvador Cruz Neri; así como alcaldes y alcaldesas de Singuilucan, Acatlán, Acaxochitlán, Tenango de Doria y Omitlán de Juárez.</t>
  </si>
  <si>
    <t>Expo feria</t>
  </si>
  <si>
    <t>Respecto al bloque suscitado sobre la carretera México-Tuxpan, locutor Jesús Riveros informó que ya se encuentra el alcalde de Acaxochitlán Ricardo Perea para establecer acuerdos con los pobladores, sin embargo, se informa que están solicitando la presencia de autoridades federales y estatales.</t>
  </si>
  <si>
    <t>Hidalgo registró el mayor crecimiento en México de siniestros con motocicletas entre 2021 y 2025, con un aumento de 176.6%, de acuerdo con el Censo Nacional de Accidentes de Tránsito, pasando de 368 a mil 18 anuales. Además, presentan una elevada letalidad: en 2025 concentraron 42.2% de las muertes registradas en el estado. La motocicleta pasó de ser una alternativa económica de transporte a convertirse en el principal foco de crecimiento de accidentes viales en Hidalgo. En apenas cuatro años la entidad registró el mayor incremento en este tipo de siniestros, muy por encima de la tendencia nacional y con consecuencias cada vez más graves para la seguridad pública. Los microdatos del Censo Nacional de Accidentes de Tránsito Terrestre en Zonas Urbanas y Suburbanas (ATUS) del Inegi muestran que entre 2021 y 2025 los accidentes donde participó una motocicleta crecieron 176.6 por ciento en Hidalgo, al pasar de 368 a mil 18 casos anuales. A nivel nacional el incremento fue de 47.8 por ciento, al aumentar de 59 mil 971 a 88 mil 635 accidentes. Dicho de otra manera, el crecimiento observado en Hidalgo fue casi cuatro veces mayor que el promedio del país. La diferencia no sólo coloca a Hidalgo en el primer lugar nacional, sino que lo separa ampliamente del resto de las entidades</t>
  </si>
  <si>
    <t>Accidente vial</t>
  </si>
  <si>
    <t>Jesús Riveros transmite audio de la conferencia mañanera, en donde Carlos Henkel Escorza, secretario de Desarrollo Económico presentó cifras en cuanto a la economía de Hidalgo.</t>
  </si>
  <si>
    <t>Locutor Jesús Riveros transmite audio del inicio de la conferencia matutina semanal del Gobierno del Estado de Hidalgo, con la presentación por parte Edmundo Pineda de las y los secretarios que darán a conocer los distintos temas que se abordarán el día de hoy.</t>
  </si>
  <si>
    <t>Locutor Jesús Riveros informó, que hoy lunes 3 de agosto, frente al Centro Cultural de Tulancingo, habrá servicio médico gratuito por parte de las Unidades Médicas que el Despacho del Gobernador en coordinación con Pemex llevan a distintos municipios; entre los servicios que se ofrecen están: ultrasonidos, medicamentos , electrocardiograma, toma de peso, glucosa, triglicéridos y colesterol, consultas de medicina general, nutricional y odontología.</t>
  </si>
  <si>
    <t>Unidad Médica Móvil</t>
  </si>
  <si>
    <t>Maratones por la Lectura abordan los riesgos de los retos virales en las escuelas.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</si>
</sst>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96" tableType="queryTable" totalsRowShown="0">
  <autoFilter ref="A1:M196"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96"/>
  <sheetViews>
    <sheetView tabSelected="1" topLeftCell="A183" workbookViewId="0">
      <selection activeCell="D189" sqref="D189"/>
    </sheetView>
  </sheetViews>
  <sheetFormatPr baseColWidth="10" defaultRowHeight="15" x14ac:dyDescent="0.25"/>
  <cols>
    <col min="1" max="1" width="8.5703125" bestFit="1" customWidth="1"/>
    <col min="2" max="2" width="11.42578125" bestFit="1" customWidth="1"/>
    <col min="3" max="3" width="26" bestFit="1" customWidth="1"/>
    <col min="4" max="4" width="51.42578125" bestFit="1" customWidth="1"/>
    <col min="5" max="5" width="81.140625" bestFit="1" customWidth="1"/>
    <col min="6" max="6" width="15.28515625" bestFit="1" customWidth="1"/>
    <col min="7" max="7" width="33.5703125" bestFit="1" customWidth="1"/>
    <col min="8" max="8" width="11" bestFit="1" customWidth="1"/>
    <col min="9" max="9" width="11.140625" bestFit="1" customWidth="1"/>
    <col min="10" max="10" width="25.7109375" bestFit="1" customWidth="1"/>
    <col min="11" max="11" width="22.28515625" bestFit="1" customWidth="1"/>
    <col min="12" max="12" width="12.8554687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33</v>
      </c>
      <c r="C1" t="s">
        <v>34</v>
      </c>
      <c r="D1" t="s">
        <v>35</v>
      </c>
      <c r="E1" t="s">
        <v>1</v>
      </c>
      <c r="F1" t="s">
        <v>2</v>
      </c>
      <c r="G1" t="s">
        <v>4</v>
      </c>
      <c r="H1" t="s">
        <v>3</v>
      </c>
      <c r="I1" t="s">
        <v>5</v>
      </c>
      <c r="J1" t="s">
        <v>36</v>
      </c>
      <c r="K1" t="s">
        <v>37</v>
      </c>
      <c r="L1" t="s">
        <v>38</v>
      </c>
      <c r="M1" t="s">
        <v>45</v>
      </c>
    </row>
    <row r="2" spans="1:13" x14ac:dyDescent="0.25">
      <c r="A2" s="2">
        <v>46234</v>
      </c>
      <c r="B2" s="1" t="str">
        <f ca="1">IF(Información1[[#This Row],[Fecha]]='Ajuste de fechas'!$A$2,"Día actual","Día anterior")</f>
        <v>Día anterior</v>
      </c>
      <c r="C2" t="s">
        <v>59</v>
      </c>
      <c r="D2" t="s">
        <v>60</v>
      </c>
      <c r="E2" t="s">
        <v>117</v>
      </c>
      <c r="F2" t="s">
        <v>23</v>
      </c>
      <c r="G2" t="s">
        <v>118</v>
      </c>
      <c r="H2" t="s">
        <v>11</v>
      </c>
      <c r="I2" t="s">
        <v>7</v>
      </c>
      <c r="J2" t="s">
        <v>39</v>
      </c>
      <c r="K2" t="s">
        <v>61</v>
      </c>
      <c r="L2" t="s">
        <v>42</v>
      </c>
      <c r="M2">
        <v>2</v>
      </c>
    </row>
    <row r="3" spans="1:13" x14ac:dyDescent="0.25">
      <c r="A3" s="2">
        <v>46234</v>
      </c>
      <c r="B3" s="1" t="str">
        <f ca="1">IF(Información1[[#This Row],[Fecha]]='Ajuste de fechas'!$A$2,"Día actual","Día anterior")</f>
        <v>Día anterior</v>
      </c>
      <c r="C3" t="s">
        <v>59</v>
      </c>
      <c r="D3" t="s">
        <v>60</v>
      </c>
      <c r="E3" t="s">
        <v>119</v>
      </c>
      <c r="F3" t="s">
        <v>19</v>
      </c>
      <c r="G3" t="s">
        <v>120</v>
      </c>
      <c r="H3" t="s">
        <v>11</v>
      </c>
      <c r="I3" t="s">
        <v>7</v>
      </c>
      <c r="J3" t="s">
        <v>43</v>
      </c>
      <c r="K3" t="s">
        <v>61</v>
      </c>
      <c r="L3" t="s">
        <v>40</v>
      </c>
      <c r="M3">
        <v>2</v>
      </c>
    </row>
    <row r="4" spans="1:13" x14ac:dyDescent="0.25">
      <c r="A4" s="2">
        <v>46234</v>
      </c>
      <c r="B4" s="1" t="str">
        <f ca="1">IF(Información1[[#This Row],[Fecha]]='Ajuste de fechas'!$A$2,"Día actual","Día anterior")</f>
        <v>Día anterior</v>
      </c>
      <c r="C4" t="s">
        <v>59</v>
      </c>
      <c r="D4" t="s">
        <v>60</v>
      </c>
      <c r="E4" t="s">
        <v>121</v>
      </c>
      <c r="F4" t="s">
        <v>122</v>
      </c>
      <c r="G4" t="s">
        <v>88</v>
      </c>
      <c r="H4" t="s">
        <v>11</v>
      </c>
      <c r="I4" t="s">
        <v>7</v>
      </c>
      <c r="J4" t="s">
        <v>39</v>
      </c>
      <c r="K4" t="s">
        <v>61</v>
      </c>
      <c r="L4" t="s">
        <v>40</v>
      </c>
      <c r="M4">
        <v>2</v>
      </c>
    </row>
    <row r="5" spans="1:13" x14ac:dyDescent="0.25">
      <c r="A5" s="2">
        <v>46234</v>
      </c>
      <c r="B5" s="1" t="str">
        <f ca="1">IF(Información1[[#This Row],[Fecha]]='Ajuste de fechas'!$A$2,"Día actual","Día anterior")</f>
        <v>Día anterior</v>
      </c>
      <c r="C5" t="s">
        <v>59</v>
      </c>
      <c r="D5" t="s">
        <v>60</v>
      </c>
      <c r="E5" t="s">
        <v>123</v>
      </c>
      <c r="F5" t="s">
        <v>19</v>
      </c>
      <c r="G5" t="s">
        <v>124</v>
      </c>
      <c r="H5" t="s">
        <v>11</v>
      </c>
      <c r="I5" t="s">
        <v>7</v>
      </c>
      <c r="J5" t="s">
        <v>43</v>
      </c>
      <c r="K5" t="s">
        <v>61</v>
      </c>
      <c r="L5" t="s">
        <v>40</v>
      </c>
      <c r="M5">
        <v>2</v>
      </c>
    </row>
    <row r="6" spans="1:13" x14ac:dyDescent="0.25">
      <c r="A6" s="2">
        <v>46234</v>
      </c>
      <c r="B6" s="1" t="str">
        <f ca="1">IF(Información1[[#This Row],[Fecha]]='Ajuste de fechas'!$A$2,"Día actual","Día anterior")</f>
        <v>Día anterior</v>
      </c>
      <c r="C6" t="s">
        <v>59</v>
      </c>
      <c r="D6" t="s">
        <v>60</v>
      </c>
      <c r="E6" t="s">
        <v>110</v>
      </c>
      <c r="F6" t="s">
        <v>21</v>
      </c>
      <c r="G6" t="s">
        <v>111</v>
      </c>
      <c r="H6" t="s">
        <v>11</v>
      </c>
      <c r="I6" t="s">
        <v>7</v>
      </c>
      <c r="J6" t="s">
        <v>39</v>
      </c>
      <c r="K6" t="s">
        <v>61</v>
      </c>
      <c r="L6" t="s">
        <v>42</v>
      </c>
      <c r="M6">
        <v>2</v>
      </c>
    </row>
    <row r="7" spans="1:13" x14ac:dyDescent="0.25">
      <c r="A7" s="2">
        <v>46234</v>
      </c>
      <c r="B7" s="1" t="str">
        <f ca="1">IF(Información1[[#This Row],[Fecha]]='Ajuste de fechas'!$A$2,"Día actual","Día anterior")</f>
        <v>Día anterior</v>
      </c>
      <c r="C7" t="s">
        <v>59</v>
      </c>
      <c r="D7" t="s">
        <v>60</v>
      </c>
      <c r="E7" t="s">
        <v>125</v>
      </c>
      <c r="F7" t="s">
        <v>19</v>
      </c>
      <c r="G7" t="s">
        <v>126</v>
      </c>
      <c r="H7" t="s">
        <v>11</v>
      </c>
      <c r="I7" t="s">
        <v>7</v>
      </c>
      <c r="J7" t="s">
        <v>43</v>
      </c>
      <c r="K7" t="s">
        <v>61</v>
      </c>
      <c r="L7" t="s">
        <v>71</v>
      </c>
      <c r="M7">
        <v>2</v>
      </c>
    </row>
    <row r="8" spans="1:13" x14ac:dyDescent="0.25">
      <c r="A8" s="2">
        <v>46234</v>
      </c>
      <c r="B8" s="1" t="str">
        <f ca="1">IF(Información1[[#This Row],[Fecha]]='Ajuste de fechas'!$A$2,"Día actual","Día anterior")</f>
        <v>Día anterior</v>
      </c>
      <c r="C8" t="s">
        <v>59</v>
      </c>
      <c r="D8" t="s">
        <v>60</v>
      </c>
      <c r="E8" t="s">
        <v>127</v>
      </c>
      <c r="F8" t="s">
        <v>26</v>
      </c>
      <c r="G8" t="s">
        <v>78</v>
      </c>
      <c r="H8" t="s">
        <v>11</v>
      </c>
      <c r="I8" t="s">
        <v>7</v>
      </c>
      <c r="J8" t="s">
        <v>39</v>
      </c>
      <c r="K8" t="s">
        <v>61</v>
      </c>
      <c r="L8" t="s">
        <v>42</v>
      </c>
      <c r="M8">
        <v>2</v>
      </c>
    </row>
    <row r="9" spans="1:13" x14ac:dyDescent="0.25">
      <c r="A9" s="2">
        <v>46234</v>
      </c>
      <c r="B9" s="1" t="str">
        <f ca="1">IF(Información1[[#This Row],[Fecha]]='Ajuste de fechas'!$A$2,"Día actual","Día anterior")</f>
        <v>Día anterior</v>
      </c>
      <c r="C9" t="s">
        <v>59</v>
      </c>
      <c r="D9" t="s">
        <v>60</v>
      </c>
      <c r="E9" t="s">
        <v>128</v>
      </c>
      <c r="F9" t="s">
        <v>22</v>
      </c>
      <c r="G9" t="s">
        <v>108</v>
      </c>
      <c r="H9" t="s">
        <v>11</v>
      </c>
      <c r="I9" t="s">
        <v>7</v>
      </c>
      <c r="J9" t="s">
        <v>44</v>
      </c>
      <c r="K9" t="s">
        <v>61</v>
      </c>
      <c r="L9" t="s">
        <v>40</v>
      </c>
      <c r="M9">
        <v>2</v>
      </c>
    </row>
    <row r="10" spans="1:13" x14ac:dyDescent="0.25">
      <c r="A10" s="2">
        <v>46234</v>
      </c>
      <c r="B10" s="1" t="str">
        <f ca="1">IF(Información1[[#This Row],[Fecha]]='Ajuste de fechas'!$A$2,"Día actual","Día anterior")</f>
        <v>Día anterior</v>
      </c>
      <c r="C10" t="s">
        <v>59</v>
      </c>
      <c r="D10" t="s">
        <v>60</v>
      </c>
      <c r="E10" t="s">
        <v>129</v>
      </c>
      <c r="F10" t="s">
        <v>19</v>
      </c>
      <c r="G10" t="s">
        <v>130</v>
      </c>
      <c r="H10" t="s">
        <v>11</v>
      </c>
      <c r="I10" t="s">
        <v>7</v>
      </c>
      <c r="J10" t="s">
        <v>43</v>
      </c>
      <c r="K10" t="s">
        <v>61</v>
      </c>
      <c r="L10" t="s">
        <v>40</v>
      </c>
      <c r="M10">
        <v>2</v>
      </c>
    </row>
    <row r="11" spans="1:13" x14ac:dyDescent="0.25">
      <c r="A11" s="2">
        <v>46234</v>
      </c>
      <c r="B11" s="1" t="str">
        <f ca="1">IF(Información1[[#This Row],[Fecha]]='Ajuste de fechas'!$A$2,"Día actual","Día anterior")</f>
        <v>Día anterior</v>
      </c>
      <c r="C11" t="s">
        <v>59</v>
      </c>
      <c r="D11" t="s">
        <v>60</v>
      </c>
      <c r="E11" t="s">
        <v>131</v>
      </c>
      <c r="F11" t="s">
        <v>19</v>
      </c>
      <c r="G11" t="s">
        <v>132</v>
      </c>
      <c r="H11" t="s">
        <v>11</v>
      </c>
      <c r="I11" t="s">
        <v>7</v>
      </c>
      <c r="J11" t="s">
        <v>43</v>
      </c>
      <c r="K11" t="s">
        <v>61</v>
      </c>
      <c r="L11" t="s">
        <v>40</v>
      </c>
      <c r="M11">
        <v>2</v>
      </c>
    </row>
    <row r="12" spans="1:13" x14ac:dyDescent="0.25">
      <c r="A12" s="2">
        <v>46234</v>
      </c>
      <c r="B12" s="1" t="str">
        <f ca="1">IF(Información1[[#This Row],[Fecha]]='Ajuste de fechas'!$A$2,"Día actual","Día anterior")</f>
        <v>Día anterior</v>
      </c>
      <c r="C12" t="s">
        <v>59</v>
      </c>
      <c r="D12" t="s">
        <v>60</v>
      </c>
      <c r="E12" t="s">
        <v>133</v>
      </c>
      <c r="F12" t="s">
        <v>48</v>
      </c>
      <c r="G12" t="s">
        <v>109</v>
      </c>
      <c r="H12" t="s">
        <v>11</v>
      </c>
      <c r="I12" t="s">
        <v>7</v>
      </c>
      <c r="J12" t="s">
        <v>39</v>
      </c>
      <c r="K12" t="s">
        <v>61</v>
      </c>
      <c r="L12" t="s">
        <v>40</v>
      </c>
      <c r="M12">
        <v>2</v>
      </c>
    </row>
    <row r="13" spans="1:13" x14ac:dyDescent="0.25">
      <c r="A13" s="2">
        <v>46234</v>
      </c>
      <c r="B13" s="1" t="str">
        <f ca="1">IF(Información1[[#This Row],[Fecha]]='Ajuste de fechas'!$A$2,"Día actual","Día anterior")</f>
        <v>Día anterior</v>
      </c>
      <c r="C13" t="s">
        <v>59</v>
      </c>
      <c r="D13" t="s">
        <v>60</v>
      </c>
      <c r="E13" t="s">
        <v>134</v>
      </c>
      <c r="F13" t="s">
        <v>48</v>
      </c>
      <c r="G13" t="s">
        <v>109</v>
      </c>
      <c r="H13" t="s">
        <v>11</v>
      </c>
      <c r="I13" t="s">
        <v>7</v>
      </c>
      <c r="J13" t="s">
        <v>39</v>
      </c>
      <c r="K13" t="s">
        <v>61</v>
      </c>
      <c r="L13" t="s">
        <v>40</v>
      </c>
      <c r="M13">
        <v>2</v>
      </c>
    </row>
    <row r="14" spans="1:13" x14ac:dyDescent="0.25">
      <c r="A14" s="2">
        <v>46234</v>
      </c>
      <c r="B14" s="1" t="str">
        <f ca="1">IF(Información1[[#This Row],[Fecha]]='Ajuste de fechas'!$A$2,"Día actual","Día anterior")</f>
        <v>Día anterior</v>
      </c>
      <c r="C14" t="s">
        <v>59</v>
      </c>
      <c r="D14" t="s">
        <v>60</v>
      </c>
      <c r="E14" t="s">
        <v>135</v>
      </c>
      <c r="F14" t="s">
        <v>15</v>
      </c>
      <c r="G14" t="s">
        <v>136</v>
      </c>
      <c r="H14" t="s">
        <v>11</v>
      </c>
      <c r="I14" t="s">
        <v>7</v>
      </c>
      <c r="J14" t="s">
        <v>39</v>
      </c>
      <c r="K14" t="s">
        <v>61</v>
      </c>
      <c r="L14" t="s">
        <v>40</v>
      </c>
      <c r="M14">
        <v>2</v>
      </c>
    </row>
    <row r="15" spans="1:13" x14ac:dyDescent="0.25">
      <c r="A15" s="2">
        <v>46234</v>
      </c>
      <c r="B15" s="1" t="str">
        <f ca="1">IF(Información1[[#This Row],[Fecha]]='Ajuste de fechas'!$A$2,"Día actual","Día anterior")</f>
        <v>Día anterior</v>
      </c>
      <c r="C15" t="s">
        <v>59</v>
      </c>
      <c r="D15" t="s">
        <v>60</v>
      </c>
      <c r="E15" t="s">
        <v>137</v>
      </c>
      <c r="F15" t="s">
        <v>100</v>
      </c>
      <c r="G15" t="s">
        <v>138</v>
      </c>
      <c r="H15" t="s">
        <v>11</v>
      </c>
      <c r="I15" t="s">
        <v>7</v>
      </c>
      <c r="J15" t="s">
        <v>39</v>
      </c>
      <c r="K15" t="s">
        <v>61</v>
      </c>
      <c r="L15" t="s">
        <v>40</v>
      </c>
      <c r="M15">
        <v>2</v>
      </c>
    </row>
    <row r="16" spans="1:13" x14ac:dyDescent="0.25">
      <c r="A16" s="2">
        <v>46234</v>
      </c>
      <c r="B16" s="1" t="str">
        <f ca="1">IF(Información1[[#This Row],[Fecha]]='Ajuste de fechas'!$A$2,"Día actual","Día anterior")</f>
        <v>Día anterior</v>
      </c>
      <c r="C16" t="s">
        <v>59</v>
      </c>
      <c r="D16" t="s">
        <v>60</v>
      </c>
      <c r="E16" t="s">
        <v>139</v>
      </c>
      <c r="F16" t="s">
        <v>100</v>
      </c>
      <c r="G16" t="s">
        <v>140</v>
      </c>
      <c r="H16" t="s">
        <v>11</v>
      </c>
      <c r="I16" t="s">
        <v>7</v>
      </c>
      <c r="J16" t="s">
        <v>39</v>
      </c>
      <c r="K16" t="s">
        <v>61</v>
      </c>
      <c r="L16" t="s">
        <v>40</v>
      </c>
      <c r="M16">
        <v>2</v>
      </c>
    </row>
    <row r="17" spans="1:13" x14ac:dyDescent="0.25">
      <c r="A17" s="2">
        <v>46234</v>
      </c>
      <c r="B17" s="1" t="str">
        <f ca="1">IF(Información1[[#This Row],[Fecha]]='Ajuste de fechas'!$A$2,"Día actual","Día anterior")</f>
        <v>Día anterior</v>
      </c>
      <c r="C17" t="s">
        <v>59</v>
      </c>
      <c r="D17" t="s">
        <v>60</v>
      </c>
      <c r="E17" t="s">
        <v>141</v>
      </c>
      <c r="F17" t="s">
        <v>17</v>
      </c>
      <c r="G17" t="s">
        <v>142</v>
      </c>
      <c r="H17" t="s">
        <v>11</v>
      </c>
      <c r="I17" t="s">
        <v>7</v>
      </c>
      <c r="J17" t="s">
        <v>39</v>
      </c>
      <c r="K17" t="s">
        <v>61</v>
      </c>
      <c r="L17" t="s">
        <v>42</v>
      </c>
      <c r="M17">
        <v>2</v>
      </c>
    </row>
    <row r="18" spans="1:13" x14ac:dyDescent="0.25">
      <c r="A18" s="2">
        <v>46234</v>
      </c>
      <c r="B18" s="1" t="str">
        <f ca="1">IF(Información1[[#This Row],[Fecha]]='Ajuste de fechas'!$A$2,"Día actual","Día anterior")</f>
        <v>Día anterior</v>
      </c>
      <c r="C18" t="s">
        <v>59</v>
      </c>
      <c r="D18" t="s">
        <v>60</v>
      </c>
      <c r="E18" t="s">
        <v>62</v>
      </c>
      <c r="F18" t="s">
        <v>19</v>
      </c>
      <c r="G18" t="s">
        <v>56</v>
      </c>
      <c r="H18" t="s">
        <v>11</v>
      </c>
      <c r="I18" t="s">
        <v>7</v>
      </c>
      <c r="J18" t="s">
        <v>43</v>
      </c>
      <c r="K18" t="s">
        <v>61</v>
      </c>
      <c r="L18" t="s">
        <v>75</v>
      </c>
      <c r="M18">
        <v>2</v>
      </c>
    </row>
    <row r="19" spans="1:13" x14ac:dyDescent="0.25">
      <c r="A19" s="2">
        <v>46234</v>
      </c>
      <c r="B19" s="1" t="str">
        <f ca="1">IF(Información1[[#This Row],[Fecha]]='Ajuste de fechas'!$A$2,"Día actual","Día anterior")</f>
        <v>Día anterior</v>
      </c>
      <c r="C19" t="s">
        <v>59</v>
      </c>
      <c r="D19" t="s">
        <v>60</v>
      </c>
      <c r="E19" t="s">
        <v>143</v>
      </c>
      <c r="F19" t="s">
        <v>19</v>
      </c>
      <c r="G19" t="s">
        <v>144</v>
      </c>
      <c r="H19" t="s">
        <v>11</v>
      </c>
      <c r="I19" t="s">
        <v>7</v>
      </c>
      <c r="J19" t="s">
        <v>43</v>
      </c>
      <c r="K19" t="s">
        <v>61</v>
      </c>
      <c r="L19" t="s">
        <v>40</v>
      </c>
      <c r="M19">
        <v>2</v>
      </c>
    </row>
    <row r="20" spans="1:13" x14ac:dyDescent="0.25">
      <c r="A20" s="2">
        <v>46234</v>
      </c>
      <c r="B20" s="1" t="str">
        <f ca="1">IF(Información1[[#This Row],[Fecha]]='Ajuste de fechas'!$A$2,"Día actual","Día anterior")</f>
        <v>Día anterior</v>
      </c>
      <c r="C20" t="s">
        <v>59</v>
      </c>
      <c r="D20" t="s">
        <v>60</v>
      </c>
      <c r="E20" t="s">
        <v>145</v>
      </c>
      <c r="F20" t="s">
        <v>19</v>
      </c>
      <c r="G20" t="s">
        <v>91</v>
      </c>
      <c r="H20" t="s">
        <v>11</v>
      </c>
      <c r="I20" t="s">
        <v>7</v>
      </c>
      <c r="J20" t="s">
        <v>43</v>
      </c>
      <c r="K20" t="s">
        <v>61</v>
      </c>
      <c r="L20" t="s">
        <v>40</v>
      </c>
      <c r="M20">
        <v>2</v>
      </c>
    </row>
    <row r="21" spans="1:13" x14ac:dyDescent="0.25">
      <c r="A21" s="2">
        <v>46234</v>
      </c>
      <c r="B21" s="1" t="str">
        <f ca="1">IF(Información1[[#This Row],[Fecha]]='Ajuste de fechas'!$A$2,"Día actual","Día anterior")</f>
        <v>Día anterior</v>
      </c>
      <c r="C21" t="s">
        <v>59</v>
      </c>
      <c r="D21" t="s">
        <v>60</v>
      </c>
      <c r="E21" t="s">
        <v>146</v>
      </c>
      <c r="F21" t="s">
        <v>19</v>
      </c>
      <c r="G21" t="s">
        <v>147</v>
      </c>
      <c r="H21" t="s">
        <v>11</v>
      </c>
      <c r="I21" t="s">
        <v>25</v>
      </c>
      <c r="J21" t="s">
        <v>43</v>
      </c>
      <c r="K21" t="s">
        <v>61</v>
      </c>
      <c r="L21" t="s">
        <v>41</v>
      </c>
      <c r="M21">
        <v>2</v>
      </c>
    </row>
    <row r="22" spans="1:13" x14ac:dyDescent="0.25">
      <c r="A22" s="2">
        <v>46234</v>
      </c>
      <c r="B22" s="1" t="str">
        <f ca="1">IF(Información1[[#This Row],[Fecha]]='Ajuste de fechas'!$A$2,"Día actual","Día anterior")</f>
        <v>Día anterior</v>
      </c>
      <c r="C22" t="s">
        <v>59</v>
      </c>
      <c r="D22" t="s">
        <v>60</v>
      </c>
      <c r="E22" t="s">
        <v>148</v>
      </c>
      <c r="F22" t="s">
        <v>19</v>
      </c>
      <c r="G22" t="s">
        <v>82</v>
      </c>
      <c r="H22" t="s">
        <v>11</v>
      </c>
      <c r="I22" t="s">
        <v>7</v>
      </c>
      <c r="J22" t="s">
        <v>43</v>
      </c>
      <c r="K22" t="s">
        <v>61</v>
      </c>
      <c r="L22" t="s">
        <v>40</v>
      </c>
      <c r="M22">
        <v>2</v>
      </c>
    </row>
    <row r="23" spans="1:13" x14ac:dyDescent="0.25">
      <c r="A23" s="2">
        <v>46234</v>
      </c>
      <c r="B23" s="1" t="str">
        <f ca="1">IF(Información1[[#This Row],[Fecha]]='Ajuste de fechas'!$A$2,"Día actual","Día anterior")</f>
        <v>Día anterior</v>
      </c>
      <c r="C23" t="s">
        <v>59</v>
      </c>
      <c r="D23" t="s">
        <v>60</v>
      </c>
      <c r="E23" t="s">
        <v>149</v>
      </c>
      <c r="F23" t="s">
        <v>19</v>
      </c>
      <c r="G23" t="s">
        <v>150</v>
      </c>
      <c r="H23" t="s">
        <v>11</v>
      </c>
      <c r="I23" t="s">
        <v>7</v>
      </c>
      <c r="J23" t="s">
        <v>43</v>
      </c>
      <c r="K23" t="s">
        <v>61</v>
      </c>
      <c r="L23" t="s">
        <v>40</v>
      </c>
      <c r="M23">
        <v>2</v>
      </c>
    </row>
    <row r="24" spans="1:13" x14ac:dyDescent="0.25">
      <c r="A24" s="2">
        <v>46234</v>
      </c>
      <c r="B24" s="1" t="str">
        <f ca="1">IF(Información1[[#This Row],[Fecha]]='Ajuste de fechas'!$A$2,"Día actual","Día anterior")</f>
        <v>Día anterior</v>
      </c>
      <c r="C24" t="s">
        <v>29</v>
      </c>
      <c r="D24" t="s">
        <v>30</v>
      </c>
      <c r="E24" t="s">
        <v>151</v>
      </c>
      <c r="F24" t="s">
        <v>90</v>
      </c>
      <c r="G24" t="s">
        <v>94</v>
      </c>
      <c r="H24" t="s">
        <v>57</v>
      </c>
      <c r="I24" t="s">
        <v>7</v>
      </c>
      <c r="J24" t="s">
        <v>39</v>
      </c>
      <c r="K24" t="s">
        <v>27</v>
      </c>
      <c r="L24" t="s">
        <v>75</v>
      </c>
      <c r="M24">
        <v>2</v>
      </c>
    </row>
    <row r="25" spans="1:13" x14ac:dyDescent="0.25">
      <c r="A25" s="2">
        <v>46234</v>
      </c>
      <c r="B25" s="1" t="str">
        <f ca="1">IF(Información1[[#This Row],[Fecha]]='Ajuste de fechas'!$A$2,"Día actual","Día anterior")</f>
        <v>Día anterior</v>
      </c>
      <c r="C25" t="s">
        <v>29</v>
      </c>
      <c r="D25" t="s">
        <v>30</v>
      </c>
      <c r="E25" t="s">
        <v>152</v>
      </c>
      <c r="F25" t="s">
        <v>90</v>
      </c>
      <c r="G25" t="s">
        <v>92</v>
      </c>
      <c r="H25" t="s">
        <v>57</v>
      </c>
      <c r="I25" t="s">
        <v>7</v>
      </c>
      <c r="J25" t="s">
        <v>39</v>
      </c>
      <c r="K25" t="s">
        <v>27</v>
      </c>
      <c r="L25" t="s">
        <v>75</v>
      </c>
      <c r="M25">
        <v>2</v>
      </c>
    </row>
    <row r="26" spans="1:13" x14ac:dyDescent="0.25">
      <c r="A26" s="2">
        <v>46234</v>
      </c>
      <c r="B26" s="1" t="str">
        <f ca="1">IF(Información1[[#This Row],[Fecha]]='Ajuste de fechas'!$A$2,"Día actual","Día anterior")</f>
        <v>Día anterior</v>
      </c>
      <c r="C26" t="s">
        <v>29</v>
      </c>
      <c r="D26" t="s">
        <v>30</v>
      </c>
      <c r="E26" t="s">
        <v>153</v>
      </c>
      <c r="F26" t="s">
        <v>6</v>
      </c>
      <c r="G26" t="s">
        <v>154</v>
      </c>
      <c r="H26" t="s">
        <v>57</v>
      </c>
      <c r="I26" t="s">
        <v>12</v>
      </c>
      <c r="J26" t="s">
        <v>39</v>
      </c>
      <c r="K26" t="s">
        <v>27</v>
      </c>
      <c r="L26" t="s">
        <v>41</v>
      </c>
      <c r="M26">
        <v>2</v>
      </c>
    </row>
    <row r="27" spans="1:13" x14ac:dyDescent="0.25">
      <c r="A27" s="2">
        <v>46234</v>
      </c>
      <c r="B27" s="1" t="str">
        <f ca="1">IF(Información1[[#This Row],[Fecha]]='Ajuste de fechas'!$A$2,"Día actual","Día anterior")</f>
        <v>Día anterior</v>
      </c>
      <c r="C27" t="s">
        <v>29</v>
      </c>
      <c r="D27" t="s">
        <v>30</v>
      </c>
      <c r="E27" t="s">
        <v>155</v>
      </c>
      <c r="F27" t="s">
        <v>15</v>
      </c>
      <c r="G27" t="s">
        <v>58</v>
      </c>
      <c r="H27" t="s">
        <v>57</v>
      </c>
      <c r="I27" t="s">
        <v>7</v>
      </c>
      <c r="J27" t="s">
        <v>39</v>
      </c>
      <c r="K27" t="s">
        <v>27</v>
      </c>
      <c r="L27" t="s">
        <v>41</v>
      </c>
      <c r="M27">
        <v>2</v>
      </c>
    </row>
    <row r="28" spans="1:13" x14ac:dyDescent="0.25">
      <c r="A28" s="2">
        <v>46234</v>
      </c>
      <c r="B28" s="1" t="str">
        <f ca="1">IF(Información1[[#This Row],[Fecha]]='Ajuste de fechas'!$A$2,"Día actual","Día anterior")</f>
        <v>Día anterior</v>
      </c>
      <c r="C28" t="s">
        <v>29</v>
      </c>
      <c r="D28" t="s">
        <v>30</v>
      </c>
      <c r="E28" t="s">
        <v>156</v>
      </c>
      <c r="F28" t="s">
        <v>19</v>
      </c>
      <c r="G28" t="s">
        <v>157</v>
      </c>
      <c r="H28" t="s">
        <v>57</v>
      </c>
      <c r="I28" t="s">
        <v>7</v>
      </c>
      <c r="J28" t="s">
        <v>43</v>
      </c>
      <c r="K28" t="s">
        <v>27</v>
      </c>
      <c r="L28" t="s">
        <v>40</v>
      </c>
      <c r="M28">
        <v>2</v>
      </c>
    </row>
    <row r="29" spans="1:13" x14ac:dyDescent="0.25">
      <c r="A29" s="2">
        <v>46234</v>
      </c>
      <c r="B29" s="1" t="str">
        <f ca="1">IF(Información1[[#This Row],[Fecha]]='Ajuste de fechas'!$A$2,"Día actual","Día anterior")</f>
        <v>Día anterior</v>
      </c>
      <c r="C29" t="s">
        <v>29</v>
      </c>
      <c r="D29" t="s">
        <v>30</v>
      </c>
      <c r="E29" t="s">
        <v>158</v>
      </c>
      <c r="F29" t="s">
        <v>17</v>
      </c>
      <c r="G29" t="s">
        <v>159</v>
      </c>
      <c r="H29" t="s">
        <v>57</v>
      </c>
      <c r="I29" t="s">
        <v>7</v>
      </c>
      <c r="J29" t="s">
        <v>39</v>
      </c>
      <c r="K29" t="s">
        <v>27</v>
      </c>
      <c r="L29" t="s">
        <v>40</v>
      </c>
      <c r="M29">
        <v>2</v>
      </c>
    </row>
    <row r="30" spans="1:13" x14ac:dyDescent="0.25">
      <c r="A30" s="2">
        <v>46234</v>
      </c>
      <c r="B30" s="1" t="str">
        <f ca="1">IF(Información1[[#This Row],[Fecha]]='Ajuste de fechas'!$A$2,"Día actual","Día anterior")</f>
        <v>Día anterior</v>
      </c>
      <c r="C30" t="s">
        <v>29</v>
      </c>
      <c r="D30" t="s">
        <v>30</v>
      </c>
      <c r="E30" t="s">
        <v>160</v>
      </c>
      <c r="F30" t="s">
        <v>19</v>
      </c>
      <c r="G30" t="s">
        <v>56</v>
      </c>
      <c r="H30" t="s">
        <v>57</v>
      </c>
      <c r="I30" t="s">
        <v>7</v>
      </c>
      <c r="J30" t="s">
        <v>43</v>
      </c>
      <c r="K30" t="s">
        <v>27</v>
      </c>
      <c r="L30" t="s">
        <v>40</v>
      </c>
      <c r="M30">
        <v>2</v>
      </c>
    </row>
    <row r="31" spans="1:13" x14ac:dyDescent="0.25">
      <c r="A31" s="2">
        <v>46234</v>
      </c>
      <c r="B31" s="1" t="str">
        <f ca="1">IF(Información1[[#This Row],[Fecha]]='Ajuste de fechas'!$A$2,"Día actual","Día anterior")</f>
        <v>Día anterior</v>
      </c>
      <c r="C31" t="s">
        <v>29</v>
      </c>
      <c r="D31" t="s">
        <v>30</v>
      </c>
      <c r="E31" t="s">
        <v>161</v>
      </c>
      <c r="F31" t="s">
        <v>23</v>
      </c>
      <c r="G31" t="s">
        <v>132</v>
      </c>
      <c r="H31" t="s">
        <v>57</v>
      </c>
      <c r="I31" t="s">
        <v>7</v>
      </c>
      <c r="J31" t="s">
        <v>39</v>
      </c>
      <c r="K31" t="s">
        <v>27</v>
      </c>
      <c r="L31" t="s">
        <v>40</v>
      </c>
      <c r="M31">
        <v>2</v>
      </c>
    </row>
    <row r="32" spans="1:13" x14ac:dyDescent="0.25">
      <c r="A32" s="2">
        <v>46234</v>
      </c>
      <c r="B32" s="1" t="str">
        <f ca="1">IF(Información1[[#This Row],[Fecha]]='Ajuste de fechas'!$A$2,"Día actual","Día anterior")</f>
        <v>Día anterior</v>
      </c>
      <c r="C32" t="s">
        <v>29</v>
      </c>
      <c r="D32" t="s">
        <v>30</v>
      </c>
      <c r="E32" t="s">
        <v>162</v>
      </c>
      <c r="F32" t="s">
        <v>15</v>
      </c>
      <c r="G32" t="s">
        <v>84</v>
      </c>
      <c r="H32" t="s">
        <v>57</v>
      </c>
      <c r="I32" t="s">
        <v>7</v>
      </c>
      <c r="J32" t="s">
        <v>39</v>
      </c>
      <c r="K32" t="s">
        <v>27</v>
      </c>
      <c r="L32" t="s">
        <v>40</v>
      </c>
      <c r="M32">
        <v>2</v>
      </c>
    </row>
    <row r="33" spans="1:13" x14ac:dyDescent="0.25">
      <c r="A33" s="2">
        <v>46234</v>
      </c>
      <c r="B33" s="1" t="str">
        <f ca="1">IF(Información1[[#This Row],[Fecha]]='Ajuste de fechas'!$A$2,"Día actual","Día anterior")</f>
        <v>Día anterior</v>
      </c>
      <c r="C33" t="s">
        <v>29</v>
      </c>
      <c r="D33" t="s">
        <v>30</v>
      </c>
      <c r="E33" t="s">
        <v>163</v>
      </c>
      <c r="F33" t="s">
        <v>164</v>
      </c>
      <c r="G33" t="s">
        <v>165</v>
      </c>
      <c r="H33" t="s">
        <v>57</v>
      </c>
      <c r="I33" t="s">
        <v>7</v>
      </c>
      <c r="J33" t="s">
        <v>39</v>
      </c>
      <c r="K33" t="s">
        <v>27</v>
      </c>
      <c r="L33" t="s">
        <v>42</v>
      </c>
      <c r="M33">
        <v>2</v>
      </c>
    </row>
    <row r="34" spans="1:13" x14ac:dyDescent="0.25">
      <c r="A34" s="2">
        <v>46234</v>
      </c>
      <c r="B34" s="1" t="str">
        <f ca="1">IF(Información1[[#This Row],[Fecha]]='Ajuste de fechas'!$A$2,"Día actual","Día anterior")</f>
        <v>Día anterior</v>
      </c>
      <c r="C34" t="s">
        <v>29</v>
      </c>
      <c r="D34" t="s">
        <v>30</v>
      </c>
      <c r="E34" t="s">
        <v>110</v>
      </c>
      <c r="F34" t="s">
        <v>21</v>
      </c>
      <c r="G34" t="s">
        <v>111</v>
      </c>
      <c r="H34" t="s">
        <v>57</v>
      </c>
      <c r="I34" t="s">
        <v>7</v>
      </c>
      <c r="J34" t="s">
        <v>39</v>
      </c>
      <c r="K34" t="s">
        <v>27</v>
      </c>
      <c r="L34" t="s">
        <v>42</v>
      </c>
      <c r="M34">
        <v>2</v>
      </c>
    </row>
    <row r="35" spans="1:13" x14ac:dyDescent="0.25">
      <c r="A35" s="2">
        <v>46234</v>
      </c>
      <c r="B35" s="1" t="str">
        <f ca="1">IF(Información1[[#This Row],[Fecha]]='Ajuste de fechas'!$A$2,"Día actual","Día anterior")</f>
        <v>Día anterior</v>
      </c>
      <c r="C35" t="s">
        <v>29</v>
      </c>
      <c r="D35" t="s">
        <v>30</v>
      </c>
      <c r="E35" t="s">
        <v>166</v>
      </c>
      <c r="F35" t="s">
        <v>31</v>
      </c>
      <c r="G35" t="s">
        <v>82</v>
      </c>
      <c r="H35" t="s">
        <v>57</v>
      </c>
      <c r="I35" t="s">
        <v>7</v>
      </c>
      <c r="J35" t="s">
        <v>39</v>
      </c>
      <c r="K35" t="s">
        <v>27</v>
      </c>
      <c r="L35" t="s">
        <v>42</v>
      </c>
      <c r="M35">
        <v>2</v>
      </c>
    </row>
    <row r="36" spans="1:13" x14ac:dyDescent="0.25">
      <c r="A36" s="2">
        <v>46234</v>
      </c>
      <c r="B36" s="1" t="str">
        <f ca="1">IF(Información1[[#This Row],[Fecha]]='Ajuste de fechas'!$A$2,"Día actual","Día anterior")</f>
        <v>Día anterior</v>
      </c>
      <c r="C36" t="s">
        <v>29</v>
      </c>
      <c r="D36" t="s">
        <v>30</v>
      </c>
      <c r="E36" t="s">
        <v>117</v>
      </c>
      <c r="F36" t="s">
        <v>23</v>
      </c>
      <c r="G36" t="s">
        <v>118</v>
      </c>
      <c r="H36" t="s">
        <v>57</v>
      </c>
      <c r="I36" t="s">
        <v>7</v>
      </c>
      <c r="J36" t="s">
        <v>39</v>
      </c>
      <c r="K36" t="s">
        <v>27</v>
      </c>
      <c r="L36" t="s">
        <v>42</v>
      </c>
      <c r="M36">
        <v>2</v>
      </c>
    </row>
    <row r="37" spans="1:13" x14ac:dyDescent="0.25">
      <c r="A37" s="2">
        <v>46234</v>
      </c>
      <c r="B37" s="1" t="str">
        <f ca="1">IF(Información1[[#This Row],[Fecha]]='Ajuste de fechas'!$A$2,"Día actual","Día anterior")</f>
        <v>Día anterior</v>
      </c>
      <c r="C37" t="s">
        <v>29</v>
      </c>
      <c r="D37" t="s">
        <v>30</v>
      </c>
      <c r="E37" t="s">
        <v>167</v>
      </c>
      <c r="F37" t="s">
        <v>19</v>
      </c>
      <c r="G37" t="s">
        <v>132</v>
      </c>
      <c r="H37" t="s">
        <v>57</v>
      </c>
      <c r="I37" t="s">
        <v>7</v>
      </c>
      <c r="J37" t="s">
        <v>43</v>
      </c>
      <c r="K37" t="s">
        <v>27</v>
      </c>
      <c r="L37" t="s">
        <v>40</v>
      </c>
      <c r="M37">
        <v>2</v>
      </c>
    </row>
    <row r="38" spans="1:13" x14ac:dyDescent="0.25">
      <c r="A38" s="2">
        <v>46234</v>
      </c>
      <c r="B38" s="1" t="str">
        <f ca="1">IF(Información1[[#This Row],[Fecha]]='Ajuste de fechas'!$A$2,"Día actual","Día anterior")</f>
        <v>Día anterior</v>
      </c>
      <c r="C38" t="s">
        <v>29</v>
      </c>
      <c r="D38" t="s">
        <v>30</v>
      </c>
      <c r="E38" t="s">
        <v>168</v>
      </c>
      <c r="F38" t="s">
        <v>26</v>
      </c>
      <c r="G38" t="s">
        <v>78</v>
      </c>
      <c r="H38" t="s">
        <v>57</v>
      </c>
      <c r="I38" t="s">
        <v>7</v>
      </c>
      <c r="J38" t="s">
        <v>39</v>
      </c>
      <c r="K38" t="s">
        <v>27</v>
      </c>
      <c r="L38" t="s">
        <v>42</v>
      </c>
      <c r="M38">
        <v>2</v>
      </c>
    </row>
    <row r="39" spans="1:13" x14ac:dyDescent="0.25">
      <c r="A39" s="2">
        <v>46234</v>
      </c>
      <c r="B39" s="1" t="str">
        <f ca="1">IF(Información1[[#This Row],[Fecha]]='Ajuste de fechas'!$A$2,"Día actual","Día anterior")</f>
        <v>Día anterior</v>
      </c>
      <c r="C39" t="s">
        <v>29</v>
      </c>
      <c r="D39" t="s">
        <v>30</v>
      </c>
      <c r="E39" t="s">
        <v>127</v>
      </c>
      <c r="F39" t="s">
        <v>26</v>
      </c>
      <c r="G39" t="s">
        <v>78</v>
      </c>
      <c r="H39" t="s">
        <v>57</v>
      </c>
      <c r="I39" t="s">
        <v>7</v>
      </c>
      <c r="J39" t="s">
        <v>39</v>
      </c>
      <c r="K39" t="s">
        <v>27</v>
      </c>
      <c r="L39" t="s">
        <v>42</v>
      </c>
      <c r="M39">
        <v>2</v>
      </c>
    </row>
    <row r="40" spans="1:13" x14ac:dyDescent="0.25">
      <c r="A40" s="2">
        <v>46234</v>
      </c>
      <c r="B40" s="1" t="str">
        <f ca="1">IF(Información1[[#This Row],[Fecha]]='Ajuste de fechas'!$A$2,"Día actual","Día anterior")</f>
        <v>Día anterior</v>
      </c>
      <c r="C40" t="s">
        <v>28</v>
      </c>
      <c r="D40" t="s">
        <v>73</v>
      </c>
      <c r="E40" t="s">
        <v>169</v>
      </c>
      <c r="F40" t="s">
        <v>19</v>
      </c>
      <c r="G40" t="s">
        <v>170</v>
      </c>
      <c r="H40" t="s">
        <v>11</v>
      </c>
      <c r="I40" t="s">
        <v>25</v>
      </c>
      <c r="J40" t="s">
        <v>43</v>
      </c>
      <c r="K40" t="s">
        <v>67</v>
      </c>
      <c r="L40" t="s">
        <v>40</v>
      </c>
      <c r="M40">
        <v>1</v>
      </c>
    </row>
    <row r="41" spans="1:13" x14ac:dyDescent="0.25">
      <c r="A41" s="2">
        <v>46234</v>
      </c>
      <c r="B41" s="1" t="str">
        <f ca="1">IF(Información1[[#This Row],[Fecha]]='Ajuste de fechas'!$A$2,"Día actual","Día anterior")</f>
        <v>Día anterior</v>
      </c>
      <c r="C41" t="s">
        <v>8</v>
      </c>
      <c r="D41" t="s">
        <v>10</v>
      </c>
      <c r="E41" t="s">
        <v>171</v>
      </c>
      <c r="F41" t="s">
        <v>6</v>
      </c>
      <c r="G41" t="s">
        <v>72</v>
      </c>
      <c r="H41" t="s">
        <v>11</v>
      </c>
      <c r="I41" t="s">
        <v>25</v>
      </c>
      <c r="J41" t="s">
        <v>39</v>
      </c>
      <c r="K41" t="s">
        <v>9</v>
      </c>
      <c r="L41" t="s">
        <v>41</v>
      </c>
      <c r="M41">
        <v>1</v>
      </c>
    </row>
    <row r="42" spans="1:13" x14ac:dyDescent="0.25">
      <c r="A42" s="2">
        <v>46234</v>
      </c>
      <c r="B42" s="1" t="str">
        <f ca="1">IF(Información1[[#This Row],[Fecha]]='Ajuste de fechas'!$A$2,"Día actual","Día anterior")</f>
        <v>Día anterior</v>
      </c>
      <c r="C42" t="s">
        <v>8</v>
      </c>
      <c r="D42" t="s">
        <v>10</v>
      </c>
      <c r="E42" t="s">
        <v>172</v>
      </c>
      <c r="F42" t="s">
        <v>6</v>
      </c>
      <c r="G42" t="s">
        <v>72</v>
      </c>
      <c r="H42" t="s">
        <v>11</v>
      </c>
      <c r="I42" t="s">
        <v>25</v>
      </c>
      <c r="J42" t="s">
        <v>39</v>
      </c>
      <c r="K42" t="s">
        <v>9</v>
      </c>
      <c r="L42" t="s">
        <v>41</v>
      </c>
      <c r="M42">
        <v>1</v>
      </c>
    </row>
    <row r="43" spans="1:13" x14ac:dyDescent="0.25">
      <c r="A43" s="2">
        <v>46234</v>
      </c>
      <c r="B43" s="1" t="str">
        <f ca="1">IF(Información1[[#This Row],[Fecha]]='Ajuste de fechas'!$A$2,"Día actual","Día anterior")</f>
        <v>Día anterior</v>
      </c>
      <c r="C43" t="s">
        <v>8</v>
      </c>
      <c r="D43" t="s">
        <v>10</v>
      </c>
      <c r="E43" t="s">
        <v>141</v>
      </c>
      <c r="F43" t="s">
        <v>17</v>
      </c>
      <c r="G43" t="s">
        <v>142</v>
      </c>
      <c r="H43" t="s">
        <v>11</v>
      </c>
      <c r="I43" t="s">
        <v>7</v>
      </c>
      <c r="J43" t="s">
        <v>39</v>
      </c>
      <c r="K43" t="s">
        <v>14</v>
      </c>
      <c r="L43" t="s">
        <v>42</v>
      </c>
      <c r="M43">
        <v>1</v>
      </c>
    </row>
    <row r="44" spans="1:13" x14ac:dyDescent="0.25">
      <c r="A44" s="2">
        <v>46234</v>
      </c>
      <c r="B44" s="1" t="str">
        <f ca="1">IF(Información1[[#This Row],[Fecha]]='Ajuste de fechas'!$A$2,"Día actual","Día anterior")</f>
        <v>Día anterior</v>
      </c>
      <c r="C44" t="s">
        <v>8</v>
      </c>
      <c r="D44" t="s">
        <v>10</v>
      </c>
      <c r="E44" t="s">
        <v>173</v>
      </c>
      <c r="F44" t="s">
        <v>17</v>
      </c>
      <c r="G44" t="s">
        <v>174</v>
      </c>
      <c r="H44" t="s">
        <v>11</v>
      </c>
      <c r="I44" t="s">
        <v>25</v>
      </c>
      <c r="J44" t="s">
        <v>39</v>
      </c>
      <c r="K44" t="s">
        <v>9</v>
      </c>
      <c r="L44" t="s">
        <v>41</v>
      </c>
      <c r="M44">
        <v>1</v>
      </c>
    </row>
    <row r="45" spans="1:13" x14ac:dyDescent="0.25">
      <c r="A45" s="2">
        <v>46234</v>
      </c>
      <c r="B45" s="1" t="str">
        <f ca="1">IF(Información1[[#This Row],[Fecha]]='Ajuste de fechas'!$A$2,"Día actual","Día anterior")</f>
        <v>Día anterior</v>
      </c>
      <c r="C45" t="s">
        <v>8</v>
      </c>
      <c r="D45" t="s">
        <v>10</v>
      </c>
      <c r="E45" t="s">
        <v>175</v>
      </c>
      <c r="F45" t="s">
        <v>19</v>
      </c>
      <c r="G45" t="s">
        <v>32</v>
      </c>
      <c r="H45" t="s">
        <v>11</v>
      </c>
      <c r="I45" t="s">
        <v>7</v>
      </c>
      <c r="J45" t="s">
        <v>43</v>
      </c>
      <c r="K45" t="s">
        <v>14</v>
      </c>
      <c r="L45" t="s">
        <v>75</v>
      </c>
      <c r="M45">
        <v>1</v>
      </c>
    </row>
    <row r="46" spans="1:13" x14ac:dyDescent="0.25">
      <c r="A46" s="2">
        <v>46234</v>
      </c>
      <c r="B46" s="1" t="str">
        <f ca="1">IF(Información1[[#This Row],[Fecha]]='Ajuste de fechas'!$A$2,"Día actual","Día anterior")</f>
        <v>Día anterior</v>
      </c>
      <c r="C46" t="s">
        <v>8</v>
      </c>
      <c r="D46" t="s">
        <v>10</v>
      </c>
      <c r="E46" t="s">
        <v>20</v>
      </c>
      <c r="F46" t="s">
        <v>19</v>
      </c>
      <c r="G46" t="s">
        <v>32</v>
      </c>
      <c r="H46" t="s">
        <v>11</v>
      </c>
      <c r="I46" t="s">
        <v>12</v>
      </c>
      <c r="J46" t="s">
        <v>43</v>
      </c>
      <c r="K46" t="s">
        <v>14</v>
      </c>
      <c r="L46" t="s">
        <v>41</v>
      </c>
      <c r="M46">
        <v>1</v>
      </c>
    </row>
    <row r="47" spans="1:13" x14ac:dyDescent="0.25">
      <c r="A47" s="2">
        <v>46234</v>
      </c>
      <c r="B47" s="1" t="str">
        <f ca="1">IF(Información1[[#This Row],[Fecha]]='Ajuste de fechas'!$A$2,"Día actual","Día anterior")</f>
        <v>Día anterior</v>
      </c>
      <c r="C47" t="s">
        <v>8</v>
      </c>
      <c r="D47" t="s">
        <v>10</v>
      </c>
      <c r="E47" t="s">
        <v>18</v>
      </c>
      <c r="F47" t="s">
        <v>19</v>
      </c>
      <c r="G47" t="s">
        <v>32</v>
      </c>
      <c r="H47" t="s">
        <v>11</v>
      </c>
      <c r="I47" t="s">
        <v>12</v>
      </c>
      <c r="J47" t="s">
        <v>43</v>
      </c>
      <c r="K47" t="s">
        <v>14</v>
      </c>
      <c r="L47" t="s">
        <v>41</v>
      </c>
      <c r="M47">
        <v>1</v>
      </c>
    </row>
    <row r="48" spans="1:13" x14ac:dyDescent="0.25">
      <c r="A48" s="2">
        <v>46234</v>
      </c>
      <c r="B48" s="1" t="str">
        <f ca="1">IF(Información1[[#This Row],[Fecha]]='Ajuste de fechas'!$A$2,"Día actual","Día anterior")</f>
        <v>Día anterior</v>
      </c>
      <c r="C48" t="s">
        <v>8</v>
      </c>
      <c r="D48" t="s">
        <v>10</v>
      </c>
      <c r="E48" t="s">
        <v>176</v>
      </c>
      <c r="F48" t="s">
        <v>54</v>
      </c>
      <c r="G48" t="s">
        <v>32</v>
      </c>
      <c r="H48" t="s">
        <v>11</v>
      </c>
      <c r="I48" t="s">
        <v>12</v>
      </c>
      <c r="J48" t="s">
        <v>24</v>
      </c>
      <c r="K48" t="s">
        <v>14</v>
      </c>
      <c r="L48" t="s">
        <v>41</v>
      </c>
      <c r="M48">
        <v>1</v>
      </c>
    </row>
    <row r="49" spans="1:13" x14ac:dyDescent="0.25">
      <c r="A49" s="2">
        <v>46234</v>
      </c>
      <c r="B49" s="1" t="str">
        <f ca="1">IF(Información1[[#This Row],[Fecha]]='Ajuste de fechas'!$A$2,"Día actual","Día anterior")</f>
        <v>Día anterior</v>
      </c>
      <c r="C49" t="s">
        <v>8</v>
      </c>
      <c r="D49" t="s">
        <v>10</v>
      </c>
      <c r="E49" t="s">
        <v>13</v>
      </c>
      <c r="F49" t="s">
        <v>15</v>
      </c>
      <c r="G49" t="s">
        <v>32</v>
      </c>
      <c r="H49" t="s">
        <v>11</v>
      </c>
      <c r="I49" t="s">
        <v>12</v>
      </c>
      <c r="J49" t="s">
        <v>39</v>
      </c>
      <c r="K49" t="s">
        <v>14</v>
      </c>
      <c r="L49" t="s">
        <v>41</v>
      </c>
      <c r="M49">
        <v>1</v>
      </c>
    </row>
    <row r="50" spans="1:13" x14ac:dyDescent="0.25">
      <c r="A50" s="2">
        <v>46234</v>
      </c>
      <c r="B50" s="1" t="str">
        <f ca="1">IF(Información1[[#This Row],[Fecha]]='Ajuste de fechas'!$A$2,"Día actual","Día anterior")</f>
        <v>Día anterior</v>
      </c>
      <c r="C50" t="s">
        <v>8</v>
      </c>
      <c r="D50" t="s">
        <v>10</v>
      </c>
      <c r="E50" t="s">
        <v>16</v>
      </c>
      <c r="F50" t="s">
        <v>17</v>
      </c>
      <c r="G50" t="s">
        <v>32</v>
      </c>
      <c r="H50" t="s">
        <v>11</v>
      </c>
      <c r="I50" t="s">
        <v>12</v>
      </c>
      <c r="J50" t="s">
        <v>39</v>
      </c>
      <c r="K50" t="s">
        <v>14</v>
      </c>
      <c r="L50" t="s">
        <v>41</v>
      </c>
      <c r="M50">
        <v>1</v>
      </c>
    </row>
    <row r="51" spans="1:13" x14ac:dyDescent="0.25">
      <c r="A51" s="2">
        <v>46234</v>
      </c>
      <c r="B51" s="1" t="str">
        <f ca="1">IF(Información1[[#This Row],[Fecha]]='Ajuste de fechas'!$A$2,"Día actual","Día anterior")</f>
        <v>Día anterior</v>
      </c>
      <c r="C51" t="s">
        <v>8</v>
      </c>
      <c r="D51" t="s">
        <v>10</v>
      </c>
      <c r="E51" t="s">
        <v>53</v>
      </c>
      <c r="F51" t="s">
        <v>6</v>
      </c>
      <c r="G51" t="s">
        <v>32</v>
      </c>
      <c r="H51" t="s">
        <v>11</v>
      </c>
      <c r="I51" t="s">
        <v>12</v>
      </c>
      <c r="J51" t="s">
        <v>39</v>
      </c>
      <c r="K51" t="s">
        <v>14</v>
      </c>
      <c r="L51" t="s">
        <v>41</v>
      </c>
      <c r="M51">
        <v>1</v>
      </c>
    </row>
    <row r="52" spans="1:13" x14ac:dyDescent="0.25">
      <c r="A52" s="2">
        <v>46234</v>
      </c>
      <c r="B52" s="1" t="str">
        <f ca="1">IF(Información1[[#This Row],[Fecha]]='Ajuste de fechas'!$A$2,"Día actual","Día anterior")</f>
        <v>Día anterior</v>
      </c>
      <c r="C52" t="s">
        <v>28</v>
      </c>
      <c r="D52" t="s">
        <v>73</v>
      </c>
      <c r="E52" t="s">
        <v>177</v>
      </c>
      <c r="F52" t="s">
        <v>21</v>
      </c>
      <c r="G52" t="s">
        <v>97</v>
      </c>
      <c r="H52" t="s">
        <v>11</v>
      </c>
      <c r="I52" t="s">
        <v>7</v>
      </c>
      <c r="J52" t="s">
        <v>39</v>
      </c>
      <c r="K52" t="s">
        <v>74</v>
      </c>
      <c r="L52" t="s">
        <v>40</v>
      </c>
      <c r="M52">
        <v>1</v>
      </c>
    </row>
    <row r="53" spans="1:13" x14ac:dyDescent="0.25">
      <c r="A53" s="2">
        <v>46234</v>
      </c>
      <c r="B53" s="1" t="str">
        <f ca="1">IF(Información1[[#This Row],[Fecha]]='Ajuste de fechas'!$A$2,"Día actual","Día anterior")</f>
        <v>Día anterior</v>
      </c>
      <c r="C53" t="s">
        <v>8</v>
      </c>
      <c r="D53" t="s">
        <v>10</v>
      </c>
      <c r="E53" t="s">
        <v>178</v>
      </c>
      <c r="F53" t="s">
        <v>21</v>
      </c>
      <c r="G53" t="s">
        <v>97</v>
      </c>
      <c r="H53" t="s">
        <v>11</v>
      </c>
      <c r="I53" t="s">
        <v>7</v>
      </c>
      <c r="J53" t="s">
        <v>39</v>
      </c>
      <c r="K53" t="s">
        <v>9</v>
      </c>
      <c r="L53" t="s">
        <v>41</v>
      </c>
      <c r="M53">
        <v>1</v>
      </c>
    </row>
    <row r="54" spans="1:13" x14ac:dyDescent="0.25">
      <c r="A54" s="2">
        <v>46234</v>
      </c>
      <c r="B54" s="1" t="str">
        <f ca="1">IF(Información1[[#This Row],[Fecha]]='Ajuste de fechas'!$A$2,"Día actual","Día anterior")</f>
        <v>Día anterior</v>
      </c>
      <c r="C54" t="s">
        <v>28</v>
      </c>
      <c r="D54" t="s">
        <v>73</v>
      </c>
      <c r="E54" t="s">
        <v>179</v>
      </c>
      <c r="F54" t="s">
        <v>23</v>
      </c>
      <c r="G54" t="s">
        <v>118</v>
      </c>
      <c r="H54" t="s">
        <v>11</v>
      </c>
      <c r="I54" t="s">
        <v>7</v>
      </c>
      <c r="J54" t="s">
        <v>39</v>
      </c>
      <c r="K54" t="s">
        <v>74</v>
      </c>
      <c r="L54" t="s">
        <v>40</v>
      </c>
      <c r="M54">
        <v>1</v>
      </c>
    </row>
    <row r="55" spans="1:13" x14ac:dyDescent="0.25">
      <c r="A55" s="2">
        <v>46234</v>
      </c>
      <c r="B55" s="1" t="str">
        <f ca="1">IF(Información1[[#This Row],[Fecha]]='Ajuste de fechas'!$A$2,"Día actual","Día anterior")</f>
        <v>Día anterior</v>
      </c>
      <c r="C55" t="s">
        <v>8</v>
      </c>
      <c r="D55" t="s">
        <v>10</v>
      </c>
      <c r="E55" t="s">
        <v>180</v>
      </c>
      <c r="F55" t="s">
        <v>23</v>
      </c>
      <c r="G55" t="s">
        <v>118</v>
      </c>
      <c r="H55" t="s">
        <v>11</v>
      </c>
      <c r="I55" t="s">
        <v>7</v>
      </c>
      <c r="J55" t="s">
        <v>39</v>
      </c>
      <c r="K55" t="s">
        <v>14</v>
      </c>
      <c r="L55" t="s">
        <v>42</v>
      </c>
      <c r="M55">
        <v>1</v>
      </c>
    </row>
    <row r="56" spans="1:13" x14ac:dyDescent="0.25">
      <c r="A56" s="2">
        <v>46234</v>
      </c>
      <c r="B56" s="1" t="str">
        <f ca="1">IF(Información1[[#This Row],[Fecha]]='Ajuste de fechas'!$A$2,"Día actual","Día anterior")</f>
        <v>Día anterior</v>
      </c>
      <c r="C56" t="s">
        <v>28</v>
      </c>
      <c r="D56" t="s">
        <v>73</v>
      </c>
      <c r="E56" t="s">
        <v>181</v>
      </c>
      <c r="F56" t="s">
        <v>15</v>
      </c>
      <c r="G56" t="s">
        <v>99</v>
      </c>
      <c r="H56" t="s">
        <v>11</v>
      </c>
      <c r="I56" t="s">
        <v>7</v>
      </c>
      <c r="J56" t="s">
        <v>39</v>
      </c>
      <c r="K56" t="s">
        <v>74</v>
      </c>
      <c r="L56" t="s">
        <v>40</v>
      </c>
      <c r="M56">
        <v>1</v>
      </c>
    </row>
    <row r="57" spans="1:13" x14ac:dyDescent="0.25">
      <c r="A57" s="2">
        <v>46234</v>
      </c>
      <c r="B57" s="1" t="str">
        <f ca="1">IF(Información1[[#This Row],[Fecha]]='Ajuste de fechas'!$A$2,"Día actual","Día anterior")</f>
        <v>Día anterior</v>
      </c>
      <c r="C57" t="s">
        <v>8</v>
      </c>
      <c r="D57" t="s">
        <v>10</v>
      </c>
      <c r="E57" t="s">
        <v>98</v>
      </c>
      <c r="F57" t="s">
        <v>15</v>
      </c>
      <c r="G57" t="s">
        <v>99</v>
      </c>
      <c r="H57" t="s">
        <v>11</v>
      </c>
      <c r="I57" t="s">
        <v>7</v>
      </c>
      <c r="J57" t="s">
        <v>39</v>
      </c>
      <c r="K57" t="s">
        <v>14</v>
      </c>
      <c r="L57" t="s">
        <v>42</v>
      </c>
      <c r="M57">
        <v>1</v>
      </c>
    </row>
    <row r="58" spans="1:13" x14ac:dyDescent="0.25">
      <c r="A58" s="2">
        <v>46234</v>
      </c>
      <c r="B58" s="1" t="str">
        <f ca="1">IF(Información1[[#This Row],[Fecha]]='Ajuste de fechas'!$A$2,"Día actual","Día anterior")</f>
        <v>Día anterior</v>
      </c>
      <c r="C58" t="s">
        <v>28</v>
      </c>
      <c r="D58" t="s">
        <v>73</v>
      </c>
      <c r="E58" t="s">
        <v>182</v>
      </c>
      <c r="F58" t="s">
        <v>23</v>
      </c>
      <c r="G58" t="s">
        <v>183</v>
      </c>
      <c r="H58" t="s">
        <v>11</v>
      </c>
      <c r="I58" t="s">
        <v>7</v>
      </c>
      <c r="J58" t="s">
        <v>39</v>
      </c>
      <c r="K58" t="s">
        <v>67</v>
      </c>
      <c r="L58" t="s">
        <v>42</v>
      </c>
      <c r="M58">
        <v>1</v>
      </c>
    </row>
    <row r="59" spans="1:13" x14ac:dyDescent="0.25">
      <c r="A59" s="2">
        <v>46234</v>
      </c>
      <c r="B59" s="1" t="str">
        <f ca="1">IF(Información1[[#This Row],[Fecha]]='Ajuste de fechas'!$A$2,"Día actual","Día anterior")</f>
        <v>Día anterior</v>
      </c>
      <c r="C59" t="s">
        <v>184</v>
      </c>
      <c r="D59" t="s">
        <v>101</v>
      </c>
      <c r="E59" t="s">
        <v>102</v>
      </c>
      <c r="F59" t="s">
        <v>31</v>
      </c>
      <c r="G59" t="s">
        <v>89</v>
      </c>
      <c r="H59" t="s">
        <v>11</v>
      </c>
      <c r="I59" t="s">
        <v>7</v>
      </c>
      <c r="J59" t="s">
        <v>39</v>
      </c>
      <c r="K59" t="s">
        <v>185</v>
      </c>
      <c r="L59" t="s">
        <v>40</v>
      </c>
      <c r="M59">
        <v>1</v>
      </c>
    </row>
    <row r="60" spans="1:13" x14ac:dyDescent="0.25">
      <c r="A60" s="2">
        <v>46234</v>
      </c>
      <c r="B60" s="1" t="str">
        <f ca="1">IF(Información1[[#This Row],[Fecha]]='Ajuste de fechas'!$A$2,"Día actual","Día anterior")</f>
        <v>Día anterior</v>
      </c>
      <c r="C60" t="s">
        <v>186</v>
      </c>
      <c r="D60" t="s">
        <v>101</v>
      </c>
      <c r="E60" t="s">
        <v>102</v>
      </c>
      <c r="F60" t="s">
        <v>31</v>
      </c>
      <c r="G60" t="s">
        <v>89</v>
      </c>
      <c r="H60" t="s">
        <v>11</v>
      </c>
      <c r="I60" t="s">
        <v>7</v>
      </c>
      <c r="J60" t="s">
        <v>39</v>
      </c>
      <c r="K60" t="s">
        <v>187</v>
      </c>
      <c r="L60" t="s">
        <v>40</v>
      </c>
      <c r="M60">
        <v>1</v>
      </c>
    </row>
    <row r="61" spans="1:13" x14ac:dyDescent="0.25">
      <c r="A61" s="2">
        <v>46234</v>
      </c>
      <c r="B61" s="1" t="str">
        <f ca="1">IF(Información1[[#This Row],[Fecha]]='Ajuste de fechas'!$A$2,"Día actual","Día anterior")</f>
        <v>Día anterior</v>
      </c>
      <c r="C61" t="s">
        <v>28</v>
      </c>
      <c r="D61" t="s">
        <v>73</v>
      </c>
      <c r="E61" t="s">
        <v>188</v>
      </c>
      <c r="F61" t="s">
        <v>21</v>
      </c>
      <c r="G61" t="s">
        <v>189</v>
      </c>
      <c r="H61" t="s">
        <v>11</v>
      </c>
      <c r="I61" t="s">
        <v>7</v>
      </c>
      <c r="J61" t="s">
        <v>39</v>
      </c>
      <c r="K61" t="s">
        <v>74</v>
      </c>
      <c r="L61" t="s">
        <v>40</v>
      </c>
      <c r="M61">
        <v>1</v>
      </c>
    </row>
    <row r="62" spans="1:13" x14ac:dyDescent="0.25">
      <c r="A62" s="2">
        <v>46234</v>
      </c>
      <c r="B62" s="1" t="str">
        <f ca="1">IF(Información1[[#This Row],[Fecha]]='Ajuste de fechas'!$A$2,"Día actual","Día anterior")</f>
        <v>Día anterior</v>
      </c>
      <c r="C62" t="s">
        <v>28</v>
      </c>
      <c r="D62" t="s">
        <v>73</v>
      </c>
      <c r="E62" t="s">
        <v>190</v>
      </c>
      <c r="F62" t="s">
        <v>79</v>
      </c>
      <c r="G62" t="s">
        <v>87</v>
      </c>
      <c r="H62" t="s">
        <v>11</v>
      </c>
      <c r="I62" t="s">
        <v>7</v>
      </c>
      <c r="J62" t="s">
        <v>39</v>
      </c>
      <c r="K62" t="s">
        <v>67</v>
      </c>
      <c r="L62" t="s">
        <v>42</v>
      </c>
      <c r="M62">
        <v>1</v>
      </c>
    </row>
    <row r="63" spans="1:13" x14ac:dyDescent="0.25">
      <c r="A63" s="2">
        <v>46234</v>
      </c>
      <c r="B63" s="1" t="str">
        <f ca="1">IF(Información1[[#This Row],[Fecha]]='Ajuste de fechas'!$A$2,"Día actual","Día anterior")</f>
        <v>Día anterior</v>
      </c>
      <c r="C63" t="s">
        <v>68</v>
      </c>
      <c r="D63" t="s">
        <v>69</v>
      </c>
      <c r="E63" t="s">
        <v>191</v>
      </c>
      <c r="F63" t="s">
        <v>79</v>
      </c>
      <c r="G63" t="s">
        <v>87</v>
      </c>
      <c r="H63" t="s">
        <v>11</v>
      </c>
      <c r="I63" t="s">
        <v>7</v>
      </c>
      <c r="J63" t="s">
        <v>39</v>
      </c>
      <c r="K63" t="s">
        <v>70</v>
      </c>
      <c r="L63" t="s">
        <v>42</v>
      </c>
      <c r="M63">
        <v>1</v>
      </c>
    </row>
    <row r="64" spans="1:13" x14ac:dyDescent="0.25">
      <c r="A64" s="2">
        <v>46234</v>
      </c>
      <c r="B64" s="1" t="str">
        <f ca="1">IF(Información1[[#This Row],[Fecha]]='Ajuste de fechas'!$A$2,"Día actual","Día anterior")</f>
        <v>Día anterior</v>
      </c>
      <c r="C64" t="s">
        <v>28</v>
      </c>
      <c r="D64" t="s">
        <v>73</v>
      </c>
      <c r="E64" t="s">
        <v>192</v>
      </c>
      <c r="F64" t="s">
        <v>79</v>
      </c>
      <c r="G64" t="s">
        <v>87</v>
      </c>
      <c r="H64" t="s">
        <v>11</v>
      </c>
      <c r="I64" t="s">
        <v>7</v>
      </c>
      <c r="J64" t="s">
        <v>39</v>
      </c>
      <c r="K64" t="s">
        <v>74</v>
      </c>
      <c r="L64" t="s">
        <v>40</v>
      </c>
      <c r="M64">
        <v>1</v>
      </c>
    </row>
    <row r="65" spans="1:13" x14ac:dyDescent="0.25">
      <c r="A65" s="2">
        <v>46234</v>
      </c>
      <c r="B65" s="1" t="str">
        <f ca="1">IF(Información1[[#This Row],[Fecha]]='Ajuste de fechas'!$A$2,"Día actual","Día anterior")</f>
        <v>Día anterior</v>
      </c>
      <c r="C65" t="s">
        <v>28</v>
      </c>
      <c r="D65" t="s">
        <v>73</v>
      </c>
      <c r="E65" t="s">
        <v>193</v>
      </c>
      <c r="F65" t="s">
        <v>90</v>
      </c>
      <c r="G65" t="s">
        <v>94</v>
      </c>
      <c r="H65" t="s">
        <v>11</v>
      </c>
      <c r="I65" t="s">
        <v>7</v>
      </c>
      <c r="J65" t="s">
        <v>39</v>
      </c>
      <c r="K65" t="s">
        <v>67</v>
      </c>
      <c r="L65" t="s">
        <v>40</v>
      </c>
      <c r="M65">
        <v>1</v>
      </c>
    </row>
    <row r="66" spans="1:13" x14ac:dyDescent="0.25">
      <c r="A66" s="2">
        <v>46234</v>
      </c>
      <c r="B66" s="1" t="str">
        <f ca="1">IF(Información1[[#This Row],[Fecha]]='Ajuste de fechas'!$A$2,"Día actual","Día anterior")</f>
        <v>Día anterior</v>
      </c>
      <c r="C66" t="s">
        <v>28</v>
      </c>
      <c r="D66" t="s">
        <v>73</v>
      </c>
      <c r="E66" t="s">
        <v>194</v>
      </c>
      <c r="F66" t="s">
        <v>90</v>
      </c>
      <c r="G66" t="s">
        <v>94</v>
      </c>
      <c r="H66" t="s">
        <v>11</v>
      </c>
      <c r="I66" t="s">
        <v>7</v>
      </c>
      <c r="J66" t="s">
        <v>39</v>
      </c>
      <c r="K66" t="s">
        <v>67</v>
      </c>
      <c r="L66" t="s">
        <v>40</v>
      </c>
      <c r="M66">
        <v>1</v>
      </c>
    </row>
    <row r="67" spans="1:13" x14ac:dyDescent="0.25">
      <c r="A67" s="2">
        <v>46234</v>
      </c>
      <c r="B67" s="1" t="str">
        <f ca="1">IF(Información1[[#This Row],[Fecha]]='Ajuste de fechas'!$A$2,"Día actual","Día anterior")</f>
        <v>Día anterior</v>
      </c>
      <c r="C67" t="s">
        <v>28</v>
      </c>
      <c r="D67" t="s">
        <v>73</v>
      </c>
      <c r="E67" t="s">
        <v>195</v>
      </c>
      <c r="F67" t="s">
        <v>19</v>
      </c>
      <c r="G67" t="s">
        <v>80</v>
      </c>
      <c r="H67" t="s">
        <v>11</v>
      </c>
      <c r="I67" t="s">
        <v>7</v>
      </c>
      <c r="J67" t="s">
        <v>43</v>
      </c>
      <c r="K67" t="s">
        <v>74</v>
      </c>
      <c r="L67" t="s">
        <v>40</v>
      </c>
      <c r="M67">
        <v>1</v>
      </c>
    </row>
    <row r="68" spans="1:13" x14ac:dyDescent="0.25">
      <c r="A68" s="2">
        <v>46234</v>
      </c>
      <c r="B68" s="1" t="str">
        <f ca="1">IF(Información1[[#This Row],[Fecha]]='Ajuste de fechas'!$A$2,"Día actual","Día anterior")</f>
        <v>Día anterior</v>
      </c>
      <c r="C68" t="s">
        <v>28</v>
      </c>
      <c r="D68" t="s">
        <v>73</v>
      </c>
      <c r="E68" t="s">
        <v>196</v>
      </c>
      <c r="F68" t="s">
        <v>93</v>
      </c>
      <c r="G68" t="s">
        <v>103</v>
      </c>
      <c r="H68" t="s">
        <v>11</v>
      </c>
      <c r="I68" t="s">
        <v>7</v>
      </c>
      <c r="J68" t="s">
        <v>39</v>
      </c>
      <c r="K68" t="s">
        <v>74</v>
      </c>
      <c r="L68" t="s">
        <v>40</v>
      </c>
      <c r="M68">
        <v>1</v>
      </c>
    </row>
    <row r="69" spans="1:13" x14ac:dyDescent="0.25">
      <c r="A69" s="2">
        <v>46234</v>
      </c>
      <c r="B69" s="1" t="str">
        <f ca="1">IF(Información1[[#This Row],[Fecha]]='Ajuste de fechas'!$A$2,"Día actual","Día anterior")</f>
        <v>Día anterior</v>
      </c>
      <c r="C69" t="s">
        <v>8</v>
      </c>
      <c r="D69" t="s">
        <v>10</v>
      </c>
      <c r="E69" t="s">
        <v>197</v>
      </c>
      <c r="F69" t="s">
        <v>19</v>
      </c>
      <c r="G69" t="s">
        <v>198</v>
      </c>
      <c r="H69" t="s">
        <v>11</v>
      </c>
      <c r="I69" t="s">
        <v>7</v>
      </c>
      <c r="J69" t="s">
        <v>43</v>
      </c>
      <c r="K69" t="s">
        <v>9</v>
      </c>
      <c r="L69" t="s">
        <v>41</v>
      </c>
      <c r="M69">
        <v>1</v>
      </c>
    </row>
    <row r="70" spans="1:13" x14ac:dyDescent="0.25">
      <c r="A70" s="2">
        <v>46234</v>
      </c>
      <c r="B70" s="1" t="str">
        <f ca="1">IF(Información1[[#This Row],[Fecha]]='Ajuste de fechas'!$A$2,"Día actual","Día anterior")</f>
        <v>Día anterior</v>
      </c>
      <c r="C70" t="s">
        <v>8</v>
      </c>
      <c r="D70" t="s">
        <v>10</v>
      </c>
      <c r="E70" t="s">
        <v>199</v>
      </c>
      <c r="F70" t="s">
        <v>19</v>
      </c>
      <c r="G70" t="s">
        <v>96</v>
      </c>
      <c r="H70" t="s">
        <v>11</v>
      </c>
      <c r="I70" t="s">
        <v>25</v>
      </c>
      <c r="J70" t="s">
        <v>43</v>
      </c>
      <c r="K70" t="s">
        <v>9</v>
      </c>
      <c r="L70" t="s">
        <v>41</v>
      </c>
      <c r="M70">
        <v>1</v>
      </c>
    </row>
    <row r="71" spans="1:13" x14ac:dyDescent="0.25">
      <c r="A71" s="2">
        <v>46234</v>
      </c>
      <c r="B71" s="1" t="str">
        <f ca="1">IF(Información1[[#This Row],[Fecha]]='Ajuste de fechas'!$A$2,"Día actual","Día anterior")</f>
        <v>Día anterior</v>
      </c>
      <c r="C71" t="s">
        <v>28</v>
      </c>
      <c r="D71" t="s">
        <v>73</v>
      </c>
      <c r="E71" t="s">
        <v>200</v>
      </c>
      <c r="F71" t="s">
        <v>201</v>
      </c>
      <c r="G71" t="s">
        <v>202</v>
      </c>
      <c r="H71" t="s">
        <v>11</v>
      </c>
      <c r="I71" t="s">
        <v>7</v>
      </c>
      <c r="J71" t="s">
        <v>39</v>
      </c>
      <c r="K71" t="s">
        <v>67</v>
      </c>
      <c r="L71" t="s">
        <v>40</v>
      </c>
      <c r="M71">
        <v>1</v>
      </c>
    </row>
    <row r="72" spans="1:13" x14ac:dyDescent="0.25">
      <c r="A72" s="2">
        <v>46234</v>
      </c>
      <c r="B72" s="1" t="str">
        <f ca="1">IF(Información1[[#This Row],[Fecha]]='Ajuste de fechas'!$A$2,"Día actual","Día anterior")</f>
        <v>Día anterior</v>
      </c>
      <c r="C72" t="s">
        <v>8</v>
      </c>
      <c r="D72" t="s">
        <v>10</v>
      </c>
      <c r="E72" t="s">
        <v>203</v>
      </c>
      <c r="F72" t="s">
        <v>22</v>
      </c>
      <c r="G72" t="s">
        <v>95</v>
      </c>
      <c r="H72" t="s">
        <v>11</v>
      </c>
      <c r="I72" t="s">
        <v>7</v>
      </c>
      <c r="J72" t="s">
        <v>44</v>
      </c>
      <c r="K72" t="s">
        <v>9</v>
      </c>
      <c r="L72" t="s">
        <v>41</v>
      </c>
      <c r="M72">
        <v>1</v>
      </c>
    </row>
    <row r="73" spans="1:13" x14ac:dyDescent="0.25">
      <c r="A73" s="2">
        <v>46234</v>
      </c>
      <c r="B73" s="1" t="str">
        <f ca="1">IF(Información1[[#This Row],[Fecha]]='Ajuste de fechas'!$A$2,"Día actual","Día anterior")</f>
        <v>Día anterior</v>
      </c>
      <c r="C73" t="s">
        <v>28</v>
      </c>
      <c r="D73" t="s">
        <v>73</v>
      </c>
      <c r="E73" t="s">
        <v>204</v>
      </c>
      <c r="F73" t="s">
        <v>19</v>
      </c>
      <c r="G73" t="s">
        <v>104</v>
      </c>
      <c r="H73" t="s">
        <v>11</v>
      </c>
      <c r="I73" t="s">
        <v>7</v>
      </c>
      <c r="J73" t="s">
        <v>43</v>
      </c>
      <c r="K73" t="s">
        <v>67</v>
      </c>
      <c r="L73" t="s">
        <v>40</v>
      </c>
      <c r="M73">
        <v>1</v>
      </c>
    </row>
    <row r="74" spans="1:13" x14ac:dyDescent="0.25">
      <c r="A74" s="2">
        <v>46234</v>
      </c>
      <c r="B74" s="1" t="str">
        <f ca="1">IF(Información1[[#This Row],[Fecha]]='Ajuste de fechas'!$A$2,"Día actual","Día anterior")</f>
        <v>Día anterior</v>
      </c>
      <c r="C74" t="s">
        <v>68</v>
      </c>
      <c r="D74" t="s">
        <v>69</v>
      </c>
      <c r="E74" t="s">
        <v>114</v>
      </c>
      <c r="F74" t="s">
        <v>31</v>
      </c>
      <c r="G74" t="s">
        <v>82</v>
      </c>
      <c r="H74" t="s">
        <v>11</v>
      </c>
      <c r="I74" t="s">
        <v>7</v>
      </c>
      <c r="J74" t="s">
        <v>39</v>
      </c>
      <c r="K74" t="s">
        <v>70</v>
      </c>
      <c r="L74" t="s">
        <v>42</v>
      </c>
      <c r="M74">
        <v>1</v>
      </c>
    </row>
    <row r="75" spans="1:13" x14ac:dyDescent="0.25">
      <c r="A75" s="2">
        <v>46234</v>
      </c>
      <c r="B75" s="1" t="str">
        <f ca="1">IF(Información1[[#This Row],[Fecha]]='Ajuste de fechas'!$A$2,"Día actual","Día anterior")</f>
        <v>Día anterior</v>
      </c>
      <c r="C75" t="s">
        <v>28</v>
      </c>
      <c r="D75" t="s">
        <v>73</v>
      </c>
      <c r="E75" t="s">
        <v>205</v>
      </c>
      <c r="F75" t="s">
        <v>100</v>
      </c>
      <c r="G75" t="s">
        <v>140</v>
      </c>
      <c r="H75" t="s">
        <v>11</v>
      </c>
      <c r="I75" t="s">
        <v>7</v>
      </c>
      <c r="J75" t="s">
        <v>39</v>
      </c>
      <c r="K75" t="s">
        <v>67</v>
      </c>
      <c r="L75" t="s">
        <v>40</v>
      </c>
      <c r="M75">
        <v>1</v>
      </c>
    </row>
    <row r="76" spans="1:13" x14ac:dyDescent="0.25">
      <c r="A76" s="2">
        <v>46234</v>
      </c>
      <c r="B76" s="1" t="str">
        <f ca="1">IF(Información1[[#This Row],[Fecha]]='Ajuste de fechas'!$A$2,"Día actual","Día anterior")</f>
        <v>Día anterior</v>
      </c>
      <c r="C76" t="s">
        <v>28</v>
      </c>
      <c r="D76" t="s">
        <v>73</v>
      </c>
      <c r="E76" t="s">
        <v>206</v>
      </c>
      <c r="F76" t="s">
        <v>79</v>
      </c>
      <c r="G76" t="s">
        <v>207</v>
      </c>
      <c r="H76" t="s">
        <v>11</v>
      </c>
      <c r="I76" t="s">
        <v>7</v>
      </c>
      <c r="J76" t="s">
        <v>39</v>
      </c>
      <c r="K76" t="s">
        <v>74</v>
      </c>
      <c r="L76" t="s">
        <v>40</v>
      </c>
      <c r="M76">
        <v>1</v>
      </c>
    </row>
    <row r="77" spans="1:13" x14ac:dyDescent="0.25">
      <c r="A77" s="2">
        <v>46234</v>
      </c>
      <c r="B77" s="1" t="str">
        <f ca="1">IF(Información1[[#This Row],[Fecha]]='Ajuste de fechas'!$A$2,"Día actual","Día anterior")</f>
        <v>Día anterior</v>
      </c>
      <c r="C77" t="s">
        <v>8</v>
      </c>
      <c r="D77" t="s">
        <v>10</v>
      </c>
      <c r="E77" t="s">
        <v>208</v>
      </c>
      <c r="F77" t="s">
        <v>19</v>
      </c>
      <c r="G77" t="s">
        <v>209</v>
      </c>
      <c r="H77" t="s">
        <v>11</v>
      </c>
      <c r="I77" t="s">
        <v>7</v>
      </c>
      <c r="J77" t="s">
        <v>43</v>
      </c>
      <c r="K77" t="s">
        <v>14</v>
      </c>
      <c r="L77" t="s">
        <v>40</v>
      </c>
      <c r="M77">
        <v>1</v>
      </c>
    </row>
    <row r="78" spans="1:13" x14ac:dyDescent="0.25">
      <c r="A78" s="2">
        <v>46234</v>
      </c>
      <c r="B78" s="1" t="str">
        <f ca="1">IF(Información1[[#This Row],[Fecha]]='Ajuste de fechas'!$A$2,"Día actual","Día anterior")</f>
        <v>Día anterior</v>
      </c>
      <c r="C78" t="s">
        <v>28</v>
      </c>
      <c r="D78" t="s">
        <v>73</v>
      </c>
      <c r="E78" t="s">
        <v>163</v>
      </c>
      <c r="F78" t="s">
        <v>164</v>
      </c>
      <c r="G78" t="s">
        <v>165</v>
      </c>
      <c r="H78" t="s">
        <v>11</v>
      </c>
      <c r="I78" t="s">
        <v>7</v>
      </c>
      <c r="J78" t="s">
        <v>39</v>
      </c>
      <c r="K78" t="s">
        <v>67</v>
      </c>
      <c r="L78" t="s">
        <v>42</v>
      </c>
      <c r="M78">
        <v>1</v>
      </c>
    </row>
    <row r="79" spans="1:13" x14ac:dyDescent="0.25">
      <c r="A79" s="2">
        <v>46234</v>
      </c>
      <c r="B79" s="1" t="str">
        <f ca="1">IF(Información1[[#This Row],[Fecha]]='Ajuste de fechas'!$A$2,"Día actual","Día anterior")</f>
        <v>Día anterior</v>
      </c>
      <c r="C79" t="s">
        <v>8</v>
      </c>
      <c r="D79" t="s">
        <v>10</v>
      </c>
      <c r="E79" t="s">
        <v>210</v>
      </c>
      <c r="F79" t="s">
        <v>90</v>
      </c>
      <c r="G79" t="s">
        <v>92</v>
      </c>
      <c r="H79" t="s">
        <v>11</v>
      </c>
      <c r="I79" t="s">
        <v>7</v>
      </c>
      <c r="J79" t="s">
        <v>39</v>
      </c>
      <c r="K79" t="s">
        <v>14</v>
      </c>
      <c r="L79" t="s">
        <v>40</v>
      </c>
      <c r="M79">
        <v>1</v>
      </c>
    </row>
    <row r="80" spans="1:13" x14ac:dyDescent="0.25">
      <c r="A80" s="2">
        <v>46234</v>
      </c>
      <c r="B80" s="1" t="str">
        <f ca="1">IF(Información1[[#This Row],[Fecha]]='Ajuste de fechas'!$A$2,"Día actual","Día anterior")</f>
        <v>Día anterior</v>
      </c>
      <c r="C80" t="s">
        <v>8</v>
      </c>
      <c r="D80" t="s">
        <v>10</v>
      </c>
      <c r="E80" t="s">
        <v>211</v>
      </c>
      <c r="F80" t="s">
        <v>17</v>
      </c>
      <c r="G80" t="s">
        <v>212</v>
      </c>
      <c r="H80" t="s">
        <v>11</v>
      </c>
      <c r="I80" t="s">
        <v>25</v>
      </c>
      <c r="J80" t="s">
        <v>39</v>
      </c>
      <c r="K80" t="s">
        <v>9</v>
      </c>
      <c r="L80" t="s">
        <v>41</v>
      </c>
      <c r="M80">
        <v>1</v>
      </c>
    </row>
    <row r="81" spans="1:13" x14ac:dyDescent="0.25">
      <c r="A81" s="2">
        <v>46234</v>
      </c>
      <c r="B81" s="1" t="str">
        <f ca="1">IF(Información1[[#This Row],[Fecha]]='Ajuste de fechas'!$A$2,"Día actual","Día anterior")</f>
        <v>Día anterior</v>
      </c>
      <c r="C81" t="s">
        <v>8</v>
      </c>
      <c r="D81" t="s">
        <v>10</v>
      </c>
      <c r="E81" t="s">
        <v>213</v>
      </c>
      <c r="F81" t="s">
        <v>19</v>
      </c>
      <c r="G81" t="s">
        <v>91</v>
      </c>
      <c r="H81" t="s">
        <v>11</v>
      </c>
      <c r="I81" t="s">
        <v>25</v>
      </c>
      <c r="J81" t="s">
        <v>43</v>
      </c>
      <c r="K81" t="s">
        <v>9</v>
      </c>
      <c r="L81" t="s">
        <v>41</v>
      </c>
      <c r="M81">
        <v>1</v>
      </c>
    </row>
    <row r="82" spans="1:13" x14ac:dyDescent="0.25">
      <c r="A82" s="2">
        <v>46234</v>
      </c>
      <c r="B82" s="1" t="str">
        <f ca="1">IF(Información1[[#This Row],[Fecha]]='Ajuste de fechas'!$A$2,"Día actual","Día anterior")</f>
        <v>Día anterior</v>
      </c>
      <c r="C82" t="s">
        <v>28</v>
      </c>
      <c r="D82" t="s">
        <v>73</v>
      </c>
      <c r="E82" t="s">
        <v>214</v>
      </c>
      <c r="F82" t="s">
        <v>90</v>
      </c>
      <c r="G82" t="s">
        <v>215</v>
      </c>
      <c r="H82" t="s">
        <v>11</v>
      </c>
      <c r="I82" t="s">
        <v>7</v>
      </c>
      <c r="J82" t="s">
        <v>39</v>
      </c>
      <c r="K82" t="s">
        <v>67</v>
      </c>
      <c r="L82" t="s">
        <v>42</v>
      </c>
      <c r="M82">
        <v>1</v>
      </c>
    </row>
    <row r="83" spans="1:13" x14ac:dyDescent="0.25">
      <c r="A83" s="2">
        <v>46234</v>
      </c>
      <c r="B83" s="1" t="str">
        <f ca="1">IF(Información1[[#This Row],[Fecha]]='Ajuste de fechas'!$A$2,"Día actual","Día anterior")</f>
        <v>Día anterior</v>
      </c>
      <c r="C83" t="s">
        <v>28</v>
      </c>
      <c r="D83" t="s">
        <v>73</v>
      </c>
      <c r="E83" t="s">
        <v>216</v>
      </c>
      <c r="F83" t="s">
        <v>90</v>
      </c>
      <c r="G83" t="s">
        <v>215</v>
      </c>
      <c r="H83" t="s">
        <v>11</v>
      </c>
      <c r="I83" t="s">
        <v>7</v>
      </c>
      <c r="J83" t="s">
        <v>39</v>
      </c>
      <c r="K83" t="s">
        <v>74</v>
      </c>
      <c r="L83" t="s">
        <v>40</v>
      </c>
      <c r="M83">
        <v>1</v>
      </c>
    </row>
    <row r="84" spans="1:13" x14ac:dyDescent="0.25">
      <c r="A84" s="2">
        <v>46234</v>
      </c>
      <c r="B84" s="1" t="str">
        <f ca="1">IF(Información1[[#This Row],[Fecha]]='Ajuste de fechas'!$A$2,"Día actual","Día anterior")</f>
        <v>Día anterior</v>
      </c>
      <c r="C84" t="s">
        <v>28</v>
      </c>
      <c r="D84" t="s">
        <v>73</v>
      </c>
      <c r="E84" t="s">
        <v>217</v>
      </c>
      <c r="F84" t="s">
        <v>21</v>
      </c>
      <c r="G84" t="s">
        <v>111</v>
      </c>
      <c r="H84" t="s">
        <v>11</v>
      </c>
      <c r="I84" t="s">
        <v>7</v>
      </c>
      <c r="J84" t="s">
        <v>39</v>
      </c>
      <c r="K84" t="s">
        <v>67</v>
      </c>
      <c r="L84" t="s">
        <v>40</v>
      </c>
      <c r="M84">
        <v>1</v>
      </c>
    </row>
    <row r="85" spans="1:13" x14ac:dyDescent="0.25">
      <c r="A85" s="2">
        <v>46234</v>
      </c>
      <c r="B85" s="1" t="str">
        <f ca="1">IF(Información1[[#This Row],[Fecha]]='Ajuste de fechas'!$A$2,"Día actual","Día anterior")</f>
        <v>Día anterior</v>
      </c>
      <c r="C85" t="s">
        <v>76</v>
      </c>
      <c r="D85" t="s">
        <v>105</v>
      </c>
      <c r="E85" t="s">
        <v>110</v>
      </c>
      <c r="F85" t="s">
        <v>21</v>
      </c>
      <c r="G85" t="s">
        <v>111</v>
      </c>
      <c r="H85" t="s">
        <v>11</v>
      </c>
      <c r="I85" t="s">
        <v>7</v>
      </c>
      <c r="J85" t="s">
        <v>39</v>
      </c>
      <c r="K85" t="s">
        <v>106</v>
      </c>
      <c r="L85" t="s">
        <v>42</v>
      </c>
      <c r="M85">
        <v>1</v>
      </c>
    </row>
    <row r="86" spans="1:13" x14ac:dyDescent="0.25">
      <c r="A86" s="2">
        <v>46234</v>
      </c>
      <c r="B86" s="1" t="str">
        <f ca="1">IF(Información1[[#This Row],[Fecha]]='Ajuste de fechas'!$A$2,"Día actual","Día anterior")</f>
        <v>Día anterior</v>
      </c>
      <c r="C86" t="s">
        <v>8</v>
      </c>
      <c r="D86" t="s">
        <v>10</v>
      </c>
      <c r="E86" t="s">
        <v>218</v>
      </c>
      <c r="F86" t="s">
        <v>22</v>
      </c>
      <c r="G86" t="s">
        <v>219</v>
      </c>
      <c r="H86" t="s">
        <v>11</v>
      </c>
      <c r="I86" t="s">
        <v>7</v>
      </c>
      <c r="J86" t="s">
        <v>44</v>
      </c>
      <c r="K86" t="s">
        <v>14</v>
      </c>
      <c r="L86" t="s">
        <v>40</v>
      </c>
      <c r="M86">
        <v>1</v>
      </c>
    </row>
    <row r="87" spans="1:13" x14ac:dyDescent="0.25">
      <c r="A87" s="2">
        <v>46234</v>
      </c>
      <c r="B87" s="1" t="str">
        <f ca="1">IF(Información1[[#This Row],[Fecha]]='Ajuste de fechas'!$A$2,"Día actual","Día anterior")</f>
        <v>Día anterior</v>
      </c>
      <c r="C87" t="s">
        <v>28</v>
      </c>
      <c r="D87" t="s">
        <v>73</v>
      </c>
      <c r="E87" t="s">
        <v>220</v>
      </c>
      <c r="F87" t="s">
        <v>26</v>
      </c>
      <c r="G87" t="s">
        <v>78</v>
      </c>
      <c r="H87" t="s">
        <v>11</v>
      </c>
      <c r="I87" t="s">
        <v>7</v>
      </c>
      <c r="J87" t="s">
        <v>39</v>
      </c>
      <c r="K87" t="s">
        <v>67</v>
      </c>
      <c r="L87" t="s">
        <v>42</v>
      </c>
      <c r="M87">
        <v>1</v>
      </c>
    </row>
    <row r="88" spans="1:13" x14ac:dyDescent="0.25">
      <c r="A88" s="2">
        <v>46234</v>
      </c>
      <c r="B88" s="1" t="str">
        <f ca="1">IF(Información1[[#This Row],[Fecha]]='Ajuste de fechas'!$A$2,"Día actual","Día anterior")</f>
        <v>Día anterior</v>
      </c>
      <c r="C88" t="s">
        <v>68</v>
      </c>
      <c r="D88" t="s">
        <v>69</v>
      </c>
      <c r="E88" t="s">
        <v>115</v>
      </c>
      <c r="F88" t="s">
        <v>26</v>
      </c>
      <c r="G88" t="s">
        <v>78</v>
      </c>
      <c r="H88" t="s">
        <v>11</v>
      </c>
      <c r="I88" t="s">
        <v>7</v>
      </c>
      <c r="J88" t="s">
        <v>39</v>
      </c>
      <c r="K88" t="s">
        <v>70</v>
      </c>
      <c r="L88" t="s">
        <v>42</v>
      </c>
      <c r="M88">
        <v>1</v>
      </c>
    </row>
    <row r="89" spans="1:13" x14ac:dyDescent="0.25">
      <c r="A89" s="2">
        <v>46234</v>
      </c>
      <c r="B89" s="1" t="str">
        <f ca="1">IF(Información1[[#This Row],[Fecha]]='Ajuste de fechas'!$A$2,"Día actual","Día anterior")</f>
        <v>Día anterior</v>
      </c>
      <c r="C89" t="s">
        <v>28</v>
      </c>
      <c r="D89" t="s">
        <v>73</v>
      </c>
      <c r="E89" t="s">
        <v>221</v>
      </c>
      <c r="F89" t="s">
        <v>26</v>
      </c>
      <c r="G89" t="s">
        <v>78</v>
      </c>
      <c r="H89" t="s">
        <v>11</v>
      </c>
      <c r="I89" t="s">
        <v>7</v>
      </c>
      <c r="J89" t="s">
        <v>39</v>
      </c>
      <c r="K89" t="s">
        <v>74</v>
      </c>
      <c r="L89" t="s">
        <v>40</v>
      </c>
      <c r="M89">
        <v>1</v>
      </c>
    </row>
    <row r="90" spans="1:13" x14ac:dyDescent="0.25">
      <c r="A90" s="2">
        <v>46234</v>
      </c>
      <c r="B90" s="1" t="str">
        <f ca="1">IF(Información1[[#This Row],[Fecha]]='Ajuste de fechas'!$A$2,"Día actual","Día anterior")</f>
        <v>Día anterior</v>
      </c>
      <c r="C90" t="s">
        <v>28</v>
      </c>
      <c r="D90" t="s">
        <v>73</v>
      </c>
      <c r="E90" t="s">
        <v>222</v>
      </c>
      <c r="F90" t="s">
        <v>90</v>
      </c>
      <c r="G90" t="s">
        <v>223</v>
      </c>
      <c r="H90" t="s">
        <v>11</v>
      </c>
      <c r="I90" t="s">
        <v>7</v>
      </c>
      <c r="J90" t="s">
        <v>39</v>
      </c>
      <c r="K90" t="s">
        <v>74</v>
      </c>
      <c r="L90" t="s">
        <v>40</v>
      </c>
      <c r="M90">
        <v>1</v>
      </c>
    </row>
    <row r="91" spans="1:13" x14ac:dyDescent="0.25">
      <c r="A91" s="2">
        <v>46234</v>
      </c>
      <c r="B91" s="1" t="str">
        <f ca="1">IF(Información1[[#This Row],[Fecha]]='Ajuste de fechas'!$A$2,"Día actual","Día anterior")</f>
        <v>Día anterior</v>
      </c>
      <c r="C91" t="s">
        <v>8</v>
      </c>
      <c r="D91" t="s">
        <v>10</v>
      </c>
      <c r="E91" t="s">
        <v>224</v>
      </c>
      <c r="F91" t="s">
        <v>19</v>
      </c>
      <c r="G91" t="s">
        <v>225</v>
      </c>
      <c r="H91" t="s">
        <v>11</v>
      </c>
      <c r="I91" t="s">
        <v>25</v>
      </c>
      <c r="J91" t="s">
        <v>43</v>
      </c>
      <c r="K91" t="s">
        <v>9</v>
      </c>
      <c r="L91" t="s">
        <v>41</v>
      </c>
      <c r="M91">
        <v>1</v>
      </c>
    </row>
    <row r="92" spans="1:13" x14ac:dyDescent="0.25">
      <c r="A92" s="2">
        <v>46234</v>
      </c>
      <c r="B92" s="1" t="str">
        <f ca="1">IF(Información1[[#This Row],[Fecha]]='Ajuste de fechas'!$A$2,"Día actual","Día anterior")</f>
        <v>Día anterior</v>
      </c>
      <c r="C92" t="s">
        <v>8</v>
      </c>
      <c r="D92" t="s">
        <v>10</v>
      </c>
      <c r="E92" t="s">
        <v>226</v>
      </c>
      <c r="F92" t="s">
        <v>19</v>
      </c>
      <c r="G92" t="s">
        <v>225</v>
      </c>
      <c r="H92" t="s">
        <v>11</v>
      </c>
      <c r="I92" t="s">
        <v>25</v>
      </c>
      <c r="J92" t="s">
        <v>43</v>
      </c>
      <c r="K92" t="s">
        <v>9</v>
      </c>
      <c r="L92" t="s">
        <v>41</v>
      </c>
      <c r="M92">
        <v>1</v>
      </c>
    </row>
    <row r="93" spans="1:13" x14ac:dyDescent="0.25">
      <c r="A93" s="2">
        <v>46234</v>
      </c>
      <c r="B93" s="1" t="str">
        <f ca="1">IF(Información1[[#This Row],[Fecha]]='Ajuste de fechas'!$A$2,"Día actual","Día anterior")</f>
        <v>Día anterior</v>
      </c>
      <c r="C93" t="s">
        <v>8</v>
      </c>
      <c r="D93" t="s">
        <v>10</v>
      </c>
      <c r="E93" t="s">
        <v>227</v>
      </c>
      <c r="F93" t="s">
        <v>19</v>
      </c>
      <c r="G93" t="s">
        <v>225</v>
      </c>
      <c r="H93" t="s">
        <v>11</v>
      </c>
      <c r="I93" t="s">
        <v>25</v>
      </c>
      <c r="J93" t="s">
        <v>43</v>
      </c>
      <c r="K93" t="s">
        <v>9</v>
      </c>
      <c r="L93" t="s">
        <v>41</v>
      </c>
      <c r="M93">
        <v>1</v>
      </c>
    </row>
    <row r="94" spans="1:13" x14ac:dyDescent="0.25">
      <c r="A94" s="2">
        <v>46234</v>
      </c>
      <c r="B94" s="1" t="str">
        <f ca="1">IF(Información1[[#This Row],[Fecha]]='Ajuste de fechas'!$A$2,"Día actual","Día anterior")</f>
        <v>Día anterior</v>
      </c>
      <c r="C94" t="s">
        <v>8</v>
      </c>
      <c r="D94" t="s">
        <v>10</v>
      </c>
      <c r="E94" t="s">
        <v>228</v>
      </c>
      <c r="F94" t="s">
        <v>19</v>
      </c>
      <c r="G94" t="s">
        <v>225</v>
      </c>
      <c r="H94" t="s">
        <v>11</v>
      </c>
      <c r="I94" t="s">
        <v>25</v>
      </c>
      <c r="J94" t="s">
        <v>43</v>
      </c>
      <c r="K94" t="s">
        <v>9</v>
      </c>
      <c r="L94" t="s">
        <v>41</v>
      </c>
      <c r="M94">
        <v>1</v>
      </c>
    </row>
    <row r="95" spans="1:13" x14ac:dyDescent="0.25">
      <c r="A95" s="2">
        <v>46234</v>
      </c>
      <c r="B95" s="1" t="str">
        <f ca="1">IF(Información1[[#This Row],[Fecha]]='Ajuste de fechas'!$A$2,"Día actual","Día anterior")</f>
        <v>Día anterior</v>
      </c>
      <c r="C95" t="s">
        <v>50</v>
      </c>
      <c r="D95" t="s">
        <v>55</v>
      </c>
      <c r="E95" t="s">
        <v>229</v>
      </c>
      <c r="F95" t="s">
        <v>22</v>
      </c>
      <c r="G95" t="s">
        <v>230</v>
      </c>
      <c r="H95" t="s">
        <v>11</v>
      </c>
      <c r="I95" t="s">
        <v>7</v>
      </c>
      <c r="J95" t="s">
        <v>44</v>
      </c>
      <c r="K95" t="s">
        <v>112</v>
      </c>
      <c r="L95" t="s">
        <v>40</v>
      </c>
      <c r="M95">
        <v>1</v>
      </c>
    </row>
    <row r="96" spans="1:13" x14ac:dyDescent="0.25">
      <c r="A96" s="2">
        <v>46234</v>
      </c>
      <c r="B96" s="1" t="str">
        <f ca="1">IF(Información1[[#This Row],[Fecha]]='Ajuste de fechas'!$A$2,"Día actual","Día anterior")</f>
        <v>Día anterior</v>
      </c>
      <c r="C96" t="s">
        <v>50</v>
      </c>
      <c r="D96" t="s">
        <v>55</v>
      </c>
      <c r="E96" t="s">
        <v>231</v>
      </c>
      <c r="F96" t="s">
        <v>19</v>
      </c>
      <c r="G96" t="s">
        <v>232</v>
      </c>
      <c r="H96" t="s">
        <v>11</v>
      </c>
      <c r="I96" t="s">
        <v>7</v>
      </c>
      <c r="J96" t="s">
        <v>43</v>
      </c>
      <c r="K96" t="s">
        <v>112</v>
      </c>
      <c r="L96" t="s">
        <v>40</v>
      </c>
      <c r="M96">
        <v>1</v>
      </c>
    </row>
    <row r="97" spans="1:13" x14ac:dyDescent="0.25">
      <c r="A97" s="2">
        <v>46234</v>
      </c>
      <c r="B97" s="1" t="str">
        <f ca="1">IF(Información1[[#This Row],[Fecha]]='Ajuste de fechas'!$A$2,"Día actual","Día anterior")</f>
        <v>Día anterior</v>
      </c>
      <c r="C97" t="s">
        <v>50</v>
      </c>
      <c r="D97" t="s">
        <v>55</v>
      </c>
      <c r="E97" t="s">
        <v>233</v>
      </c>
      <c r="F97" t="s">
        <v>77</v>
      </c>
      <c r="G97" t="s">
        <v>83</v>
      </c>
      <c r="H97" t="s">
        <v>11</v>
      </c>
      <c r="I97" t="s">
        <v>7</v>
      </c>
      <c r="J97" t="s">
        <v>24</v>
      </c>
      <c r="K97" t="s">
        <v>51</v>
      </c>
      <c r="L97" t="s">
        <v>40</v>
      </c>
      <c r="M97">
        <v>1</v>
      </c>
    </row>
    <row r="98" spans="1:13" x14ac:dyDescent="0.25">
      <c r="A98" s="2">
        <v>46234</v>
      </c>
      <c r="B98" s="1" t="str">
        <f ca="1">IF(Información1[[#This Row],[Fecha]]='Ajuste de fechas'!$A$2,"Día actual","Día anterior")</f>
        <v>Día anterior</v>
      </c>
      <c r="C98" t="s">
        <v>50</v>
      </c>
      <c r="D98" t="s">
        <v>55</v>
      </c>
      <c r="E98" t="s">
        <v>117</v>
      </c>
      <c r="F98" t="s">
        <v>23</v>
      </c>
      <c r="G98" t="s">
        <v>234</v>
      </c>
      <c r="H98" t="s">
        <v>11</v>
      </c>
      <c r="I98" t="s">
        <v>7</v>
      </c>
      <c r="J98" t="s">
        <v>39</v>
      </c>
      <c r="K98" t="s">
        <v>51</v>
      </c>
      <c r="L98" t="s">
        <v>42</v>
      </c>
      <c r="M98">
        <v>1</v>
      </c>
    </row>
    <row r="99" spans="1:13" x14ac:dyDescent="0.25">
      <c r="A99" s="2">
        <v>46234</v>
      </c>
      <c r="B99" s="1" t="str">
        <f ca="1">IF(Información1[[#This Row],[Fecha]]='Ajuste de fechas'!$A$2,"Día actual","Día anterior")</f>
        <v>Día anterior</v>
      </c>
      <c r="C99" t="s">
        <v>63</v>
      </c>
      <c r="D99" t="s">
        <v>64</v>
      </c>
      <c r="E99" t="s">
        <v>235</v>
      </c>
      <c r="F99" t="s">
        <v>90</v>
      </c>
      <c r="G99" t="s">
        <v>215</v>
      </c>
      <c r="H99" t="s">
        <v>11</v>
      </c>
      <c r="I99" t="s">
        <v>7</v>
      </c>
      <c r="J99" t="s">
        <v>39</v>
      </c>
      <c r="K99" t="s">
        <v>65</v>
      </c>
      <c r="L99" t="s">
        <v>42</v>
      </c>
      <c r="M99">
        <v>1</v>
      </c>
    </row>
    <row r="100" spans="1:13" x14ac:dyDescent="0.25">
      <c r="A100" s="2">
        <v>46234</v>
      </c>
      <c r="B100" s="1" t="str">
        <f ca="1">IF(Información1[[#This Row],[Fecha]]='Ajuste de fechas'!$A$2,"Día actual","Día anterior")</f>
        <v>Día anterior</v>
      </c>
      <c r="C100" t="s">
        <v>63</v>
      </c>
      <c r="D100" t="s">
        <v>64</v>
      </c>
      <c r="E100" t="s">
        <v>117</v>
      </c>
      <c r="F100" t="s">
        <v>23</v>
      </c>
      <c r="G100" t="s">
        <v>118</v>
      </c>
      <c r="H100" t="s">
        <v>11</v>
      </c>
      <c r="I100" t="s">
        <v>7</v>
      </c>
      <c r="J100" t="s">
        <v>39</v>
      </c>
      <c r="K100" t="s">
        <v>65</v>
      </c>
      <c r="L100" t="s">
        <v>42</v>
      </c>
      <c r="M100">
        <v>1</v>
      </c>
    </row>
    <row r="101" spans="1:13" x14ac:dyDescent="0.25">
      <c r="A101" s="2">
        <v>46234</v>
      </c>
      <c r="B101" s="1" t="str">
        <f ca="1">IF(Información1[[#This Row],[Fecha]]='Ajuste de fechas'!$A$2,"Día actual","Día anterior")</f>
        <v>Día anterior</v>
      </c>
      <c r="C101" t="s">
        <v>63</v>
      </c>
      <c r="D101" t="s">
        <v>64</v>
      </c>
      <c r="E101" t="s">
        <v>236</v>
      </c>
      <c r="F101" t="s">
        <v>31</v>
      </c>
      <c r="G101" t="s">
        <v>82</v>
      </c>
      <c r="H101" t="s">
        <v>11</v>
      </c>
      <c r="I101" t="s">
        <v>7</v>
      </c>
      <c r="J101" t="s">
        <v>39</v>
      </c>
      <c r="K101" t="s">
        <v>65</v>
      </c>
      <c r="L101" t="s">
        <v>42</v>
      </c>
      <c r="M101">
        <v>1</v>
      </c>
    </row>
    <row r="102" spans="1:13" x14ac:dyDescent="0.25">
      <c r="A102" s="2">
        <v>46234</v>
      </c>
      <c r="B102" s="1" t="str">
        <f ca="1">IF(Información1[[#This Row],[Fecha]]='Ajuste de fechas'!$A$2,"Día actual","Día anterior")</f>
        <v>Día anterior</v>
      </c>
      <c r="C102" t="s">
        <v>63</v>
      </c>
      <c r="D102" t="s">
        <v>64</v>
      </c>
      <c r="E102" t="s">
        <v>141</v>
      </c>
      <c r="F102" t="s">
        <v>17</v>
      </c>
      <c r="G102" t="s">
        <v>142</v>
      </c>
      <c r="H102" t="s">
        <v>11</v>
      </c>
      <c r="I102" t="s">
        <v>7</v>
      </c>
      <c r="J102" t="s">
        <v>39</v>
      </c>
      <c r="K102" t="s">
        <v>65</v>
      </c>
      <c r="L102" t="s">
        <v>42</v>
      </c>
      <c r="M102">
        <v>1</v>
      </c>
    </row>
    <row r="103" spans="1:13" x14ac:dyDescent="0.25">
      <c r="A103" s="2">
        <v>46234</v>
      </c>
      <c r="B103" s="1" t="str">
        <f ca="1">IF(Información1[[#This Row],[Fecha]]='Ajuste de fechas'!$A$2,"Día actual","Día anterior")</f>
        <v>Día anterior</v>
      </c>
      <c r="C103" t="s">
        <v>63</v>
      </c>
      <c r="D103" t="s">
        <v>64</v>
      </c>
      <c r="E103" t="s">
        <v>237</v>
      </c>
      <c r="F103" t="s">
        <v>77</v>
      </c>
      <c r="G103" t="s">
        <v>215</v>
      </c>
      <c r="H103" t="s">
        <v>11</v>
      </c>
      <c r="I103" t="s">
        <v>7</v>
      </c>
      <c r="J103" t="s">
        <v>24</v>
      </c>
      <c r="K103" t="s">
        <v>65</v>
      </c>
      <c r="L103" t="s">
        <v>40</v>
      </c>
      <c r="M103">
        <v>1</v>
      </c>
    </row>
    <row r="104" spans="1:13" x14ac:dyDescent="0.25">
      <c r="A104" s="2">
        <v>46234</v>
      </c>
      <c r="B104" s="1" t="str">
        <f ca="1">IF(Información1[[#This Row],[Fecha]]='Ajuste de fechas'!$A$2,"Día actual","Día anterior")</f>
        <v>Día anterior</v>
      </c>
      <c r="C104" t="s">
        <v>63</v>
      </c>
      <c r="D104" t="s">
        <v>64</v>
      </c>
      <c r="E104" t="s">
        <v>238</v>
      </c>
      <c r="F104" t="s">
        <v>79</v>
      </c>
      <c r="G104" t="s">
        <v>239</v>
      </c>
      <c r="H104" t="s">
        <v>11</v>
      </c>
      <c r="I104" t="s">
        <v>7</v>
      </c>
      <c r="J104" t="s">
        <v>39</v>
      </c>
      <c r="K104" t="s">
        <v>65</v>
      </c>
      <c r="L104" t="s">
        <v>42</v>
      </c>
      <c r="M104">
        <v>1</v>
      </c>
    </row>
    <row r="105" spans="1:13" x14ac:dyDescent="0.25">
      <c r="A105" s="2">
        <v>46234</v>
      </c>
      <c r="B105" s="1" t="str">
        <f ca="1">IF(Información1[[#This Row],[Fecha]]='Ajuste de fechas'!$A$2,"Día actual","Día anterior")</f>
        <v>Día anterior</v>
      </c>
      <c r="C105" t="s">
        <v>63</v>
      </c>
      <c r="D105" t="s">
        <v>64</v>
      </c>
      <c r="E105" t="s">
        <v>240</v>
      </c>
      <c r="F105" t="s">
        <v>90</v>
      </c>
      <c r="G105" t="s">
        <v>92</v>
      </c>
      <c r="H105" t="s">
        <v>11</v>
      </c>
      <c r="I105" t="s">
        <v>7</v>
      </c>
      <c r="J105" t="s">
        <v>39</v>
      </c>
      <c r="K105" t="s">
        <v>65</v>
      </c>
      <c r="L105" t="s">
        <v>42</v>
      </c>
      <c r="M105">
        <v>1</v>
      </c>
    </row>
    <row r="106" spans="1:13" x14ac:dyDescent="0.25">
      <c r="A106" s="2">
        <v>46234</v>
      </c>
      <c r="B106" s="1" t="str">
        <f ca="1">IF(Información1[[#This Row],[Fecha]]='Ajuste de fechas'!$A$2,"Día actual","Día anterior")</f>
        <v>Día anterior</v>
      </c>
      <c r="C106" t="s">
        <v>63</v>
      </c>
      <c r="D106" t="s">
        <v>64</v>
      </c>
      <c r="E106" t="s">
        <v>241</v>
      </c>
      <c r="F106" t="s">
        <v>100</v>
      </c>
      <c r="G106" t="s">
        <v>116</v>
      </c>
      <c r="H106" t="s">
        <v>11</v>
      </c>
      <c r="I106" t="s">
        <v>7</v>
      </c>
      <c r="J106" t="s">
        <v>39</v>
      </c>
      <c r="K106" t="s">
        <v>65</v>
      </c>
      <c r="L106" t="s">
        <v>42</v>
      </c>
      <c r="M106">
        <v>1</v>
      </c>
    </row>
    <row r="107" spans="1:13" x14ac:dyDescent="0.25">
      <c r="A107" s="2">
        <v>46234</v>
      </c>
      <c r="B107" s="1" t="str">
        <f ca="1">IF(Información1[[#This Row],[Fecha]]='Ajuste de fechas'!$A$2,"Día actual","Día anterior")</f>
        <v>Día anterior</v>
      </c>
      <c r="C107" t="s">
        <v>63</v>
      </c>
      <c r="D107" t="s">
        <v>64</v>
      </c>
      <c r="E107" t="s">
        <v>242</v>
      </c>
      <c r="F107" t="s">
        <v>21</v>
      </c>
      <c r="G107" t="s">
        <v>243</v>
      </c>
      <c r="H107" t="s">
        <v>11</v>
      </c>
      <c r="I107" t="s">
        <v>7</v>
      </c>
      <c r="J107" t="s">
        <v>39</v>
      </c>
      <c r="K107" t="s">
        <v>65</v>
      </c>
      <c r="L107" t="s">
        <v>42</v>
      </c>
      <c r="M107">
        <v>1</v>
      </c>
    </row>
    <row r="108" spans="1:13" x14ac:dyDescent="0.25">
      <c r="A108" s="2">
        <v>46234</v>
      </c>
      <c r="B108" s="1" t="str">
        <f ca="1">IF(Información1[[#This Row],[Fecha]]='Ajuste de fechas'!$A$2,"Día actual","Día anterior")</f>
        <v>Día anterior</v>
      </c>
      <c r="C108" t="s">
        <v>63</v>
      </c>
      <c r="D108" t="s">
        <v>64</v>
      </c>
      <c r="E108" t="s">
        <v>244</v>
      </c>
      <c r="F108" t="s">
        <v>26</v>
      </c>
      <c r="G108" t="s">
        <v>78</v>
      </c>
      <c r="H108" t="s">
        <v>11</v>
      </c>
      <c r="I108" t="s">
        <v>7</v>
      </c>
      <c r="J108" t="s">
        <v>39</v>
      </c>
      <c r="K108" t="s">
        <v>65</v>
      </c>
      <c r="L108" t="s">
        <v>42</v>
      </c>
      <c r="M108">
        <v>1</v>
      </c>
    </row>
    <row r="109" spans="1:13" x14ac:dyDescent="0.25">
      <c r="A109" s="2">
        <v>46234</v>
      </c>
      <c r="B109" s="1" t="str">
        <f ca="1">IF(Información1[[#This Row],[Fecha]]='Ajuste de fechas'!$A$2,"Día actual","Día anterior")</f>
        <v>Día anterior</v>
      </c>
      <c r="C109" t="s">
        <v>63</v>
      </c>
      <c r="D109" t="s">
        <v>64</v>
      </c>
      <c r="E109" t="s">
        <v>245</v>
      </c>
      <c r="F109" t="s">
        <v>26</v>
      </c>
      <c r="G109" t="s">
        <v>78</v>
      </c>
      <c r="H109" t="s">
        <v>11</v>
      </c>
      <c r="I109" t="s">
        <v>7</v>
      </c>
      <c r="J109" t="s">
        <v>39</v>
      </c>
      <c r="K109" t="s">
        <v>65</v>
      </c>
      <c r="L109" t="s">
        <v>42</v>
      </c>
      <c r="M109">
        <v>1</v>
      </c>
    </row>
    <row r="110" spans="1:13" x14ac:dyDescent="0.25">
      <c r="A110" s="2">
        <v>46234</v>
      </c>
      <c r="B110" s="1" t="str">
        <f ca="1">IF(Información1[[#This Row],[Fecha]]='Ajuste de fechas'!$A$2,"Día actual","Día anterior")</f>
        <v>Día anterior</v>
      </c>
      <c r="C110" t="s">
        <v>50</v>
      </c>
      <c r="D110" t="s">
        <v>52</v>
      </c>
      <c r="E110" t="s">
        <v>246</v>
      </c>
      <c r="F110" t="s">
        <v>24</v>
      </c>
      <c r="G110" t="s">
        <v>247</v>
      </c>
      <c r="H110" t="s">
        <v>11</v>
      </c>
      <c r="I110" t="s">
        <v>7</v>
      </c>
      <c r="J110" t="s">
        <v>24</v>
      </c>
      <c r="K110" t="s">
        <v>51</v>
      </c>
      <c r="L110" t="s">
        <v>40</v>
      </c>
      <c r="M110">
        <v>1</v>
      </c>
    </row>
    <row r="111" spans="1:13" x14ac:dyDescent="0.25">
      <c r="A111" s="2">
        <v>46234</v>
      </c>
      <c r="B111" s="1" t="str">
        <f ca="1">IF(Información1[[#This Row],[Fecha]]='Ajuste de fechas'!$A$2,"Día actual","Día anterior")</f>
        <v>Día anterior</v>
      </c>
      <c r="C111" t="s">
        <v>50</v>
      </c>
      <c r="D111" t="s">
        <v>52</v>
      </c>
      <c r="E111" t="s">
        <v>248</v>
      </c>
      <c r="F111" t="s">
        <v>19</v>
      </c>
      <c r="G111" t="s">
        <v>126</v>
      </c>
      <c r="H111" t="s">
        <v>11</v>
      </c>
      <c r="I111" t="s">
        <v>7</v>
      </c>
      <c r="J111" t="s">
        <v>43</v>
      </c>
      <c r="K111" t="s">
        <v>51</v>
      </c>
      <c r="L111" t="s">
        <v>71</v>
      </c>
      <c r="M111">
        <v>1</v>
      </c>
    </row>
    <row r="112" spans="1:13" x14ac:dyDescent="0.25">
      <c r="A112" s="2">
        <v>46234</v>
      </c>
      <c r="B112" s="1" t="str">
        <f ca="1">IF(Información1[[#This Row],[Fecha]]='Ajuste de fechas'!$A$2,"Día actual","Día anterior")</f>
        <v>Día anterior</v>
      </c>
      <c r="C112" t="s">
        <v>50</v>
      </c>
      <c r="D112" t="s">
        <v>52</v>
      </c>
      <c r="E112" t="s">
        <v>249</v>
      </c>
      <c r="F112" t="s">
        <v>19</v>
      </c>
      <c r="G112" t="s">
        <v>144</v>
      </c>
      <c r="H112" t="s">
        <v>11</v>
      </c>
      <c r="I112" t="s">
        <v>7</v>
      </c>
      <c r="J112" t="s">
        <v>43</v>
      </c>
      <c r="K112" t="s">
        <v>51</v>
      </c>
      <c r="L112" t="s">
        <v>40</v>
      </c>
      <c r="M112">
        <v>1</v>
      </c>
    </row>
    <row r="113" spans="1:13" x14ac:dyDescent="0.25">
      <c r="A113" s="2">
        <v>46234</v>
      </c>
      <c r="B113" s="1" t="str">
        <f ca="1">IF(Información1[[#This Row],[Fecha]]='Ajuste de fechas'!$A$2,"Día actual","Día anterior")</f>
        <v>Día anterior</v>
      </c>
      <c r="C113" t="s">
        <v>50</v>
      </c>
      <c r="D113" t="s">
        <v>52</v>
      </c>
      <c r="E113" t="s">
        <v>250</v>
      </c>
      <c r="F113" t="s">
        <v>19</v>
      </c>
      <c r="G113" t="s">
        <v>91</v>
      </c>
      <c r="H113" t="s">
        <v>11</v>
      </c>
      <c r="I113" t="s">
        <v>7</v>
      </c>
      <c r="J113" t="s">
        <v>43</v>
      </c>
      <c r="K113" t="s">
        <v>51</v>
      </c>
      <c r="L113" t="s">
        <v>40</v>
      </c>
      <c r="M113">
        <v>1</v>
      </c>
    </row>
    <row r="114" spans="1:13" x14ac:dyDescent="0.25">
      <c r="A114" s="2">
        <v>46234</v>
      </c>
      <c r="B114" s="1" t="str">
        <f ca="1">IF(Información1[[#This Row],[Fecha]]='Ajuste de fechas'!$A$2,"Día actual","Día anterior")</f>
        <v>Día anterior</v>
      </c>
      <c r="C114" t="s">
        <v>50</v>
      </c>
      <c r="D114" t="s">
        <v>52</v>
      </c>
      <c r="E114" t="s">
        <v>251</v>
      </c>
      <c r="F114" t="s">
        <v>19</v>
      </c>
      <c r="G114" t="s">
        <v>252</v>
      </c>
      <c r="H114" t="s">
        <v>11</v>
      </c>
      <c r="I114" t="s">
        <v>7</v>
      </c>
      <c r="J114" t="s">
        <v>43</v>
      </c>
      <c r="K114" t="s">
        <v>51</v>
      </c>
      <c r="L114" t="s">
        <v>40</v>
      </c>
      <c r="M114">
        <v>1</v>
      </c>
    </row>
    <row r="115" spans="1:13" x14ac:dyDescent="0.25">
      <c r="A115" s="2">
        <v>46234</v>
      </c>
      <c r="B115" s="1" t="str">
        <f ca="1">IF(Información1[[#This Row],[Fecha]]='Ajuste de fechas'!$A$2,"Día actual","Día anterior")</f>
        <v>Día anterior</v>
      </c>
      <c r="C115" t="s">
        <v>50</v>
      </c>
      <c r="D115" t="s">
        <v>52</v>
      </c>
      <c r="E115" t="s">
        <v>253</v>
      </c>
      <c r="F115" t="s">
        <v>19</v>
      </c>
      <c r="G115" t="s">
        <v>254</v>
      </c>
      <c r="H115" t="s">
        <v>11</v>
      </c>
      <c r="I115" t="s">
        <v>7</v>
      </c>
      <c r="J115" t="s">
        <v>43</v>
      </c>
      <c r="K115" t="s">
        <v>49</v>
      </c>
      <c r="L115" t="s">
        <v>40</v>
      </c>
      <c r="M115">
        <v>1</v>
      </c>
    </row>
    <row r="116" spans="1:13" x14ac:dyDescent="0.25">
      <c r="A116" s="2">
        <v>46234</v>
      </c>
      <c r="B116" s="1" t="str">
        <f ca="1">IF(Información1[[#This Row],[Fecha]]='Ajuste de fechas'!$A$2,"Día actual","Día anterior")</f>
        <v>Día anterior</v>
      </c>
      <c r="C116" t="s">
        <v>50</v>
      </c>
      <c r="D116" t="s">
        <v>52</v>
      </c>
      <c r="E116" t="s">
        <v>255</v>
      </c>
      <c r="F116" t="s">
        <v>23</v>
      </c>
      <c r="G116" t="s">
        <v>85</v>
      </c>
      <c r="H116" t="s">
        <v>11</v>
      </c>
      <c r="I116" t="s">
        <v>7</v>
      </c>
      <c r="J116" t="s">
        <v>39</v>
      </c>
      <c r="K116" t="s">
        <v>49</v>
      </c>
      <c r="L116" t="s">
        <v>40</v>
      </c>
      <c r="M116">
        <v>1</v>
      </c>
    </row>
    <row r="117" spans="1:13" x14ac:dyDescent="0.25">
      <c r="A117" s="2">
        <v>46234</v>
      </c>
      <c r="B117" s="1" t="str">
        <f ca="1">IF(Información1[[#This Row],[Fecha]]='Ajuste de fechas'!$A$2,"Día actual","Día anterior")</f>
        <v>Día anterior</v>
      </c>
      <c r="C117" t="s">
        <v>50</v>
      </c>
      <c r="D117" t="s">
        <v>52</v>
      </c>
      <c r="E117" t="s">
        <v>256</v>
      </c>
      <c r="F117" t="s">
        <v>90</v>
      </c>
      <c r="G117" t="s">
        <v>92</v>
      </c>
      <c r="H117" t="s">
        <v>11</v>
      </c>
      <c r="I117" t="s">
        <v>7</v>
      </c>
      <c r="J117" t="s">
        <v>39</v>
      </c>
      <c r="K117" t="s">
        <v>49</v>
      </c>
      <c r="L117" t="s">
        <v>71</v>
      </c>
      <c r="M117">
        <v>1</v>
      </c>
    </row>
    <row r="118" spans="1:13" x14ac:dyDescent="0.25">
      <c r="A118" s="2">
        <v>46234</v>
      </c>
      <c r="B118" s="1" t="str">
        <f ca="1">IF(Información1[[#This Row],[Fecha]]='Ajuste de fechas'!$A$2,"Día actual","Día anterior")</f>
        <v>Día anterior</v>
      </c>
      <c r="C118" t="s">
        <v>50</v>
      </c>
      <c r="D118" t="s">
        <v>52</v>
      </c>
      <c r="E118" t="s">
        <v>238</v>
      </c>
      <c r="F118" t="s">
        <v>79</v>
      </c>
      <c r="G118" t="s">
        <v>239</v>
      </c>
      <c r="H118" t="s">
        <v>11</v>
      </c>
      <c r="I118" t="s">
        <v>7</v>
      </c>
      <c r="J118" t="s">
        <v>39</v>
      </c>
      <c r="K118" t="s">
        <v>49</v>
      </c>
      <c r="L118" t="s">
        <v>42</v>
      </c>
      <c r="M118">
        <v>1</v>
      </c>
    </row>
    <row r="119" spans="1:13" x14ac:dyDescent="0.25">
      <c r="A119" s="2">
        <v>46234</v>
      </c>
      <c r="B119" s="1" t="str">
        <f ca="1">IF(Información1[[#This Row],[Fecha]]='Ajuste de fechas'!$A$2,"Día actual","Día anterior")</f>
        <v>Día anterior</v>
      </c>
      <c r="C119" t="s">
        <v>50</v>
      </c>
      <c r="D119" t="s">
        <v>52</v>
      </c>
      <c r="E119" t="s">
        <v>113</v>
      </c>
      <c r="F119" t="s">
        <v>23</v>
      </c>
      <c r="G119" t="s">
        <v>107</v>
      </c>
      <c r="H119" t="s">
        <v>11</v>
      </c>
      <c r="I119" t="s">
        <v>7</v>
      </c>
      <c r="J119" t="s">
        <v>39</v>
      </c>
      <c r="K119" t="s">
        <v>51</v>
      </c>
      <c r="L119" t="s">
        <v>42</v>
      </c>
      <c r="M119">
        <v>1</v>
      </c>
    </row>
    <row r="120" spans="1:13" x14ac:dyDescent="0.25">
      <c r="A120" s="2">
        <v>46234</v>
      </c>
      <c r="B120" s="1" t="str">
        <f ca="1">IF(Información1[[#This Row],[Fecha]]='Ajuste de fechas'!$A$2,"Día actual","Día anterior")</f>
        <v>Día anterior</v>
      </c>
      <c r="C120" t="s">
        <v>50</v>
      </c>
      <c r="D120" t="s">
        <v>52</v>
      </c>
      <c r="E120" t="s">
        <v>257</v>
      </c>
      <c r="F120" t="s">
        <v>77</v>
      </c>
      <c r="G120" t="s">
        <v>215</v>
      </c>
      <c r="H120" t="s">
        <v>11</v>
      </c>
      <c r="I120" t="s">
        <v>7</v>
      </c>
      <c r="J120" t="s">
        <v>24</v>
      </c>
      <c r="K120" t="s">
        <v>51</v>
      </c>
      <c r="L120" t="s">
        <v>40</v>
      </c>
      <c r="M120">
        <v>1</v>
      </c>
    </row>
    <row r="121" spans="1:13" x14ac:dyDescent="0.25">
      <c r="A121" s="2">
        <v>46234</v>
      </c>
      <c r="B121" s="1" t="str">
        <f ca="1">IF(Información1[[#This Row],[Fecha]]='Ajuste de fechas'!$A$2,"Día actual","Día anterior")</f>
        <v>Día anterior</v>
      </c>
      <c r="C121" t="s">
        <v>258</v>
      </c>
      <c r="D121" t="s">
        <v>259</v>
      </c>
      <c r="E121" t="s">
        <v>260</v>
      </c>
      <c r="F121" t="s">
        <v>17</v>
      </c>
      <c r="G121" t="s">
        <v>261</v>
      </c>
      <c r="H121" t="s">
        <v>57</v>
      </c>
      <c r="I121" t="s">
        <v>25</v>
      </c>
      <c r="J121" t="s">
        <v>39</v>
      </c>
      <c r="K121" t="s">
        <v>262</v>
      </c>
      <c r="L121" t="s">
        <v>40</v>
      </c>
      <c r="M121">
        <v>1</v>
      </c>
    </row>
    <row r="122" spans="1:13" x14ac:dyDescent="0.25">
      <c r="A122" s="2">
        <v>46237</v>
      </c>
      <c r="B122" s="1" t="str">
        <f ca="1">IF(Información1[[#This Row],[Fecha]]='Ajuste de fechas'!$A$2,"Día actual","Día anterior")</f>
        <v>Día actual</v>
      </c>
      <c r="C122" t="s">
        <v>76</v>
      </c>
      <c r="D122" t="s">
        <v>105</v>
      </c>
      <c r="E122" t="s">
        <v>263</v>
      </c>
      <c r="F122" t="s">
        <v>93</v>
      </c>
      <c r="G122" t="s">
        <v>264</v>
      </c>
      <c r="H122" t="s">
        <v>11</v>
      </c>
      <c r="I122" t="s">
        <v>7</v>
      </c>
      <c r="J122" t="s">
        <v>39</v>
      </c>
      <c r="K122" t="s">
        <v>106</v>
      </c>
      <c r="L122" t="s">
        <v>42</v>
      </c>
      <c r="M122">
        <v>1</v>
      </c>
    </row>
    <row r="123" spans="1:13" x14ac:dyDescent="0.25">
      <c r="A123" s="2">
        <v>46237</v>
      </c>
      <c r="B123" s="1" t="str">
        <f ca="1">IF(Información1[[#This Row],[Fecha]]='Ajuste de fechas'!$A$2,"Día actual","Día anterior")</f>
        <v>Día actual</v>
      </c>
      <c r="C123" t="s">
        <v>28</v>
      </c>
      <c r="D123" t="s">
        <v>66</v>
      </c>
      <c r="E123" t="s">
        <v>265</v>
      </c>
      <c r="F123" t="s">
        <v>19</v>
      </c>
      <c r="G123" t="s">
        <v>109</v>
      </c>
      <c r="H123" t="s">
        <v>11</v>
      </c>
      <c r="I123" t="s">
        <v>25</v>
      </c>
      <c r="J123" t="s">
        <v>43</v>
      </c>
      <c r="K123" t="s">
        <v>67</v>
      </c>
      <c r="L123" t="s">
        <v>40</v>
      </c>
      <c r="M123">
        <v>1</v>
      </c>
    </row>
    <row r="124" spans="1:13" x14ac:dyDescent="0.25">
      <c r="A124" s="2">
        <v>46237</v>
      </c>
      <c r="B124" s="1" t="str">
        <f ca="1">IF(Información1[[#This Row],[Fecha]]='Ajuste de fechas'!$A$2,"Día actual","Día anterior")</f>
        <v>Día actual</v>
      </c>
      <c r="C124" t="s">
        <v>28</v>
      </c>
      <c r="D124" t="s">
        <v>66</v>
      </c>
      <c r="E124" t="s">
        <v>266</v>
      </c>
      <c r="F124" t="s">
        <v>19</v>
      </c>
      <c r="G124" t="s">
        <v>81</v>
      </c>
      <c r="H124" t="s">
        <v>11</v>
      </c>
      <c r="I124" t="s">
        <v>25</v>
      </c>
      <c r="J124" t="s">
        <v>43</v>
      </c>
      <c r="K124" t="s">
        <v>67</v>
      </c>
      <c r="L124" t="s">
        <v>40</v>
      </c>
      <c r="M124">
        <v>1</v>
      </c>
    </row>
    <row r="125" spans="1:13" x14ac:dyDescent="0.25">
      <c r="A125" s="2">
        <v>46237</v>
      </c>
      <c r="B125" s="1" t="str">
        <f ca="1">IF(Información1[[#This Row],[Fecha]]='Ajuste de fechas'!$A$2,"Día actual","Día anterior")</f>
        <v>Día actual</v>
      </c>
      <c r="C125" t="s">
        <v>28</v>
      </c>
      <c r="D125" t="s">
        <v>66</v>
      </c>
      <c r="E125" t="s">
        <v>267</v>
      </c>
      <c r="F125" t="s">
        <v>19</v>
      </c>
      <c r="G125" t="s">
        <v>81</v>
      </c>
      <c r="H125" t="s">
        <v>11</v>
      </c>
      <c r="I125" t="s">
        <v>25</v>
      </c>
      <c r="J125" t="s">
        <v>43</v>
      </c>
      <c r="K125" t="s">
        <v>67</v>
      </c>
      <c r="L125" t="s">
        <v>40</v>
      </c>
      <c r="M125">
        <v>1</v>
      </c>
    </row>
    <row r="126" spans="1:13" x14ac:dyDescent="0.25">
      <c r="A126" s="2">
        <v>46237</v>
      </c>
      <c r="B126" s="1" t="str">
        <f ca="1">IF(Información1[[#This Row],[Fecha]]='Ajuste de fechas'!$A$2,"Día actual","Día anterior")</f>
        <v>Día actual</v>
      </c>
      <c r="C126" t="s">
        <v>28</v>
      </c>
      <c r="D126" t="s">
        <v>66</v>
      </c>
      <c r="E126" t="s">
        <v>268</v>
      </c>
      <c r="F126" t="s">
        <v>23</v>
      </c>
      <c r="G126" t="s">
        <v>269</v>
      </c>
      <c r="H126" t="s">
        <v>11</v>
      </c>
      <c r="I126" t="s">
        <v>25</v>
      </c>
      <c r="J126" t="s">
        <v>39</v>
      </c>
      <c r="K126" t="s">
        <v>67</v>
      </c>
      <c r="L126" t="s">
        <v>40</v>
      </c>
      <c r="M126">
        <v>1</v>
      </c>
    </row>
    <row r="127" spans="1:13" x14ac:dyDescent="0.25">
      <c r="A127" s="2">
        <v>46237</v>
      </c>
      <c r="B127" s="1" t="str">
        <f ca="1">IF(Información1[[#This Row],[Fecha]]='Ajuste de fechas'!$A$2,"Día actual","Día anterior")</f>
        <v>Día actual</v>
      </c>
      <c r="C127" t="s">
        <v>28</v>
      </c>
      <c r="D127" t="s">
        <v>66</v>
      </c>
      <c r="E127" t="s">
        <v>270</v>
      </c>
      <c r="F127" t="s">
        <v>19</v>
      </c>
      <c r="G127" t="s">
        <v>271</v>
      </c>
      <c r="H127" t="s">
        <v>11</v>
      </c>
      <c r="I127" t="s">
        <v>25</v>
      </c>
      <c r="J127" t="s">
        <v>43</v>
      </c>
      <c r="K127" t="s">
        <v>67</v>
      </c>
      <c r="L127" t="s">
        <v>40</v>
      </c>
      <c r="M127">
        <v>1</v>
      </c>
    </row>
    <row r="128" spans="1:13" x14ac:dyDescent="0.25">
      <c r="A128" s="2">
        <v>46237</v>
      </c>
      <c r="B128" s="1" t="str">
        <f ca="1">IF(Información1[[#This Row],[Fecha]]='Ajuste de fechas'!$A$2,"Día actual","Día anterior")</f>
        <v>Día actual</v>
      </c>
      <c r="C128" t="s">
        <v>28</v>
      </c>
      <c r="D128" t="s">
        <v>66</v>
      </c>
      <c r="E128" t="s">
        <v>272</v>
      </c>
      <c r="F128" t="s">
        <v>19</v>
      </c>
      <c r="G128" t="s">
        <v>271</v>
      </c>
      <c r="H128" t="s">
        <v>11</v>
      </c>
      <c r="I128" t="s">
        <v>7</v>
      </c>
      <c r="J128" t="s">
        <v>43</v>
      </c>
      <c r="K128" t="s">
        <v>67</v>
      </c>
      <c r="L128" t="s">
        <v>40</v>
      </c>
      <c r="M128">
        <v>1</v>
      </c>
    </row>
    <row r="129" spans="1:13" x14ac:dyDescent="0.25">
      <c r="A129" s="2">
        <v>46237</v>
      </c>
      <c r="B129" s="1" t="str">
        <f ca="1">IF(Información1[[#This Row],[Fecha]]='Ajuste de fechas'!$A$2,"Día actual","Día anterior")</f>
        <v>Día actual</v>
      </c>
      <c r="C129" t="s">
        <v>28</v>
      </c>
      <c r="D129" t="s">
        <v>66</v>
      </c>
      <c r="E129" t="s">
        <v>273</v>
      </c>
      <c r="F129" t="s">
        <v>19</v>
      </c>
      <c r="G129" t="s">
        <v>274</v>
      </c>
      <c r="H129" t="s">
        <v>11</v>
      </c>
      <c r="I129" t="s">
        <v>7</v>
      </c>
      <c r="J129" t="s">
        <v>43</v>
      </c>
      <c r="K129" t="s">
        <v>67</v>
      </c>
      <c r="L129" t="s">
        <v>40</v>
      </c>
      <c r="M129">
        <v>1</v>
      </c>
    </row>
    <row r="130" spans="1:13" x14ac:dyDescent="0.25">
      <c r="A130" s="2">
        <v>46237</v>
      </c>
      <c r="B130" s="1" t="str">
        <f ca="1">IF(Información1[[#This Row],[Fecha]]='Ajuste de fechas'!$A$2,"Día actual","Día anterior")</f>
        <v>Día actual</v>
      </c>
      <c r="C130" t="s">
        <v>28</v>
      </c>
      <c r="D130" t="s">
        <v>66</v>
      </c>
      <c r="E130" t="s">
        <v>275</v>
      </c>
      <c r="F130" t="s">
        <v>19</v>
      </c>
      <c r="G130" t="s">
        <v>276</v>
      </c>
      <c r="H130" t="s">
        <v>11</v>
      </c>
      <c r="I130" t="s">
        <v>7</v>
      </c>
      <c r="J130" t="s">
        <v>43</v>
      </c>
      <c r="K130" t="s">
        <v>67</v>
      </c>
      <c r="L130" t="s">
        <v>40</v>
      </c>
      <c r="M130">
        <v>1</v>
      </c>
    </row>
    <row r="131" spans="1:13" x14ac:dyDescent="0.25">
      <c r="A131" s="2">
        <v>46237</v>
      </c>
      <c r="B131" s="1" t="str">
        <f ca="1">IF(Información1[[#This Row],[Fecha]]='Ajuste de fechas'!$A$2,"Día actual","Día anterior")</f>
        <v>Día actual</v>
      </c>
      <c r="C131" t="s">
        <v>28</v>
      </c>
      <c r="D131" t="s">
        <v>66</v>
      </c>
      <c r="E131" t="s">
        <v>277</v>
      </c>
      <c r="F131" t="s">
        <v>19</v>
      </c>
      <c r="G131" t="s">
        <v>109</v>
      </c>
      <c r="H131" t="s">
        <v>11</v>
      </c>
      <c r="I131" t="s">
        <v>7</v>
      </c>
      <c r="J131" t="s">
        <v>43</v>
      </c>
      <c r="K131" t="s">
        <v>67</v>
      </c>
      <c r="L131" t="s">
        <v>40</v>
      </c>
      <c r="M131">
        <v>1</v>
      </c>
    </row>
    <row r="132" spans="1:13" x14ac:dyDescent="0.25">
      <c r="A132" s="2">
        <v>46237</v>
      </c>
      <c r="B132" s="1" t="str">
        <f ca="1">IF(Información1[[#This Row],[Fecha]]='Ajuste de fechas'!$A$2,"Día actual","Día anterior")</f>
        <v>Día actual</v>
      </c>
      <c r="C132" t="s">
        <v>28</v>
      </c>
      <c r="D132" t="s">
        <v>66</v>
      </c>
      <c r="E132" t="s">
        <v>278</v>
      </c>
      <c r="F132" t="s">
        <v>26</v>
      </c>
      <c r="G132" t="s">
        <v>279</v>
      </c>
      <c r="H132" t="s">
        <v>11</v>
      </c>
      <c r="I132" t="s">
        <v>7</v>
      </c>
      <c r="J132" t="s">
        <v>39</v>
      </c>
      <c r="K132" t="s">
        <v>67</v>
      </c>
      <c r="L132" t="s">
        <v>40</v>
      </c>
      <c r="M132">
        <v>1</v>
      </c>
    </row>
    <row r="133" spans="1:13" x14ac:dyDescent="0.25">
      <c r="A133" s="2">
        <v>46237</v>
      </c>
      <c r="B133" s="1" t="str">
        <f ca="1">IF(Información1[[#This Row],[Fecha]]='Ajuste de fechas'!$A$2,"Día actual","Día anterior")</f>
        <v>Día actual</v>
      </c>
      <c r="C133" t="s">
        <v>28</v>
      </c>
      <c r="D133" t="s">
        <v>66</v>
      </c>
      <c r="E133" t="s">
        <v>280</v>
      </c>
      <c r="F133" t="s">
        <v>19</v>
      </c>
      <c r="G133" t="s">
        <v>281</v>
      </c>
      <c r="H133" t="s">
        <v>11</v>
      </c>
      <c r="I133" t="s">
        <v>7</v>
      </c>
      <c r="J133" t="s">
        <v>43</v>
      </c>
      <c r="K133" t="s">
        <v>67</v>
      </c>
      <c r="L133" t="s">
        <v>40</v>
      </c>
      <c r="M133">
        <v>1</v>
      </c>
    </row>
    <row r="134" spans="1:13" x14ac:dyDescent="0.25">
      <c r="A134" s="2">
        <v>46237</v>
      </c>
      <c r="B134" s="1" t="str">
        <f ca="1">IF(Información1[[#This Row],[Fecha]]='Ajuste de fechas'!$A$2,"Día actual","Día anterior")</f>
        <v>Día actual</v>
      </c>
      <c r="C134" t="s">
        <v>28</v>
      </c>
      <c r="D134" t="s">
        <v>66</v>
      </c>
      <c r="E134" t="s">
        <v>282</v>
      </c>
      <c r="F134" t="s">
        <v>31</v>
      </c>
      <c r="G134" t="s">
        <v>283</v>
      </c>
      <c r="H134" t="s">
        <v>11</v>
      </c>
      <c r="I134" t="s">
        <v>7</v>
      </c>
      <c r="J134" t="s">
        <v>39</v>
      </c>
      <c r="K134" t="s">
        <v>67</v>
      </c>
      <c r="L134" t="s">
        <v>40</v>
      </c>
      <c r="M134">
        <v>1</v>
      </c>
    </row>
    <row r="135" spans="1:13" x14ac:dyDescent="0.25">
      <c r="A135" s="2">
        <v>46237</v>
      </c>
      <c r="B135" s="1" t="str">
        <f ca="1">IF(Información1[[#This Row],[Fecha]]='Ajuste de fechas'!$A$2,"Día actual","Día anterior")</f>
        <v>Día actual</v>
      </c>
      <c r="C135" t="s">
        <v>28</v>
      </c>
      <c r="D135" t="s">
        <v>66</v>
      </c>
      <c r="E135" t="s">
        <v>284</v>
      </c>
      <c r="F135" t="s">
        <v>100</v>
      </c>
      <c r="G135" t="s">
        <v>283</v>
      </c>
      <c r="H135" t="s">
        <v>11</v>
      </c>
      <c r="I135" t="s">
        <v>7</v>
      </c>
      <c r="J135" t="s">
        <v>39</v>
      </c>
      <c r="K135" t="s">
        <v>67</v>
      </c>
      <c r="L135" t="s">
        <v>40</v>
      </c>
      <c r="M135">
        <v>1</v>
      </c>
    </row>
    <row r="136" spans="1:13" x14ac:dyDescent="0.25">
      <c r="A136" s="2">
        <v>46237</v>
      </c>
      <c r="B136" s="1" t="str">
        <f ca="1">IF(Información1[[#This Row],[Fecha]]='Ajuste de fechas'!$A$2,"Día actual","Día anterior")</f>
        <v>Día actual</v>
      </c>
      <c r="C136" t="s">
        <v>28</v>
      </c>
      <c r="D136" t="s">
        <v>66</v>
      </c>
      <c r="E136" t="s">
        <v>285</v>
      </c>
      <c r="F136" t="s">
        <v>100</v>
      </c>
      <c r="G136" t="s">
        <v>283</v>
      </c>
      <c r="H136" t="s">
        <v>11</v>
      </c>
      <c r="I136" t="s">
        <v>7</v>
      </c>
      <c r="J136" t="s">
        <v>39</v>
      </c>
      <c r="K136" t="s">
        <v>67</v>
      </c>
      <c r="L136" t="s">
        <v>40</v>
      </c>
      <c r="M136">
        <v>1</v>
      </c>
    </row>
    <row r="137" spans="1:13" x14ac:dyDescent="0.25">
      <c r="A137" s="2">
        <v>46237</v>
      </c>
      <c r="B137" s="1" t="str">
        <f ca="1">IF(Información1[[#This Row],[Fecha]]='Ajuste de fechas'!$A$2,"Día actual","Día anterior")</f>
        <v>Día actual</v>
      </c>
      <c r="C137" t="s">
        <v>28</v>
      </c>
      <c r="D137" t="s">
        <v>66</v>
      </c>
      <c r="E137" t="s">
        <v>286</v>
      </c>
      <c r="F137" t="s">
        <v>100</v>
      </c>
      <c r="G137" t="s">
        <v>283</v>
      </c>
      <c r="H137" t="s">
        <v>11</v>
      </c>
      <c r="I137" t="s">
        <v>7</v>
      </c>
      <c r="J137" t="s">
        <v>39</v>
      </c>
      <c r="K137" t="s">
        <v>67</v>
      </c>
      <c r="L137" t="s">
        <v>40</v>
      </c>
      <c r="M137">
        <v>1</v>
      </c>
    </row>
    <row r="138" spans="1:13" x14ac:dyDescent="0.25">
      <c r="A138" s="2">
        <v>46237</v>
      </c>
      <c r="B138" s="1" t="str">
        <f ca="1">IF(Información1[[#This Row],[Fecha]]='Ajuste de fechas'!$A$2,"Día actual","Día anterior")</f>
        <v>Día actual</v>
      </c>
      <c r="C138" t="s">
        <v>28</v>
      </c>
      <c r="D138" t="s">
        <v>66</v>
      </c>
      <c r="E138" t="s">
        <v>287</v>
      </c>
      <c r="F138" t="s">
        <v>26</v>
      </c>
      <c r="G138" t="s">
        <v>283</v>
      </c>
      <c r="H138" t="s">
        <v>11</v>
      </c>
      <c r="I138" t="s">
        <v>7</v>
      </c>
      <c r="J138" t="s">
        <v>39</v>
      </c>
      <c r="K138" t="s">
        <v>67</v>
      </c>
      <c r="L138" t="s">
        <v>40</v>
      </c>
      <c r="M138">
        <v>1</v>
      </c>
    </row>
    <row r="139" spans="1:13" x14ac:dyDescent="0.25">
      <c r="A139" s="2">
        <v>46237</v>
      </c>
      <c r="B139" s="1" t="str">
        <f ca="1">IF(Información1[[#This Row],[Fecha]]='Ajuste de fechas'!$A$2,"Día actual","Día anterior")</f>
        <v>Día actual</v>
      </c>
      <c r="C139" t="s">
        <v>28</v>
      </c>
      <c r="D139" t="s">
        <v>66</v>
      </c>
      <c r="E139" t="s">
        <v>288</v>
      </c>
      <c r="F139" t="s">
        <v>26</v>
      </c>
      <c r="G139" t="s">
        <v>283</v>
      </c>
      <c r="H139" t="s">
        <v>11</v>
      </c>
      <c r="I139" t="s">
        <v>7</v>
      </c>
      <c r="J139" t="s">
        <v>39</v>
      </c>
      <c r="K139" t="s">
        <v>67</v>
      </c>
      <c r="L139" t="s">
        <v>40</v>
      </c>
      <c r="M139">
        <v>1</v>
      </c>
    </row>
    <row r="140" spans="1:13" x14ac:dyDescent="0.25">
      <c r="A140" s="2">
        <v>46237</v>
      </c>
      <c r="B140" s="1" t="str">
        <f ca="1">IF(Información1[[#This Row],[Fecha]]='Ajuste de fechas'!$A$2,"Día actual","Día anterior")</f>
        <v>Día actual</v>
      </c>
      <c r="C140" t="s">
        <v>68</v>
      </c>
      <c r="D140" t="s">
        <v>69</v>
      </c>
      <c r="E140" t="s">
        <v>245</v>
      </c>
      <c r="F140" t="s">
        <v>26</v>
      </c>
      <c r="G140" t="s">
        <v>78</v>
      </c>
      <c r="H140" t="s">
        <v>11</v>
      </c>
      <c r="I140" t="s">
        <v>7</v>
      </c>
      <c r="J140" t="s">
        <v>39</v>
      </c>
      <c r="K140" t="s">
        <v>70</v>
      </c>
      <c r="L140" t="s">
        <v>42</v>
      </c>
      <c r="M140">
        <v>1</v>
      </c>
    </row>
    <row r="141" spans="1:13" x14ac:dyDescent="0.25">
      <c r="A141" s="2">
        <v>46237</v>
      </c>
      <c r="B141" s="1" t="str">
        <f ca="1">IF(Información1[[#This Row],[Fecha]]='Ajuste de fechas'!$A$2,"Día actual","Día anterior")</f>
        <v>Día actual</v>
      </c>
      <c r="C141" t="s">
        <v>68</v>
      </c>
      <c r="D141" t="s">
        <v>69</v>
      </c>
      <c r="E141" t="s">
        <v>114</v>
      </c>
      <c r="F141" t="s">
        <v>31</v>
      </c>
      <c r="G141" t="s">
        <v>82</v>
      </c>
      <c r="H141" t="s">
        <v>11</v>
      </c>
      <c r="I141" t="s">
        <v>7</v>
      </c>
      <c r="J141" t="s">
        <v>39</v>
      </c>
      <c r="K141" t="s">
        <v>70</v>
      </c>
      <c r="L141" t="s">
        <v>42</v>
      </c>
      <c r="M141">
        <v>1</v>
      </c>
    </row>
    <row r="142" spans="1:13" x14ac:dyDescent="0.25">
      <c r="A142" s="2">
        <v>46237</v>
      </c>
      <c r="B142" s="1" t="str">
        <f ca="1">IF(Información1[[#This Row],[Fecha]]='Ajuste de fechas'!$A$2,"Día actual","Día anterior")</f>
        <v>Día actual</v>
      </c>
      <c r="C142" t="s">
        <v>68</v>
      </c>
      <c r="D142" t="s">
        <v>69</v>
      </c>
      <c r="E142" t="s">
        <v>244</v>
      </c>
      <c r="F142" t="s">
        <v>26</v>
      </c>
      <c r="G142" t="s">
        <v>78</v>
      </c>
      <c r="H142" t="s">
        <v>11</v>
      </c>
      <c r="I142" t="s">
        <v>7</v>
      </c>
      <c r="J142" t="s">
        <v>39</v>
      </c>
      <c r="K142" t="s">
        <v>70</v>
      </c>
      <c r="L142" t="s">
        <v>42</v>
      </c>
      <c r="M142">
        <v>1</v>
      </c>
    </row>
    <row r="143" spans="1:13" x14ac:dyDescent="0.25">
      <c r="A143" s="2">
        <v>46237</v>
      </c>
      <c r="B143" s="1" t="str">
        <f ca="1">IF(Información1[[#This Row],[Fecha]]='Ajuste de fechas'!$A$2,"Día actual","Día anterior")</f>
        <v>Día actual</v>
      </c>
      <c r="C143" t="s">
        <v>28</v>
      </c>
      <c r="D143" t="s">
        <v>73</v>
      </c>
      <c r="E143" t="s">
        <v>289</v>
      </c>
      <c r="F143" t="s">
        <v>23</v>
      </c>
      <c r="G143" t="s">
        <v>109</v>
      </c>
      <c r="H143" t="s">
        <v>11</v>
      </c>
      <c r="I143" t="s">
        <v>7</v>
      </c>
      <c r="J143" t="s">
        <v>39</v>
      </c>
      <c r="K143" t="s">
        <v>74</v>
      </c>
      <c r="L143" t="s">
        <v>40</v>
      </c>
      <c r="M143">
        <v>1</v>
      </c>
    </row>
    <row r="144" spans="1:13" x14ac:dyDescent="0.25">
      <c r="A144" s="2">
        <v>46237</v>
      </c>
      <c r="B144" s="1" t="str">
        <f ca="1">IF(Información1[[#This Row],[Fecha]]='Ajuste de fechas'!$A$2,"Día actual","Día anterior")</f>
        <v>Día actual</v>
      </c>
      <c r="C144" t="s">
        <v>28</v>
      </c>
      <c r="D144" t="s">
        <v>73</v>
      </c>
      <c r="E144" t="s">
        <v>290</v>
      </c>
      <c r="F144" t="s">
        <v>22</v>
      </c>
      <c r="G144" t="s">
        <v>291</v>
      </c>
      <c r="H144" t="s">
        <v>11</v>
      </c>
      <c r="I144" t="s">
        <v>7</v>
      </c>
      <c r="J144" t="s">
        <v>44</v>
      </c>
      <c r="K144" t="s">
        <v>74</v>
      </c>
      <c r="L144" t="s">
        <v>40</v>
      </c>
      <c r="M144">
        <v>1</v>
      </c>
    </row>
    <row r="145" spans="1:13" x14ac:dyDescent="0.25">
      <c r="A145" s="2">
        <v>46237</v>
      </c>
      <c r="B145" s="1" t="str">
        <f ca="1">IF(Información1[[#This Row],[Fecha]]='Ajuste de fechas'!$A$2,"Día actual","Día anterior")</f>
        <v>Día actual</v>
      </c>
      <c r="C145" t="s">
        <v>28</v>
      </c>
      <c r="D145" t="s">
        <v>73</v>
      </c>
      <c r="E145" t="s">
        <v>292</v>
      </c>
      <c r="F145" t="s">
        <v>293</v>
      </c>
      <c r="G145" t="s">
        <v>294</v>
      </c>
      <c r="H145" t="s">
        <v>11</v>
      </c>
      <c r="I145" t="s">
        <v>7</v>
      </c>
      <c r="J145" t="s">
        <v>39</v>
      </c>
      <c r="K145" t="s">
        <v>74</v>
      </c>
      <c r="L145" t="s">
        <v>40</v>
      </c>
      <c r="M145">
        <v>1</v>
      </c>
    </row>
    <row r="146" spans="1:13" x14ac:dyDescent="0.25">
      <c r="A146" s="2">
        <v>46237</v>
      </c>
      <c r="B146" s="1" t="str">
        <f ca="1">IF(Información1[[#This Row],[Fecha]]='Ajuste de fechas'!$A$2,"Día actual","Día anterior")</f>
        <v>Día actual</v>
      </c>
      <c r="C146" t="s">
        <v>28</v>
      </c>
      <c r="D146" t="s">
        <v>73</v>
      </c>
      <c r="E146" t="s">
        <v>295</v>
      </c>
      <c r="F146" t="s">
        <v>15</v>
      </c>
      <c r="G146" t="s">
        <v>296</v>
      </c>
      <c r="H146" t="s">
        <v>11</v>
      </c>
      <c r="I146" t="s">
        <v>7</v>
      </c>
      <c r="J146" t="s">
        <v>39</v>
      </c>
      <c r="K146" t="s">
        <v>74</v>
      </c>
      <c r="L146" t="s">
        <v>40</v>
      </c>
      <c r="M146">
        <v>1</v>
      </c>
    </row>
    <row r="147" spans="1:13" x14ac:dyDescent="0.25">
      <c r="A147" s="2">
        <v>46237</v>
      </c>
      <c r="B147" s="1" t="str">
        <f ca="1">IF(Información1[[#This Row],[Fecha]]='Ajuste de fechas'!$A$2,"Día actual","Día anterior")</f>
        <v>Día actual</v>
      </c>
      <c r="C147" t="s">
        <v>28</v>
      </c>
      <c r="D147" t="s">
        <v>73</v>
      </c>
      <c r="E147" t="s">
        <v>297</v>
      </c>
      <c r="F147" t="s">
        <v>298</v>
      </c>
      <c r="G147" t="s">
        <v>299</v>
      </c>
      <c r="H147" t="s">
        <v>11</v>
      </c>
      <c r="I147" t="s">
        <v>7</v>
      </c>
      <c r="J147" t="s">
        <v>39</v>
      </c>
      <c r="K147" t="s">
        <v>74</v>
      </c>
      <c r="L147" t="s">
        <v>40</v>
      </c>
      <c r="M147">
        <v>1</v>
      </c>
    </row>
    <row r="148" spans="1:13" x14ac:dyDescent="0.25">
      <c r="A148" s="2">
        <v>46237</v>
      </c>
      <c r="B148" s="1" t="str">
        <f ca="1">IF(Información1[[#This Row],[Fecha]]='Ajuste de fechas'!$A$2,"Día actual","Día anterior")</f>
        <v>Día actual</v>
      </c>
      <c r="C148" t="s">
        <v>28</v>
      </c>
      <c r="D148" t="s">
        <v>73</v>
      </c>
      <c r="E148" t="s">
        <v>300</v>
      </c>
      <c r="F148" t="s">
        <v>90</v>
      </c>
      <c r="G148" t="s">
        <v>92</v>
      </c>
      <c r="H148" t="s">
        <v>11</v>
      </c>
      <c r="I148" t="s">
        <v>7</v>
      </c>
      <c r="J148" t="s">
        <v>39</v>
      </c>
      <c r="K148" t="s">
        <v>74</v>
      </c>
      <c r="L148" t="s">
        <v>40</v>
      </c>
      <c r="M148">
        <v>1</v>
      </c>
    </row>
    <row r="149" spans="1:13" x14ac:dyDescent="0.25">
      <c r="A149" s="2">
        <v>46237</v>
      </c>
      <c r="B149" s="1" t="str">
        <f ca="1">IF(Información1[[#This Row],[Fecha]]='Ajuste de fechas'!$A$2,"Día actual","Día anterior")</f>
        <v>Día actual</v>
      </c>
      <c r="C149" t="s">
        <v>28</v>
      </c>
      <c r="D149" t="s">
        <v>73</v>
      </c>
      <c r="E149" t="s">
        <v>301</v>
      </c>
      <c r="F149" t="s">
        <v>23</v>
      </c>
      <c r="G149" t="s">
        <v>109</v>
      </c>
      <c r="H149" t="s">
        <v>11</v>
      </c>
      <c r="I149" t="s">
        <v>7</v>
      </c>
      <c r="J149" t="s">
        <v>39</v>
      </c>
      <c r="K149" t="s">
        <v>74</v>
      </c>
      <c r="L149" t="s">
        <v>40</v>
      </c>
      <c r="M149">
        <v>1</v>
      </c>
    </row>
    <row r="150" spans="1:13" x14ac:dyDescent="0.25">
      <c r="A150" s="2">
        <v>46237</v>
      </c>
      <c r="B150" s="1" t="str">
        <f ca="1">IF(Información1[[#This Row],[Fecha]]='Ajuste de fechas'!$A$2,"Día actual","Día anterior")</f>
        <v>Día actual</v>
      </c>
      <c r="C150" t="s">
        <v>28</v>
      </c>
      <c r="D150" t="s">
        <v>73</v>
      </c>
      <c r="E150" t="s">
        <v>302</v>
      </c>
      <c r="F150" t="s">
        <v>19</v>
      </c>
      <c r="G150" t="s">
        <v>81</v>
      </c>
      <c r="H150" t="s">
        <v>11</v>
      </c>
      <c r="I150" t="s">
        <v>7</v>
      </c>
      <c r="J150" t="s">
        <v>43</v>
      </c>
      <c r="K150" t="s">
        <v>74</v>
      </c>
      <c r="L150" t="s">
        <v>40</v>
      </c>
      <c r="M150">
        <v>1</v>
      </c>
    </row>
    <row r="151" spans="1:13" x14ac:dyDescent="0.25">
      <c r="A151" s="2">
        <v>46237</v>
      </c>
      <c r="B151" s="1" t="str">
        <f ca="1">IF(Información1[[#This Row],[Fecha]]='Ajuste de fechas'!$A$2,"Día actual","Día anterior")</f>
        <v>Día actual</v>
      </c>
      <c r="C151" t="s">
        <v>28</v>
      </c>
      <c r="D151" t="s">
        <v>73</v>
      </c>
      <c r="E151" t="s">
        <v>303</v>
      </c>
      <c r="F151" t="s">
        <v>23</v>
      </c>
      <c r="G151" t="s">
        <v>118</v>
      </c>
      <c r="H151" t="s">
        <v>11</v>
      </c>
      <c r="I151" t="s">
        <v>7</v>
      </c>
      <c r="J151" t="s">
        <v>39</v>
      </c>
      <c r="K151" t="s">
        <v>74</v>
      </c>
      <c r="L151" t="s">
        <v>40</v>
      </c>
      <c r="M151">
        <v>1</v>
      </c>
    </row>
    <row r="152" spans="1:13" x14ac:dyDescent="0.25">
      <c r="A152" s="2">
        <v>46237</v>
      </c>
      <c r="B152" s="1" t="str">
        <f ca="1">IF(Información1[[#This Row],[Fecha]]='Ajuste de fechas'!$A$2,"Día actual","Día anterior")</f>
        <v>Día actual</v>
      </c>
      <c r="C152" t="s">
        <v>28</v>
      </c>
      <c r="D152" t="s">
        <v>73</v>
      </c>
      <c r="E152" t="s">
        <v>304</v>
      </c>
      <c r="F152" t="s">
        <v>19</v>
      </c>
      <c r="G152" t="s">
        <v>281</v>
      </c>
      <c r="H152" t="s">
        <v>11</v>
      </c>
      <c r="I152" t="s">
        <v>7</v>
      </c>
      <c r="J152" t="s">
        <v>43</v>
      </c>
      <c r="K152" t="s">
        <v>74</v>
      </c>
      <c r="L152" t="s">
        <v>40</v>
      </c>
      <c r="M152">
        <v>1</v>
      </c>
    </row>
    <row r="153" spans="1:13" x14ac:dyDescent="0.25">
      <c r="A153" s="2">
        <v>46237</v>
      </c>
      <c r="B153" s="1" t="str">
        <f ca="1">IF(Información1[[#This Row],[Fecha]]='Ajuste de fechas'!$A$2,"Día actual","Día anterior")</f>
        <v>Día actual</v>
      </c>
      <c r="C153" t="s">
        <v>28</v>
      </c>
      <c r="D153" t="s">
        <v>73</v>
      </c>
      <c r="E153" t="s">
        <v>305</v>
      </c>
      <c r="F153" t="s">
        <v>48</v>
      </c>
      <c r="G153" t="s">
        <v>306</v>
      </c>
      <c r="H153" t="s">
        <v>11</v>
      </c>
      <c r="I153" t="s">
        <v>7</v>
      </c>
      <c r="J153" t="s">
        <v>39</v>
      </c>
      <c r="K153" t="s">
        <v>74</v>
      </c>
      <c r="L153" t="s">
        <v>40</v>
      </c>
      <c r="M153">
        <v>1</v>
      </c>
    </row>
    <row r="154" spans="1:13" x14ac:dyDescent="0.25">
      <c r="A154" s="2">
        <v>46237</v>
      </c>
      <c r="B154" s="1" t="str">
        <f ca="1">IF(Información1[[#This Row],[Fecha]]='Ajuste de fechas'!$A$2,"Día actual","Día anterior")</f>
        <v>Día actual</v>
      </c>
      <c r="C154" t="s">
        <v>28</v>
      </c>
      <c r="D154" t="s">
        <v>73</v>
      </c>
      <c r="E154" t="s">
        <v>307</v>
      </c>
      <c r="F154" t="s">
        <v>23</v>
      </c>
      <c r="G154" t="s">
        <v>183</v>
      </c>
      <c r="H154" t="s">
        <v>11</v>
      </c>
      <c r="I154" t="s">
        <v>7</v>
      </c>
      <c r="J154" t="s">
        <v>39</v>
      </c>
      <c r="K154" t="s">
        <v>74</v>
      </c>
      <c r="L154" t="s">
        <v>40</v>
      </c>
      <c r="M154">
        <v>1</v>
      </c>
    </row>
    <row r="155" spans="1:13" x14ac:dyDescent="0.25">
      <c r="A155" s="2">
        <v>46237</v>
      </c>
      <c r="B155" s="1" t="str">
        <f ca="1">IF(Información1[[#This Row],[Fecha]]='Ajuste de fechas'!$A$2,"Día actual","Día anterior")</f>
        <v>Día actual</v>
      </c>
      <c r="C155" t="s">
        <v>28</v>
      </c>
      <c r="D155" t="s">
        <v>73</v>
      </c>
      <c r="E155" t="s">
        <v>308</v>
      </c>
      <c r="F155" t="s">
        <v>19</v>
      </c>
      <c r="G155" t="s">
        <v>132</v>
      </c>
      <c r="H155" t="s">
        <v>11</v>
      </c>
      <c r="I155" t="s">
        <v>7</v>
      </c>
      <c r="J155" t="s">
        <v>43</v>
      </c>
      <c r="K155" t="s">
        <v>74</v>
      </c>
      <c r="L155" t="s">
        <v>40</v>
      </c>
      <c r="M155">
        <v>1</v>
      </c>
    </row>
    <row r="156" spans="1:13" x14ac:dyDescent="0.25">
      <c r="A156" s="2">
        <v>46237</v>
      </c>
      <c r="B156" s="1" t="str">
        <f ca="1">IF(Información1[[#This Row],[Fecha]]='Ajuste de fechas'!$A$2,"Día actual","Día anterior")</f>
        <v>Día actual</v>
      </c>
      <c r="C156" t="s">
        <v>28</v>
      </c>
      <c r="D156" t="s">
        <v>73</v>
      </c>
      <c r="E156" t="s">
        <v>309</v>
      </c>
      <c r="F156" t="s">
        <v>310</v>
      </c>
      <c r="G156" t="s">
        <v>311</v>
      </c>
      <c r="H156" t="s">
        <v>11</v>
      </c>
      <c r="I156" t="s">
        <v>7</v>
      </c>
      <c r="J156" t="s">
        <v>39</v>
      </c>
      <c r="K156" t="s">
        <v>74</v>
      </c>
      <c r="L156" t="s">
        <v>40</v>
      </c>
      <c r="M156">
        <v>1</v>
      </c>
    </row>
    <row r="157" spans="1:13" x14ac:dyDescent="0.25">
      <c r="A157" s="2">
        <v>46237</v>
      </c>
      <c r="B157" s="1" t="str">
        <f ca="1">IF(Información1[[#This Row],[Fecha]]='Ajuste de fechas'!$A$2,"Día actual","Día anterior")</f>
        <v>Día actual</v>
      </c>
      <c r="C157" t="s">
        <v>28</v>
      </c>
      <c r="D157" t="s">
        <v>73</v>
      </c>
      <c r="E157" t="s">
        <v>312</v>
      </c>
      <c r="F157" t="s">
        <v>21</v>
      </c>
      <c r="G157" t="s">
        <v>313</v>
      </c>
      <c r="H157" t="s">
        <v>11</v>
      </c>
      <c r="I157" t="s">
        <v>7</v>
      </c>
      <c r="J157" t="s">
        <v>39</v>
      </c>
      <c r="K157" t="s">
        <v>74</v>
      </c>
      <c r="L157" t="s">
        <v>40</v>
      </c>
      <c r="M157">
        <v>1</v>
      </c>
    </row>
    <row r="158" spans="1:13" x14ac:dyDescent="0.25">
      <c r="A158" s="2">
        <v>46237</v>
      </c>
      <c r="B158" s="1" t="str">
        <f ca="1">IF(Información1[[#This Row],[Fecha]]='Ajuste de fechas'!$A$2,"Día actual","Día anterior")</f>
        <v>Día actual</v>
      </c>
      <c r="C158" t="s">
        <v>28</v>
      </c>
      <c r="D158" t="s">
        <v>73</v>
      </c>
      <c r="E158" t="s">
        <v>314</v>
      </c>
      <c r="F158" t="s">
        <v>21</v>
      </c>
      <c r="G158" t="s">
        <v>315</v>
      </c>
      <c r="H158" t="s">
        <v>11</v>
      </c>
      <c r="I158" t="s">
        <v>7</v>
      </c>
      <c r="J158" t="s">
        <v>39</v>
      </c>
      <c r="K158" t="s">
        <v>74</v>
      </c>
      <c r="L158" t="s">
        <v>40</v>
      </c>
      <c r="M158">
        <v>1</v>
      </c>
    </row>
    <row r="159" spans="1:13" x14ac:dyDescent="0.25">
      <c r="A159" s="2">
        <v>46237</v>
      </c>
      <c r="B159" s="1" t="str">
        <f ca="1">IF(Información1[[#This Row],[Fecha]]='Ajuste de fechas'!$A$2,"Día actual","Día anterior")</f>
        <v>Día actual</v>
      </c>
      <c r="C159" t="s">
        <v>28</v>
      </c>
      <c r="D159" t="s">
        <v>73</v>
      </c>
      <c r="E159" t="s">
        <v>316</v>
      </c>
      <c r="F159" t="s">
        <v>48</v>
      </c>
      <c r="G159" t="s">
        <v>317</v>
      </c>
      <c r="H159" t="s">
        <v>11</v>
      </c>
      <c r="I159" t="s">
        <v>7</v>
      </c>
      <c r="J159" t="s">
        <v>39</v>
      </c>
      <c r="K159" t="s">
        <v>74</v>
      </c>
      <c r="L159" t="s">
        <v>40</v>
      </c>
      <c r="M159">
        <v>1</v>
      </c>
    </row>
    <row r="160" spans="1:13" x14ac:dyDescent="0.25">
      <c r="A160" s="2">
        <v>46237</v>
      </c>
      <c r="B160" s="1" t="str">
        <f ca="1">IF(Información1[[#This Row],[Fecha]]='Ajuste de fechas'!$A$2,"Día actual","Día anterior")</f>
        <v>Día actual</v>
      </c>
      <c r="C160" t="s">
        <v>28</v>
      </c>
      <c r="D160" t="s">
        <v>73</v>
      </c>
      <c r="E160" t="s">
        <v>318</v>
      </c>
      <c r="F160" t="s">
        <v>26</v>
      </c>
      <c r="G160" t="s">
        <v>319</v>
      </c>
      <c r="H160" t="s">
        <v>11</v>
      </c>
      <c r="I160" t="s">
        <v>7</v>
      </c>
      <c r="J160" t="s">
        <v>39</v>
      </c>
      <c r="K160" t="s">
        <v>74</v>
      </c>
      <c r="L160" t="s">
        <v>40</v>
      </c>
      <c r="M160">
        <v>1</v>
      </c>
    </row>
    <row r="161" spans="1:13" x14ac:dyDescent="0.25">
      <c r="A161" s="2">
        <v>46237</v>
      </c>
      <c r="B161" s="1" t="str">
        <f ca="1">IF(Información1[[#This Row],[Fecha]]='Ajuste de fechas'!$A$2,"Día actual","Día anterior")</f>
        <v>Día actual</v>
      </c>
      <c r="C161" t="s">
        <v>28</v>
      </c>
      <c r="D161" t="s">
        <v>73</v>
      </c>
      <c r="E161" t="s">
        <v>320</v>
      </c>
      <c r="F161" t="s">
        <v>26</v>
      </c>
      <c r="G161" t="s">
        <v>321</v>
      </c>
      <c r="H161" t="s">
        <v>11</v>
      </c>
      <c r="I161" t="s">
        <v>7</v>
      </c>
      <c r="J161" t="s">
        <v>39</v>
      </c>
      <c r="K161" t="s">
        <v>74</v>
      </c>
      <c r="L161" t="s">
        <v>40</v>
      </c>
      <c r="M161">
        <v>1</v>
      </c>
    </row>
    <row r="162" spans="1:13" x14ac:dyDescent="0.25">
      <c r="A162" s="2">
        <v>46237</v>
      </c>
      <c r="B162" s="1" t="str">
        <f ca="1">IF(Información1[[#This Row],[Fecha]]='Ajuste de fechas'!$A$2,"Día actual","Día anterior")</f>
        <v>Día actual</v>
      </c>
      <c r="C162" t="s">
        <v>8</v>
      </c>
      <c r="D162" t="s">
        <v>10</v>
      </c>
      <c r="E162" t="s">
        <v>322</v>
      </c>
      <c r="F162" t="s">
        <v>19</v>
      </c>
      <c r="G162" t="s">
        <v>225</v>
      </c>
      <c r="H162" t="s">
        <v>11</v>
      </c>
      <c r="I162" t="s">
        <v>25</v>
      </c>
      <c r="J162" t="s">
        <v>43</v>
      </c>
      <c r="K162" t="s">
        <v>9</v>
      </c>
      <c r="L162" t="s">
        <v>41</v>
      </c>
      <c r="M162">
        <v>1</v>
      </c>
    </row>
    <row r="163" spans="1:13" x14ac:dyDescent="0.25">
      <c r="A163" s="2">
        <v>46237</v>
      </c>
      <c r="B163" s="1" t="str">
        <f ca="1">IF(Información1[[#This Row],[Fecha]]='Ajuste de fechas'!$A$2,"Día actual","Día anterior")</f>
        <v>Día actual</v>
      </c>
      <c r="C163" t="s">
        <v>8</v>
      </c>
      <c r="D163" t="s">
        <v>10</v>
      </c>
      <c r="E163" t="s">
        <v>323</v>
      </c>
      <c r="F163" t="s">
        <v>17</v>
      </c>
      <c r="G163" t="s">
        <v>324</v>
      </c>
      <c r="H163" t="s">
        <v>11</v>
      </c>
      <c r="I163" t="s">
        <v>25</v>
      </c>
      <c r="J163" t="s">
        <v>39</v>
      </c>
      <c r="K163" t="s">
        <v>9</v>
      </c>
      <c r="L163" t="s">
        <v>41</v>
      </c>
      <c r="M163">
        <v>1</v>
      </c>
    </row>
    <row r="164" spans="1:13" x14ac:dyDescent="0.25">
      <c r="A164" s="2">
        <v>46237</v>
      </c>
      <c r="B164" s="1" t="str">
        <f ca="1">IF(Información1[[#This Row],[Fecha]]='Ajuste de fechas'!$A$2,"Día actual","Día anterior")</f>
        <v>Día actual</v>
      </c>
      <c r="C164" t="s">
        <v>8</v>
      </c>
      <c r="D164" t="s">
        <v>10</v>
      </c>
      <c r="E164" t="s">
        <v>325</v>
      </c>
      <c r="F164" t="s">
        <v>17</v>
      </c>
      <c r="G164" t="s">
        <v>324</v>
      </c>
      <c r="H164" t="s">
        <v>11</v>
      </c>
      <c r="I164" t="s">
        <v>25</v>
      </c>
      <c r="J164" t="s">
        <v>39</v>
      </c>
      <c r="K164" t="s">
        <v>9</v>
      </c>
      <c r="L164" t="s">
        <v>41</v>
      </c>
      <c r="M164">
        <v>1</v>
      </c>
    </row>
    <row r="165" spans="1:13" x14ac:dyDescent="0.25">
      <c r="A165" s="2">
        <v>46237</v>
      </c>
      <c r="B165" s="1" t="str">
        <f ca="1">IF(Información1[[#This Row],[Fecha]]='Ajuste de fechas'!$A$2,"Día actual","Día anterior")</f>
        <v>Día actual</v>
      </c>
      <c r="C165" t="s">
        <v>8</v>
      </c>
      <c r="D165" t="s">
        <v>10</v>
      </c>
      <c r="E165" t="s">
        <v>326</v>
      </c>
      <c r="F165" t="s">
        <v>17</v>
      </c>
      <c r="G165" t="s">
        <v>327</v>
      </c>
      <c r="H165" t="s">
        <v>11</v>
      </c>
      <c r="I165" t="s">
        <v>25</v>
      </c>
      <c r="J165" t="s">
        <v>39</v>
      </c>
      <c r="K165" t="s">
        <v>9</v>
      </c>
      <c r="L165" t="s">
        <v>41</v>
      </c>
      <c r="M165">
        <v>1</v>
      </c>
    </row>
    <row r="166" spans="1:13" x14ac:dyDescent="0.25">
      <c r="A166" s="2">
        <v>46237</v>
      </c>
      <c r="B166" s="1" t="str">
        <f ca="1">IF(Información1[[#This Row],[Fecha]]='Ajuste de fechas'!$A$2,"Día actual","Día anterior")</f>
        <v>Día actual</v>
      </c>
      <c r="C166" t="s">
        <v>8</v>
      </c>
      <c r="D166" t="s">
        <v>10</v>
      </c>
      <c r="E166" t="s">
        <v>328</v>
      </c>
      <c r="F166" t="s">
        <v>6</v>
      </c>
      <c r="G166" t="s">
        <v>72</v>
      </c>
      <c r="H166" t="s">
        <v>11</v>
      </c>
      <c r="I166" t="s">
        <v>25</v>
      </c>
      <c r="J166" t="s">
        <v>39</v>
      </c>
      <c r="K166" t="s">
        <v>9</v>
      </c>
      <c r="L166" t="s">
        <v>41</v>
      </c>
      <c r="M166">
        <v>1</v>
      </c>
    </row>
    <row r="167" spans="1:13" x14ac:dyDescent="0.25">
      <c r="A167" s="2">
        <v>46237</v>
      </c>
      <c r="B167" s="1" t="str">
        <f ca="1">IF(Información1[[#This Row],[Fecha]]='Ajuste de fechas'!$A$2,"Día actual","Día anterior")</f>
        <v>Día actual</v>
      </c>
      <c r="C167" t="s">
        <v>8</v>
      </c>
      <c r="D167" t="s">
        <v>10</v>
      </c>
      <c r="E167" t="s">
        <v>329</v>
      </c>
      <c r="F167" t="s">
        <v>6</v>
      </c>
      <c r="G167" t="s">
        <v>330</v>
      </c>
      <c r="H167" t="s">
        <v>11</v>
      </c>
      <c r="I167" t="s">
        <v>25</v>
      </c>
      <c r="J167" t="s">
        <v>39</v>
      </c>
      <c r="K167" t="s">
        <v>14</v>
      </c>
      <c r="L167" t="s">
        <v>41</v>
      </c>
      <c r="M167">
        <v>1</v>
      </c>
    </row>
    <row r="168" spans="1:13" x14ac:dyDescent="0.25">
      <c r="A168" s="2">
        <v>46237</v>
      </c>
      <c r="B168" s="1" t="str">
        <f ca="1">IF(Información1[[#This Row],[Fecha]]='Ajuste de fechas'!$A$2,"Día actual","Día anterior")</f>
        <v>Día actual</v>
      </c>
      <c r="C168" t="s">
        <v>8</v>
      </c>
      <c r="D168" t="s">
        <v>10</v>
      </c>
      <c r="E168" t="s">
        <v>331</v>
      </c>
      <c r="F168" t="s">
        <v>6</v>
      </c>
      <c r="G168" t="s">
        <v>330</v>
      </c>
      <c r="H168" t="s">
        <v>11</v>
      </c>
      <c r="I168" t="s">
        <v>25</v>
      </c>
      <c r="J168" t="s">
        <v>39</v>
      </c>
      <c r="K168" t="s">
        <v>9</v>
      </c>
      <c r="L168" t="s">
        <v>41</v>
      </c>
      <c r="M168">
        <v>1</v>
      </c>
    </row>
    <row r="169" spans="1:13" x14ac:dyDescent="0.25">
      <c r="A169" s="2">
        <v>46237</v>
      </c>
      <c r="B169" s="1" t="str">
        <f ca="1">IF(Información1[[#This Row],[Fecha]]='Ajuste de fechas'!$A$2,"Día actual","Día anterior")</f>
        <v>Día actual</v>
      </c>
      <c r="C169" t="s">
        <v>8</v>
      </c>
      <c r="D169" t="s">
        <v>10</v>
      </c>
      <c r="E169" t="s">
        <v>332</v>
      </c>
      <c r="F169" t="s">
        <v>6</v>
      </c>
      <c r="G169" t="s">
        <v>330</v>
      </c>
      <c r="H169" t="s">
        <v>11</v>
      </c>
      <c r="I169" t="s">
        <v>25</v>
      </c>
      <c r="J169" t="s">
        <v>39</v>
      </c>
      <c r="K169" t="s">
        <v>9</v>
      </c>
      <c r="L169" t="s">
        <v>41</v>
      </c>
      <c r="M169">
        <v>1</v>
      </c>
    </row>
    <row r="170" spans="1:13" x14ac:dyDescent="0.25">
      <c r="A170" s="2">
        <v>46237</v>
      </c>
      <c r="B170" s="1" t="str">
        <f ca="1">IF(Información1[[#This Row],[Fecha]]='Ajuste de fechas'!$A$2,"Día actual","Día anterior")</f>
        <v>Día actual</v>
      </c>
      <c r="C170" t="s">
        <v>8</v>
      </c>
      <c r="D170" t="s">
        <v>10</v>
      </c>
      <c r="E170" t="s">
        <v>333</v>
      </c>
      <c r="F170" t="s">
        <v>22</v>
      </c>
      <c r="G170" t="s">
        <v>334</v>
      </c>
      <c r="H170" t="s">
        <v>11</v>
      </c>
      <c r="I170" t="s">
        <v>7</v>
      </c>
      <c r="J170" t="s">
        <v>44</v>
      </c>
      <c r="K170" t="s">
        <v>14</v>
      </c>
      <c r="L170" t="s">
        <v>41</v>
      </c>
      <c r="M170">
        <v>1</v>
      </c>
    </row>
    <row r="171" spans="1:13" x14ac:dyDescent="0.25">
      <c r="A171" s="2">
        <v>46237</v>
      </c>
      <c r="B171" s="1" t="str">
        <f ca="1">IF(Información1[[#This Row],[Fecha]]='Ajuste de fechas'!$A$2,"Día actual","Día anterior")</f>
        <v>Día actual</v>
      </c>
      <c r="C171" t="s">
        <v>8</v>
      </c>
      <c r="D171" t="s">
        <v>10</v>
      </c>
      <c r="E171" t="s">
        <v>335</v>
      </c>
      <c r="F171" t="s">
        <v>21</v>
      </c>
      <c r="G171" t="s">
        <v>97</v>
      </c>
      <c r="H171" t="s">
        <v>11</v>
      </c>
      <c r="I171" t="s">
        <v>7</v>
      </c>
      <c r="J171" t="s">
        <v>39</v>
      </c>
      <c r="K171" t="s">
        <v>9</v>
      </c>
      <c r="L171" t="s">
        <v>41</v>
      </c>
      <c r="M171">
        <v>1</v>
      </c>
    </row>
    <row r="172" spans="1:13" x14ac:dyDescent="0.25">
      <c r="A172" s="2">
        <v>46237</v>
      </c>
      <c r="B172" s="1" t="str">
        <f ca="1">IF(Información1[[#This Row],[Fecha]]='Ajuste de fechas'!$A$2,"Día actual","Día anterior")</f>
        <v>Día actual</v>
      </c>
      <c r="C172" t="s">
        <v>8</v>
      </c>
      <c r="D172" t="s">
        <v>10</v>
      </c>
      <c r="E172" t="s">
        <v>336</v>
      </c>
      <c r="F172" t="s">
        <v>21</v>
      </c>
      <c r="G172" t="s">
        <v>337</v>
      </c>
      <c r="H172" t="s">
        <v>11</v>
      </c>
      <c r="I172" t="s">
        <v>7</v>
      </c>
      <c r="J172" t="s">
        <v>39</v>
      </c>
      <c r="K172" t="s">
        <v>14</v>
      </c>
      <c r="L172" t="s">
        <v>42</v>
      </c>
      <c r="M172">
        <v>1</v>
      </c>
    </row>
    <row r="173" spans="1:13" x14ac:dyDescent="0.25">
      <c r="A173" s="2">
        <v>46237</v>
      </c>
      <c r="B173" s="1" t="str">
        <f ca="1">IF(Información1[[#This Row],[Fecha]]='Ajuste de fechas'!$A$2,"Día actual","Día anterior")</f>
        <v>Día actual</v>
      </c>
      <c r="C173" t="s">
        <v>8</v>
      </c>
      <c r="D173" t="s">
        <v>10</v>
      </c>
      <c r="E173" t="s">
        <v>338</v>
      </c>
      <c r="F173" t="s">
        <v>298</v>
      </c>
      <c r="G173" t="s">
        <v>339</v>
      </c>
      <c r="H173" t="s">
        <v>11</v>
      </c>
      <c r="I173" t="s">
        <v>7</v>
      </c>
      <c r="J173" t="s">
        <v>39</v>
      </c>
      <c r="K173" t="s">
        <v>14</v>
      </c>
      <c r="L173" t="s">
        <v>42</v>
      </c>
      <c r="M173">
        <v>1</v>
      </c>
    </row>
    <row r="174" spans="1:13" x14ac:dyDescent="0.25">
      <c r="A174" s="2">
        <v>46237</v>
      </c>
      <c r="B174" s="1" t="str">
        <f ca="1">IF(Información1[[#This Row],[Fecha]]='Ajuste de fechas'!$A$2,"Día actual","Día anterior")</f>
        <v>Día actual</v>
      </c>
      <c r="C174" t="s">
        <v>8</v>
      </c>
      <c r="D174" t="s">
        <v>10</v>
      </c>
      <c r="E174" t="s">
        <v>340</v>
      </c>
      <c r="F174" t="s">
        <v>310</v>
      </c>
      <c r="G174" t="s">
        <v>311</v>
      </c>
      <c r="H174" t="s">
        <v>11</v>
      </c>
      <c r="I174" t="s">
        <v>7</v>
      </c>
      <c r="J174" t="s">
        <v>39</v>
      </c>
      <c r="K174" t="s">
        <v>14</v>
      </c>
      <c r="L174" t="s">
        <v>40</v>
      </c>
      <c r="M174">
        <v>1</v>
      </c>
    </row>
    <row r="175" spans="1:13" x14ac:dyDescent="0.25">
      <c r="A175" s="2">
        <v>46237</v>
      </c>
      <c r="B175" s="1" t="str">
        <f ca="1">IF(Información1[[#This Row],[Fecha]]='Ajuste de fechas'!$A$2,"Día actual","Día anterior")</f>
        <v>Día actual</v>
      </c>
      <c r="C175" t="s">
        <v>8</v>
      </c>
      <c r="D175" t="s">
        <v>10</v>
      </c>
      <c r="E175" t="s">
        <v>341</v>
      </c>
      <c r="F175" t="s">
        <v>298</v>
      </c>
      <c r="G175" t="s">
        <v>342</v>
      </c>
      <c r="H175" t="s">
        <v>11</v>
      </c>
      <c r="I175" t="s">
        <v>7</v>
      </c>
      <c r="J175" t="s">
        <v>39</v>
      </c>
      <c r="K175" t="s">
        <v>14</v>
      </c>
      <c r="L175" t="s">
        <v>42</v>
      </c>
      <c r="M175">
        <v>1</v>
      </c>
    </row>
    <row r="176" spans="1:13" x14ac:dyDescent="0.25">
      <c r="A176" s="2">
        <v>46237</v>
      </c>
      <c r="B176" s="1" t="str">
        <f ca="1">IF(Información1[[#This Row],[Fecha]]='Ajuste de fechas'!$A$2,"Día actual","Día anterior")</f>
        <v>Día actual</v>
      </c>
      <c r="C176" t="s">
        <v>8</v>
      </c>
      <c r="D176" t="s">
        <v>10</v>
      </c>
      <c r="E176" t="s">
        <v>182</v>
      </c>
      <c r="F176" t="s">
        <v>23</v>
      </c>
      <c r="G176" t="s">
        <v>183</v>
      </c>
      <c r="H176" t="s">
        <v>11</v>
      </c>
      <c r="I176" t="s">
        <v>7</v>
      </c>
      <c r="J176" t="s">
        <v>39</v>
      </c>
      <c r="K176" t="s">
        <v>14</v>
      </c>
      <c r="L176" t="s">
        <v>42</v>
      </c>
      <c r="M176">
        <v>1</v>
      </c>
    </row>
    <row r="177" spans="1:13" x14ac:dyDescent="0.25">
      <c r="A177" s="2">
        <v>46237</v>
      </c>
      <c r="B177" s="1" t="str">
        <f ca="1">IF(Información1[[#This Row],[Fecha]]='Ajuste de fechas'!$A$2,"Día actual","Día anterior")</f>
        <v>Día actual</v>
      </c>
      <c r="C177" t="s">
        <v>8</v>
      </c>
      <c r="D177" t="s">
        <v>10</v>
      </c>
      <c r="E177" t="s">
        <v>343</v>
      </c>
      <c r="F177" t="s">
        <v>19</v>
      </c>
      <c r="G177" t="s">
        <v>32</v>
      </c>
      <c r="H177" t="s">
        <v>11</v>
      </c>
      <c r="I177" t="s">
        <v>7</v>
      </c>
      <c r="J177" t="s">
        <v>43</v>
      </c>
      <c r="K177" t="s">
        <v>14</v>
      </c>
      <c r="L177" t="s">
        <v>75</v>
      </c>
      <c r="M177">
        <v>1</v>
      </c>
    </row>
    <row r="178" spans="1:13" x14ac:dyDescent="0.25">
      <c r="A178" s="2">
        <v>46237</v>
      </c>
      <c r="B178" s="1" t="str">
        <f ca="1">IF(Información1[[#This Row],[Fecha]]='Ajuste de fechas'!$A$2,"Día actual","Día anterior")</f>
        <v>Día actual</v>
      </c>
      <c r="C178" t="s">
        <v>8</v>
      </c>
      <c r="D178" t="s">
        <v>10</v>
      </c>
      <c r="E178" t="s">
        <v>344</v>
      </c>
      <c r="F178" t="s">
        <v>26</v>
      </c>
      <c r="G178" t="s">
        <v>87</v>
      </c>
      <c r="H178" t="s">
        <v>11</v>
      </c>
      <c r="I178" t="s">
        <v>7</v>
      </c>
      <c r="J178" t="s">
        <v>39</v>
      </c>
      <c r="K178" t="s">
        <v>14</v>
      </c>
      <c r="L178" t="s">
        <v>42</v>
      </c>
      <c r="M178">
        <v>1</v>
      </c>
    </row>
    <row r="179" spans="1:13" x14ac:dyDescent="0.25">
      <c r="A179" s="2">
        <v>46237</v>
      </c>
      <c r="B179" s="1" t="str">
        <f ca="1">IF(Información1[[#This Row],[Fecha]]='Ajuste de fechas'!$A$2,"Día actual","Día anterior")</f>
        <v>Día actual</v>
      </c>
      <c r="C179" t="s">
        <v>8</v>
      </c>
      <c r="D179" t="s">
        <v>10</v>
      </c>
      <c r="E179" t="s">
        <v>345</v>
      </c>
      <c r="F179" t="s">
        <v>21</v>
      </c>
      <c r="G179" t="s">
        <v>346</v>
      </c>
      <c r="H179" t="s">
        <v>11</v>
      </c>
      <c r="I179" t="s">
        <v>7</v>
      </c>
      <c r="J179" t="s">
        <v>39</v>
      </c>
      <c r="K179" t="s">
        <v>14</v>
      </c>
      <c r="L179" t="s">
        <v>71</v>
      </c>
      <c r="M179">
        <v>1</v>
      </c>
    </row>
    <row r="180" spans="1:13" x14ac:dyDescent="0.25">
      <c r="A180" s="2">
        <v>46237</v>
      </c>
      <c r="B180" s="1" t="str">
        <f ca="1">IF(Información1[[#This Row],[Fecha]]='Ajuste de fechas'!$A$2,"Día actual","Día anterior")</f>
        <v>Día actual</v>
      </c>
      <c r="C180" t="s">
        <v>8</v>
      </c>
      <c r="D180" t="s">
        <v>10</v>
      </c>
      <c r="E180" t="s">
        <v>20</v>
      </c>
      <c r="F180" t="s">
        <v>19</v>
      </c>
      <c r="G180" t="s">
        <v>32</v>
      </c>
      <c r="H180" t="s">
        <v>11</v>
      </c>
      <c r="I180" t="s">
        <v>12</v>
      </c>
      <c r="J180" t="s">
        <v>43</v>
      </c>
      <c r="K180" t="s">
        <v>14</v>
      </c>
      <c r="L180" t="s">
        <v>41</v>
      </c>
      <c r="M180">
        <v>1</v>
      </c>
    </row>
    <row r="181" spans="1:13" x14ac:dyDescent="0.25">
      <c r="A181" s="2">
        <v>46237</v>
      </c>
      <c r="B181" s="1" t="str">
        <f ca="1">IF(Información1[[#This Row],[Fecha]]='Ajuste de fechas'!$A$2,"Día actual","Día anterior")</f>
        <v>Día actual</v>
      </c>
      <c r="C181" t="s">
        <v>8</v>
      </c>
      <c r="D181" t="s">
        <v>10</v>
      </c>
      <c r="E181" t="s">
        <v>18</v>
      </c>
      <c r="F181" t="s">
        <v>19</v>
      </c>
      <c r="G181" t="s">
        <v>32</v>
      </c>
      <c r="H181" t="s">
        <v>11</v>
      </c>
      <c r="I181" t="s">
        <v>12</v>
      </c>
      <c r="J181" t="s">
        <v>43</v>
      </c>
      <c r="K181" t="s">
        <v>14</v>
      </c>
      <c r="L181" t="s">
        <v>41</v>
      </c>
      <c r="M181">
        <v>1</v>
      </c>
    </row>
    <row r="182" spans="1:13" x14ac:dyDescent="0.25">
      <c r="A182" s="2">
        <v>46237</v>
      </c>
      <c r="B182" s="1" t="str">
        <f ca="1">IF(Información1[[#This Row],[Fecha]]='Ajuste de fechas'!$A$2,"Día actual","Día anterior")</f>
        <v>Día actual</v>
      </c>
      <c r="C182" t="s">
        <v>8</v>
      </c>
      <c r="D182" t="s">
        <v>10</v>
      </c>
      <c r="E182" t="s">
        <v>176</v>
      </c>
      <c r="F182" t="s">
        <v>54</v>
      </c>
      <c r="G182" t="s">
        <v>32</v>
      </c>
      <c r="H182" t="s">
        <v>11</v>
      </c>
      <c r="I182" t="s">
        <v>12</v>
      </c>
      <c r="J182" t="s">
        <v>24</v>
      </c>
      <c r="K182" t="s">
        <v>14</v>
      </c>
      <c r="L182" t="s">
        <v>41</v>
      </c>
      <c r="M182">
        <v>1</v>
      </c>
    </row>
    <row r="183" spans="1:13" x14ac:dyDescent="0.25">
      <c r="A183" s="2">
        <v>46237</v>
      </c>
      <c r="B183" s="1" t="str">
        <f ca="1">IF(Información1[[#This Row],[Fecha]]='Ajuste de fechas'!$A$2,"Día actual","Día anterior")</f>
        <v>Día actual</v>
      </c>
      <c r="C183" t="s">
        <v>8</v>
      </c>
      <c r="D183" t="s">
        <v>10</v>
      </c>
      <c r="E183" t="s">
        <v>13</v>
      </c>
      <c r="F183" t="s">
        <v>15</v>
      </c>
      <c r="G183" t="s">
        <v>32</v>
      </c>
      <c r="H183" t="s">
        <v>11</v>
      </c>
      <c r="I183" t="s">
        <v>12</v>
      </c>
      <c r="J183" t="s">
        <v>39</v>
      </c>
      <c r="K183" t="s">
        <v>14</v>
      </c>
      <c r="L183" t="s">
        <v>41</v>
      </c>
      <c r="M183">
        <v>1</v>
      </c>
    </row>
    <row r="184" spans="1:13" x14ac:dyDescent="0.25">
      <c r="A184" s="2">
        <v>46237</v>
      </c>
      <c r="B184" s="1" t="str">
        <f ca="1">IF(Información1[[#This Row],[Fecha]]='Ajuste de fechas'!$A$2,"Día actual","Día anterior")</f>
        <v>Día actual</v>
      </c>
      <c r="C184" t="s">
        <v>8</v>
      </c>
      <c r="D184" t="s">
        <v>10</v>
      </c>
      <c r="E184" t="s">
        <v>16</v>
      </c>
      <c r="F184" t="s">
        <v>17</v>
      </c>
      <c r="G184" t="s">
        <v>32</v>
      </c>
      <c r="H184" t="s">
        <v>11</v>
      </c>
      <c r="I184" t="s">
        <v>12</v>
      </c>
      <c r="J184" t="s">
        <v>39</v>
      </c>
      <c r="K184" t="s">
        <v>14</v>
      </c>
      <c r="L184" t="s">
        <v>41</v>
      </c>
      <c r="M184">
        <v>1</v>
      </c>
    </row>
    <row r="185" spans="1:13" x14ac:dyDescent="0.25">
      <c r="A185" s="2">
        <v>46237</v>
      </c>
      <c r="B185" s="1" t="str">
        <f ca="1">IF(Información1[[#This Row],[Fecha]]='Ajuste de fechas'!$A$2,"Día actual","Día anterior")</f>
        <v>Día actual</v>
      </c>
      <c r="C185" t="s">
        <v>8</v>
      </c>
      <c r="D185" t="s">
        <v>10</v>
      </c>
      <c r="E185" t="s">
        <v>53</v>
      </c>
      <c r="F185" t="s">
        <v>6</v>
      </c>
      <c r="G185" t="s">
        <v>32</v>
      </c>
      <c r="H185" t="s">
        <v>11</v>
      </c>
      <c r="I185" t="s">
        <v>12</v>
      </c>
      <c r="J185" t="s">
        <v>39</v>
      </c>
      <c r="K185" t="s">
        <v>14</v>
      </c>
      <c r="L185" t="s">
        <v>41</v>
      </c>
      <c r="M185">
        <v>1</v>
      </c>
    </row>
    <row r="186" spans="1:13" x14ac:dyDescent="0.25">
      <c r="A186" s="2">
        <v>46237</v>
      </c>
      <c r="B186" s="1" t="str">
        <f ca="1">IF(Información1[[#This Row],[Fecha]]='Ajuste de fechas'!$A$2,"Día actual","Día anterior")</f>
        <v>Día actual</v>
      </c>
      <c r="C186" t="s">
        <v>50</v>
      </c>
      <c r="D186" t="s">
        <v>55</v>
      </c>
      <c r="E186" t="s">
        <v>347</v>
      </c>
      <c r="F186" t="s">
        <v>19</v>
      </c>
      <c r="G186" t="s">
        <v>348</v>
      </c>
      <c r="H186" t="s">
        <v>11</v>
      </c>
      <c r="I186" t="s">
        <v>7</v>
      </c>
      <c r="J186" t="s">
        <v>43</v>
      </c>
      <c r="K186" t="s">
        <v>9</v>
      </c>
      <c r="L186" t="s">
        <v>41</v>
      </c>
      <c r="M186">
        <v>1</v>
      </c>
    </row>
    <row r="187" spans="1:13" x14ac:dyDescent="0.25">
      <c r="A187" s="2">
        <v>46237</v>
      </c>
      <c r="B187" s="1" t="str">
        <f ca="1">IF(Información1[[#This Row],[Fecha]]='Ajuste de fechas'!$A$2,"Día actual","Día anterior")</f>
        <v>Día actual</v>
      </c>
      <c r="C187" t="s">
        <v>50</v>
      </c>
      <c r="D187" t="s">
        <v>55</v>
      </c>
      <c r="E187" t="s">
        <v>349</v>
      </c>
      <c r="F187" t="s">
        <v>19</v>
      </c>
      <c r="G187" t="s">
        <v>334</v>
      </c>
      <c r="H187" t="s">
        <v>11</v>
      </c>
      <c r="I187" t="s">
        <v>7</v>
      </c>
      <c r="J187" t="s">
        <v>43</v>
      </c>
      <c r="K187" t="s">
        <v>51</v>
      </c>
      <c r="L187" t="s">
        <v>71</v>
      </c>
      <c r="M187">
        <v>1</v>
      </c>
    </row>
    <row r="188" spans="1:13" x14ac:dyDescent="0.25">
      <c r="A188" s="2">
        <v>46237</v>
      </c>
      <c r="B188" s="1" t="str">
        <f ca="1">IF(Información1[[#This Row],[Fecha]]='Ajuste de fechas'!$A$2,"Día actual","Día anterior")</f>
        <v>Día actual</v>
      </c>
      <c r="C188" t="s">
        <v>50</v>
      </c>
      <c r="D188" t="s">
        <v>55</v>
      </c>
      <c r="E188" t="s">
        <v>350</v>
      </c>
      <c r="F188" t="s">
        <v>21</v>
      </c>
      <c r="G188" t="s">
        <v>351</v>
      </c>
      <c r="H188" t="s">
        <v>11</v>
      </c>
      <c r="I188" t="s">
        <v>25</v>
      </c>
      <c r="J188" t="s">
        <v>39</v>
      </c>
      <c r="K188" t="s">
        <v>9</v>
      </c>
      <c r="L188" t="s">
        <v>41</v>
      </c>
      <c r="M188">
        <v>1</v>
      </c>
    </row>
    <row r="189" spans="1:13" x14ac:dyDescent="0.25">
      <c r="A189" s="2">
        <v>46237</v>
      </c>
      <c r="B189" s="1" t="str">
        <f ca="1">IF(Información1[[#This Row],[Fecha]]='Ajuste de fechas'!$A$2,"Día actual","Día anterior")</f>
        <v>Día actual</v>
      </c>
      <c r="C189" t="s">
        <v>50</v>
      </c>
      <c r="D189" t="s">
        <v>52</v>
      </c>
      <c r="E189" t="s">
        <v>270</v>
      </c>
      <c r="F189" t="s">
        <v>22</v>
      </c>
      <c r="G189" t="s">
        <v>334</v>
      </c>
      <c r="H189" t="s">
        <v>11</v>
      </c>
      <c r="I189" t="s">
        <v>25</v>
      </c>
      <c r="J189" t="s">
        <v>44</v>
      </c>
      <c r="K189" t="s">
        <v>51</v>
      </c>
      <c r="L189" t="s">
        <v>40</v>
      </c>
      <c r="M189">
        <v>1</v>
      </c>
    </row>
    <row r="190" spans="1:13" x14ac:dyDescent="0.25">
      <c r="A190" s="2">
        <v>46237</v>
      </c>
      <c r="B190" s="1" t="str">
        <f ca="1">IF(Información1[[#This Row],[Fecha]]='Ajuste de fechas'!$A$2,"Día actual","Día anterior")</f>
        <v>Día actual</v>
      </c>
      <c r="C190" t="s">
        <v>50</v>
      </c>
      <c r="D190" t="s">
        <v>52</v>
      </c>
      <c r="E190" t="s">
        <v>352</v>
      </c>
      <c r="F190" t="s">
        <v>19</v>
      </c>
      <c r="G190" t="s">
        <v>353</v>
      </c>
      <c r="H190" t="s">
        <v>11</v>
      </c>
      <c r="I190" t="s">
        <v>7</v>
      </c>
      <c r="J190" t="s">
        <v>43</v>
      </c>
      <c r="K190" t="s">
        <v>51</v>
      </c>
      <c r="L190" t="s">
        <v>40</v>
      </c>
      <c r="M190">
        <v>1</v>
      </c>
    </row>
    <row r="191" spans="1:13" x14ac:dyDescent="0.25">
      <c r="A191" s="2">
        <v>46237</v>
      </c>
      <c r="B191" s="1" t="str">
        <f ca="1">IF(Información1[[#This Row],[Fecha]]='Ajuste de fechas'!$A$2,"Día actual","Día anterior")</f>
        <v>Día actual</v>
      </c>
      <c r="C191" t="s">
        <v>50</v>
      </c>
      <c r="D191" t="s">
        <v>52</v>
      </c>
      <c r="E191" t="s">
        <v>354</v>
      </c>
      <c r="F191" t="s">
        <v>19</v>
      </c>
      <c r="G191" t="s">
        <v>334</v>
      </c>
      <c r="H191" t="s">
        <v>11</v>
      </c>
      <c r="I191" t="s">
        <v>7</v>
      </c>
      <c r="J191" t="s">
        <v>43</v>
      </c>
      <c r="K191" t="s">
        <v>51</v>
      </c>
      <c r="L191" t="s">
        <v>40</v>
      </c>
      <c r="M191">
        <v>1</v>
      </c>
    </row>
    <row r="192" spans="1:13" x14ac:dyDescent="0.25">
      <c r="A192" s="2">
        <v>46237</v>
      </c>
      <c r="B192" s="1" t="str">
        <f ca="1">IF(Información1[[#This Row],[Fecha]]='Ajuste de fechas'!$A$2,"Día actual","Día anterior")</f>
        <v>Día actual</v>
      </c>
      <c r="C192" t="s">
        <v>50</v>
      </c>
      <c r="D192" t="s">
        <v>52</v>
      </c>
      <c r="E192" t="s">
        <v>355</v>
      </c>
      <c r="F192" t="s">
        <v>23</v>
      </c>
      <c r="G192" t="s">
        <v>356</v>
      </c>
      <c r="H192" t="s">
        <v>11</v>
      </c>
      <c r="I192" t="s">
        <v>25</v>
      </c>
      <c r="J192" t="s">
        <v>39</v>
      </c>
      <c r="K192" t="s">
        <v>51</v>
      </c>
      <c r="L192" t="s">
        <v>40</v>
      </c>
      <c r="M192">
        <v>1</v>
      </c>
    </row>
    <row r="193" spans="1:13" x14ac:dyDescent="0.25">
      <c r="A193" s="2">
        <v>46237</v>
      </c>
      <c r="B193" s="1" t="str">
        <f ca="1">IF(Información1[[#This Row],[Fecha]]='Ajuste de fechas'!$A$2,"Día actual","Día anterior")</f>
        <v>Día actual</v>
      </c>
      <c r="C193" t="s">
        <v>50</v>
      </c>
      <c r="D193" t="s">
        <v>52</v>
      </c>
      <c r="E193" t="s">
        <v>357</v>
      </c>
      <c r="F193" t="s">
        <v>100</v>
      </c>
      <c r="G193" t="s">
        <v>283</v>
      </c>
      <c r="H193" t="s">
        <v>11</v>
      </c>
      <c r="I193" t="s">
        <v>7</v>
      </c>
      <c r="J193" t="s">
        <v>39</v>
      </c>
      <c r="K193" t="s">
        <v>51</v>
      </c>
      <c r="L193" t="s">
        <v>40</v>
      </c>
      <c r="M193">
        <v>1</v>
      </c>
    </row>
    <row r="194" spans="1:13" x14ac:dyDescent="0.25">
      <c r="A194" s="2">
        <v>46237</v>
      </c>
      <c r="B194" s="1" t="str">
        <f ca="1">IF(Información1[[#This Row],[Fecha]]='Ajuste de fechas'!$A$2,"Día actual","Día anterior")</f>
        <v>Día actual</v>
      </c>
      <c r="C194" t="s">
        <v>50</v>
      </c>
      <c r="D194" t="s">
        <v>52</v>
      </c>
      <c r="E194" t="s">
        <v>358</v>
      </c>
      <c r="F194" t="s">
        <v>86</v>
      </c>
      <c r="G194" t="s">
        <v>283</v>
      </c>
      <c r="H194" t="s">
        <v>11</v>
      </c>
      <c r="I194" t="s">
        <v>7</v>
      </c>
      <c r="J194" t="s">
        <v>39</v>
      </c>
      <c r="K194" t="s">
        <v>51</v>
      </c>
      <c r="L194" t="s">
        <v>40</v>
      </c>
      <c r="M194">
        <v>1</v>
      </c>
    </row>
    <row r="195" spans="1:13" x14ac:dyDescent="0.25">
      <c r="A195" s="2">
        <v>46237</v>
      </c>
      <c r="B195" s="1" t="str">
        <f ca="1">IF(Información1[[#This Row],[Fecha]]='Ajuste de fechas'!$A$2,"Día actual","Día anterior")</f>
        <v>Día actual</v>
      </c>
      <c r="C195" t="s">
        <v>50</v>
      </c>
      <c r="D195" t="s">
        <v>52</v>
      </c>
      <c r="E195" t="s">
        <v>359</v>
      </c>
      <c r="F195" t="s">
        <v>293</v>
      </c>
      <c r="G195" t="s">
        <v>360</v>
      </c>
      <c r="H195" t="s">
        <v>11</v>
      </c>
      <c r="I195" t="s">
        <v>12</v>
      </c>
      <c r="J195" t="s">
        <v>39</v>
      </c>
      <c r="K195" t="s">
        <v>51</v>
      </c>
      <c r="L195" t="s">
        <v>40</v>
      </c>
      <c r="M195">
        <v>1</v>
      </c>
    </row>
    <row r="196" spans="1:13" x14ac:dyDescent="0.25">
      <c r="A196" s="2">
        <v>46237</v>
      </c>
      <c r="B196" s="1" t="str">
        <f ca="1">IF(Información1[[#This Row],[Fecha]]='Ajuste de fechas'!$A$2,"Día actual","Día anterior")</f>
        <v>Día actual</v>
      </c>
      <c r="C196" t="s">
        <v>50</v>
      </c>
      <c r="D196" t="s">
        <v>52</v>
      </c>
      <c r="E196" t="s">
        <v>361</v>
      </c>
      <c r="F196" t="s">
        <v>21</v>
      </c>
      <c r="G196" t="s">
        <v>337</v>
      </c>
      <c r="H196" t="s">
        <v>11</v>
      </c>
      <c r="I196" t="s">
        <v>7</v>
      </c>
      <c r="J196" t="s">
        <v>39</v>
      </c>
      <c r="K196" t="s">
        <v>51</v>
      </c>
      <c r="L196" t="s">
        <v>42</v>
      </c>
      <c r="M196">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46</v>
      </c>
      <c r="B1" t="s">
        <v>47</v>
      </c>
    </row>
    <row r="2" spans="1:2" x14ac:dyDescent="0.25">
      <c r="A2" s="2">
        <f ca="1">TODAY()</f>
        <v>46237</v>
      </c>
      <c r="B2" s="2">
        <f ca="1">A2-1</f>
        <v>46236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2026-08-03T23:59:30Z</dcterms:modified>
</cp:coreProperties>
</file>