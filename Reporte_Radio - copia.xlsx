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7E4EDB98-B80D-4E04-9472-EF4EC4AC8527}"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<sst xmlns="http://schemas.openxmlformats.org/spreadsheetml/2006/main" count="1543" uniqueCount="296">
  <si>
    <t>Fecha</t>
  </si>
  <si>
    <t>Titular</t>
  </si>
  <si>
    <t>Dependencia</t>
  </si>
  <si>
    <t>Canal</t>
  </si>
  <si>
    <t>Tema</t>
  </si>
  <si>
    <t>Estatus</t>
  </si>
  <si>
    <t>Sipdus</t>
  </si>
  <si>
    <t>Informativa</t>
  </si>
  <si>
    <t>Acir 92.5 FM</t>
  </si>
  <si>
    <t>Panorama Informativo Pachuca</t>
  </si>
  <si>
    <t>Positiva</t>
  </si>
  <si>
    <t>Eulalio Larrieta</t>
  </si>
  <si>
    <t>Semot</t>
  </si>
  <si>
    <t>Ayuntamiento</t>
  </si>
  <si>
    <t>SEPH</t>
  </si>
  <si>
    <t>Presidencia</t>
  </si>
  <si>
    <t>Otros</t>
  </si>
  <si>
    <t>Negativa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</si>
  <si>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</si>
  <si>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</si>
  <si>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</si>
  <si>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</si>
  <si>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</si>
  <si>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</si>
  <si>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</si>
  <si>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</si>
  <si>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</si>
  <si>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</si>
  <si>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</si>
  <si>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</si>
  <si>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</si>
  <si>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</si>
  <si>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</si>
  <si>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</si>
  <si>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</si>
  <si>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Segobh</t>
  </si>
  <si>
    <t>SSH</t>
  </si>
  <si>
    <t>RADIO LOCAL</t>
  </si>
  <si>
    <t>NQ 90.1 FM</t>
  </si>
  <si>
    <t>Enlace Hidalgo1</t>
  </si>
  <si>
    <t>Jesús Riveros</t>
  </si>
  <si>
    <t>Juan Carlos Santamaría</t>
  </si>
  <si>
    <t>PGJEH</t>
  </si>
  <si>
    <t>Enlace Hidalgo2</t>
  </si>
  <si>
    <t>Radioescucha</t>
  </si>
  <si>
    <t>Bienestar</t>
  </si>
  <si>
    <t>Planeación</t>
  </si>
  <si>
    <t>Ke Buena 106.7 FM</t>
  </si>
  <si>
    <t>Noticias 106.7</t>
  </si>
  <si>
    <t>David Cárdenas</t>
  </si>
  <si>
    <t>Detención</t>
  </si>
  <si>
    <t>Canal del Pueblo</t>
  </si>
  <si>
    <t>Vocales Radio</t>
  </si>
  <si>
    <t>Morena</t>
  </si>
  <si>
    <t>TV LOCAL</t>
  </si>
  <si>
    <t>Partidos</t>
  </si>
  <si>
    <t>Aldo Falcón</t>
  </si>
  <si>
    <t>Andrés Torres</t>
  </si>
  <si>
    <t>Candidaturas</t>
  </si>
  <si>
    <t>Ultra 102.9 FM</t>
  </si>
  <si>
    <t>Ultra Noticias1</t>
  </si>
  <si>
    <t>Daniel Martínez</t>
  </si>
  <si>
    <t>Auxilio a la ciudadanía</t>
  </si>
  <si>
    <t>Radio Lobo 96.7 FM</t>
  </si>
  <si>
    <t>Enlace Noticias</t>
  </si>
  <si>
    <t>Gina Lorenzo</t>
  </si>
  <si>
    <t>Abner Yáñez</t>
  </si>
  <si>
    <t>Participación</t>
  </si>
  <si>
    <t>Combate Al Narcomenudeo</t>
  </si>
  <si>
    <t>Afectaciones Por Lluvias</t>
  </si>
  <si>
    <t>Enfoque Regional Meridiano</t>
  </si>
  <si>
    <t>Jesús González</t>
  </si>
  <si>
    <t>DIFH</t>
  </si>
  <si>
    <t>Abasto de agua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</si>
  <si>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</si>
  <si>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</si>
  <si>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</si>
  <si>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Carlos Gamiño por estar al pendiente de temas.</t>
  </si>
  <si>
    <t>Eulalio Larrieta agradece Paola García y Lic. Sarahi Pineda, por estar atentas a los mensajes de la ciudadanía y por atenderlos.</t>
  </si>
  <si>
    <t>IEEH</t>
  </si>
  <si>
    <t>Vía telefónica el reporte de Bombero y Protección Civil con Abner Yáñez informa de las diversas emergencias reportadas por la ciudadanía y que fueron atendidas. Asimismo, señala que las fiestas patrias dejaron saldo blanco en el municipio.</t>
  </si>
  <si>
    <t>Prevención De Riesgos</t>
  </si>
  <si>
    <t>Plan Nacional De Vivienda</t>
  </si>
  <si>
    <t>Localización de cuerpo</t>
  </si>
  <si>
    <t>OCSAD</t>
  </si>
  <si>
    <t>Equipamiento médico</t>
  </si>
  <si>
    <t>Capacitación</t>
  </si>
  <si>
    <t>Suspensión De Clases</t>
  </si>
  <si>
    <t>Salud Mental</t>
  </si>
  <si>
    <t>Atención Afectaciones Por Lluvias</t>
  </si>
  <si>
    <t>Alerta Meteorológica</t>
  </si>
  <si>
    <t>Jessenia Romero</t>
  </si>
  <si>
    <t>Control de incendio</t>
  </si>
  <si>
    <t>SSPH</t>
  </si>
  <si>
    <t>Resolución de investigaciones</t>
  </si>
  <si>
    <t>Coloca Natividad Castrejón primera piedra del Bachillerato Nacional “Margarita Maza” en Mineral de la Reforma</t>
  </si>
  <si>
    <t>Bachillerato Nacional</t>
  </si>
  <si>
    <t>El gobernador de Hidalgo, Julio Menchaca Salazar, señaló que empresas como Uber no pueden operar en el estado a pesar de publicaciones que la misma compañía ha realizado considerando a la capital hidalguense como un posible destino. Aclaró que, aunque la publicación de la empresa pueda ser real, la prestación de este servicio mediante aplicaciones no está permitida por la legislación estatal vigente. Respecto a un posible acercamiento con Uber México, el gobernador descartó contacto con representantes de la empresa e indicó que cualquier reunión de este tipo correspondería a la Secretaría de Movilidad y Transporte. Recordó que el estado es el único facultado para otorgar concesiones de traslado y establecer las condiciones de su operación, advirtiendo que en caso de infracciones la autoridad puede retirarlas. Puntualizó que la administración estatal busca mantener un equilibrio entre los prestadores del servicio y los usuarios, en el marco de las recientes tarifas aprobadas para el transporte público y los taxis en la entidad.</t>
  </si>
  <si>
    <t>Gobernador</t>
  </si>
  <si>
    <t>Apps de transporte</t>
  </si>
  <si>
    <t>La Subsecretaría de Protección Civil y Gestión de Riesgos emitió una actualización sobre el concentrado ejecutivo de afectaciones y acciones por lluvias. Se encuentran en alerta roja (por conservar afectaciones activas) los municipios de Calnali, Eloxochitlán, Ixmiquilpan, San Salvador, Tenango de Doria, Tlahuiltepa y Xochiatipan. Los municipios que presentan reportes de deslaves incluyen a Calnali, Eloxochitlán, Ixmiquilpan, San Salvador, Tenango de Doria, Tlahuiltepa y Xochiatipan. En cuanto a afectaciones estructurales, la alerta roja comprende a Atlapexco, Calnali, Cardonal, Chapulhuacán, Huautla, Huazalingo, Ixmiquilpan, Tenango de Doria, Tepehuacán de Guerrero, Tianguistengo, Tlahuiltepa, Tlanchinol, Xochiatipan y Yahualica. Respecto a derrumbes, se reportan incidencias en Actopan, Eloxochitlán, Huazalingo, Ixmiquilpan, Nicolás Flores, Omitlán, San Agustín Metzquititlán, San Bartolo Tutotepec, Tenango de Doria, Tlahuiltepa, Tlanchinol y Xochiatipan. Las crecientes de río afectan a Atlapexco, Molango, Nicolás Flores, San Agustín Metzquititlán, Tenango de Doria, Tepehuacán de Guerrero, Tianguistengo, Tlahuiltepa y Xochiatipan.</t>
  </si>
  <si>
    <t>Protesta docentes</t>
  </si>
  <si>
    <t>Las autoridades de Ixmiquilpan mantienen tres espacios preparados para ser habilitados como albergues ante posibles afectaciones por lluvias: el Centro Cristiano Betel, la Delegación de Panales y la Delegación de Orizabita. El director de protección civil municipal, Marcelino Capula, indicó que la situación se encuentra bajo control y por el momento no ha sido necesario activar dichos espacios. Se mantienen recorridos y monitoreos permanentes en ríos, arroyos y cuerpos de agua, con especial atención en la zona norte del municipio debido al riesgo de deslaves. Las autoridades descartaron por ahora un riesgo para la población por el nivel del río Tula, asegurando que no se asemeja a la situación del 2021, y mantienen coordinación con la Comisión Nacional del Agua (Conagua) para vigilar los niveles de presas.</t>
  </si>
  <si>
    <t>Habilitación de albergues</t>
  </si>
  <si>
    <t>En lo que va del 2026, Secretaría de Salud ha realizado más de 9 mil mastografías, a través de unidad móvil_Vanesa Escalante Arroyo, Julio Menchaca</t>
  </si>
  <si>
    <t>Cáncer De Mama</t>
  </si>
  <si>
    <t>DIF Hidalgo cuenta con 206 mil despensas y 446 albergues ante afectaciones por lluvias_Ricardo Alvizo Contreras: Julio Menchaca, Edda Vite</t>
  </si>
  <si>
    <t>A un año de la vaguada monzónica, Hidalgo mantiene capacidad instalada para responder ante emergencias_Pablo Octavio Olvera Sánchez</t>
  </si>
  <si>
    <t>Huracán Priscilla</t>
  </si>
  <si>
    <t>Mantiene SIPDUS capacidad operativa y fuerza de trabajo ante contingencias_ Alejandro Sánchez García: Julio Menchaca</t>
  </si>
  <si>
    <t>Comité de Emergencias de Hidalgo está activo ante próximas lluvias</t>
  </si>
  <si>
    <t>Reunión Gabinete De Seguridad</t>
  </si>
  <si>
    <t>Realiza SEPH encuentro estatal sobre el uso responsable de la tecnología en las escuelas</t>
  </si>
  <si>
    <t>Regulación de dispositivos digitales</t>
  </si>
  <si>
    <t>En lo que va del 2026, Secretaría de Salud ha realizado más de 9 mil mastografías, a través de unidad móvil</t>
  </si>
  <si>
    <t>En entrevista en cabina las doctoras Montserrat Alonso y Yareli García, docentes e investigadoras de la Universidad Tecnológica de Mineral de la Reforma, destacaron la participación de su institución en la iniciativa "Escuelas por la Tierra". Explicaron que esta convocatoria, impulsada por Fundación Educa en coordinación con la Secretaría de Educación Pública, busca fomentar la sostenibilidad, el manejo responsable de recursos y la conciencia ambiental en todos los niveles educativos. Las investigadoras resaltaron que la vinculación comunitaria ha permitido llevar el conocimiento de las aulas hacia el exterior, colaborando en proyectos como la instalación de jardines polinizadores en preescolares y la impartición de talleres sobre la elaboración de bioinsumos y compostas para agricultores locales, con el propósito de reducir el uso de agroquímicos. Asimismo, enfatizaron que el objetivo principal es lograr un cambio de conciencia para que el cuidado ambiental se convierta en un hábito cotidiano. Finalmente, recordaron que el próximo 8 de octubre se abrirá una nueva edición de la convocatoria de la Fundación Educa, por lo que reiteraron que la Universidad Tecnológica de Mineral de la Reforma mantiene las puertas abiertas para asesorar y colaborar con otros planteles e interesados en implementar prácticas sustentables.</t>
  </si>
  <si>
    <t>Educación Ambiental</t>
  </si>
  <si>
    <t>El notario Pedro Luis Noble Monterrubio, presidente del Colegio de Notarios del Estado de Hidalgo, y el notario José Luis Leal Campos, procedente de Jalisco, ofrecieron una conferencia sobre el cumplimiento normativo en la función notarial y la importancia de la deontología jurídica en el ejercicio profesional. Durante su intervención, destacaron que el notariado nacional busca consolidar una actuación ética apegada al uso correcto del español, fomentando la certeza jurídica y la prevención de irregularidades mediante una sólida fuerza laboral directa e indirecta en todo el país. Asimismo, detallaron que el gremio notarial ha avanzado hacia un proceso de unidad y evolución digital tras el acuerdo de Pachuca, proyectando una plataforma tecnológica para integrar herramientas de vanguardia como la ciberseguridad y la inteligencia artificial. Finalmente, extendieron una invitación a la comunidad notarial y jurídica a participar en las actividades del sector y a la próxima reunión que se llevará a cabo en la Expo Guadalajara del 5 al 7 de noviembre.</t>
  </si>
  <si>
    <t>Entrevista en cabina Fausto Osiris Animas Belio, representante de la secretaría de Fomento Económico de Tulancingo - Anunció los pormenores de la feria gastronómica internacional "Tulancingo entre Sabores 2026", la cual se llevará a cabo los días sábado 17 y domingo 18 de octubre en la histórica zona del ferrocarril. Este evento busca fortalecer la economía del municipio mediante una amplia oferta de actividades culturales, exposiciones artísticas y la participación de artesanos y productores locales. La feria contará con una fuerte presencia internacional gracias a la colaboración de la Asociación Gremial de Chefs Autónomos de Chile y la asistencia de cocineros y empresarios procedentes de El Salvador, Honduras, Guatemala, Perú, Estados Unidos y Bolivia. Entre sus principales atractivos destacan la zona de fuego directo con cocinado simultáneo a cargo de chefs internacionales, conversatorios sobre gastronomía tradicional mexicana, talleres infantiles y funciones cinematográficas vinculadas al arte culinario, ofreciendo una jornada continua desde las diez de la mañana hasta las nueve de la noche.</t>
  </si>
  <si>
    <t>Festival Gastronómico</t>
  </si>
  <si>
    <t>Entrevista en cabina con el licenciado Eduardo Marmolejo, consejero electoral del IEEH - Habló a cerca de los preparativos para las elecciones locales del año 2027. El consejero explicó que el proceso federal electoral comenzó el pasado 10 de septiembre y que, de manera paulatina, los demás órganos están iniciando sus funciones, destacando que el Instituto Estatal Electoral de Hidalgo decretará el inicio formal del proceso electoral local el próximo 15 de diciembre. Asimismo, informó sobre dos convocatorias vigentes: la primera está abierta hasta el 7 de octubre y está dirigida a la ciudadanía interesada en integrar los 18 consejos distritales, los cuales se encargan de recibir documentación, empaquetar materiales y realizar los cómputos distritales. La segunda convocatoria, abierta hasta el 14 de octubre, busca integrar la estructura técnico-administrativa u operativa de dichos consejos, incluyendo figuras clave como secretarías, coordinaciones de organización electoral, capacitación y educación cívica, así como enlaces electorales en cada municipio. Finalmente, se recordó que los detalles y registros de ambas convocatorias se pueden consultar a través de la página oficial del instituto (www.ieh.mx), donde las personas interesadas pueden postularse y participar en este ejercicio democrático.</t>
  </si>
  <si>
    <t>Proceso electoral</t>
  </si>
  <si>
    <t>Fíjese que dos menores de edad lesionados, una persona sin localizar y algunos derrumbes es el saldo de las lluvias de este pasado fin de semana aquí en la entidad. Vamos a escuchar la información, ¡adelante, Jacqueline Servín!.</t>
  </si>
  <si>
    <t>Fíjese que el DIF Hidalgo cuenta con 446 albergues en los 84 municipios para atender a las personas afectadas por las lluvias .</t>
  </si>
  <si>
    <t>Súper Stéreo 100.5 FM</t>
  </si>
  <si>
    <t>Vía telefónica Miguel Saviñón, abogado de aquí de la región de Tula, la intención de esta entrevista es para que nos pueda platicar como profesional en materia judicial, ¿qué debe tener una persona o qué requisitos debe cumplir una persona para sacar el cuerpoo el cuerpo de un familiar.</t>
  </si>
  <si>
    <t>Una trabajadora de Protección Civil de Almoloya, identificada como Diana, habría sido víctima de una agresión con gas pimienta por parte de su superior, Miguel Ángel, según una denuncia difundida públicamente. El testimonio, dado a conocer por la influencer Cecilia Gaxiola en redes sociales, señala que el funcionario presuntamente habría rociado gas directamente en el rostro de la empleada, quien posteriormente habría requerido atención médica.</t>
  </si>
  <si>
    <t>Agresión de funcionario</t>
  </si>
  <si>
    <t>Enlace clima Luis García de la Conagua en la Republica Mexicana e Hidalgo, zona huasteca máxima de 27 mínima de 20, para la Sierra 22 máxima mínima de 17, Altiplano máxima de 17 mínima de 9, para Pachuca y Tizayuca 16 mínima de 10, en la Zona Tepehua máxima de 24 mínima de 17, Valle de Tulancingo máxima de 16 mínima de 10 en el Valle del Mezquital máxima 18 mínimas de 11 , Huichapan y Tecozayutla máxima 21 y mínima de 11. El nivel de las presas en el estado de Hidalgo es el siguiente: la presa Taxhimay se encuentra al 84.4%; presa Requena al 71.6%; presa Endhó al 101.9%; presa Rojo Gómez al 104%; presa Vicente Aguirre al 98.5%; presa La Esperanza al 100% y presa Zimapán al 85.8%.</t>
  </si>
  <si>
    <t>Nos acaban de confirmar que la reunión sobre el tema de La Cañada, en el municipio de Atotonilco de Tula, va a ser en esa localidad a las 5 de la tarde; ya no va a ser en Pachuca, será a las 5 de la tarde en el centro de La Cañada, allá en el municipio de Atotonilco de Tula, para que la ciudadanía pueda asistir y escuche lo que el gobierno del estado, lo que el gobierno municipal tienen que informarles. Hasta el momento no se confirma si estará el secretario de Gobierno, Guillermo Olivares Reyna; lo que sí, van a recibir información importante para que la gente esté al pendiente de lo que sucede en su comunidad de La Cañada, en Atotonilco de Tula.</t>
  </si>
  <si>
    <t>Atención A Manifestantes</t>
  </si>
  <si>
    <t>El gobernador Julio Menchaca dijo que se cuenta con los recursos económicos necesarios para atender las afectaciones provocadas por las recientes lluvias aquí en el estado."Este año entre los... solamente para la reconstrucción de caminos, puentes e instalaciones de agua entre el gobierno federal, que es la Secretaría de Infraestructura, Comunicaciones y Transportes, nuestra Secretaría de Obras Públicas y Conagua, son 8,115 millones este año, ya están licitados. Están incluso está la eh la maquinaria está en los en los sitios. Eh por las condiciones del clima está es difícil, pero ahorita lo importante es reponer los pasos provisionales y estar en la construcción, cuando las condiciones del tiempo nos lo permitan, pues de los puentes, sobre todo de los puentes."</t>
  </si>
  <si>
    <t>Eulalio Larrieta agradece a Cristian Yahir Castañeda supervisor de la región Pachuca quien nos va atender los reportes que correspondan a la SEMOT</t>
  </si>
  <si>
    <t>La Secretaría de Seguridad Pública de Hidalgo desarticuló presuntos puntos de venta de drogas en los municipios de Pachuca y Tizayuca.Elementos de la Secretaría de Seguridad Pública de Hidalgo aseguraron más de 900 dosis de presunta droga y detuvieron a cuatro personas durante la ejecución de tres cateos simultáneos en los municipios de Pachuca y Tizayuca.</t>
  </si>
  <si>
    <t>Audio video Víctor Velázquez (PRESIDENTE DE LA COOPERATIVA CRUZ AZUL) “ También quiero felicitar y reconocer a quienes aportaron su talento y esfuerzo para lograr esta reactivación. A cada trabajador, técnico, ingeniero, colaborador y a todas las personas que brindaron su conocimiento, dedicación y compromiso. Aprovecho este mensaje para refrendar nuestro llamado al diálogo y a la reconciliación de las familias cooperativistas. Nuestras comunidades merecen vivir en armonía para seguir construyendo juntos la grandeza de la Cruz Azul. Muchas felicidades y muchas gracias por creer en este proyecto de refundación. ¡Que viva la Cruz Azul!"</t>
  </si>
  <si>
    <t>Cruz Azul</t>
  </si>
  <si>
    <t>El Ayuntamiento de Pachuca dio inicio a la Capacitación Gratuita de Conducción Responsable, a través de la Secretaría de Seguridad Pública, Tránsito y Vialidad.El programa formativo arrancó con un grupo inicial de 30 participantes, quienes comenzaron sus actividades con el módulo de clases teóricas, impartidas directamente en las instalaciones de la corporación de seguridad.Durante esta etapa, las y los ciudadanos reciben instrucción enfocada en educación vial, conocimiento del reglamento de tránsito y concientización sobre la responsabilidad que implica conducir un vehículo.Las sesiones teóricas serán complementadas posteriormente con prácticas de manejo y mecánica básica, las cuales se llevarán a cabo en las instalaciones del estacionamiento del Estadio Hidalgo.</t>
  </si>
  <si>
    <t>Curso de manejo</t>
  </si>
  <si>
    <t>La Comisión Nacional del Agua (Conagua), a través de su Dirección Local Hidalgo, informó que realiza un desfogue controlado y programado de la presa Endhó, con un gasto de 4.041 metros cúbicos por segundo, maniobra que, de acuerdo con el organismo, no representa riesgos para la población. La presa Endhó registra un almacenamiento de 102.4 por ciento de su capacidad, equivalente a 187.319 millones de metros cúbicos, además de un derrame de 76.858 metros cúbicos por segundo.</t>
  </si>
  <si>
    <t>Desfogue De Presa</t>
  </si>
  <si>
    <t>El gobernador de Hidalgo, Julio Menchaca Salazar, habló sobre las acciones en beneficio de los afectados por la vaguada monzónica aquí en la entidad, ocurrida hace un año; incluso adelantó la posible visita de la presidenta de México, Claudia Sheinbaum, en esta .</t>
  </si>
  <si>
    <t>Radioescucha Sr. Fidel pide limpieza de calle primera cerrada de Ferrocarril Central delante de la calle 14.</t>
  </si>
  <si>
    <t>Limpieza Urbana</t>
  </si>
  <si>
    <t>Vamos a un tema muy complicado que va a dar mucho de qué hablar en los próximos días, que desde el pasado sábado ha sido un tema incluso nacional: el tema de las tumbas de la comunidad de La Cañada en Atotonilco de Tula. Mire, nosotros hemos buscado a la autoridad municipal para que dé alguna declaración, no hemos tenido respuesta; sabemos que la alcaldesa Yocelyn Tovar ya acudió al Ministerio Público debido a las agresiones que sufrió al interior de la presidencia municipal ese sábado, el día que los pobladores descubrieron que las tumbas habían sido profanadas y que acudieron ahí a la alcaldía. Ayer le presentamos el audio de cómo se escuchaban las niñas gritando, cómo se escuchaba ahí una serie de conflictos. Habrá que ver qué sucede en este tema de la el arribo de los pobladores a la presidencia municipal de Atotonilco. Lo que es cierto es que hoy está programada una reunión, originalmente estaba programada para Pachuca.</t>
  </si>
  <si>
    <t>En otra información, la mañana de hoy, alrededor de 40 trabajadores de Educación Especial se manifestaron en la entrada de las instalaciones de la Secretaría de Educación Pública de Hidalgo, ubicadas en el bulevar Felipe Ángeles, en Pachuca. " no hay ningún documento donde se nos haya brindado a nosotros para decirnos que se va a hacer una reestructuración a nivel zona, entonces pues no ten- tenemos el desconocimiento total de lo que está sucediendo.</t>
  </si>
  <si>
    <t>Protesta de docentes</t>
  </si>
  <si>
    <t>El gobernador de Hidalgo hizo un llamado a la población para atender las recomendaciones emitidas por Protección Civil durante la temporada de precipitaciones. Ante las lluvias intensas pronosticadas para esta semana, el Comité de Emergencia de Hidalgo se mantiene en sesión permanente y atiende las afectaciones reportadas en diversas regiones del estado, informó el gobernador Julio Menchaca Salazar, quien hizo un llamado a la población a seguir las recomendaciones de Protección Civil para evitar situaciones de riesgo.</t>
  </si>
  <si>
    <t>Y ante las lluvias intensas pronosticadas para esta semana, el Comité de Emergencia de Hidalgo se mantiene en sesión permanente y atiende las afectaciones reportadas en diversas regiones del estado. Así lo informó el gobernador Julio Menchaca Salazar, quien hizo un llamado a la población a seguir las recomendaciones de Protección Civil para evitar situaciones de riesgo. Durante la reunión semanal del Gabinete de Seguridad, se dio a conocer que en la última semana se reportaron 21 municipios con afectaciones como derrumbes, inundaciones y deslaves, así como 53 daños en infraestructura, 28 árboles caídos e incremento de cauces. Por lo anterior, se desplegó personal de los tres niveles de gobierno para atender cada situación, incluido el traslado de dos menores de edad lesionados y el rescate de dos personas que quedaron atrapadas por la creciente de un río mientras pescaban</t>
  </si>
  <si>
    <t>Como parte de las acciones para fortalecer la detección oportuna del cáncer de mama, la Secretaría de Salud de Hidalgo (SSH). , ha realizado 9 mil 54 estudios de mastografía mediante la unidad móvil que recorre distintos municipios de la entidad, acercando este servicio a las mujeres que requieren una valoración preventiva</t>
  </si>
  <si>
    <t>El gobernador Julio Menchaca asistirá a la ceremonia de toma de posesión al cargo y protesta de bandera al nuevo comandante de la Guardia Nacional, esto a las 11 de la mañana.</t>
  </si>
  <si>
    <t>Toma de protesta</t>
  </si>
  <si>
    <t>Andrés Torres expresa su agradecimiento a sus compañeros de las diferentes estaciones de radio en Jacala, Ixmiquilpan, Huejutla y Tlanchinol. Resalta el compromiso de los 35 trabajadores, quienes laboran todos los días del año sin días de descanso. Reconoce que no siempre hay acuerdos y que algunos pueden estar descontentos, pero señala que así funcionan los medios de comunicación. Agradece también a sus compañeros en Pachuca por su esfuerzo y dedicación, destacando que tienen más de 110 programas originales al aire. Asegura que sus producciones no son imitaciones y que no engañan a sus audiencias ni a las autoridades, ya que en radio no repiten programas. Finalmente, menciona a varias personas y agradece su apoyo, incluyendo a Maricelda, Socorro, Lety, Lili Smith, Anahí, Saúl, Jesús, Iván y el equipo de Ixmiquilpan. El mensaje concluye con un agradecimiento a quienes están en los controles y producción.</t>
  </si>
  <si>
    <t>Radiodifusoras</t>
  </si>
  <si>
    <t>La Subsecretaría de Protección Civil y Gestión de Riesgos informa a la población que para este 6 de octubre de 2026 se pronostican chubascos con lluvias puntuales a fuertes de 25 a 50 milímetros, principalmente en la zona norte y este del estado. Asimismo, se prevén vientos de variables de 30 de 20 a 30 km por obla por hora, perdón. Las precipitaciones previstas pueden generar encharcamientos, incremento en los niveles de ríos y arroyos, escurrimientos, así como deslaves y derrumbes en zonas susceptibles. Ante la humedad acumulada por la lluvia en los últimos días, se exhorta a la población a extremar precauciones, principalmente en las zonas de laderas, cauces, también tramos carreteros que presentan afectaciones o que pueden ser presentarse nuevos es deslizamientos.</t>
  </si>
  <si>
    <t>CEDSPI continúa con las jornadas “¡A ver… a ver!” en municipios de Hidalgo</t>
  </si>
  <si>
    <t>Salud Visual</t>
  </si>
  <si>
    <t>En lo que va del presente año, la Secretaría de Salud de Hidalgo (SSH), ha realizado 9 mil 54 estudios de mastografía mediante la unidad móvil que recorre distintos municipios de la entidad, acercando este servicio a las mujeres que requieren una valoración preventiva. Del total de estudios realizados por la unidad móvil, durante 2026, 67 reportaron sospecha; cabe señalar que las jornadas de mastografías realizadas por la SSH contemplan no solamente la realización del estudio, sino también una ruta de atención para los casos que requieren seguimiento. Una vez identificado un resultado con sospecha de cáncer, la Jurisdicción Sanitaria da continuidad al caso mediante la integración de la información al Sistema de Información de Cáncer en la Mujer (SICAM). Posteriormente, se gestiona la cita ante la Unidad de Especialidades Médicas para la Detección y Diagnóstico del Cáncer de Mama (Uneme Dedicam), instancia encargada de continuar con la valoración, pruebas complementarias, diagnóstico y atención especializada de acuerdo con cada caso. La información se ofrece en el marco del Día Mundial de la Lucha contra el Cáncer de Mama, conmemorado el 19 de octubre de cada año, con objetivo de generar conciencia sobre la importancia de la prevención, la detección oportuna y el acceso a servicios de diagnóstico y atención. Durante octubre, la unidad móvil tiene programadas actividades en diferentes municipios de la entidad, entre ellos Huichapan, Tizayuca, Huehuetla, Almoloya, Pachuca, Zapotlán, Villa de Tezontepec, Apan, Tecozautla, Santiago de Anaya, Nopala, Zempoala, Tlanalapa, Tolcayuca y Tepeapulco. La programación también incluye recorridos durante noviembre y diciembre en diversas demarcaciones, con algunas fechas aún por confirmar. La SSH reitera el llamado a las mujeres a acudir a los servicios de detección y participar en las jornadas programadas, especialmente cuando se encuentren dentro del grupo de edad al que se recomienda este estudio, entre los 40 a 69 años de edad, o cuando el personal de salud determine la necesidad de realizar una mastografía. La Secretaría de Salud de Hidalgo enfatiza que la detección oportuna es el primer paso para identificar alteraciones y establecer, cuando sea necesario, una ruta de atención especializad</t>
  </si>
  <si>
    <t>Radioescucha se queja porque en las oficinas del pago del agua no les aceptan el pago, pues dicen que no aparece su consumo. Pero los que registran las lecturas no van.</t>
  </si>
  <si>
    <t>Pago De Agua</t>
  </si>
  <si>
    <t>Telesecundaria 395, San Lorenzo, Sayula, señalan que los maestros están faltando mucho a clases y no hay una explicación al respecto de por qué no acuden, solo avisan de un día para otro y la verdad, pues que van muy atrasados en cuanto a las clases ahí en San Lorenzo, Sayula, en la telesecundaria.</t>
  </si>
  <si>
    <t>Queja padres de familia</t>
  </si>
  <si>
    <t>Contribuir a que ninguna persona en situación de vulnerabilidad se quede sin alimento es el sentido social que impulsa la operación de los comedores municipales, programa que, a escasos meses de concluir el 2026, registra cerca de 45 mil raciones distribuidas a la población. A través de seis comedores municipales que actualmente se encuentran en operación, la Secretaría de Desarrollo Humano y Social prevé cerrar el año con más de 51 mil raciones servidas, cifra que superaría lo alcanzado durante 2025. Este programa, informó la alcaldesa de Tulancingo, Lorena García Cázares, busca que las y los Tulancinguenses, particularmente quienes enfrentan alguna condición de desventaja social, tengan una opción cercana para acceder a una comida completa, nutritiva y a un costo accesible. Actualmente, la ración tiene un precio de 24 pesos y se ofrece en los comedores de Paraíso, Guadalupe, Rojo Gómez, Huapalcalco, Cañada y La Cruz, en un horario de 12:00 a 15:30 horas, de lunes a viernes. Cada día se ponen a disposición dos alternativas de menú, que varían de manera cotidiana e incluyen sopa, guisado y frijoles. Para quienes consumen los alimentos dentro del comedor también se proporciona agua y tortillas, sin costo adicional. De esta manera, los comedores municipales representan una alternativa económica para quienes, por sus actividades laborales, escolares o circunstancias familiares, no pueden trasladarse hasta sus hogares para alimentarse. Entre los usuarios recurrentes se encuentran madres solteras, estudiantes y trabajadores, además de personas que buscan una opción de alimentación que se encuentre próxima a sus centros de actividad. En la mayoría de los comedores, la atención está a cargo de tres personas, quienes participan tanto en la preparación como en el servicio de los alimentos. Asimismo, se cumplen las disposiciones de inocuidad establecidas en la normativa y el personal recibe capacitación constante para garantizar condiciones adecuadas en la preparación y manejo de los alimentos.</t>
  </si>
  <si>
    <t>Comedores municipales</t>
  </si>
  <si>
    <t>En Cabina Fausto Osirios, de la Secretaría de Fomento Económico de Tulancingo, informó que se llevará a cabo el Primer Encuentro Gastronómico Internacional el 17 y 18 de octubre.</t>
  </si>
  <si>
    <t>A un año del registro de la vaguada monzónica, que afectó las instalaciones del plantel de la Escuela Secundaria “Caudillo del Sur” y la Primaria “Benito Juárez”, ambas en la cabecera municipal de Huehuetla, las obras de rehabilitación no se han finalizado. De 12 aulas consideradas para rehabilitación en el plantel de educación secundaria afectados por las lluvias registradas en octubre del año pasado, apenas se han logrado reconstruir seis. También está pendiente la construcción de la barda perimetral, y con ello, el portón de acceso a las instalaciones del plantel educativo. Integrantes de la institución consideran que la lentitud en los trabajos se debe a que son pocas personas contratadas para las labores de reconstrucción de dicho plantel. Hasta el momento, el avance se registra en la reconstrucción o rehabilitación del área administrativa, incluida las oficinas de dirección, así como el laboratorio, y la cancha de basquetbol. “Esto va para largo·”, consideran madres y padres de familia, insistiendo en considerar que la lentitud de los trabajos es por la falta de personal, quienes han invertido hasta tres meses en la reconstrucción de un módulo de salones de clases. En el caso de la Escuela Primaria Benito Juárez, ya se han entregado cuatro salones, incluso uno de los módulos más afectados tras el paso de la vaguada monzónica. Pero aún está pendiente la reconstrucción de la plaza cívica de la institución, la que es considerada por los integrantes de la institución educativa como importante para el desarrollo de actividades diversas. Durante el mes de noviembre del año pasado, se inició retiro de basura, azolve y lodo de dichas instalaciones, pero los trabajadores a cargo suspendieron las labores debido a que no se les cubrían sus gastos. A inicios de este año las labores de limpieza finalizaron, luego de concretarse los pagos pendientes a los trabajadores. Sin embargo, luego de finalizadas dichas labores no hubo seguimiento en las labores de rehabilitación y reparaciones del plantel escolar, por lo que el 4 de mayo del 2026, un grupo de madres, padres de familia y tutores se manifestaron. Tras la presión, se logró continuar con las labores respectivas hasta culminarlas, con excepción de la plaza cívica, aún pendiente de rehabilitación.</t>
  </si>
  <si>
    <t>Nos están confirmando, gracias también por el apunte. Sí nos están confirmando de que está ahí... se está realizando una manifestación a la entrada de las oficinas de... más bien en las oficinas de la Secretaría de Educación Pública del Estado de Hidalgo sobre el Bulevar Felipe Ángeles en Pachuca, que eso está derivando en las afectaciones sumado, ahí sí, a las obras de rehabilitación que están haciendo sobre el mismo Bulevar Felipe Ángeles, pero sí se hay manifestación por parte de planteles de Educación Especial es lo que nos hace favor de compartirnos y por eso está lento el tráfico vehicular.</t>
  </si>
  <si>
    <t>El municipio de Cuautepec de Hinojosa apenas cuenta con 32 elementos policiacos para atender a una población total de 64 mil 367 habitantes, de acuerdo a datos del Instituto Nacional de Estadística y Geografía (Inegi). Lo anterior significa que la tasa señala que existe un elemento policiaco por cada 2 mil once habitantes del municipio, la más alta del Estado de Hidalgo. Los oficiales locales están asignados a labores de atención, como robos en sus diversas modalidades, riñas, entre otros. Sin embargo, la primera incidencia delictiva señalada en muchos casos es derivada del robo de hidrocarburo, donde Cuautepec está en primer lugar nacional, de acuerdo a datos del Instituto para la Gestión, Administración y Vinculación Municipal (Igavim), con base a información proporcionada por Petróleos Mexicanos. Especialistas en temas de seguridad pública, han señalado que los delincuentes que se dedican al robo de hidrocarburo se dedican a otras actividades ilícitas. Lo anterior como una especie de “complemento”, o cuando ven bloqueadas sus actividades delictivas relacionadas con el robo de hidrocarburo. De acuerdo con datos del Igavim, durante el primer semestre de este año Cuautepec acumuló 439 tomas clandestinas. Dicha cantidad representa el 82 por ciento de las 533 registradas durante todo el año pasado en dicho municipio; por lo que Cuautepec sigue encabezando la lista a nivel nacional de municipios donde se registra robo de hidrocarburo. Otros municipios que también una alta cantidad de habitantes por cada oficial de policía, son San Salvador registra mil 704 habitantes por elemento; Zimapán, mil 701; Alfajayucan, mil 701; Tasquillo, mil 548, e Ixmiquilpan, mil 546.En contraparte, los municipios que registran adecuada tasa de elementos policiacos en relación con su cantidad total de habitantes, son Atitalaquia, con un uniformado por cada 269 habitantes, Villa de Tezontepec, con 347 y Pacula, con 361. La Organización de las Naciones Unidas recomienda que por exista y opere un elemento policiaco por cada 500 habitantes.</t>
  </si>
  <si>
    <t>Déficit policial</t>
  </si>
  <si>
    <t>Y cerramos... del Gabinete de Seguridad de del Estado de Hidalgo, perdón, en donde se señaló que se mantiene en sesión permanente el Comité de Emergencia para el Estado de Hidalgo, haciendo un llamado a la población el gobernador Julio Menchaca Salazar a seguir las recomendaciones de Protección Civil para evitar situaciones de riesgo. Durante la reunión semanal del Gabinete de Seguridad se dio a conocer que en la última semana se reportaron 21 municipios con afectaciones con derrumbes, inundaciones y deslaves, así como 53 daños a infraestructura y 28 árboles caídos e incremento de cauces. Recordemos que este corte que está teniendo el Gabinete de Seguridad es de la semana. El al día de ayer el Subsecretario de Protección Civil del Estado de Hidalgo, Román Bernal Díaz, señaló que serían 14, pero pues la emergencia al final de cuentas sigue. Por ello se desplegó personal de los tres niveles de... el traslado de dos menores de edad lesionados, lo que platicaba Jess hace un momentito acerca de estos muchachos que pues desafortunadamente les cayó una barda encima en Chapulhuacán al sentir este reblandecido la base por las lluvias. Y también se rescataron a dos personas que quedaron atrapadas en la creciente de un río mientras pescaban, en este caso. Y bueno, pues a ello se agrega la desafortunada situación en donde una persona también fue localizada pero ya sin vida en San Bartolo Tutotepec...</t>
  </si>
  <si>
    <t>Daniel Martínez: Y no es mala onda, pero qué bueno que se está pensando en el Estado de Hidalgo como el todo que es, los 84 municipios. Qué bueno que se está pensando en la atención a aquellos municipios, aquellas zonas en que están teniendo más afectaciones o que en el antecedente han tenido afectaciones, y no únicamente... Me queda claro que las mismas atenciones necesita la zona metropolitana de Pachuca que los municipios, sobre todo de la zona norte y el este del Estado de Hidalgo. Y qué bueno que está este despliegue; ojalá que no se tuviera que utilizar, Jess, pero pues ahí está listo y ojalá, ojalá que alcance para las necesidades que se tengan que solventar en esta... en esta situación de lluvias que estaremos teniendo durante varios días todavía.</t>
  </si>
  <si>
    <t>DIF Hidalgo cuenta con 206 mil despensas y 446 albergues ante afectaciones por lluvias</t>
  </si>
  <si>
    <t>Las recientes lluvias registradas en el Estado de Hidalgo provocaron la destrucción de al menos 10 pasos provisionales que habían sido habilitados para restablecer la comunicación tras los daños ocasionados por la vaguada monzónica de 2025. Pablo Octavio Olvera, titular del Centro de la Secretaría de Infraestructura, Comunicaciones y Transportes (SICT) en la entidad, explicó que los cruces dañados se localizan sobre todo en los municipios de Tepehuacán de Guerrero, Tianguistengo, Huautla y Huehuetla. Las afectaciones a la infraestructura vial, registradas el pasado fin de semana, complican el paso vehicular y peatonal en los municipios mencionados, así como en otros más. El funcionario señaló que los pasos provisionales fueron instalados como una medida temporal para recuperar la comunicación después de la emergencia registrada el año pasado y debían permanecer en funcionamiento hasta que concluyeran las estructuras permanentes que los sustituirán. En Tepehuacán de Guerrero, detalló, la corriente afectó el paso provisional ubicado en el puente Tamala. No obstante, posteriormente se permitió el tránsito de vehículos ligeros sobre la estructura existente. En otros puntos, las empresas contratistas deberán esperar a que disminuyan los niveles de los ríos para iniciar los trabajos de reconstrucción de los cruces temporales afectados. Hasta el momento, no existe una fecha definida para restablecer todos los accesos. El titular del Centro SICT en Hidalgo agregó que las lluvias también impactaron obras que ya se encontraban en ejecución, por lo que será necesario esperar a que disminuya la intensidad de la temporada de precipitaciones para dar continuidad a algunos trabajos. Advirtió que el regreso a la normalidad será paulatino, debido a que las obras requieren varios meses de ejecución y su avance está condicionado por las condiciones climáticas. Como ejemplo, explicó que la reconstrucción de puentes como el de Zicatlán contempla procesos constructivos de entre 10 y 12 meses, periodo que también estará sujeto al comportamiento del clima. El funcionario añadió que los proyectos de las estructuras definitivas contemplan modificaciones orientadas a reducir su vulnerabilidad ante futuras avenidas de agua. No precisó las fechas previstas para la entrega de los 10 cruces provisionales afectados ni detalló los parámetros hidráulicos considerados para determinar las soluciones definitivas en cada uno de los puntos dañados por las recientes lluvias. La recuperación de los pasos temporales y la continuidad de las obras permanentes dependerán de la disminución de los niveles de los ríos y de que las condiciones permitan el ingreso seguro de las empresas encargadas de los trabajos.</t>
  </si>
  <si>
    <t>El Sistema DIF Hidalgo cuenta con una reserva de hasta 206 mil despensas para atender las necesidades alimentarias de la población en caso de emergencia por las lluvias que se registran en el Estado de Hidalgo. El director general del organismo asistencial estatal, Ricardo Alvizo Contreras, agregó que también existen 446 albergues validados, en los 84 municipios de la entidad, con capacidad conjunta para atender hasta 109 mil 556 personas; de estos espacios, 440 son municipales y seis están bajo administración estatal. La información fue ofrecida durante la conferencia de prensa semanal a cargo del Gobierno del Estado de Hidalgo, realizada este lunes 5 de octubre. Aclaró que la validación de un albergue no significa que actualmente se encuentre recibiendo personas, ya que su habilitación se realiza mediante un protocolo de tres fases: identificación, activación y operación. Hasta el momento, no hay personas recibidas en dichos albergues, que cuentan con capacidad para atender entre 40 a 200 solicitantes, dependiendo de la zona que se atienda y las características en cada caso. Para las eventuales atenciones a quien así lo requiera, el Sistema DIF Hidalgo está en coordinación con 69 de los 84 municipios de la entidad, sobre todo aquellos que cuentan con una importante cantidad de zonas en riesgo. A ello se agrega coordinación con el Sistema DIF nacional, con objetivo de fortalecer la capacidad de respuesta ante las contingencias ocasionadas por las lluvias. Alvizo Contreras, informó también que, a través del Programa de Atención a Personas en Condición de Emergencia (APCE), se dispone de un fondo de 360 millones de pesos de inversión estatal para garantizar la cobertura alimentaria ante situaciones de emergencia y desastres naturales. En materia de atención médica, confirmó que dos menores de edad, de cuatro y tres años, fueron trasladados la noche del sábado al Hospital del Niño DIF, donde permanecen bajo atención. Ambos también están contemplados en el programa estatal de apoyo económico para personas afectadas.</t>
  </si>
  <si>
    <t>El 5 de octubre, trabajadores sindicalizados de la salud en el Hospital General de Pachuca se manifestaron para exigir la renovación de la dirigencia de la Sección 20 del Sindicato Nacional de Trabajadores de la Secretaría de Salud. Los trabajadores desconocen a Sonia Ocampo como su representante, ya que su periodo de gestión concluyó el domingo anterior. Piden que se emita una convocatoria para elegir un nuevo dirigente, a pesar de que se ha informado que no habrá elecciones por órdenes presidenciales. Los manifestantes mencionaron que los tratados internacionales ratificados por México reconocen su derecho a votar y ser votados. Un grupo de trabajadores ha viajado a la Ciudad de México en dos ocasiones para protestar en la sede de la Secretaría de Salud Federal, con la última movilización el 2 de octubre, donde se reunieron con trabajadores de otras 26 secciones sindicales. Marco Antonio García Ayala, el dirigente nacional del sindicato, aseguró que se emitirá la convocatoria, aunque no se ha señalado una fecha específica. Los trabajadores advirtieron que, si no se cumplen las condiciones necesarias y no se emite la convocatoria, volverán a las calles para manifestarse. También existe un temor generalizado entre la base trabajadora respecto al proceso electoral. Sonia Ocampo lleva aproximadamente 17 años como dirigente sindical y ha estado en el sindicato durante alrededor de 26 años. Algunos sindicalizados han escuchado rumores sobre una orden presidencial que suspendería las elecciones, pero no ha habido una declaración pública al respecto. Se ha mencionado que sólo se han extendido los plazos de otros dirigentes sindicales para evitar conflictos con los procesos electorales.</t>
  </si>
  <si>
    <t>Protesta sindical</t>
  </si>
  <si>
    <t>El proceso penal contra Gerardo Sosa Castelán por presunta delincuencia organizada y operaciones con recursos de procedencia ilícita podrá continuar ante el Tribunal de Enjuiciamiento, luego de que quedó firme la resolución que anuló la resolución dictada previamente a su favor. Con esta determinación ya no quedan recursos pendientes que impidan la continuación de la causa penal 263/2020, relacionada con movimientos financieros por 58 millones 245 mil 948.04 pesos.Buscar abogado El Tercer Tribunal Colegiado de Apelación en Materia Penal del Segundo Circuito resolvió por unanimidad el expediente 17/2026 y confirmó la determinación que dejó sin efecto el cierre anticipado del proceso. Juez envió el caso a juicio y después intentó cerrarlo De acuerdo con información reservada, Salazar Hernández dictó primero el auto de apertura a juicio y remitió la causa al Tribunal de Enjuiciamiento. Sin embargo, posteriormente volvió a intervenir y decretó el sobreseimiento a favor de Sosa Castelán. Para los magistrados, esa segunda actuación ocurrió cuando el juez ya había perdido competencia sobre el expediente. Durante la revisión, el magistrado Felipe de Jesús Delgadillo Padierna explicó a medios regionales que, una vez recibido el auto de apertura y realizada la citación para la audiencia de juicio oral, el procedimiento no podía regresar a una etapa anterior.Buscar Abogados Además, Sosa Castelán ya no se encontraba a disposición del juez de control, sino del tribunal encargado de desarrollar el juicio. Por esa razón, el juez no podía intervenir nuevamente para cerrar la causa. La resolución también confirmó la negativa del amparo promovido por la defensa. En consecuencia, quedó firme la decisión que eliminó el sobreseimiento y permitió continuar con el proceso penal. Esto no representa una sentencia condenatoria contra el exrector de la Universidad Autónoma del Estado de Hidalgo. Las acusaciones deberán ser discutidas y probadas durante el juicio, donde la Fiscalía y la defensa podrán presentar sus respectivos argumentos y elementos. La causa penal 263/2020 está relacionada con una acusación por delincuencia organizada y operaciones con recursos de procedencia ilícita por 58 millones 245 mil 948.04 pesos.Buscar abogado De acuerdo con la información disponible, la empresa Contabilidad del Siglo XXI Pachuca, S.C. recibió esa cantidad entre 2011 y 2018. De la misma cuenta habrían salido posteriormente 48 millones 569 mil 840.59 pesos. Dentro de esos movimientos se encuentran 23 millones 567 mil pesos presuntamente transferidos mediante 70 cheques a una cuenta a nombre de Gerardo Sosa Castelán. Las cantidades y operaciones mencionadas forman parte de la acusación presentada por la Fiscalía. Su procedencia, destino y posible relación con los delitos imputados deberán comprobarse durante el juicio. FGR prepara extradición de Ana Carmen Sosa desde Argentina La Fiscalía General de la República prepara la solicitud formal de extradición de Ana Carmen Sosa Cravioto, hija de Gerardo Sosa Castelán. La mujer, de 35 años, fue detenida en la provincia de Mendoza, Argentina, cuando pretendía abordar un vuelo hacia Chile. Durante la revisión migratoria, las autoridades detectaron que existía una ficha roja de Interpol y activaron los protocolos correspondientes. La FGR busca que sea entregada a las autoridades mexicanas para enfrentar acusaciones por operaciones con recursos de procedencia ilícita y delincuencia organizada.Buscar abogado De acuerdo con La Jornada, Ana Carmen Sosa Cravioto es señalada como beneficiaria indebida de 16.6 millones de pesos a través de Contabilidad Siglo XXI Pachuca. Actualmente permanece bajo prisión domiciliaria mientras avanzan los mecanismos de colaboración internacional. El trámite de extradición deberá resolverse por separado ante las autoridades argentinas. Su detención y los señalamientos en su contra tampoco representan una condena, por lo que la Fiscalía mexicana tendrá que presentar las pruebas correspondientes si finalmente es trasladada al país.</t>
  </si>
  <si>
    <t>UAEH</t>
  </si>
  <si>
    <t>Cuentas UAEH</t>
  </si>
  <si>
    <t>En San Bartolo Tutotepec donde se conoció que localizaron, afortunadamente con vida a un hombre de 26 años de edad, luego de que la noche del domingo ingresó a caballo intentando cruzar el río el Carrizal Chico y pues fue arrastrado por la corriente. El hallazgo fue en el transcurso de la tarde de ayer lunes en una localidad de San Bartolo Tutotepec cercana a los límites con la Sierra de Veracruz. El cuerpo fue rescatado por los equipos que participaban en las labores de búsqueda y se conoció que los familiares confirmaron el que el cuerpo que fue localizado sin vida corresponde a pues a su familiar que estaban buscando, reitero, de 26 años de edad, vecino de la comunidad de Juntas del Río, quien había sido reportado como desaparecido desde la noche del domingo cuando, insisto, intentó cruzar a caballo el río. En las labores participaron familiares del fallecido y pobladores de comunidades cercanas al cauce, así como elementos de Protección Civil de San Bartolo Tutotepec, Agua Blanca, así como de Zacualpan, este último municipio en el estado de Veracruz.</t>
  </si>
  <si>
    <t>Rescate de persona</t>
  </si>
  <si>
    <t>En Chapulhuacán dos menores de edad resultaron lesionados, uno de ellos de gravedad, luego de que una barda perimetral colapsara y cayera sobre ellos. De acuerdo con información de Protección Civil Municipal, los menores, cuya identidad no fue revelada, fueron auxiliados por socorristas locales tras quedar debajo de la estructura. Debido a la gravedad de las lesiones y fracturas que presentaban, se gestionó su traslado aéreo hacia Pachuca; sin embargo, las condiciones meteorológicas impidieron el vuelo del helicóptero. Ante esta situación, los cuerpos de emergencia realizaron el traslado por tierra hasta la capital hidalguense, donde ambos menores fueron ingresados al Hospital del Niño DIF para recibir atención médica posterior.</t>
  </si>
  <si>
    <t>En este momento se han sus- bueno, desde ayer más bien, se han suspendido las actividades educativas en donde se ha registrado eh las lluvias, sobre todo en las regiones pues prácticamente todo el estado de Hidalgo, en las regiones la Sierra Alta, la Sierra Gorda, la Huasteca, [estornudo] el Valle del Mezquital y la Sierra Baja. Al corte de las 7:30 de la mañana de ayer lunes, las instituciones decidieron mantener el servicio educativo mediante la modalidad a distancia debido a las condiciones climáticas que afectan distintas regiones del estado. En el transcurso de la tarde de ayer lunes, la Secretaría de Educación Pública del Estado de Hidalgo emitió un comunicado que, en caso de que consideren los planteles educativos la necesidad de suspender las actividades académicas, pues que lo hagan. Ahora sí que será decisión de cada plantel educativo, obviamente eh anteponiendo eh poniendo en primer lugar la seguridad de las y los estudiantes, del resto de los integrantes de la comunidad educativa, llámele profesoras, profesores, eh directivos, personal de mantenimiento, personal eh de servicios administrativos. Y es que, como comentabas hace un momento, Jess, pues todavía se espera de que esté lloviendo fuertecito el el día de hoy derivado de esta de este temporal que afecta principalmente Tamaulipas, pero que obviamente eh afecta a a buena parte de del territorio que da hacia el océano Atlántico. Los planteles que suspendieron clases el día de ayer están ubicados en los municipios de Tepehuacán, Tlanchinol, Lolotla, Pacula, Zimapán, Molango, Tianguistengo y Metztitlán, es decir, en la zona norte del estado, en tanto que 14 escuelas de primaria indígena suspendieron actividades en Huejutla, San Felipe Orizatlán, Jaltocán, Yahualica, Xochiatipan, Ixmiquilpan y Nicolás Flores. La medida también comprende dos planteles de primaria general localizados en San Salvador y Pisaflores, tres telesecundarias [tos] en Yahualica, Tlahuiltepa y Cardonal, una escuela de educación especial en Metztitlán y una secundaria general en Zacualtipán. Reiteramos: queda a criterio de cada institución educativa continuar con las clases o suspenderlas hasta en tanto haya condiciones de seguridad para la comunidad educativa, iniciando por las y los...</t>
  </si>
  <si>
    <t>En cuanto a las afectaciones, nada más rápidamente comentar que en Huasquilla, en el municipio de Tenango de Doria, la circulación permanece en un solo carril, incluso en este momento, debido a un deslave en la carretera estatal Tenango-Metepec, a la altura de La Placa. En Xochitlán se registró un deslizamiento en la carretera estatal hacia Tlahuiltepa, mientras que en Nicolás Flores hubo rodamiento de rocas en el tramo segundo Santa Cruz, lo que afecta el acceso a la cabecera municipal. En tanto que en La Flor Xochitlán, en el municipio de San Salvador, esto en el Valle de Mezquital, se redujo preventivamente la circulación a un carril por inestabilidad del terreno, en tanto que en Ixmiquilpan, que de por sí la semana pasada sufrió afectaciones e incluso en el hospital que se encuentra en esa zona, se reportó caída de rocas y deslaves en Cuesta Colorada, El Dexthi, El Nogal, Ojuelos, Agua Florida, La Pechuga y La Lagunita. Mientras tanto, en Chapulhuacán, un deslave de rocas, tierra y árboles incluso obstruyeron la carretera en Plan de Guadalupe. El tramo ya fue atendido, aunque permanece bajo vigilancia en este momento, mientras que en Eloxochitlán el camino entre la cabecera municipal y las comunidades de Hextitlán-Eztitla continúa obstruido. También se reportan derrumbes y caída de piedras en Tlahuiltepa, Tlanchinol, Tepehuacán de Guerrero, Huazalingo y Lolotla. En la carretera federal México-Pachuca se han detectado pequeños derrumbes y rodamiento de piedras cuyo retiro se realiza de manera constante. ¡Y mire que la México-Pachuca está en planito, planito, planito, eh! Pero hay este... esa carretera...</t>
  </si>
  <si>
    <t>Tres personas estuvieron a punto de ser arrastradas por la creciente de un río en el municipio de Atlapexco, luego de quedar atrapadas en el cauce debido al incremento del nivel del agua provocado por las intensas lluvias registradas en Hidalgo. El hecho ocurrió cuando los tres hombres intentaban cruzar hacia su comunidad, pero quedaron atrapados en medio de la corriente y tuvieron que aferrarse a unos arbustos para evitar ser arrastrados por el agua. Ante la emergencia, el presidente municipal de Atlapexco, Juan de Dios Nochebuena Hernández, acudió con elementos de Protección Civil para realizar las labores de rescate. Con apoyo de cuerdas, el alcalde y el personal de auxilio lograron llegar hasta los tres hombres y ponerlos a salvo, antes de que la fuerza de la corriente los arrastrara. Tras el rescate, los jóvenes fueron valorados por los servicios de emergencia, quienes determinaron que se encontraban fuera de peligro y únicamente presentaban el susto derivado del incidente. Las autoridades mantienen el llamado a la población a extremar precauciones ante el incremento de ríos y cuerpos de agua provocado por las lluvias, y evitar intentar cruzar zonas inundadas o con corrientes fuertes.</t>
  </si>
  <si>
    <t>Semáforo Rojo por lluvias para la Sierra Alta en el norte del estado</t>
  </si>
  <si>
    <t>En Jacala de Ledezma, estamos fuera del aire ahorita desafortunadamente en el 91.1 ya tenemos casi 3 semanas fuera del aire</t>
  </si>
  <si>
    <t>SEPH impulsa encuentro estatal sobre tecnología educativa</t>
  </si>
  <si>
    <t>Don Emmanuel Hernández Pascual, presidente municipal de Ixmiquilpan, negó haberse inscrito como candidato para un puesto. A pesar de sus afirmaciones, se confirmó que sí se inscribió y fue removido de la candidatura. Esto provocó su enojo, que se mostró en una reciente conferencia de prensa, donde criticó a la diputada federal Yiamelet Salomón Durán, del Partido Verde Ecologista. Durante esta conferencia, mencionó que los presidentes municipales del distrito tenían un grupo de WhatsApp donde discutieron lo que su diputada había hecho por ellos.</t>
  </si>
  <si>
    <t>Alfredo San Román Duval confirmó públicamente a través de sus redes sociales su registro como aspirante a la Coordinación Distrital Federal (Distrito 01) por Morena. Dan lectura al comunicado de San Román</t>
  </si>
  <si>
    <t>Vecinos de la colonia Villas de Pachuca (entre Avenida Cisnes Oriente y Avenida Canarios) expresaron su inconformidad ante la intención de construir un telebachillerato en un predio que han resguardado como área verde durante 30 años. Se convocó a una reunión en el sitio para manifestar su postura ante las autoridades. "Somos vecinos dispuestos a evitar un ecocidio que se está llevando a efecto por parte de las autoridades del gobierno del estado y de la presidencia municipal".</t>
  </si>
  <si>
    <t>Conflicto por predio</t>
  </si>
  <si>
    <t>En la carretera Pachuca-Ciudad Sahagún: Se registró un choque frontal entre dos vehículos sobre el puente vehicular a la altura de la Universidad Politécnica de Pachuca (UPP).Asimismo, en Huejutla: Se reportó un accidente entre un camión repartidor de la empresa Marinela y una camioneta particular a la altura del CBTA 5.</t>
  </si>
  <si>
    <t>Accidente Carretero</t>
  </si>
  <si>
    <t>Comité de emergencias activo ante próximas lluvias</t>
  </si>
  <si>
    <t>La Secretaría de Educación Pública continúa con este llamado que hizo a todas las comunidades escolares en todas las escuelas de nuestro estado para que determinen cada comunidad escolar si hay o no clases y esto con base en las condiciones del clima en las diferentes regiones. Me reportan que en zonas de la Huasteca, que en zonas de la Sierra Alta, que en zonas también de la Sierra Gorda en varias escuelas se declaró suspensión de labores debido a la crecida de los afluentes, a los derrumbes y por supuesto a las constantes lluvias. La Secretaría de Educación Pública emitió un comunicado el fin de semana en donde explicó ampliamente esta situación y dijo que cada comunidad escolar está en libertad, puede pues determinar sí o no suspensión de clases todo con el objetivo, con el único fin de garantizar la seguridad de los maestros, los directivos, por supuesto niñas, niños, padres de familia. Esto es muy importante así que si en su comunidad escolar determinaron, acordaron que no habría clases es normal, no hay ningún problema. En algunos lugares podrán tener clases vía internet o vía remota, en otros lugares donde está lloviendo muy fuerte donde se ha suspendido el servicio de energía bueno pues no será así, pero el propósito primigenio, lo más importante es la seguridad de las niñas, niños y de toda la comunidad escolar.</t>
  </si>
  <si>
    <t>Ayer se reportó la caída de una barda perimetral en la escuela primaria en el jardín de niños Togüai Togüai ubicado en la comunidad de Santa María Temascalapa en el municipio de Tenango de Doria afortunadamente sin personas lesionadas solamente daños materiales.</t>
  </si>
  <si>
    <t>Caída de barda escolar</t>
  </si>
  <si>
    <t>tTmbién la Subsecretaría de Protección Civil y Gestión de Riesgos informa que ante el incremento del nivel del Río de Atlapexco y presencia de lluvia se mantienen acciones preventivas y monitoreo permanente en coordinación con Protección Civil Municipal. Como medida de seguridad se realiza el cierre preventivo del paso vehicular y también peatonal en los puntos considerados de riesgo así como la evacuación preventiva de población vulnerable ubicada en las inmediaciones del cauce. Se recomienda a las personas que habitan en la ribera del Río de Atlapexco y zonas bajas eh mantenerse atentas a las indicaciones de las autoridades en caso de que observen el incremento considerable al nivel del agua, recibir las indicaciones oficiales y considerar ante su seguridad se encuentre en riesgo realizar una evacuación preventiva hacia una zona segura.</t>
  </si>
  <si>
    <t>Muchas gracias a todas las personas que ayer me mandaron muchísimos videos a mis amigos que circulaban por la carretera Pachuca-Huejutla, México-Tampico como usted la quiera llamar, me mandaron un video con un deslizamiento de tierra allá a la altura del municipio de Lolotla esto es muy cerca de la comunidad de Nonualco ahí por donde está la minera Autlán ¿no, Aldo Falcón? Tú conoces muy bien esta zona. Bueno eh me decían que estaba parcialmente cerrada la carretera, sí había tránsito, sí había manera de circular pues pero eh debido al deslizamiento de materiales bueno el tránsito era muy muy lento. Por ahí también está la entrada a Zoquizoquipan, muchos no lo saben pero usted puede ir de Metztitlán a Zacualtipán por acá por la Sierra, cruzando por la Sierra, no por la carretera México-Tampico o por la carretera Pachuca- Huejutla sino por acá por Zoquizoquipan un día te voy a llevar para que veas lo que es maravilloso en tierra en tierra ajena. Y bueno pues eh también estaban utilizando esta vía para evitar el bloqueo, pero yo le recomiendo por favor cuídese mucho, en la Vega de Metztitlán el Río Chiquito, el río Venados, por supuesto la Laguna de Metztitlán y todos los afluentes que convergen en esta zona baja de nuestro estado tienen un reporte de incremento muy importante, muy muy importante en sus márgenes, en sus niveles. No es recomendable si usted no tiene nada que hacer ahí en la zona no vaya por favor porque la crecida de los ríos es muy importante. Recuerde, la Vega de Metztitlán es una zona muy baja en el centro de nuestro estado, es un vaso, es un cono y todos los escurrimientos de la zona por ejemplo como el Valle del Mezquital, de la Sierra de nuestro estado como San Agustín Mezquititlán, Lolotla, Zacualtipán, de este lado de acá de San de Atotonilco El Grande, de Tulancingo, todos estos afluentes toda el agua que escurre de estas zonas va a dar a la Vega de Metztitlán. Es muy importante por favor que si no tiene usted que andar que hacer por allá o puede usted modificar su agenda no vaya no vaya a la zona porque tenemos ya reporte de crecida en los ríos. Ayer yo le reportaba allá en San Pedro allá en San Pedro ya estaban reportando inundaciones en la iglesia, por cierto así se llama la Iglesia Hundida allá en San Pedro ya estaban este reportando inundaciones, hay una crecida muy importante allá en Hualula, municipio de Eloxochitlán, frente frente a la Laguna de Metztitlán ya se reporta una crecida muy importante. El Río Garcés ahí en la Huasteca que lo mismo es para Atlapexco que para Huejutla también hay crecida. Ayer la Presidencia Municipal de Huejutla hizo operativos en la zona centro, incluso allí en el mero en el mero río, ahí, cerraron para hacer labores de limpieza en el río de podar los árboles porque esto podía representar un riesgo ante los fuertes vientos ante la intensa lluvia y bueno pues todo el mundo está trabajando para estar muy atentos y evitar una contingencia mayor debido a estas intensas lluvias que nos están afectando en la Huasteca, en la Sierra Alta, en la Sierra Gorda y por supuesto el Valle del Mezquital y el centro del estado.</t>
  </si>
  <si>
    <t>Don Emmanuel Hernández Pascual, presidente municipal de Ixmiquilpan, negó haberse inscrito como candidato para un puesto. A pesar de sus afirmaciones, se confirmó que sí se inscribió y fue removido de la candidatura. Esto provocó su enojo, que se mostró en una reciente conferencia de prensa, donde criticó a la diputada federal Yiamelet Salomón Durán, del Partido Verde Ecologista. Durante esta conferencia, mencionó que los presidentes municipales del distrito tenían un grupo de WhatsApp donde discutieron lo que su diputada había hecho por ellos. La diputada Salomón, en respuesta, presentó un documento detallado que resumía todas las acciones y obras que había promovido en beneficio de Ixmiquilpan y otros municipios del distrito en su tiempo en San Lázaro. Esto genera cuestionamiento sobre la necesidad de confrontaciones, ya que se habla de unidad. Aunque Salomón es del mismo partido que el alcalde, su falta de apoyo a él parece haber generado su molestia, especialmente porque no pudo sumarse a la carrera electoral como aspirante a coordinador electoral. Además, la diputada le ofreció al alcalde la oportunidad de aclarar sus dudas personalmente en la Cámara de Diputados. Se especula que él podría asistir, aunque sus críticos mencionan que no es valiente y que, en ocasiones pasadas, ha asistido a eventos rodeado de un gran grupo. Esto se compara con fábulas y cuentos sobre líderes que parecen tener poder, pero que en realidad están limitados y rodeados de fantasía. Lo anterior muestra la falta de respuesta del alcalde a problemas reales que enfrenta Ixmiquilpan, como desastres naturales recientes, en lugar de trabajar para ayudar a la comunidad, prefiere enfrentar a la diputada. En este contexto, hay individuos que están siendo señalados por su ineficacia, preocupándose más por disputas políticas que por las necesidades urgentes de su pueblo.</t>
  </si>
  <si>
    <t>Mal Desempeño</t>
  </si>
  <si>
    <t>La Subsecretaría de Protección Civil, la eh que depende de la Secretaría de Gobierno y, por supuesto, el propio gobernador del estado, Julio Menchaca Salazar, lanzaron una alerta ayer para avisar a toda la población en prácticamente la mitad de nuestro estado, Aldo Falcón. Decimos la zona norte, pero pues yo te diría que también incluye el centro del estado. Con intensas lluvias. Todo esto provocado por los fenómenos climáticos allá en el Golfo de México. ¡Qué fuerte, qué fuerte de ha estado el temporal en eh estados como Tamaulipas y Veracruz! Bueno, Hidalgo está recibiendo también la fuerza de estos de estas tormentas y bueno, tenemos eh esta advertencia para prácticamente la mitad de nuestro estado debido a las lluvias tan fuertes que eh se han registrado. Hay que estar muy atentos a eh las indicaciones de las autoridades tanto de Protección Civil como de las autoridades municipales. Gracias a toda la gente que sigue la señal de Hidalgo Radio y que a través de las diferentes emisiones de nuestras estaciones, bueno, pues está usted informado o están informados respecto a las condiciones del clima. Le decía yo, son varias las situaciones que se están viviendo debido al intenso temporal que azota nuestro estado. Ayer el subsecretario de Protección Civil nos dio una entrevista en exclusiva para la región de la Huasteca y la Sierra Alta, donde eh en específico habló de las condiciones de eh zonas como el río Atlapexco, donde su crecida es muy importante, donde los márgenes se han elevado muchísimo, pero esta condición prevalece prácticamente para todos los ríos, para todos los afluentes en el estado de Hidalgo. El llamado es a tener mucho cuidado, a no acercarse a los cuerpos de agua: presas, jagüeyes, eh lagunas, eh ríos, arroyos, cualquier cuerpo de agua en este momento, bueno, pues ha incrementado sus márgenes, sus niveles y esto representa un riesgo, así que, por favor, no se arriesgue y no vaya hacia estas zonas. Si usted está en la Huasteca, si usted está en la Sierra Alta, bueno, se están registrando deslizamientos de tierra, algunos derrumbes y el pronóstico es que continuarán las lluvias. Le recomendamos, si no es necesario, no salga a carretera, no se arriesgue. Ahorita Aldo Falcón nos va a leer todo el reporte de Protección Civil, pero yo les insisto, por favor, cuídese mucho, no solamente en la región de la Huasteca, también en la Sierra Gorda, en la Sierra Alta, en la parte de Zacualtipán, Molango, la reserva de la biosfera, la barranca de Metztitlán, también con muchísima agua y es importante atender este llamado.</t>
  </si>
  <si>
    <t>Se dieron a conocer los nombres de los aspirantes de Morena para encabezar los siete distritos federales en Hidalgo de cara a las próximas elecciones, figurando diversos exfuncionarios, alcaldes y legisladores que buscan contender u obtener la reelección en el Congreso de la Unión.</t>
  </si>
  <si>
    <t>Aspirantes</t>
  </si>
  <si>
    <t>El gobernador del estado de Hidalgo, Julio Menchaca, confirmó más renuncias de funcionarios estatales de cara a las elecciones de 2027. Aunque el mandatario no precisó los nombres, especificó que corresponden a subsecretarios. Hasta ahora, la única salida oficial es la de Miguel Tello Vargas tras su renuncia, y Onésimo Rodrigo Serrano Rivera será el encargado provisional de la Unidad de Planeación y Prospectiva, por lo que participará en la comparecencia ante el Congreso local. Asimismo, se compartió que Onésimo Rodrigo Serrano Rivera cuenta con experiencia previa en otras administraciones estatales.</t>
  </si>
  <si>
    <t>Cambios En El Gabinete</t>
  </si>
  <si>
    <t>La mañana de este miércoles, inspectores del Sistema Integrado de Transporte Masivo de Hidalgo (SITMA) fueron agredidos física y verbalmente —además de recibir un líquido hirviente— por el conductor de un vehículo particular en el exterior de la estación San Antonio, luego de que el personal interviniera a un motociclista por circular en el carril confinado. El organismo inició la carpeta de investigación correspondiente ante las autoridades competentes y exhortó a la ciudadanía a respetar el reglamento de tránsito y el carril exclusivo.</t>
  </si>
  <si>
    <t>Agresión a servidor público</t>
  </si>
  <si>
    <t>La Instancia Municipal para el Desarrollo de las Mujeres y la Dirección de Seguridad Pública de Cuautepec de Hinojosa llevaron a cabo la sesión de contención emocional "Cuidar a quien me cuida", dirigida a 18 elementos policiales para fortalecer su salud mental, autocuidado y manejo del estrés. La capacitación fue impartida por especialistas del Instituto Hidalguense de las Mujeres con el respaldo del alcalde Jorge Hernández Araus, buscando consolidar esquemas de apoyo psicológico permanente para los cuerpos de seguridad.</t>
  </si>
  <si>
    <t>Se emite una Alerta Amber por la desaparición del menor Pablo Alexander López Martínez, de 10 años de edad, visto por última vez el 5 de octubre de 2026 en Cuautepec, relacionándose con los casos de Guadalupe Yarel y Luz Yaretsi. El niño mide 1.20 metros, pesa 32 kg, tiene cabello corto y lacio de color castaño oscuro, y ojos cafés claro. Se proporciona el número telefónico 800 008 5400 para reportar cualquier información sobre su paradero.</t>
  </si>
  <si>
    <t>Alerta Amber</t>
  </si>
  <si>
    <t>Se emite una Alerta Amber por la desaparición de la menor Luz Yaretsi Hernández López, de 3 años de edad, vista por última vez el 5 de octubre de 2026 en Cuautepec de Hinojosa. La niña mide 90 cm, pesa 16 kg, tiene cabello largo ondulado y castaño claro, y ojos cafés claro; al momento de los hechos presuntamente iba acompañada por Guadalupe Yarel López Martínez. Se habilitó la línea telefónica 800 008 5400 para recibir cualquier información que ayude a dar con su paradero.</t>
  </si>
  <si>
    <t>Se comparte una ficha de búsqueda por el extravío de Guadalupe Yarel López Martínez, de 30 años de edad, vista por última vez el 5 de octubre en Cuautepec de Hinojosa. La persona desaparecida mide 1.55 metros, es de complexión delgada, cabello largo, lacio y negro, ojos café claro, y al momento de su desaparición vestía chamarra, mayón y tenis negros.</t>
  </si>
  <si>
    <t>Ficha De Búsqueda</t>
  </si>
  <si>
    <t>Una bodega ubicada en la colonia Rojo Gómez se incendió este miércoles, provocando una fuerte movilización de cuerpos de emergencia y una columna de humo visible desde diferentes puntos de Tulancingo. Los primeros reportes indican que dentro del inmueble habría llantas y materiales de desecho, mientras bomberos trabajan para sofocar las llamas y reducir el riesgo de que el fuego se extienda hacia propiedades cercanas. Por ahora no se reportan personas lesionadas y tampoco se ha determinado qué originó el siniestro. La recomendación es evitar la zona y mantener libres los accesos para facilitar el trabajo de los equipos de emergencia.</t>
  </si>
  <si>
    <t>Inició gobierno de Hidalgo entrega de cacao y azúcar en la Huasteca.</t>
  </si>
  <si>
    <t>Xantolo</t>
  </si>
  <si>
    <t>Registro del Estado Familiar expide actas certificadas del estado de Hidalgo y de otras entidades federativas</t>
  </si>
  <si>
    <t>Registro Familiar</t>
  </si>
  <si>
    <t>Julio Menchaca respalda llegada de Raúl Meneses, nuevo coordinador estatal de la GN</t>
  </si>
  <si>
    <t>IMSS Bienestar Hidalgo recibió cinco refrigeradores solares para fortalecer la red de frío del Programa de Vacunación Universal (PVU) y mantener las vacunas en condiciones adecuadas de conservación, incluso ante interrupciones del suministro eléctrico. Los equipos, donados por el Fondo de las Naciones Unidas para la Infancia (UNICEF) y garantizados por la Organización Panamericana de la Salud (OPS), fueron destinados a unidades de salud de las regiones del Valle del Mezquital, Huasteca, Altiplano y Otomí-Tepehua, con el objetivo de fortalecer la disponibilidad de biológicos en las comunidades. La jefa del Departamento de Epidemiología de IMSS Bienestar Hidalgo, Basilia Hernández Ramírez, explicó que los equipos mantienen las vacunas entre 2 y 8 grados Celsius, rango necesario para conservar su potencia, calidad, seguridad y eficacia. Los cinco refrigeradores solares ya se encuentran en funcionamiento en las unidades de salud de El Salto y Cardonal, región Ixmiquilpan; Hospital Básico Comunitario de Huehuetla, región Tulancingo; Rancho Viejo, región Huasteca; y Emiliano Zapata, región Apan. El 22 de octubre de 2025, el director general de IMSS Bienestar, Alejandro Svarch Pérez, supervisó la entrega del refrigerador destinado al Hospital Básico Comunitario de Huehuetla, tras las afectaciones provocadas por las lluvias torrenciales asociadas al huracán Priscilla. Con estas acciones, IMSS Bienestar fortalece el Programa de Vacunación Universal y la infraestructura de la red de frío en Hidalgo, para acercar servicios públicos de salud gratuitos y de calidad a las comunidades y garantizar el derecho a la vacunación.</t>
  </si>
  <si>
    <t>Núcleo Citnova abre convocatoria para su número 46</t>
  </si>
  <si>
    <t>Divulgación científica</t>
  </si>
  <si>
    <t>Gobierno de Hidalgo fortalece vigilancia sanitaria durante Feria San Francisco 2026.</t>
  </si>
  <si>
    <t>Feria Pachuca</t>
  </si>
  <si>
    <t>Hidalgo fortalece la protección de niñas, niños y adolescentes con el Modelo de Gestión de Casos.</t>
  </si>
  <si>
    <t>Protección del menor</t>
  </si>
  <si>
    <t>El gobierno municipal de Cuautepec de Hinojosa abrió inscripciones para una nueva oferta de talleres y actividades formativas durante octubre, con opciones enfocadas en el autoempleo, desarrollo de habilidades y bienestar integral. Entre los cursos disponibles se encuentran elaboración de mermeladas y conservas sin azúcar, velas temáticas, jabones terapéuticos, amigurumis y coctelería. También habrá actividades de calistenia y yoga para promover la activación física. Las inscripciones estarán abiertas del 6 al 9 de octubre. Los talleres se realizarán principalmente en el Centro de Desarrollo Comunitario, ubicado en calle Venustiano Carranza #1, colonia Puente de la Paz, Cuautepec Centro. Para inscribirse es necesario presentar copia de INE y CURP. Para mayores informes, está disponible el teléfono 775 150 4801, con Carmen Palacios.</t>
  </si>
  <si>
    <t>Un padre de familia expresó su preocupación ante la falta de cumplimiento de las normativas sobre el ingreso de celulares en las secundarias 1, 2 y 3, señalando la ausencia de filtros y el permiso para el uso de dispositivos en actividades escolares como viajes en la secundaria 2. Asimismo, advirtió sobre conductas agresivas y el impacto del uso descontrolado de redes sociales e internet, por lo que hizo un llamado urgente a las autoridades para atender esta problemática y evitar que se salga de control. Negativas:</t>
  </si>
  <si>
    <t>El gobernador Julio Menchaca informó sobre la posible visita de la presidenta Claudia Sheinbaum al estado de Hidalgo para el próximo fin de semana, la cual representaría su decimosexta visita a la entidad. Entre los puntos principales de la agenda se prevé la entrega de apoyos económicos únicos a más de 2,000 familias que perdieron sus viviendas a raíz de la vaguada monzónica ocurrida en octubre de 2025, a un año de cumplirse dicho fenómeno que afectó a 28 municipios. Asimismo, el mandatario estatal destacó que se mantiene la coordinación con los tres órdenes de gobierno para atender a cerca de 30 comunidades que continúan parcialmente incomunicadas por precipitaciones recientes.</t>
  </si>
  <si>
    <t>Visita Sheinbaum</t>
  </si>
  <si>
    <t>Los presidentes municipales de Hidalgo ya no requerirán una autorización general del Cabildo para celebrar determinados contratos con particulares e instituciones oficiales sobre asuntos de interés público, luego de que el Congreso estatal avalara una reforma a la Constitución local. Diputadas y diputados de la LXVI Legislatura aprobaron parcialmente el dictamen en materia de modernización de la gestión administrativa municipal, emitido por la Primera Comisión Permanente de Legislación y Puntos Constitucionales. Durante la discusión, el diputado Miguel Ángel Moreno Zamora explicó que uno de los principales cambios es eliminar la disposición de la fracción XV del artículo 141 que otorga al ayuntamiento la atribución de facultar al presidente municipal para celebrar este tipo de contratos. El legislador señaló que esta disposición se encuentra en la Constitución estatal desde 1920 y consideró que, después de más de 105 años, ya no responde a las necesidades administrativas actuales de los municipios.</t>
  </si>
  <si>
    <t>Reforma De Ley</t>
  </si>
  <si>
    <t>El Congreso del Estado de Hidalgo aprobó por unanimidad (26 votos a favor) el dictamen para declarar concluido el encargo de la fallecida diputada Juana Olivia Larrón Rivera y otorgar la posesión a Marlene Yareni Trejo Pérez como diputada en funciones de la LXVI Legislatura mediante el principio de representación proporcional. Durante la sesión ordinaria, la legisladora Mónica Reyes Martínez destacó la importancia de garantizar la continuidad de los trabajos legislativos. Asimismo, se detalló la trayectoria de más de tres décadas en el sector educativo de la nueva diputada.</t>
  </si>
  <si>
    <t>El Sitmah informa que se registró un hecho de tránsito sobre la avenida Benito Juárez, esquina con calle José María Iglesias, en el que estuvo involucrado un vehículo particular y la unidad número económico 38, correspondiente al servicio Exprés T-02 del Transporte Metropolitano.</t>
  </si>
  <si>
    <t>Accidente Tuzobús</t>
  </si>
  <si>
    <t>Andrés Torres despide su programa y comenta que ya lo sacaron del aire en Televisión y señala: Acoso, hostigamiento, demandas... este, todos los días somos víctimas de una política del terror de parte de un despotita, porque ni si- es un despotita. Pero bueno, pues aquí le seguimos, ¿no? Aquí nadie se raja.</t>
  </si>
  <si>
    <t>Hostigamiento Laboral</t>
  </si>
  <si>
    <t>Andrés Torres en respuesta a una radioescucha que envía un mensaje sobre la crítica del presidente de Ixmiquilpan hacia la diputada Yaminel, destacando su labor en el Mezquital. Menciona que este presidente es arrogante y se sugiere que no logrará su reelección. Andrés indica que el presidente necesita aprender más sobre política en Hidalgo, donde hay normas y expectativas que se deben seguir. Le aconseja a Emmanuel Hernández, el alcalde, que debe entender el entorno político y no pensar que su posición es fácil, a pesar de la inversión que hizo para obtenerla. Andrés enfatiza que ser alcalde requiere más que solo dinero; se necesita una estrategia y adaptación al contexto político. Además, menciona que si el alcalde realmente le interesa el servicio público, debe hacer cambios necesarios. Por último, se refiere al desgaste que implica ocupar un cargo público.</t>
  </si>
  <si>
    <t>El gobernador menciona que solo ha recibido la renuncia de Miguel Ángel Tello, a la Unidad de Planeación y no ha habido otros movimientos en su gabinete hasta el momento. Esto implica que la única acción será nombrar a un nuevo titular para esa unidad. Después de la renuncia de Tello, el gobernador designó a Onésimo Serrano Rivera como encargado de la Unidad de Planeación y Prospectiva. Onésimo se presentará ante el Congreso del Estado para detallar el trabajo de la unidad durante las comparecencias que seguirán al cuarto informe de actividades del gobierno. El gobernador elogió la trayectoria y las habilidades de Onésimo, destacando que es un joven talentoso que ha estado en el servicio público por varios años y forma parte de una nueva generación de funcionarios comprometidos. Además, el gobernador comentó que el nombramiento oficial del nuevo titular de la unidad se hará una vez que terminen todas las comparecencias. Por ahora, Onésimo se encargará de cumplir con sus responsabilidades y no hay urgencia por parte del gobernador para decidir sobre el nuevo puesto. En conclusión, hay un encargado que puede gestionar la unidad y se espera que se tomen decisiones sobre el titular más adelante, sin apuros.</t>
  </si>
  <si>
    <t>La Secretaría de Infraestructura y Obras Públicas dio a conocer que en el municipio de Tlanchinol personal de la residencia regional de Molango de Escamilla realiza los recorridos para verificación de las carreteras estatales en Tlanchinol, Tenango, Santa Lucía, también San Salvador, y donde se presentaron algunos derrumbes y retiraron el material caído en los tramos. En los municipios de Tepehuacán de Guerrero, el personal de la residencia regional también retiró piedras, árboles caídos sobre la carretera estatal en los tramos aislados. Y para lo que corresponde a Omitlán, también se presentaron algunos derrumbes, principalmente a la altura de la comunidad de Guerrero.</t>
  </si>
  <si>
    <t>En audiencia de procedimiento abreviado, la Fiscalía General de la República (FGR) obtuvo sentencia de ocho años de prisión contra Rodrigo “N”, al acreditar ante un juez que el imputado participó en la comisión del delito de posesión ilícita de hidrocarburo. En el municipio de Atotonilco de Tula, elementos de la Policía Estatal detuvieron a Rodrigo “N” en posesión de dos bidones con capacidad de mil litros cada uno, abastecidos al 50 por ciento de una mezcla de hidrocarburo, con un total de mil 80 litros, los cuales transportaba a bordo de una camioneta y de los que no pudo acreditar su legal posesión, por lo que los policías lo pusieron a disposición de la Fiscalía Especializada de Control Regional (FECOR) en el estado, para iniciar las investigaciones correspondientes. De la secuela procesal y una vez expuestos los medios de prueba contundentes, el agente del Ministerio Público de la Federación a cargo de la investigación obtuvo la sentencia referida y el pago de una multa de 10 mil Unidades de Medida de Actualización (UMAS), además de la suspensión de derechos civiles y políticos del sentenciado. Con estas acciones la FGR reafirma el compromiso con la sociedad para la investigación y persecución de los delitos en materia federal, por lo que se invita a la ciudadanía a que denuncie las 24 horas de los 365 días del año, al correo electrónico denunciafgr.hidalgo@fgr.org.mx, o al número 771 71 7 52 00 ext. 27 52 47, 27 52 50 ó 27 52 06; asimismo, en las instalaciones de la Fiscalía Federal en el estado de Hidalgo, ubicadas en la carretera México-Pachuca, km. 84.5, colonia Sector Primario, Ciudad Pachuca de Soto C.P. 42080</t>
  </si>
  <si>
    <t>Sentencia</t>
  </si>
  <si>
    <t>La Secretaría de Seguridad Ciudadana de Tizayuca informa que, derivado de un reporte recibido en calle Platino, colonia Esmeralda, elementos de esta corporación realizaron la detención de un masculino de 32 años, señalado por su presunta participación en el ingreso ilegal a un domicilio. Fue puesto a disposición de la Agencia del Ministerio Público para las investigaciones correspondientes.</t>
  </si>
  <si>
    <t>Una patrulla de la Policía Municipal de Mineral de la Reforma casi cae a un barranco, luego de que su conductor habría perdido el control de la unidad. La situación se registró en el Corredor Turístico de la Montaña; de acuerdo con los primeros reportes, el conductor de la camioneta perdió el control de la unidad, que terminó fuera de la carretera. Fueron los arbustos que están en la zona, evitaran que la patrulla cayera hasta el fondo del barranco; los policías que viajaban a bordo de la unidad resultaron ilesos tras el percance. Posteriormente, una grúa realizó las maniobras necesarias para rescatar y retirar la patrulla del sitio. Se abrió investigación respecto al caso, para determinar las responsabilidades legales sobre el caso. Podría interesarte...</t>
  </si>
  <si>
    <t>Accidente de patrulla</t>
  </si>
  <si>
    <t>Se reportó el hallazgo del cuerpo sin vida de un hombre, quien presuntamente fue arrollado por el ferrocarril en el municipio de Villa de Tezontepec. Tras el reporte, elementos de la Policía Municipal y servicios de emergencia acudieron al sitio y confirmaron el fallecimiento de la persona, cuyo cuerpo quedó sobre las vías. El área fue acordonada para permitir que personal de la Procuraduría General de Justicia del Estado de Hidalgo (PGJEH) realizara las diligencias correspondientes y el levantamiento de los restos. De acuerdo con los primeros reportes, la víctima era originaria del municipio de Villa de Tezontepec. Será la autoridad ministerial la encargada de determinar las circunstancias en las que ocurrió el hecho y confirmar oficialmente la identidad del fallecido.</t>
  </si>
  <si>
    <t>SSPH detiene en Huasca a dos personas con 45 billetes falsos</t>
  </si>
  <si>
    <t>Combate a la delincuencia</t>
  </si>
  <si>
    <t>El gobernador Julio Menchaca Salazar acompañó la toma de posesión al cargo y protesta de bandera del general brigadier de Estado Mayor, Raúl Meneses Castrejón, nuevo coordinador estatal de la Guardia Nacional en la entidad. Desde la 18/a. Zona Militar, en Pachuca, el titular del Poder Ejecutivo del Estado de Hidalgo, reconoció la aportación de la Guardia Nacional en materia de seguridad en el estado. Enfatizó que el nombramiento de Meneses Castrejón fortalecerá a la institución y el trabajo coordinado que existe con el Gobierno de Hidalgo. Con la toma de posesión, Meneses Castrejón queda al frente de la coordinación estatal de la corporación y de las tareas que corresponden a la institución dentro del territorio hidalguense. Reconoció además la participación que la corporación federal ha mantenido en las acciones de seguridad implementadas en diferentes regiones de la entidad.</t>
  </si>
  <si>
    <t>Trabajadores adscritos a la Zona Escolar 03 de Educación Especial, se manifestaron afuera de las instalaciones de la Secretaría de Educación Pública en la entidad, reprochando que se realizó una restructuración sin estudios técnicos, administrativos y normativos. La protesta se realizó la mañana del martes 6 de octubre, reprochando que los cambios se hicieron sin consulta alguna, lo que puede afectar las actividades en la zona. La reestructura consiste en que la supervisora, que previamente tenía a su cargo nueve servicios, ahora tendrá solamente cuatro y el resto desconocen qué pasará. Los manifestantes señalaron que desde hace aproximadamente un mes solicitaron información por las vías institucionales respecto al rumor de que la Zona 03 sería dividida. Aseguraron que hasta el momento no han recibido información sobre la eventual restructura de la Zona Escolar. “Al final una falta de recursos, división o reestructuración a ustedes como autoridades no les afecta, pero a los niños, las niñas y adolescentes sí. Estamos en desconocimiento total de lo que está sucediendo, no sabemos sobre los criterios utilizados para tomar la decisión”. Por su parte, la subsecretaria de Educación Básica, Nancy León, explicó que la situación ya fue revisada por las autoridades y sostuvo que las rezonificaciones tienen como objetivo mejorar la atención que reciben las escuelas. La funcionaria señaló que existen supervisiones que tienen bajo su responsabilidad hasta 27 escuelas, por lo que consideró necesario reducir el número de planteles atendidos por cada supervisor para permitir un acompañamiento más cercano. Tras un primer diálogo, una comitiva realiza una mesa de trabajo para llegar a acuerdos, mientras que un grupo de trabajadores de educación especial permanecieron en el acceso principal. Se acordó dar seguimiento a la situación, y por tanto, las demandas presentadas.</t>
  </si>
  <si>
    <t>En Cabina Alejandro Camacho, director del Ballet Magisterial el Estado de Hidalgo informó que del 8 al 10 de octubre de 2026, se llevará a cabo el XXVIII Festival Internacional del Folklor de Hidalgo, México, un encuentro que reúne las expresiones dancísticas y culturales de Guanajuato, Tamaulipas, Jalisco, Nayarit e Hidalgo. Serán tres días para celebrar nuestras raíces, compartir nuestras tradiciones y vivir la riqueza del folklore a través de la música, la danza y el encuentro entre culturas. Se contará con la participación de agrupaciones provenientes de Guanajuato, Tamaulipas, Jalisco, Nayarit e Hidalgo, además de actividades en distintos municipios del estado. Como parte del programa, el próximo 9 de octubre se llevará a cabo una gala especial en el auditorio Gota de Plata, en Pachuca, donde se reunirán cuatro compañías de danza folklórica destacadas y con trayectoria en escenarios nacionales e internacionales. Alejandro Camacho, explicó que en esta ocasión el festival estará dedicado completamente a México, por lo que no se contará con compañías extranjeras, como había ocurrido en ediciones anteriores.</t>
  </si>
  <si>
    <t>Festival Turístico</t>
  </si>
  <si>
    <t>Compartirles que luego de la exhumación de estos dos cuerpos, también uno de eh pues un adulto y otro de un menor, realizada en la localidad de La Cañada, del municipio de Atotonilco de Tula, el gobernador de Hidalgo, Julio Menchaca, señaló que las tumbas se encontraban en un predio que no era un panteón, por lo que se trataba de un espacio irregular e ilegal. Ante el conflicto que derivó en una manifestación en la presidencia municipal, el titular del Ejecutivo estatal informó que la Secretaría de Gobierno ya atiende el caso y mantiene diálogo con los inconformes, aunque señaló que es necesario poner orden en este tipo de situaciones, "pues los panteones son para depositar los restos", dijo. "Entiendo la afectación que puede tener una familia, pero no podemos estar enterrando a nuestros difuntos en donde queramos", declaró. Familiares y pobladores acusaron que la extracción se realizó sin notificación ni autorización y que los hechos supuestamente se ven relacionados para el uso del predio para un proyecto de Viviendas del Bienestar, por lo que el pasado 3 de octubre realizaron una manifestación en la Presidencia Municipal de Atotonilco de Tula y la protesta terminó con destrozos, presuntamente con actos de violencia en contra de la presidenta municipal, Yocelyn Tovar, sus dos hijas menores de edad, así como también otros servidores públicos. Derivado de ello, a través de un comunicado difundido en sus redes sociales, el Ayuntamiento de Atotonilco de Tula informó la suspensión temporal de la atención y los servicios al público en las instalaciones del Palacio Municipal; ello debido a que personal de la Agencia de Investigación Criminal y a través de las divisiones Científica y de Investigación de la Procuraduría General de Justicia del Estado de Hidalgo realizan diligencias ministeriales en el inmueble. Al respecto, el encargado del despacho de la Procuraduría General de Justicia, Francisco Fernández Hasbun, confirmó que se iniciaron dos carpetas de investigación relacionadas con los hechos. Explicó que una de las investigaciones corresponde a la ubicación de las tumbas en un área que no estaba permitida por ninguna autoridad, mientras que la segunda se deriva de la denuncia presentada por la presidenta municipal por los presuntos delitos de amenazas y daños. Fernández Hasbun indicó que por las diligencias ministeriales no era necesario suspender las actividades en Presidencia Municipal; sin embargo, señaló que se respetará la decisión tomada por la alcaldesa.</t>
  </si>
  <si>
    <t>Notarías</t>
  </si>
  <si>
    <t>Existen dos líneas de investigación respecto al asesinato del sacerdote Román de la Cruz Hernández, cuyo cuerpo sin vida fue localizado en el tramo carretero Tolago-Tetlapaya, al norte del Estado de Hidalgo. Así lo informó Francisco Fernández Hasbún, encargado del despacho de la Procuraduría General de Justicia del Estado de Hidalgo (PGJEH), aclarando que hasta el momento no existan órdenes de aprehensión por el homicidio. Cabe señalar que el cuerpo sin vida del sacerdote fue localizado junto a una cartulina que presuntamente contendría un mensaje intimidatorio. Fernández Hasbun señaló que las indagatorias presentan avances, pero evitó revelar detalles debido, señalando que se trata de un caso delicado, estableciendo que proporcionaría mayor información conforme las condiciones de la investigación lo permitan. Dijo que desde el inicio de las investigaciones, existe comunicación entre integrantes de la iglesia y autoridades ministeriales. Respecto a las condiciones de seguridad para los sacerdotes de la región, informó que, hasta el momento, ningún párroco ha requerido protección. El cuerpo del sacerdote fue localizado durante la mañana del martes 15 de septiembre, en el tramo carretero Tolago-Tetlapaya. Román de la Cruz Hernández era originario de la comunidad de Mazahuacán y ejercía como párroco en la iglesia de Santa Cruz, en Huejutla. Tras el asesinato del ministro religioso, se han manifestado representantes católicos, incluso a nivel nacional exigiendo que se esclarezca la situación. Podría interesarte...</t>
  </si>
  <si>
    <t>Homicidio de sacerdote</t>
  </si>
  <si>
    <t>Vía telefónica María del Refugio García López, vocal ejecutiva de la Junta local del INE en la entidad, informó el Instituto Nacional Electoral (INE) inició de manera formal los trabajos de organización del Proceso Electoral Federal 2026-2027 en el estado de Hidalgo. Tras la instalación del Consejo Local el pasado 30 de septiembre, la autoridad electoral habilitó una serie de convocatorias clave orientadas a la participación ciudadana en la entidad. Asimismo, habló sobre los avances, requisitos y trámites disponibles para la ciudadanía de cara a la jornada electoral programada para el 6 de junio de 2027. Señaló que el INE busca integrar sus siete Consejos Distritales Federales en Hidalgo (Huejutla, Ixmiquilpan, Actopan, Tulancingo, El Mezquital, Pachuca y Tepeapulco). Actualmente existen 48 vacantes disponibles (27 propietarias y 21 suplencias), concentrándose la mayor cantidad en los distritos de Tepeapulco e Ixmiquilpan. Periodo de registro del 16 al 31 de octubre a través del portal oficial `[https://consejos.ine.mx/](https://consejos.ine.mx/). Dudas o citas: Correo electrónico `hgo.aspirantes.pe2026@ine.mx`. Sobre las candidaturas Independientes a Diputaciones Federales, dijo que aquellas personas interesadas en contender por una diputación federal sin el respaldo de un partido político tienen hasta el 3 de diciembre para formalizar su intención. Quienes obtengan la constancia de aspirantes deberán recabar el 2% de firmas de la lista nominal correspondiente a su distrito entre la fecha de aprobación y el 12 de febrero, distribuidas en al menos el 1% de la mitad de las secciones electorales del distrito. La ciudadanía puede registrarse para vigilar todas las etapas del proceso electoral hasta el **10 de mayo de 2027** en la plataforma `[https://pe2027-observadores.ine.mx/](https://pe2027-observadores.ine.mx/)`. El único impedimento adicional es no operar o estar vinculado a programas sociales en ningún orden de gobierno. Finalmente dijo que través de la Campaña Anual Intensiva, los 24 Módulos de Atención Ciudadana en el estado (12 fijos y 12 móviles) atienden con o sin cita previa de 8:00 a 20:00 horas. El plazo límite para tramitar inscripciones, cambios de domicilio o corrección de datos es el 25 de enero. El tiempo promedio de entrega de la credencial es de 9 días hábiles.</t>
  </si>
  <si>
    <t>La Suprema Corte de Justicia de la Nación (SCJN) emitió una resolución favorable a la Cooperativa La Cruz Azul, al absolverla de pagar 1,584 millones de pesos (mdp) reclamados por Desarrolladora Táctica FA, S.C. Asimismo, el fallo del máximo tribunal establece que la contraparte deberá devolver a la organización 647.28 mdp que ya habían sido entregados de forma previa. El conflicto comenzó a raíz de un contrato de servicios jurídicos firmado durante la gestión de Guillermo “Billy” Álvarez Cuevas —expresidente de la cooperativa hasta 2020— con la firma Desarrolladora Táctica FA, S.C., vinculada al abogado Ángel Junquera Sepúlveda. La empresa demandante pretendía cobrar honorarios millonarios amparada en dicho acuerdo; sin embargo, la nueva directiva de La Cruz Azul se rehusó a aceptar dichas exigencias, al considerar que el referido contrato carecía de validez y que formaba parte de un esquema irregular para el desvío de recursos. La Cooperativa también argumentó que “Billy” Álvarez carecía de facultades para firmar dicho contrato.</t>
  </si>
  <si>
    <t>La planta de Cemento Cruz Azul Hidalgo reactivó sus operaciones ubicadas dentro del municipio de Tula de Allende, anunciaron que ya se cuenta con producción y se espera un aumento gradual. La planta de Cemento Cruz Azul Hidalgo retomó la operación de sus áreas productivas y departamentos, luego de un proceso de reactivación que permitirá recuperar gradualmente los volúmenes de producción. En un mensaje emitido este martes, Víctor Manuel Velázquez Rangel, presidente del Consejo de Administración de Cooperativa La Cruz Azul, informó que la fábrica ubicada en Tula de Allende opera de manera óptima y segura, bajo los estándares de calidad establecidos. Con esta reactivación, la planta comenzó nuevamente la producción de cemento Portland compuesto, mortero, cemento blanco, pegazulejo blanco y sacos de papel. La cooperativa señaló que el objetivo será incrementar los volúmenes de producción de manera paulatina y responsable, de acuerdo con las necesidades del mercado regional. Como parte del proceso de fortalecimiento de la infraestructura productiva, también continúa la construcción de la Unidad de Calcinación número 10, cuya entrada en funcionamiento está prevista para mediados de 2027. De acuerdo con lo informado, la reactivación representa también un movimiento relevante para la actividad económica y social de Tula de Allende y comunidades de la zona, al recuperar operaciones de una planta con una larga presencia en la región. Durante el anuncio, Víctor Velázquez agradeció el acompañamiento de la presidenta Claudia Sheinbaum Pardo y del gobernador de Hidalgo, Julio Menchaca Salazar, durante el proceso de reactivación. También reconoció la participación de trabajadores, técnicos, ingenieros y colaboradores que intervinieron en el regreso de las operaciones productivas. Finalmente, el presidente del Consejo de Administración hizo un llamado al diálogo y la reconciliación entre las familias cooperativistas, al considerar que la unidad será necesaria para avanzar en el proceso de refundación de La Cruz Azul.</t>
  </si>
  <si>
    <t>Hoy inicia el programa anual de mantenimiento de árboles, coordinado por la Dirección de Medio Ambiente junto con otras áreas del ayuntamiento y empresas de servicios. Comienza a las 9:00 de la mañana, con preparativos para los cortes de ramas en la avenida Gilberto Gómez Carbajal. Se realizarán cierres de calles desde varios metros antes para evitar accidentes. Se espera que los trabajos terminen alrededor del mediodía, lo que implica un cierre temporal de la circulación y la presencia de personal de Movilidad y Transporte para garantizar la seguridad. El programa, que se llevará a cabo de octubre hasta principios de marzo de 2027, incluye la eliminación de exceso de follaje, ramas muertas y heno motita. Estas acciones son necesarias para mantener los árboles en buen estado y reducir riesgos durante los vientos. Además, la lluvia puede hacer que las ramas sean más pesadas. En este trabajo participan el Heroico Cuerpo de Bomberos, la Jefatura de Parques y Jardines, el Departamento de Mantenimiento Urbano y la Dirección de Movilidad y Transporte, así como empresas que necesitan coordinar su intervención para evitar emergencias. Antes de este inicio formal, ya se realizaron podas preventivas en lugares considerados de riesgo, como la calzada 5 de Mayo, los bulevares Emiliano Zapata y Bicentenario, y el Jardín La Floresta. En total, se considera el mantenimiento de 132 árboles en la calzada 5 de Mayo, algunos de hasta 150 años, lo que también ayuda a conservar el patrimonio arbóreo de Tulancingo.</t>
  </si>
  <si>
    <t>Rehabilitación de espacios públicos</t>
  </si>
  <si>
    <t>Daniel Martínez menciona que el gobernador Menchaca Salazar ha indicado que podrían hacerse cambios a la legislación sobre tarifas de taxis en el Estado de Hidalgo. Aunque actualmente no es legal el uso de plataformas digitales, se deja abierta la posibilidad de su entrada en el futuro. Jessenia Romero añade que no hay legislación vigente para permitir plataformas digitales, aunque no se descarta su llegada por completo. Opina que hay opiniones divididas sobre la entrada de estas plataformas. Él piensa que el servicio de taxis debe evolucionar; los concesionarios no deben tratar de bloquear el acceso a aplicaciones como Uber o Didi, sino adaptarse a los cambios del mercado. Esto es importante para evitar problemas y asegurar que el servicio mejore.</t>
  </si>
  <si>
    <t>La plataforma digital Uber, para servicios de transporte de pasajeros, no puede operar en el Estado de Hidalgo, pues no existe legislación que lo permita, señaló el gobernador Julio Menchaca Salazar. La puntualización fue realizada luego de la publicación de una serie de avisos donde supuestamente se anuncia el presunto inicio de la operación en la capital estatal, Pachuca. Señaló que, aunque la publicación de la compañía puede ser cierta, actualmente la prestación del servicio mediante aplicación no está permitida por la legislación estatal. “No, no, no. Venga, la publicación puede ser que sea cierta, pero que es ilegal es absolutamente ilegal”, afirmó Menchaca Salazar al ser cuestionado sobre el tema. Respecto a la posible incorporación de nuevas alternativas de transporte, Menchaca señaló que existe una importante demanda de concesiones por parte de personas interesadas en prestar el servicio. Menchaca Salazar explicó que es el Estado quien otorga las concesiones para la prestación del servicio de transporte y, al mismo tiempo, establece las condiciones bajo las cuales deben operar los concesionarios. “El Estado otorga las concesiones y el Estado pone las condiciones para el ejercicio de esas concesiones”, sostuvo. El gobernador del Estado de Hidalgo reconoció que existen inconformidades entre algunos conductores y concesionarios respecto a las condiciones actuales del servicio, pero afirmó que la administración estatal busca mantener un equilibrio entre los intereses de quienes prestan el servicio y los usuarios. “Nosotros estaremos siempre en beneficio de la mayoría y la mayoría son los usuarios”, enfatizó sobre los servicios de transporte de pasajeros. Menchaca Salazar reconoció que los concesionarios deben obtener ganancias por la prestación del servicio, por lo que aseguró que su administración ha buscado generar condiciones que permitan equilibrar los distintos intereses.</t>
  </si>
  <si>
    <t>Con la plataforma digital Primero CPIMS+, que permitirá registrar y dar seguimiento a los casos que se denuncien y atiendan en las procuradurías municipales de atención a niñas, niños y adolescentes en el Estado de Hidalgo. Lo anterior fue explicado durante la inauguración del despliegue del Modelo de Gestión de Casos (MOGEC) en Hidalgo y Querétaro, estrategia que permitirá homologar procesos de atención y fortalecer las capacidades de las Procuradurías de Protección. La presidenta del Patronato del Sistema DIF Hidalgo, Edda Vite Ramos, quien encabezó el evento, señaló que el MOGEC es una herramienta que permitirá fortalecer y homologar los conocimientos de los equipos que intervienen en la restitución de derechos, con el objetivo de brindar una atención más articulada, especializada y cercana a sus necesidades. Al tener registrado y en seguimiento la plataforma digital Primero CPIMS+, se puede contar con información organizada y trazabilidad de las acciones realizadas para la restitución integral de derechos. El despliegue contempla, además, el fortalecimiento de las capacidades de los equipos multidisciplinarios de las Procuradurías de Protección de Hidalgo y Querétaro, con la participación de profesionales de trabajo social, psicología y derecho. Durante la jornada de capacitación se abordarán tres ejes principales: contexto y marco de intervención; Modelo de Gestión de Casos y herramienta digital, y flujo de atención del MOGEC. Este último comprende las etapas de detección y recepción de reportes, evaluación, determinación del interés superior de la niñez, diseño y seguimiento del Plan de Restitución Integral de Derechos (PRID) y cierre del caso. Asimismo, se analizarán criterios para la valoración de medidas de cuidados alternativos ante situaciones de pérdida del cuidado parental o separación familiar. En su mensaje, Edda Vite destacó que la protección de niñas, niños y adolescentes debe asumirse como una responsabilidad compartida entre instituciones y sociedad, y llamó a fortalecer las capacidades profesionales de quienes tienen contacto directo con casos de vulneración de derechos. Asimismo, reconoció la colaboración de la Procuraduría Federal de Protección de Niñas, Niños y Adolescentes, UNICEF México y los equipos de Hidalgo y Querétaro para compartir conocimientos, experiencias y construir nuevas formas de atención.</t>
  </si>
  <si>
    <t>Vía telefónica Milton Cortés informó que los vecinos de la zona sur de Mineral de la Reforma y Zempoala han expresado su preocupación por posibles inundaciones y encharcamientos, como ocurre cada temporada de lluvias. Aunque las autoridades han respondido adecuadamente con medidas preventivas, persisten problemas, especialmente relacionados con las aguas negras que se combinan con el agua de lluvia, generando grandes inconvenientes. Se llegó a un acuerdo con las autoridades para desviar las aguas negras en la parte trasera del fraccionamiento de Arboledas, pero este proyecto no se ha implementado por completo, lo que sigue generando inquietud entre los residentes. Las autoridades municipales de Mineral de la Reforma, Pachuca y Zempoala tienen comités de emergencia activos para monitorear la situación y evitar que afecte a los habitantes. Hasta ahora, aseguran que no hay riesgo para los ciudadanos, a pesar de las lluvias constantes, y los comités seguirán funcionando mientras persistan las lluvias. Se pide a la población que mantenga precaución y esté atenta a los canales oficiales de los ayuntamientos, especialmente en caso de lluvias intensas, para poder reaccionar rápidamente. Andrés Torres hace un llamado a que todas las presidencias municipales exijan a las constructoras culminar proyectos de forma completa, incluyendo el equipamiento adecuado para el drenaje y la gestión de aguas pluviales. Esto es fundamental para evitar situaciones como las que se viven en Villas de Pachuca, un fraccionamiento con muchos años de antigüedad que aún enfrenta problemas relacionados con terrenos baldíos. Milton Cortés está de acuerdo con la necesidad de que los municipios trabajen en estos aspectos, especialmente en la gestión de los espacios disponibles en los fraccionamientos. Explica que muchos problemas, como inundaciones y encharcamientos, están relacionados con la falta de municipalización de esos espacios. A medida que los diputados han dado más facultades a los municipios, Cortés subraya que es crucial que cumplan con su deber de garantizar infraestructura adecuada para que las familias que viven en esos lugares puedan tener un entorno seguro y funcional.</t>
  </si>
  <si>
    <t>Milton Cortés</t>
  </si>
  <si>
    <t>Ayer, el gobernador Julio Menchaca habló al finalizar un evento de la Guardia Nacional, en cuanto al tema de la llegada de Uber, afirmó que no hay permisos para su operación en el Estado. También advirtió a los concesionarios de taxis y servidores públicos que si no respetan las tarifas, pueden recibir sanciones severas, incluida la pérdida de la concesión.</t>
  </si>
  <si>
    <t>Allá en Jacala, parece ser que ya vamos a regresar al aire en unas horas más, en el 91.1 de frecuencia modulada La Voz de la Sierra Gorda.</t>
  </si>
  <si>
    <t>Tenemos brigadas de la Secretaría de Infraestructura trabajando en todas las regiones del estado: en Tianguistengo, en Atlapexco, en Jacala, en la zona de Molango también, por supuesto en la Otomí-Tepehua allá en Tenango de Doria, están trabajando intensamente equipos, maquinaria, brigadas de trabajadores para retirar los materiales que eh pues se han derrumbado, los materiales de o los taludes que se han movido en los diferentes caminos, carreteras, vías de comunicación de nuestro estado.</t>
  </si>
  <si>
    <t>Coca Orta nos escribe: "Muy buenos días para reportar dos fugas en, esto es en la colonia Piracantos. Hace un llamado a la Caasim que están reportando dos fugas de agua en la colonia Piracantos aquí en Pachuca".</t>
  </si>
  <si>
    <t>Fuga De Agua</t>
  </si>
  <si>
    <t>Vía telefónica Lilí Smith informa sobre la situación de lluvias en la región hidalguense. Las lluvias continúan en el estado y Protección Civil está monitoreando la situación. Se advierte sobre el riesgo de encharcamientos, aumento de ríos y deslaves, y se recomienda no cruzar ríos, arroyos o calles inundadas. También se debe mantener distancia de cauces y respetar los cierres de carreteras, además de usar rutas alternativas. Señala que en la comunidad de Adjuntas, en Pacula, se han registrado aumentos de agua en arroyos y barrancas que han dificultado la comunicación. Por ahora, solo hay reportes de daños menores. En Chapulhuacán, en la comunidad del Sótano, el 3 de octubre colapsó una barda de piedra de una vivienda a causa de las lluvias, resultando en lesiones para dos niños, quienes fueron llevados al Hospital del Niño DIF Hidalgo. Su estado de salud es estable, aunque se debe seguir su evolución. Para el 7 de octubre, Jacala amaneció con temperatura de 15 °C, cielos parcialmente nublados y 90% de humedad. Se espera una máxima de 24 °C y baja probabilidad de lluvia. Sin embargo, para el jueves se anticipan chubascos con un 40% de probabilidad. Andrés Torres comenta sobre las inundaciones en la localidad y recuerda a la audiencia que conduzca con precaución en la carretera 85 que atraviesa la Sierra Gorda. Lili confirma que aunque hay riesgo de deslizamientos, no hay reportes de bloqueos o derrumbes significativos en la zona hasta el momento.</t>
  </si>
  <si>
    <t>Se está generando mucha expectativa en el estado por el proceso de registro para aspirantes a coordinadores electorales distritales de Morena, que se llevó a cabo del 1 al 4 de octubre. Este proceso, realizado de manera remota a través de una plataforma digital del Comité Nacional de Elecciones de Morena, ha suscitado especulaciones sobre quiénes se inscribieron. A medida que pasan los días, algunos de los registrados han comenzado a confirmarlo públicamente. Miguel Tello renunció a su puesto en la Unidad de Planeación y Prospectiva para participar en la selección por Pachuca, y otros nombres mencionados incluyen a Lizeth Marcelino de Ixmiquilpan, Susana Ángeles por Tepeapulco, y el presidente municipal de Huejutla, José San Román Duval, quien también se registró. Daniel Andrade Zurutuza, actual diputado federal, también se inscribió en busca de reelección. Además, Armando Azpeitia Díaz, exalcalde de San Salvador, anunció su registro para el distrito de Ixmiquilpan, lo que es interesante porque pertenece a una corriente interna opositora dentro de Morena. A lo largo de los medios de comunicación, se ha generado una gran cantidad de rumores sobre los aspirantes, y se espera que en los próximos días se revelen más nombres. Se anticipa que Morena lanzará una nueva convocatoria para el registro de aspirantes a coordinadores electorales y defensores de la soberanía municipal en menos de una semana. Este proceso ya está bastante avanzado y se dice que Abraham Mendoza Zenteno tendrá un papel importante en las decisiones. La situación se está volviendo cada vez más interesante y mantiene la atención del público. Sobre Armando Azpeitia, se destacó que también tiene vínculos con la Coordinadora Nacional de Trabajadores de la Educación (CNTE). Las fuentes indican que la dirigencia nacional de Morena confirmará pronto la apertura de esta nueva convocatoria. La expectativa es alta y se cree que pronto habrá más noticias sobre los registros.</t>
  </si>
  <si>
    <t>Ayer el gobernador de nuestro estado, Julio Menchaca Salazar, asistió a la ceremonia para eh el relevo del encargado o del delegado o del nuevo titular de la coordinación estatal de la Guardia Nacional. Ahí el gobernador, bueno, pues fue el invitado de honor para eh este relevo que trajo al general brigadier de Estado Mayor, Raúl Meneses Castrejón, como nuevo coordinador estatal de la Guardia Nacional. Esto fue en las instalaciones de la 18a Zona Militar aquí en Pachuca, aquí por Venta Prieta. Desde esta zona militar, la 18a, el gobernador estatal reconoció, la aportación de la Guardia Nacional en materia de seguridad pública y también eh hizo un reconocimiento al General Meneses Castrejón, quien dijo fortalecerá la institución y el trabajo coordinado que ya existe con el Gobierno del Estado de Hidalgo. A este evento también asistió, por supuesto, el secretario de Gobierno, Guillermo Olivares Reyna; el secretario de Seguridad Pública, Salvador Cruz Neri, y el encargado de la oficina del despacho de la Procuraduría General de Justicia de nuestro estado, el señor Francisco Fernández Hasbun. Comento, el gobernador Julio Menchaca: "Reconocemos la responsabilidad que representa asumir este encargo. Refrendamos nuestra disposición para seguir trabajando de manera coordinada por la seguridad y tranquilidad de las familias hidalguenses".</t>
  </si>
  <si>
    <t>Vecinos de Villas de Pachuca y la zona de Camino Real de la Plata se reunieron para pedir ayuda a los medios de comunicación. Se oponen a la construcción de un telebachillerato en un terreno grande que ha estado vacío durante muchos años. Los vecinos han trabajado en estas áreas, plantando y cuidando plantas, y valoran mucho estos espacios verdes. La construcción de la nueva escuela destruiría estas áreas que aprecian. Hay una gran polémica al respecto. La Presidencia Municipal de Pachuca ya se pronunció sobre el asunto, mencionando que se donó el terreno a las autoridades educativas. Existe un organismo encargado de la construcción de escuelas, y esto ha generado mucho descontento entre los vecinos, especialmente en la zona sur de Pachuca y en Villas de Pachuca. Se menciona que el terreno está ubicado en la avenida Cisnes y Canarios.</t>
  </si>
  <si>
    <t>En Atotonilco de Tula las cosas ya se pusieron muy complicadas para el ayuntamiento porque eh pues resulta ser que en coordinación con el gobierno federal se iban a construir unas Casas del Bienestar. Iniciaron los trabajos para pues delimitar un predio, un predio de 2 hectáreas, iniciaron las excavaciones para colocar los cimientos, pero en las excavaciones pues se encontraron con que había varios entierros. Resulta ser que estaban excavando en un panteón, en un panteón que estaba dado de alta en el municipio, que tenía más de 10 años este activo, laborando, trabajando, activo, abierto. Y pues nadie se explica cómo es posible que topógrafos, ingenieros, personal del ayuntamiento, personal del gobierno federal pues no se dieran cuenta que estaban trabajando en un panteón. El asunto es que inhumaron de manera ilegal, ahora tuvieron que hacerlo de manera legal, varios cuerpos. La comunidad, por supuesto, allá en Atotonilco de Tula está molesta con su alcaldesa y pues todo el mundo se echa la bolita. El asunto es que ahora ni obra, ni panteón y hay una enorme polémica en Atotonilco de Tula.</t>
  </si>
  <si>
    <t>En sesión ordinaria, las diputadas y diputados integrantes del Congreso del Estado de Hidalgo avalaron con 26 votos a favor, cero en contra y cero abstenciones, el dictamen emitido por la primera Comisión Permanente de Legislación y Puntos Constitucionales, mediante el cual se declara concluido el encargo de la diputada Juana Olivia Alarcón Rivera, fallecida el pasado 16 de septiembre, y se otorga posesión a Marlen Yareni Trejo Pérez, como diputada en funciones de la LXVI Legislatura. La determinación da continuidad a la integración del Poder Legislativo estatal, conforme al procedimiento establecido para cubrir la vacante generada por el fallecimiento de la legisladora.</t>
  </si>
  <si>
    <t>La Secretaría de Educación Pública mantiene su llamado a todas las comunidades escolares de todas las instancias públicas de nuestro estado para que eh suspendan clases si las condiciones climáticas no permiten condiciones de seguridad para las niñas, niños, maestros y todo el personal de la.</t>
  </si>
  <si>
    <t>La Subsecretaría de Protección Civil del Estado informa a la población que para este 7 de octubre de 2026 se pronostican chubascos con lluvias puntuales y fuertes de 25 a 50 milímetros, principalmente en la zona norte y este del estado. Asimismo, se prevén vientos con dirección variable de 20 a 30 km/h. Las precipitaciones previstas podrían generar encharcamientos, incremento en los niveles de ríos, arroyos, escurrimientos, así como deslaves y derrumbes en zonas susceptibles.</t>
  </si>
  <si>
    <t>Olegario N. N., salió de su trabajo para ir a la localidad de San Miguel e intentando cruzar a bordo de su caballo, desafortunadamente la creciente del río lo arrastra. Por lo que las autoridades, bueno, te platico más adelante, ya ha sido... Andrés Torres: Varios días, fueron varios días de búsqueda para localizar su cuerpo, desafortunadamente.</t>
  </si>
  <si>
    <t>Rescate de cuerpo</t>
  </si>
  <si>
    <t>Radioescucha 9869 dice: «Reporte 178491 y 179668 en Pitahayas Loreto 219. Que tengan bonito día». ¡Ah, es de Caasim también, fugas! Aquí está, perfecto. Maribel, gracias, ya lo estamos pasando directamente a Caasim. ¡Y yo que estaba diciendo: «No, ahí la llevan los de Caasim, no tienen ningún reporte»! ¡Híjole! Cuando hablas bien de algo, siempre la Ley de Murphy te llega de momento,</t>
  </si>
  <si>
    <t>Radioescucha Señor Gama, ¿cómo está? Dice: «Por favor, licenciado, ¡agua en Lomas Residencial La Torón!». ¿Cómo no? Con mucho gusto, señor... eh... ¡ah, aquí se nos fue! Pero bueno, ahí está, pero bueno, enseguida, enseguida, señor Gama. Le envío un fuerte abrazo, señor Gama, perdón, es que se nos fue la... la imagen, pero aquí está. Aquí está, nos lo está pidiendo, enseguida ponemos el número telefónico para que no haya ningún problema, ¡ahí está!</t>
  </si>
  <si>
    <t>Vía telefonica Jorge Hernández, director de Comunicación Social del Ayuntamiento de Pachuca informó sobre la campaña “Colonia x Colonia” que se estará llevando el dia de hoy en la colonia Bugambilias</t>
  </si>
  <si>
    <t>Con una inversión de 907 mil 743 pesos, el Gobierno Municipal de Mineral de la Reforma, encabezado por Eduardo Medécigo Rubio, puso en marcha una obra de agua potable y drenaje en las privadas Guadalupe, La Palma y cerrada Guadalupe, en la localidad de Apepelco. Estas acciones permitirán mejorar los servicios básicos de 21 viviendas mediante la instalación de nuevas líneas de agua potable y drenaje, así como las conexiones correspondientes a cada domicilio.Durante el arranque de la obra, el secretario de Desarrollo Urbano Sostenible e Infraestructura Pública, Juan Carlos Zarco Cruz, informó que los trabajos se realizarán con recursos del Fondo de Aportaciones para la Infraestructura Social Municipal (FAISM), destinado a atender necesidades prioritarias en las comunidades.</t>
  </si>
  <si>
    <t>Infraestructura Hidráulica</t>
  </si>
  <si>
    <t>Diputadas y diputados integrantes de la LXVI Legislatura avalaron el dictamen que aprueba parcialmente la iniciativa que reforma la Constitución Política del Estado de Hidalgo, en materia de modernización de la gestión administrativa municipal, emitido por la primera Comisión Permanente de Legislación y Puntos Constitucionales. Durante la discusión, el diputado Miguel Ángel Moreno Zamora (Morena) destacó que la propuesta busca actualizar el marco constitucional estatal para dotar a los municipios de mayores herramientas que permitan agilizar su operación administrativa y atender con mayor prontitud las necesidades de la población. Uno de los principales cambios consiste en eliminar la disposición que otorga al ayuntamiento la atribución de facultar al presidente municipal para celebrar contratos con particulares e instituciones oficiales sobre asuntos de interés público.</t>
  </si>
  <si>
    <t>La Procuraduría General de Justicia del Estado de Hidalgo se coloca en los primeros lugares en la resolución de investigaciones y justicia alternativa.De acuerdo con los resultados del Censo Nacional de Procuración de Justicia Federal y Estatal 2026, publicados por el Instituto Nacional de Estadística y Geografía (INEGI), la Procuraduría General de Justicia del Estado de Hidalgo registró durante 2025 resultados relevantes en materia de investigación, judicialización y mecanismos alternativos de solución de controversias.</t>
  </si>
  <si>
    <t>Onésimo Serrano Rivera será el encargado de comparecer en el Congreso Estatal como encargado de la Oficina de la Unidad de Planeación y Prospectiva.</t>
  </si>
  <si>
    <t>Comparecencias</t>
  </si>
  <si>
    <t>Agentes de la Secretaría de Seguridad Pública de Hidalgo (SSPH) detuvieron a un hombre y una mujer, quienes presuntamente realizaron un pago con dinero falso en un establecimiento comercial del municipio de Huasca de Ocampo .</t>
  </si>
  <si>
    <t>Los cuerpos que fueron exhumados en una localidad allá en Cañada en Atotonilco de Tula se encontraban en un predio no apto para panteón.</t>
  </si>
  <si>
    <t>Exhumación</t>
  </si>
  <si>
    <t>El gobernador Julio Menchaca aseguró que es ilegal la entrada de Uber aquí a Hidalgo.</t>
  </si>
  <si>
    <t>Eulalio Larrieta agradece a Edith Balderas de la Secretaria de Educación Pública.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</si>
</sst>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54" tableType="queryTable" totalsRowShown="0">
  <autoFilter ref="A1:M154"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54"/>
  <sheetViews>
    <sheetView tabSelected="1" topLeftCell="A119" workbookViewId="0">
      <selection activeCell="A154" sqref="A154"/>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3.5703125" bestFit="1" customWidth="1"/>
    <col min="8" max="8" width="12.42578125"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30</v>
      </c>
    </row>
    <row r="2" spans="1:13" x14ac:dyDescent="0.25">
      <c r="A2" s="2">
        <v>46301</v>
      </c>
      <c r="B2" s="1" t="str">
        <f ca="1">IF(Información1[[#This Row],[Fecha]]='Ajuste de fechas'!$A$2,"Día actual","Día anterior")</f>
        <v>Día anterior</v>
      </c>
      <c r="C2" s="3" t="s">
        <v>38</v>
      </c>
      <c r="D2" t="s">
        <v>43</v>
      </c>
      <c r="E2" s="3" t="s">
        <v>95</v>
      </c>
      <c r="F2" s="3" t="s">
        <v>14</v>
      </c>
      <c r="G2" s="3" t="s">
        <v>96</v>
      </c>
      <c r="H2" s="3" t="s">
        <v>37</v>
      </c>
      <c r="I2" s="3" t="s">
        <v>7</v>
      </c>
      <c r="J2" s="3" t="s">
        <v>24</v>
      </c>
      <c r="K2" s="3" t="s">
        <v>40</v>
      </c>
      <c r="L2" s="3" t="s">
        <v>27</v>
      </c>
      <c r="M2">
        <v>1</v>
      </c>
    </row>
    <row r="3" spans="1:13" x14ac:dyDescent="0.25">
      <c r="A3" s="2">
        <v>46301</v>
      </c>
      <c r="B3" s="1" t="str">
        <f ca="1">IF(Información1[[#This Row],[Fecha]]='Ajuste de fechas'!$A$2,"Día actual","Día anterior")</f>
        <v>Día anterior</v>
      </c>
      <c r="C3" s="3" t="s">
        <v>38</v>
      </c>
      <c r="D3" t="s">
        <v>43</v>
      </c>
      <c r="E3" s="3" t="s">
        <v>97</v>
      </c>
      <c r="F3" s="3" t="s">
        <v>98</v>
      </c>
      <c r="G3" s="3" t="s">
        <v>99</v>
      </c>
      <c r="H3" s="3" t="s">
        <v>37</v>
      </c>
      <c r="I3" s="3" t="s">
        <v>7</v>
      </c>
      <c r="J3" s="3" t="s">
        <v>24</v>
      </c>
      <c r="K3" s="3" t="s">
        <v>40</v>
      </c>
      <c r="L3" s="3" t="s">
        <v>25</v>
      </c>
      <c r="M3">
        <v>1</v>
      </c>
    </row>
    <row r="4" spans="1:13" x14ac:dyDescent="0.25">
      <c r="A4" s="2">
        <v>46301</v>
      </c>
      <c r="B4" s="1" t="str">
        <f ca="1">IF(Información1[[#This Row],[Fecha]]='Ajuste de fechas'!$A$2,"Día actual","Día anterior")</f>
        <v>Día anterior</v>
      </c>
      <c r="C4" s="3" t="s">
        <v>38</v>
      </c>
      <c r="D4" t="s">
        <v>43</v>
      </c>
      <c r="E4" s="3" t="s">
        <v>100</v>
      </c>
      <c r="F4" s="3" t="s">
        <v>14</v>
      </c>
      <c r="G4" s="3" t="s">
        <v>101</v>
      </c>
      <c r="H4" s="3" t="s">
        <v>37</v>
      </c>
      <c r="I4" s="3" t="s">
        <v>17</v>
      </c>
      <c r="J4" s="3" t="s">
        <v>24</v>
      </c>
      <c r="K4" s="3" t="s">
        <v>40</v>
      </c>
      <c r="L4" s="3" t="s">
        <v>25</v>
      </c>
      <c r="M4">
        <v>1</v>
      </c>
    </row>
    <row r="5" spans="1:13" x14ac:dyDescent="0.25">
      <c r="A5" s="2">
        <v>46301</v>
      </c>
      <c r="B5" s="1" t="str">
        <f ca="1">IF(Información1[[#This Row],[Fecha]]='Ajuste de fechas'!$A$2,"Día actual","Día anterior")</f>
        <v>Día anterior</v>
      </c>
      <c r="C5" s="3" t="s">
        <v>38</v>
      </c>
      <c r="D5" t="s">
        <v>43</v>
      </c>
      <c r="E5" s="3" t="s">
        <v>100</v>
      </c>
      <c r="F5" s="3" t="s">
        <v>35</v>
      </c>
      <c r="G5" s="3" t="s">
        <v>89</v>
      </c>
      <c r="H5" s="3" t="s">
        <v>37</v>
      </c>
      <c r="I5" s="3" t="s">
        <v>7</v>
      </c>
      <c r="J5" s="3" t="s">
        <v>24</v>
      </c>
      <c r="K5" s="3" t="s">
        <v>40</v>
      </c>
      <c r="L5" s="3" t="s">
        <v>25</v>
      </c>
      <c r="M5">
        <v>1</v>
      </c>
    </row>
    <row r="6" spans="1:13" x14ac:dyDescent="0.25">
      <c r="A6" s="2">
        <v>46301</v>
      </c>
      <c r="B6" s="1" t="str">
        <f ca="1">IF(Información1[[#This Row],[Fecha]]='Ajuste de fechas'!$A$2,"Día actual","Día anterior")</f>
        <v>Día anterior</v>
      </c>
      <c r="C6" s="3" t="s">
        <v>47</v>
      </c>
      <c r="D6" t="s">
        <v>48</v>
      </c>
      <c r="E6" s="3" t="s">
        <v>102</v>
      </c>
      <c r="F6" s="3" t="s">
        <v>13</v>
      </c>
      <c r="G6" s="3" t="s">
        <v>103</v>
      </c>
      <c r="H6" s="3" t="s">
        <v>37</v>
      </c>
      <c r="I6" s="3" t="s">
        <v>7</v>
      </c>
      <c r="J6" s="3" t="s">
        <v>28</v>
      </c>
      <c r="K6" s="3" t="s">
        <v>49</v>
      </c>
      <c r="L6" s="3" t="s">
        <v>25</v>
      </c>
      <c r="M6">
        <v>1</v>
      </c>
    </row>
    <row r="7" spans="1:13" x14ac:dyDescent="0.25">
      <c r="A7" s="2">
        <v>46301</v>
      </c>
      <c r="B7" s="1" t="str">
        <f ca="1">IF(Información1[[#This Row],[Fecha]]='Ajuste de fechas'!$A$2,"Día actual","Día anterior")</f>
        <v>Día anterior</v>
      </c>
      <c r="C7" s="3" t="s">
        <v>47</v>
      </c>
      <c r="D7" t="s">
        <v>48</v>
      </c>
      <c r="E7" s="3" t="s">
        <v>104</v>
      </c>
      <c r="F7" s="3" t="s">
        <v>36</v>
      </c>
      <c r="G7" s="3" t="s">
        <v>105</v>
      </c>
      <c r="H7" s="3" t="s">
        <v>37</v>
      </c>
      <c r="I7" s="3" t="s">
        <v>7</v>
      </c>
      <c r="J7" s="3" t="s">
        <v>24</v>
      </c>
      <c r="K7" s="3" t="s">
        <v>49</v>
      </c>
      <c r="L7" s="3" t="s">
        <v>27</v>
      </c>
      <c r="M7">
        <v>1</v>
      </c>
    </row>
    <row r="8" spans="1:13" x14ac:dyDescent="0.25">
      <c r="A8" s="2">
        <v>46301</v>
      </c>
      <c r="B8" s="1" t="str">
        <f ca="1">IF(Información1[[#This Row],[Fecha]]='Ajuste de fechas'!$A$2,"Día actual","Día anterior")</f>
        <v>Día anterior</v>
      </c>
      <c r="C8" s="3" t="s">
        <v>47</v>
      </c>
      <c r="D8" t="s">
        <v>48</v>
      </c>
      <c r="E8" s="3" t="s">
        <v>106</v>
      </c>
      <c r="F8" s="3" t="s">
        <v>72</v>
      </c>
      <c r="G8" s="3" t="s">
        <v>103</v>
      </c>
      <c r="H8" s="3" t="s">
        <v>37</v>
      </c>
      <c r="I8" s="3" t="s">
        <v>7</v>
      </c>
      <c r="J8" s="3" t="s">
        <v>24</v>
      </c>
      <c r="K8" s="3" t="s">
        <v>49</v>
      </c>
      <c r="L8" s="3" t="s">
        <v>27</v>
      </c>
      <c r="M8">
        <v>1</v>
      </c>
    </row>
    <row r="9" spans="1:13" x14ac:dyDescent="0.25">
      <c r="A9" s="2">
        <v>46301</v>
      </c>
      <c r="B9" s="1" t="str">
        <f ca="1">IF(Información1[[#This Row],[Fecha]]='Ajuste de fechas'!$A$2,"Día actual","Día anterior")</f>
        <v>Día anterior</v>
      </c>
      <c r="C9" s="3" t="s">
        <v>47</v>
      </c>
      <c r="D9" t="s">
        <v>48</v>
      </c>
      <c r="E9" s="3" t="s">
        <v>107</v>
      </c>
      <c r="F9" s="3" t="s">
        <v>84</v>
      </c>
      <c r="G9" s="3" t="s">
        <v>108</v>
      </c>
      <c r="H9" s="3" t="s">
        <v>37</v>
      </c>
      <c r="I9" s="3" t="s">
        <v>7</v>
      </c>
      <c r="J9" s="3" t="s">
        <v>24</v>
      </c>
      <c r="K9" s="3" t="s">
        <v>49</v>
      </c>
      <c r="L9" s="3" t="s">
        <v>27</v>
      </c>
      <c r="M9">
        <v>1</v>
      </c>
    </row>
    <row r="10" spans="1:13" x14ac:dyDescent="0.25">
      <c r="A10" s="2">
        <v>46301</v>
      </c>
      <c r="B10" s="1" t="str">
        <f ca="1">IF(Información1[[#This Row],[Fecha]]='Ajuste de fechas'!$A$2,"Día actual","Día anterior")</f>
        <v>Día anterior</v>
      </c>
      <c r="C10" s="3" t="s">
        <v>47</v>
      </c>
      <c r="D10" t="s">
        <v>48</v>
      </c>
      <c r="E10" s="3" t="s">
        <v>109</v>
      </c>
      <c r="F10" s="3" t="s">
        <v>6</v>
      </c>
      <c r="G10" s="3" t="s">
        <v>89</v>
      </c>
      <c r="H10" s="3" t="s">
        <v>37</v>
      </c>
      <c r="I10" s="3" t="s">
        <v>7</v>
      </c>
      <c r="J10" s="3" t="s">
        <v>24</v>
      </c>
      <c r="K10" s="3" t="s">
        <v>49</v>
      </c>
      <c r="L10" s="3" t="s">
        <v>27</v>
      </c>
      <c r="M10">
        <v>1</v>
      </c>
    </row>
    <row r="11" spans="1:13" x14ac:dyDescent="0.25">
      <c r="A11" s="2">
        <v>46301</v>
      </c>
      <c r="B11" s="1" t="str">
        <f ca="1">IF(Información1[[#This Row],[Fecha]]='Ajuste de fechas'!$A$2,"Día actual","Día anterior")</f>
        <v>Día anterior</v>
      </c>
      <c r="C11" s="3" t="s">
        <v>47</v>
      </c>
      <c r="D11" t="s">
        <v>48</v>
      </c>
      <c r="E11" s="3" t="s">
        <v>110</v>
      </c>
      <c r="F11" s="3" t="s">
        <v>98</v>
      </c>
      <c r="G11" s="3" t="s">
        <v>111</v>
      </c>
      <c r="H11" s="3" t="s">
        <v>37</v>
      </c>
      <c r="I11" s="3" t="s">
        <v>7</v>
      </c>
      <c r="J11" s="3" t="s">
        <v>24</v>
      </c>
      <c r="K11" s="3" t="s">
        <v>49</v>
      </c>
      <c r="L11" s="3" t="s">
        <v>27</v>
      </c>
      <c r="M11">
        <v>1</v>
      </c>
    </row>
    <row r="12" spans="1:13" x14ac:dyDescent="0.25">
      <c r="A12" s="2">
        <v>46301</v>
      </c>
      <c r="B12" s="1" t="str">
        <f ca="1">IF(Información1[[#This Row],[Fecha]]='Ajuste de fechas'!$A$2,"Día actual","Día anterior")</f>
        <v>Día anterior</v>
      </c>
      <c r="C12" s="3" t="s">
        <v>38</v>
      </c>
      <c r="D12" t="s">
        <v>39</v>
      </c>
      <c r="E12" s="3" t="s">
        <v>112</v>
      </c>
      <c r="F12" s="3" t="s">
        <v>14</v>
      </c>
      <c r="G12" s="3" t="s">
        <v>113</v>
      </c>
      <c r="H12" s="3" t="s">
        <v>37</v>
      </c>
      <c r="I12" s="3" t="s">
        <v>7</v>
      </c>
      <c r="J12" s="3" t="s">
        <v>24</v>
      </c>
      <c r="K12" s="3" t="s">
        <v>41</v>
      </c>
      <c r="L12" s="3" t="s">
        <v>27</v>
      </c>
      <c r="M12">
        <v>1</v>
      </c>
    </row>
    <row r="13" spans="1:13" x14ac:dyDescent="0.25">
      <c r="A13" s="2">
        <v>46301</v>
      </c>
      <c r="B13" s="1" t="str">
        <f ca="1">IF(Información1[[#This Row],[Fecha]]='Ajuste de fechas'!$A$2,"Día actual","Día anterior")</f>
        <v>Día anterior</v>
      </c>
      <c r="C13" s="3" t="s">
        <v>38</v>
      </c>
      <c r="D13" t="s">
        <v>39</v>
      </c>
      <c r="E13" s="3" t="s">
        <v>114</v>
      </c>
      <c r="F13" s="3" t="s">
        <v>36</v>
      </c>
      <c r="G13" s="3" t="s">
        <v>105</v>
      </c>
      <c r="H13" s="3" t="s">
        <v>37</v>
      </c>
      <c r="I13" s="3" t="s">
        <v>7</v>
      </c>
      <c r="J13" s="3" t="s">
        <v>24</v>
      </c>
      <c r="K13" s="3" t="s">
        <v>41</v>
      </c>
      <c r="L13" s="3" t="s">
        <v>27</v>
      </c>
      <c r="M13">
        <v>1</v>
      </c>
    </row>
    <row r="14" spans="1:13" x14ac:dyDescent="0.25">
      <c r="A14" s="2">
        <v>46301</v>
      </c>
      <c r="B14" s="1" t="str">
        <f ca="1">IF(Información1[[#This Row],[Fecha]]='Ajuste de fechas'!$A$2,"Día actual","Día anterior")</f>
        <v>Día anterior</v>
      </c>
      <c r="C14" s="3" t="s">
        <v>38</v>
      </c>
      <c r="D14" t="s">
        <v>39</v>
      </c>
      <c r="E14" s="3" t="s">
        <v>115</v>
      </c>
      <c r="F14" s="3" t="s">
        <v>14</v>
      </c>
      <c r="G14" s="3" t="s">
        <v>116</v>
      </c>
      <c r="H14" s="3" t="s">
        <v>37</v>
      </c>
      <c r="I14" s="3" t="s">
        <v>7</v>
      </c>
      <c r="J14" s="3" t="s">
        <v>24</v>
      </c>
      <c r="K14" s="3" t="s">
        <v>41</v>
      </c>
      <c r="L14" s="3" t="s">
        <v>34</v>
      </c>
      <c r="M14">
        <v>1</v>
      </c>
    </row>
    <row r="15" spans="1:13" x14ac:dyDescent="0.25">
      <c r="A15" s="2">
        <v>46301</v>
      </c>
      <c r="B15" s="1" t="str">
        <f ca="1">IF(Información1[[#This Row],[Fecha]]='Ajuste de fechas'!$A$2,"Día actual","Día anterior")</f>
        <v>Día anterior</v>
      </c>
      <c r="C15" s="3" t="s">
        <v>38</v>
      </c>
      <c r="D15" t="s">
        <v>39</v>
      </c>
      <c r="E15" s="3" t="s">
        <v>117</v>
      </c>
      <c r="F15" s="3" t="s">
        <v>16</v>
      </c>
      <c r="G15" s="3"/>
      <c r="H15" s="3" t="s">
        <v>37</v>
      </c>
      <c r="I15" s="3" t="s">
        <v>7</v>
      </c>
      <c r="J15" s="3" t="s">
        <v>16</v>
      </c>
      <c r="K15" s="3" t="s">
        <v>41</v>
      </c>
      <c r="L15" s="3" t="s">
        <v>34</v>
      </c>
      <c r="M15">
        <v>1</v>
      </c>
    </row>
    <row r="16" spans="1:13" x14ac:dyDescent="0.25">
      <c r="A16" s="2">
        <v>46301</v>
      </c>
      <c r="B16" s="1" t="str">
        <f ca="1">IF(Información1[[#This Row],[Fecha]]='Ajuste de fechas'!$A$2,"Día actual","Día anterior")</f>
        <v>Día anterior</v>
      </c>
      <c r="C16" s="3" t="s">
        <v>38</v>
      </c>
      <c r="D16" t="s">
        <v>39</v>
      </c>
      <c r="E16" s="3" t="s">
        <v>118</v>
      </c>
      <c r="F16" s="3" t="s">
        <v>13</v>
      </c>
      <c r="G16" s="3" t="s">
        <v>119</v>
      </c>
      <c r="H16" s="3" t="s">
        <v>37</v>
      </c>
      <c r="I16" s="3" t="s">
        <v>7</v>
      </c>
      <c r="J16" s="3" t="s">
        <v>28</v>
      </c>
      <c r="K16" s="3" t="s">
        <v>40</v>
      </c>
      <c r="L16" s="3" t="s">
        <v>34</v>
      </c>
      <c r="M16">
        <v>1</v>
      </c>
    </row>
    <row r="17" spans="1:13" x14ac:dyDescent="0.25">
      <c r="A17" s="2">
        <v>46301</v>
      </c>
      <c r="B17" s="1" t="str">
        <f ca="1">IF(Información1[[#This Row],[Fecha]]='Ajuste de fechas'!$A$2,"Día actual","Día anterior")</f>
        <v>Día anterior</v>
      </c>
      <c r="C17" s="3" t="s">
        <v>38</v>
      </c>
      <c r="D17" t="s">
        <v>39</v>
      </c>
      <c r="E17" s="3" t="s">
        <v>120</v>
      </c>
      <c r="F17" s="3" t="s">
        <v>79</v>
      </c>
      <c r="G17" s="3" t="s">
        <v>121</v>
      </c>
      <c r="H17" s="3" t="s">
        <v>37</v>
      </c>
      <c r="I17" s="3" t="s">
        <v>7</v>
      </c>
      <c r="J17" s="3" t="s">
        <v>16</v>
      </c>
      <c r="K17" s="3" t="s">
        <v>40</v>
      </c>
      <c r="L17" s="3" t="s">
        <v>34</v>
      </c>
      <c r="M17">
        <v>1</v>
      </c>
    </row>
    <row r="18" spans="1:13" x14ac:dyDescent="0.25">
      <c r="A18" s="2">
        <v>46301</v>
      </c>
      <c r="B18" s="1" t="str">
        <f ca="1">IF(Información1[[#This Row],[Fecha]]='Ajuste de fechas'!$A$2,"Día actual","Día anterior")</f>
        <v>Día anterior</v>
      </c>
      <c r="C18" s="3" t="s">
        <v>8</v>
      </c>
      <c r="D18" t="s">
        <v>9</v>
      </c>
      <c r="E18" s="3" t="s">
        <v>122</v>
      </c>
      <c r="F18" s="3" t="s">
        <v>35</v>
      </c>
      <c r="G18" s="3" t="s">
        <v>81</v>
      </c>
      <c r="H18" s="3" t="s">
        <v>37</v>
      </c>
      <c r="I18" s="3" t="s">
        <v>7</v>
      </c>
      <c r="J18" s="3" t="s">
        <v>24</v>
      </c>
      <c r="K18" s="3" t="s">
        <v>11</v>
      </c>
      <c r="L18" s="3" t="s">
        <v>25</v>
      </c>
      <c r="M18">
        <v>1</v>
      </c>
    </row>
    <row r="19" spans="1:13" x14ac:dyDescent="0.25">
      <c r="A19" s="2">
        <v>46301</v>
      </c>
      <c r="B19" s="1" t="str">
        <f ca="1">IF(Información1[[#This Row],[Fecha]]='Ajuste de fechas'!$A$2,"Día actual","Día anterior")</f>
        <v>Día anterior</v>
      </c>
      <c r="C19" s="3" t="s">
        <v>8</v>
      </c>
      <c r="D19" t="s">
        <v>9</v>
      </c>
      <c r="E19" s="3" t="s">
        <v>123</v>
      </c>
      <c r="F19" s="3" t="s">
        <v>72</v>
      </c>
      <c r="G19" s="3" t="s">
        <v>103</v>
      </c>
      <c r="H19" s="3" t="s">
        <v>37</v>
      </c>
      <c r="I19" s="3" t="s">
        <v>7</v>
      </c>
      <c r="J19" s="3" t="s">
        <v>24</v>
      </c>
      <c r="K19" s="3" t="s">
        <v>11</v>
      </c>
      <c r="L19" s="3" t="s">
        <v>25</v>
      </c>
      <c r="M19">
        <v>1</v>
      </c>
    </row>
    <row r="20" spans="1:13" x14ac:dyDescent="0.25">
      <c r="A20" s="2">
        <v>46301</v>
      </c>
      <c r="B20" s="1" t="str">
        <f ca="1">IF(Información1[[#This Row],[Fecha]]='Ajuste de fechas'!$A$2,"Día actual","Día anterior")</f>
        <v>Día anterior</v>
      </c>
      <c r="C20" s="3" t="s">
        <v>124</v>
      </c>
      <c r="D20" t="s">
        <v>70</v>
      </c>
      <c r="E20" s="3" t="s">
        <v>125</v>
      </c>
      <c r="F20" s="3" t="s">
        <v>16</v>
      </c>
      <c r="G20" s="3"/>
      <c r="H20" s="3" t="s">
        <v>37</v>
      </c>
      <c r="I20" s="3" t="s">
        <v>7</v>
      </c>
      <c r="J20" s="3" t="s">
        <v>16</v>
      </c>
      <c r="K20" s="3" t="s">
        <v>71</v>
      </c>
      <c r="L20" s="3" t="s">
        <v>34</v>
      </c>
      <c r="M20">
        <v>1</v>
      </c>
    </row>
    <row r="21" spans="1:13" x14ac:dyDescent="0.25">
      <c r="A21" s="2">
        <v>46301</v>
      </c>
      <c r="B21" s="1" t="str">
        <f ca="1">IF(Información1[[#This Row],[Fecha]]='Ajuste de fechas'!$A$2,"Día actual","Día anterior")</f>
        <v>Día anterior</v>
      </c>
      <c r="C21" s="3" t="s">
        <v>124</v>
      </c>
      <c r="D21" t="s">
        <v>70</v>
      </c>
      <c r="E21" s="3" t="s">
        <v>126</v>
      </c>
      <c r="F21" s="3" t="s">
        <v>13</v>
      </c>
      <c r="G21" s="3" t="s">
        <v>127</v>
      </c>
      <c r="H21" s="3" t="s">
        <v>37</v>
      </c>
      <c r="I21" s="3" t="s">
        <v>17</v>
      </c>
      <c r="J21" s="3" t="s">
        <v>28</v>
      </c>
      <c r="K21" s="3" t="s">
        <v>71</v>
      </c>
      <c r="L21" s="3" t="s">
        <v>25</v>
      </c>
      <c r="M21">
        <v>1</v>
      </c>
    </row>
    <row r="22" spans="1:13" x14ac:dyDescent="0.25">
      <c r="A22" s="2">
        <v>46301</v>
      </c>
      <c r="B22" s="1" t="str">
        <f ca="1">IF(Información1[[#This Row],[Fecha]]='Ajuste de fechas'!$A$2,"Día actual","Día anterior")</f>
        <v>Día anterior</v>
      </c>
      <c r="C22" s="3" t="s">
        <v>124</v>
      </c>
      <c r="D22" t="s">
        <v>70</v>
      </c>
      <c r="E22" s="3" t="s">
        <v>128</v>
      </c>
      <c r="F22" s="3" t="s">
        <v>15</v>
      </c>
      <c r="G22" s="3" t="s">
        <v>90</v>
      </c>
      <c r="H22" s="3" t="s">
        <v>37</v>
      </c>
      <c r="I22" s="3" t="s">
        <v>7</v>
      </c>
      <c r="J22" s="3" t="s">
        <v>29</v>
      </c>
      <c r="K22" s="3" t="s">
        <v>71</v>
      </c>
      <c r="L22" s="3" t="s">
        <v>25</v>
      </c>
      <c r="M22">
        <v>1</v>
      </c>
    </row>
    <row r="23" spans="1:13" x14ac:dyDescent="0.25">
      <c r="A23" s="2">
        <v>46301</v>
      </c>
      <c r="B23" s="1" t="str">
        <f ca="1">IF(Información1[[#This Row],[Fecha]]='Ajuste de fechas'!$A$2,"Día actual","Día anterior")</f>
        <v>Día anterior</v>
      </c>
      <c r="C23" s="3" t="s">
        <v>124</v>
      </c>
      <c r="D23" t="s">
        <v>70</v>
      </c>
      <c r="E23" s="3" t="s">
        <v>129</v>
      </c>
      <c r="F23" s="3" t="s">
        <v>35</v>
      </c>
      <c r="G23" s="3" t="s">
        <v>130</v>
      </c>
      <c r="H23" s="3" t="s">
        <v>37</v>
      </c>
      <c r="I23" s="3" t="s">
        <v>7</v>
      </c>
      <c r="J23" s="3" t="s">
        <v>24</v>
      </c>
      <c r="K23" s="3" t="s">
        <v>71</v>
      </c>
      <c r="L23" s="3" t="s">
        <v>25</v>
      </c>
      <c r="M23">
        <v>1</v>
      </c>
    </row>
    <row r="24" spans="1:13" x14ac:dyDescent="0.25">
      <c r="A24" s="2">
        <v>46301</v>
      </c>
      <c r="B24" s="1" t="str">
        <f ca="1">IF(Información1[[#This Row],[Fecha]]='Ajuste de fechas'!$A$2,"Día actual","Día anterior")</f>
        <v>Día anterior</v>
      </c>
      <c r="C24" s="3" t="s">
        <v>124</v>
      </c>
      <c r="D24" t="s">
        <v>70</v>
      </c>
      <c r="E24" s="3" t="s">
        <v>131</v>
      </c>
      <c r="F24" s="3" t="s">
        <v>98</v>
      </c>
      <c r="G24" s="3" t="s">
        <v>89</v>
      </c>
      <c r="H24" s="3" t="s">
        <v>37</v>
      </c>
      <c r="I24" s="3" t="s">
        <v>7</v>
      </c>
      <c r="J24" s="3" t="s">
        <v>24</v>
      </c>
      <c r="K24" s="3" t="s">
        <v>71</v>
      </c>
      <c r="L24" s="3" t="s">
        <v>25</v>
      </c>
      <c r="M24">
        <v>1</v>
      </c>
    </row>
    <row r="25" spans="1:13" x14ac:dyDescent="0.25">
      <c r="A25" s="2">
        <v>46301</v>
      </c>
      <c r="B25" s="1" t="str">
        <f ca="1">IF(Información1[[#This Row],[Fecha]]='Ajuste de fechas'!$A$2,"Día actual","Día anterior")</f>
        <v>Día anterior</v>
      </c>
      <c r="C25" s="3" t="s">
        <v>8</v>
      </c>
      <c r="D25" t="s">
        <v>9</v>
      </c>
      <c r="E25" s="3" t="s">
        <v>78</v>
      </c>
      <c r="F25" s="3" t="s">
        <v>6</v>
      </c>
      <c r="G25" s="3" t="s">
        <v>75</v>
      </c>
      <c r="H25" s="3" t="s">
        <v>37</v>
      </c>
      <c r="I25" s="3" t="s">
        <v>10</v>
      </c>
      <c r="J25" s="3" t="s">
        <v>24</v>
      </c>
      <c r="K25" s="3" t="s">
        <v>11</v>
      </c>
      <c r="L25" s="3" t="s">
        <v>26</v>
      </c>
      <c r="M25">
        <v>1</v>
      </c>
    </row>
    <row r="26" spans="1:13" x14ac:dyDescent="0.25">
      <c r="A26" s="2">
        <v>46301</v>
      </c>
      <c r="B26" s="1" t="str">
        <f ca="1">IF(Información1[[#This Row],[Fecha]]='Ajuste de fechas'!$A$2,"Día actual","Día anterior")</f>
        <v>Día anterior</v>
      </c>
      <c r="C26" s="3" t="s">
        <v>8</v>
      </c>
      <c r="D26" t="s">
        <v>9</v>
      </c>
      <c r="E26" s="3" t="s">
        <v>132</v>
      </c>
      <c r="F26" s="3" t="s">
        <v>12</v>
      </c>
      <c r="G26" s="3" t="s">
        <v>75</v>
      </c>
      <c r="H26" s="3" t="s">
        <v>37</v>
      </c>
      <c r="I26" s="3" t="s">
        <v>10</v>
      </c>
      <c r="J26" s="3" t="s">
        <v>24</v>
      </c>
      <c r="K26" s="3" t="s">
        <v>11</v>
      </c>
      <c r="L26" s="3" t="s">
        <v>26</v>
      </c>
      <c r="M26">
        <v>1</v>
      </c>
    </row>
    <row r="27" spans="1:13" x14ac:dyDescent="0.25">
      <c r="A27" s="2">
        <v>46301</v>
      </c>
      <c r="B27" s="1" t="str">
        <f ca="1">IF(Información1[[#This Row],[Fecha]]='Ajuste de fechas'!$A$2,"Día actual","Día anterior")</f>
        <v>Día anterior</v>
      </c>
      <c r="C27" s="3" t="s">
        <v>8</v>
      </c>
      <c r="D27" t="s">
        <v>9</v>
      </c>
      <c r="E27" s="3" t="s">
        <v>76</v>
      </c>
      <c r="F27" s="3" t="s">
        <v>13</v>
      </c>
      <c r="G27" s="3" t="s">
        <v>75</v>
      </c>
      <c r="H27" s="3" t="s">
        <v>37</v>
      </c>
      <c r="I27" s="3" t="s">
        <v>10</v>
      </c>
      <c r="J27" s="3" t="s">
        <v>28</v>
      </c>
      <c r="K27" s="3" t="s">
        <v>11</v>
      </c>
      <c r="L27" s="3" t="s">
        <v>26</v>
      </c>
      <c r="M27">
        <v>1</v>
      </c>
    </row>
    <row r="28" spans="1:13" x14ac:dyDescent="0.25">
      <c r="A28" s="2">
        <v>46301</v>
      </c>
      <c r="B28" s="1" t="str">
        <f ca="1">IF(Información1[[#This Row],[Fecha]]='Ajuste de fechas'!$A$2,"Día actual","Día anterior")</f>
        <v>Día anterior</v>
      </c>
      <c r="C28" s="3" t="s">
        <v>8</v>
      </c>
      <c r="D28" t="s">
        <v>9</v>
      </c>
      <c r="E28" s="3" t="s">
        <v>74</v>
      </c>
      <c r="F28" s="3" t="s">
        <v>13</v>
      </c>
      <c r="G28" s="3" t="s">
        <v>75</v>
      </c>
      <c r="H28" s="3" t="s">
        <v>37</v>
      </c>
      <c r="I28" s="3" t="s">
        <v>10</v>
      </c>
      <c r="J28" s="3" t="s">
        <v>28</v>
      </c>
      <c r="K28" s="3" t="s">
        <v>11</v>
      </c>
      <c r="L28" s="3" t="s">
        <v>26</v>
      </c>
      <c r="M28">
        <v>1</v>
      </c>
    </row>
    <row r="29" spans="1:13" x14ac:dyDescent="0.25">
      <c r="A29" s="2">
        <v>46301</v>
      </c>
      <c r="B29" s="1" t="str">
        <f ca="1">IF(Información1[[#This Row],[Fecha]]='Ajuste de fechas'!$A$2,"Día actual","Día anterior")</f>
        <v>Día anterior</v>
      </c>
      <c r="C29" s="3" t="s">
        <v>8</v>
      </c>
      <c r="D29" t="s">
        <v>9</v>
      </c>
      <c r="E29" s="3" t="s">
        <v>133</v>
      </c>
      <c r="F29" s="3" t="s">
        <v>93</v>
      </c>
      <c r="G29" s="3" t="s">
        <v>68</v>
      </c>
      <c r="H29" s="3" t="s">
        <v>37</v>
      </c>
      <c r="I29" s="3" t="s">
        <v>7</v>
      </c>
      <c r="J29" s="3" t="s">
        <v>24</v>
      </c>
      <c r="K29" s="3" t="s">
        <v>11</v>
      </c>
      <c r="L29" s="3" t="s">
        <v>25</v>
      </c>
      <c r="M29">
        <v>1</v>
      </c>
    </row>
    <row r="30" spans="1:13" x14ac:dyDescent="0.25">
      <c r="A30" s="2">
        <v>46301</v>
      </c>
      <c r="B30" s="1" t="str">
        <f ca="1">IF(Información1[[#This Row],[Fecha]]='Ajuste de fechas'!$A$2,"Día actual","Día anterior")</f>
        <v>Día anterior</v>
      </c>
      <c r="C30" s="3" t="s">
        <v>124</v>
      </c>
      <c r="D30" t="s">
        <v>70</v>
      </c>
      <c r="E30" s="3" t="s">
        <v>134</v>
      </c>
      <c r="F30" s="3" t="s">
        <v>16</v>
      </c>
      <c r="G30" s="3" t="s">
        <v>135</v>
      </c>
      <c r="H30" s="3" t="s">
        <v>37</v>
      </c>
      <c r="I30" s="3" t="s">
        <v>7</v>
      </c>
      <c r="J30" s="3" t="s">
        <v>16</v>
      </c>
      <c r="K30" s="3" t="s">
        <v>71</v>
      </c>
      <c r="L30" s="3" t="s">
        <v>25</v>
      </c>
      <c r="M30">
        <v>1</v>
      </c>
    </row>
    <row r="31" spans="1:13" x14ac:dyDescent="0.25">
      <c r="A31" s="2">
        <v>46301</v>
      </c>
      <c r="B31" s="1" t="str">
        <f ca="1">IF(Información1[[#This Row],[Fecha]]='Ajuste de fechas'!$A$2,"Día actual","Día anterior")</f>
        <v>Día anterior</v>
      </c>
      <c r="C31" s="3" t="s">
        <v>8</v>
      </c>
      <c r="D31" t="s">
        <v>9</v>
      </c>
      <c r="E31" s="3" t="s">
        <v>136</v>
      </c>
      <c r="F31" s="3" t="s">
        <v>13</v>
      </c>
      <c r="G31" s="3" t="s">
        <v>137</v>
      </c>
      <c r="H31" s="3" t="s">
        <v>37</v>
      </c>
      <c r="I31" s="3" t="s">
        <v>7</v>
      </c>
      <c r="J31" s="3" t="s">
        <v>28</v>
      </c>
      <c r="K31" s="3" t="s">
        <v>11</v>
      </c>
      <c r="L31" s="3" t="s">
        <v>25</v>
      </c>
      <c r="M31">
        <v>1</v>
      </c>
    </row>
    <row r="32" spans="1:13" x14ac:dyDescent="0.25">
      <c r="A32" s="2">
        <v>46301</v>
      </c>
      <c r="B32" s="1" t="str">
        <f ca="1">IF(Información1[[#This Row],[Fecha]]='Ajuste de fechas'!$A$2,"Día actual","Día anterior")</f>
        <v>Día anterior</v>
      </c>
      <c r="C32" s="3" t="s">
        <v>8</v>
      </c>
      <c r="D32" t="s">
        <v>9</v>
      </c>
      <c r="E32" s="3" t="s">
        <v>138</v>
      </c>
      <c r="F32" s="3" t="s">
        <v>15</v>
      </c>
      <c r="G32" s="3" t="s">
        <v>139</v>
      </c>
      <c r="H32" s="3" t="s">
        <v>37</v>
      </c>
      <c r="I32" s="3" t="s">
        <v>7</v>
      </c>
      <c r="J32" s="3" t="s">
        <v>29</v>
      </c>
      <c r="K32" s="3" t="s">
        <v>11</v>
      </c>
      <c r="L32" s="3" t="s">
        <v>25</v>
      </c>
      <c r="M32">
        <v>1</v>
      </c>
    </row>
    <row r="33" spans="1:13" x14ac:dyDescent="0.25">
      <c r="A33" s="2">
        <v>46301</v>
      </c>
      <c r="B33" s="1" t="str">
        <f ca="1">IF(Información1[[#This Row],[Fecha]]='Ajuste de fechas'!$A$2,"Día actual","Día anterior")</f>
        <v>Día anterior</v>
      </c>
      <c r="C33" s="3" t="s">
        <v>124</v>
      </c>
      <c r="D33" t="s">
        <v>70</v>
      </c>
      <c r="E33" s="3" t="s">
        <v>140</v>
      </c>
      <c r="F33" s="3" t="s">
        <v>98</v>
      </c>
      <c r="G33" s="3" t="s">
        <v>108</v>
      </c>
      <c r="H33" s="3" t="s">
        <v>37</v>
      </c>
      <c r="I33" s="3" t="s">
        <v>7</v>
      </c>
      <c r="J33" s="3" t="s">
        <v>24</v>
      </c>
      <c r="K33" s="3" t="s">
        <v>71</v>
      </c>
      <c r="L33" s="3" t="s">
        <v>25</v>
      </c>
      <c r="M33">
        <v>1</v>
      </c>
    </row>
    <row r="34" spans="1:13" x14ac:dyDescent="0.25">
      <c r="A34" s="2">
        <v>46301</v>
      </c>
      <c r="B34" s="1" t="str">
        <f ca="1">IF(Información1[[#This Row],[Fecha]]='Ajuste de fechas'!$A$2,"Día actual","Día anterior")</f>
        <v>Día anterior</v>
      </c>
      <c r="C34" s="3" t="s">
        <v>8</v>
      </c>
      <c r="D34" t="s">
        <v>9</v>
      </c>
      <c r="E34" s="3" t="s">
        <v>141</v>
      </c>
      <c r="F34" s="3" t="s">
        <v>13</v>
      </c>
      <c r="G34" s="3" t="s">
        <v>142</v>
      </c>
      <c r="H34" s="3" t="s">
        <v>37</v>
      </c>
      <c r="I34" s="3" t="s">
        <v>7</v>
      </c>
      <c r="J34" s="3" t="s">
        <v>28</v>
      </c>
      <c r="K34" s="3" t="s">
        <v>44</v>
      </c>
      <c r="L34" s="3" t="s">
        <v>26</v>
      </c>
      <c r="M34">
        <v>1</v>
      </c>
    </row>
    <row r="35" spans="1:13" x14ac:dyDescent="0.25">
      <c r="A35" s="2">
        <v>46301</v>
      </c>
      <c r="B35" s="1" t="str">
        <f ca="1">IF(Información1[[#This Row],[Fecha]]='Ajuste de fechas'!$A$2,"Día actual","Día anterior")</f>
        <v>Día anterior</v>
      </c>
      <c r="C35" s="3" t="s">
        <v>124</v>
      </c>
      <c r="D35" t="s">
        <v>70</v>
      </c>
      <c r="E35" s="3" t="s">
        <v>143</v>
      </c>
      <c r="F35" s="3" t="s">
        <v>35</v>
      </c>
      <c r="G35" s="3" t="s">
        <v>82</v>
      </c>
      <c r="H35" s="3" t="s">
        <v>37</v>
      </c>
      <c r="I35" s="3" t="s">
        <v>7</v>
      </c>
      <c r="J35" s="3" t="s">
        <v>24</v>
      </c>
      <c r="K35" s="3" t="s">
        <v>71</v>
      </c>
      <c r="L35" s="3" t="s">
        <v>25</v>
      </c>
      <c r="M35">
        <v>1</v>
      </c>
    </row>
    <row r="36" spans="1:13" x14ac:dyDescent="0.25">
      <c r="A36" s="2">
        <v>46301</v>
      </c>
      <c r="B36" s="1" t="str">
        <f ca="1">IF(Información1[[#This Row],[Fecha]]='Ajuste de fechas'!$A$2,"Día actual","Día anterior")</f>
        <v>Día anterior</v>
      </c>
      <c r="C36" s="3" t="s">
        <v>124</v>
      </c>
      <c r="D36" t="s">
        <v>70</v>
      </c>
      <c r="E36" s="3" t="s">
        <v>144</v>
      </c>
      <c r="F36" s="3" t="s">
        <v>14</v>
      </c>
      <c r="G36" s="3" t="s">
        <v>145</v>
      </c>
      <c r="H36" s="3" t="s">
        <v>37</v>
      </c>
      <c r="I36" s="3" t="s">
        <v>17</v>
      </c>
      <c r="J36" s="3" t="s">
        <v>24</v>
      </c>
      <c r="K36" s="3" t="s">
        <v>71</v>
      </c>
      <c r="L36" s="3" t="s">
        <v>25</v>
      </c>
      <c r="M36">
        <v>1</v>
      </c>
    </row>
    <row r="37" spans="1:13" x14ac:dyDescent="0.25">
      <c r="A37" s="2">
        <v>46301</v>
      </c>
      <c r="B37" s="1" t="str">
        <f ca="1">IF(Información1[[#This Row],[Fecha]]='Ajuste de fechas'!$A$2,"Día actual","Día anterior")</f>
        <v>Día anterior</v>
      </c>
      <c r="C37" s="3" t="s">
        <v>63</v>
      </c>
      <c r="D37" t="s">
        <v>64</v>
      </c>
      <c r="E37" s="3" t="s">
        <v>146</v>
      </c>
      <c r="F37" s="3" t="s">
        <v>84</v>
      </c>
      <c r="G37" s="3" t="s">
        <v>111</v>
      </c>
      <c r="H37" s="3" t="s">
        <v>37</v>
      </c>
      <c r="I37" s="3" t="s">
        <v>7</v>
      </c>
      <c r="J37" s="3" t="s">
        <v>24</v>
      </c>
      <c r="K37" s="3" t="s">
        <v>65</v>
      </c>
      <c r="L37" s="3" t="s">
        <v>27</v>
      </c>
      <c r="M37">
        <v>1</v>
      </c>
    </row>
    <row r="38" spans="1:13" x14ac:dyDescent="0.25">
      <c r="A38" s="2">
        <v>46301</v>
      </c>
      <c r="B38" s="1" t="str">
        <f ca="1">IF(Información1[[#This Row],[Fecha]]='Ajuste de fechas'!$A$2,"Día actual","Día anterior")</f>
        <v>Día anterior</v>
      </c>
      <c r="C38" s="3" t="s">
        <v>124</v>
      </c>
      <c r="D38" t="s">
        <v>70</v>
      </c>
      <c r="E38" s="3" t="s">
        <v>147</v>
      </c>
      <c r="F38" s="3" t="s">
        <v>84</v>
      </c>
      <c r="G38" s="3" t="s">
        <v>111</v>
      </c>
      <c r="H38" s="3" t="s">
        <v>37</v>
      </c>
      <c r="I38" s="3" t="s">
        <v>7</v>
      </c>
      <c r="J38" s="3" t="s">
        <v>24</v>
      </c>
      <c r="K38" s="3" t="s">
        <v>71</v>
      </c>
      <c r="L38" s="3" t="s">
        <v>25</v>
      </c>
      <c r="M38">
        <v>1</v>
      </c>
    </row>
    <row r="39" spans="1:13" x14ac:dyDescent="0.25">
      <c r="A39" s="2">
        <v>46301</v>
      </c>
      <c r="B39" s="1" t="str">
        <f ca="1">IF(Información1[[#This Row],[Fecha]]='Ajuste de fechas'!$A$2,"Día actual","Día anterior")</f>
        <v>Día anterior</v>
      </c>
      <c r="C39" s="3" t="s">
        <v>8</v>
      </c>
      <c r="D39" t="s">
        <v>9</v>
      </c>
      <c r="E39" s="3" t="s">
        <v>148</v>
      </c>
      <c r="F39" s="3" t="s">
        <v>36</v>
      </c>
      <c r="G39" s="3" t="s">
        <v>105</v>
      </c>
      <c r="H39" s="3" t="s">
        <v>37</v>
      </c>
      <c r="I39" s="3" t="s">
        <v>7</v>
      </c>
      <c r="J39" s="3" t="s">
        <v>24</v>
      </c>
      <c r="K39" s="3" t="s">
        <v>11</v>
      </c>
      <c r="L39" s="3" t="s">
        <v>25</v>
      </c>
      <c r="M39">
        <v>1</v>
      </c>
    </row>
    <row r="40" spans="1:13" x14ac:dyDescent="0.25">
      <c r="A40" s="2">
        <v>46301</v>
      </c>
      <c r="B40" s="1" t="str">
        <f ca="1">IF(Información1[[#This Row],[Fecha]]='Ajuste de fechas'!$A$2,"Día actual","Día anterior")</f>
        <v>Día anterior</v>
      </c>
      <c r="C40" s="3" t="s">
        <v>51</v>
      </c>
      <c r="D40" t="s">
        <v>52</v>
      </c>
      <c r="E40" s="3" t="s">
        <v>149</v>
      </c>
      <c r="F40" s="3" t="s">
        <v>98</v>
      </c>
      <c r="G40" s="3" t="s">
        <v>150</v>
      </c>
      <c r="H40" s="3" t="s">
        <v>54</v>
      </c>
      <c r="I40" s="3" t="s">
        <v>7</v>
      </c>
      <c r="J40" s="3" t="s">
        <v>24</v>
      </c>
      <c r="K40" s="3" t="s">
        <v>56</v>
      </c>
      <c r="L40" s="3" t="s">
        <v>25</v>
      </c>
      <c r="M40">
        <v>1</v>
      </c>
    </row>
    <row r="41" spans="1:13" x14ac:dyDescent="0.25">
      <c r="A41" s="2">
        <v>46301</v>
      </c>
      <c r="B41" s="1" t="str">
        <f ca="1">IF(Información1[[#This Row],[Fecha]]='Ajuste de fechas'!$A$2,"Día actual","Día anterior")</f>
        <v>Día anterior</v>
      </c>
      <c r="C41" s="3" t="s">
        <v>51</v>
      </c>
      <c r="D41" t="s">
        <v>52</v>
      </c>
      <c r="E41" s="3" t="s">
        <v>151</v>
      </c>
      <c r="F41" s="3" t="s">
        <v>35</v>
      </c>
      <c r="G41" s="3" t="s">
        <v>152</v>
      </c>
      <c r="H41" s="3" t="s">
        <v>54</v>
      </c>
      <c r="I41" s="3" t="s">
        <v>10</v>
      </c>
      <c r="J41" s="3" t="s">
        <v>24</v>
      </c>
      <c r="K41" s="3" t="s">
        <v>57</v>
      </c>
      <c r="L41" s="3" t="s">
        <v>26</v>
      </c>
      <c r="M41">
        <v>1</v>
      </c>
    </row>
    <row r="42" spans="1:13" x14ac:dyDescent="0.25">
      <c r="A42" s="2">
        <v>46301</v>
      </c>
      <c r="B42" s="1" t="str">
        <f ca="1">IF(Información1[[#This Row],[Fecha]]='Ajuste de fechas'!$A$2,"Día actual","Día anterior")</f>
        <v>Día anterior</v>
      </c>
      <c r="C42" s="3" t="s">
        <v>51</v>
      </c>
      <c r="D42" t="s">
        <v>52</v>
      </c>
      <c r="E42" s="3" t="s">
        <v>153</v>
      </c>
      <c r="F42" s="3" t="s">
        <v>35</v>
      </c>
      <c r="G42" s="3" t="s">
        <v>90</v>
      </c>
      <c r="H42" s="3" t="s">
        <v>54</v>
      </c>
      <c r="I42" s="3" t="s">
        <v>7</v>
      </c>
      <c r="J42" s="3" t="s">
        <v>24</v>
      </c>
      <c r="K42" s="3" t="s">
        <v>56</v>
      </c>
      <c r="L42" s="3" t="s">
        <v>25</v>
      </c>
      <c r="M42">
        <v>1</v>
      </c>
    </row>
    <row r="43" spans="1:13" x14ac:dyDescent="0.25">
      <c r="A43" s="2">
        <v>46301</v>
      </c>
      <c r="B43" s="1" t="str">
        <f ca="1">IF(Información1[[#This Row],[Fecha]]='Ajuste de fechas'!$A$2,"Día actual","Día anterior")</f>
        <v>Día anterior</v>
      </c>
      <c r="C43" s="3" t="s">
        <v>59</v>
      </c>
      <c r="D43" t="s">
        <v>60</v>
      </c>
      <c r="E43" s="3" t="s">
        <v>154</v>
      </c>
      <c r="F43" s="3" t="s">
        <v>46</v>
      </c>
      <c r="G43" s="3" t="s">
        <v>155</v>
      </c>
      <c r="H43" s="3" t="s">
        <v>37</v>
      </c>
      <c r="I43" s="3" t="s">
        <v>7</v>
      </c>
      <c r="J43" s="3" t="s">
        <v>24</v>
      </c>
      <c r="K43" s="3" t="s">
        <v>61</v>
      </c>
      <c r="L43" s="3" t="s">
        <v>27</v>
      </c>
      <c r="M43">
        <v>1</v>
      </c>
    </row>
    <row r="44" spans="1:13" x14ac:dyDescent="0.25">
      <c r="A44" s="2">
        <v>46301</v>
      </c>
      <c r="B44" s="1" t="str">
        <f ca="1">IF(Información1[[#This Row],[Fecha]]='Ajuste de fechas'!$A$2,"Día actual","Día anterior")</f>
        <v>Día anterior</v>
      </c>
      <c r="C44" s="3" t="s">
        <v>59</v>
      </c>
      <c r="D44" t="s">
        <v>60</v>
      </c>
      <c r="E44" s="3" t="s">
        <v>156</v>
      </c>
      <c r="F44" s="3" t="s">
        <v>36</v>
      </c>
      <c r="G44" s="3" t="s">
        <v>105</v>
      </c>
      <c r="H44" s="3" t="s">
        <v>37</v>
      </c>
      <c r="I44" s="3" t="s">
        <v>7</v>
      </c>
      <c r="J44" s="3" t="s">
        <v>24</v>
      </c>
      <c r="K44" s="3" t="s">
        <v>91</v>
      </c>
      <c r="L44" s="3" t="s">
        <v>25</v>
      </c>
      <c r="M44">
        <v>1</v>
      </c>
    </row>
    <row r="45" spans="1:13" x14ac:dyDescent="0.25">
      <c r="A45" s="2">
        <v>46301</v>
      </c>
      <c r="B45" s="1" t="str">
        <f ca="1">IF(Información1[[#This Row],[Fecha]]='Ajuste de fechas'!$A$2,"Día actual","Día anterior")</f>
        <v>Día anterior</v>
      </c>
      <c r="C45" s="3" t="s">
        <v>59</v>
      </c>
      <c r="D45" t="s">
        <v>60</v>
      </c>
      <c r="E45" s="3" t="s">
        <v>157</v>
      </c>
      <c r="F45" s="3" t="s">
        <v>13</v>
      </c>
      <c r="G45" s="3" t="s">
        <v>158</v>
      </c>
      <c r="H45" s="3" t="s">
        <v>37</v>
      </c>
      <c r="I45" s="3" t="s">
        <v>17</v>
      </c>
      <c r="J45" s="3" t="s">
        <v>28</v>
      </c>
      <c r="K45" s="3" t="s">
        <v>44</v>
      </c>
      <c r="L45" s="3" t="s">
        <v>26</v>
      </c>
      <c r="M45">
        <v>1</v>
      </c>
    </row>
    <row r="46" spans="1:13" x14ac:dyDescent="0.25">
      <c r="A46" s="2">
        <v>46301</v>
      </c>
      <c r="B46" s="1" t="str">
        <f ca="1">IF(Información1[[#This Row],[Fecha]]='Ajuste de fechas'!$A$2,"Día actual","Día anterior")</f>
        <v>Día anterior</v>
      </c>
      <c r="C46" s="3" t="s">
        <v>59</v>
      </c>
      <c r="D46" t="s">
        <v>60</v>
      </c>
      <c r="E46" s="3" t="s">
        <v>159</v>
      </c>
      <c r="F46" s="3" t="s">
        <v>14</v>
      </c>
      <c r="G46" s="3" t="s">
        <v>160</v>
      </c>
      <c r="H46" s="3" t="s">
        <v>37</v>
      </c>
      <c r="I46" s="3" t="s">
        <v>17</v>
      </c>
      <c r="J46" s="3" t="s">
        <v>24</v>
      </c>
      <c r="K46" s="3" t="s">
        <v>44</v>
      </c>
      <c r="L46" s="3" t="s">
        <v>26</v>
      </c>
      <c r="M46">
        <v>1</v>
      </c>
    </row>
    <row r="47" spans="1:13" x14ac:dyDescent="0.25">
      <c r="A47" s="2">
        <v>46301</v>
      </c>
      <c r="B47" s="1" t="str">
        <f ca="1">IF(Información1[[#This Row],[Fecha]]='Ajuste de fechas'!$A$2,"Día actual","Día anterior")</f>
        <v>Día anterior</v>
      </c>
      <c r="C47" s="3" t="s">
        <v>59</v>
      </c>
      <c r="D47" t="s">
        <v>60</v>
      </c>
      <c r="E47" s="3" t="s">
        <v>161</v>
      </c>
      <c r="F47" s="3" t="s">
        <v>13</v>
      </c>
      <c r="G47" s="3" t="s">
        <v>162</v>
      </c>
      <c r="H47" s="3" t="s">
        <v>37</v>
      </c>
      <c r="I47" s="3" t="s">
        <v>7</v>
      </c>
      <c r="J47" s="3" t="s">
        <v>28</v>
      </c>
      <c r="K47" s="3" t="s">
        <v>91</v>
      </c>
      <c r="L47" s="3" t="s">
        <v>25</v>
      </c>
      <c r="M47">
        <v>1</v>
      </c>
    </row>
    <row r="48" spans="1:13" x14ac:dyDescent="0.25">
      <c r="A48" s="2">
        <v>46301</v>
      </c>
      <c r="B48" s="1" t="str">
        <f ca="1">IF(Información1[[#This Row],[Fecha]]='Ajuste de fechas'!$A$2,"Día actual","Día anterior")</f>
        <v>Día anterior</v>
      </c>
      <c r="C48" s="3" t="s">
        <v>59</v>
      </c>
      <c r="D48" t="s">
        <v>60</v>
      </c>
      <c r="E48" s="3" t="s">
        <v>163</v>
      </c>
      <c r="F48" s="3" t="s">
        <v>13</v>
      </c>
      <c r="G48" s="3" t="s">
        <v>119</v>
      </c>
      <c r="H48" s="3" t="s">
        <v>37</v>
      </c>
      <c r="I48" s="3" t="s">
        <v>7</v>
      </c>
      <c r="J48" s="3" t="s">
        <v>28</v>
      </c>
      <c r="K48" s="3" t="s">
        <v>61</v>
      </c>
      <c r="L48" s="3" t="s">
        <v>34</v>
      </c>
      <c r="M48">
        <v>1</v>
      </c>
    </row>
    <row r="49" spans="1:13" x14ac:dyDescent="0.25">
      <c r="A49" s="2">
        <v>46301</v>
      </c>
      <c r="B49" s="1" t="str">
        <f ca="1">IF(Información1[[#This Row],[Fecha]]='Ajuste de fechas'!$A$2,"Día actual","Día anterior")</f>
        <v>Día anterior</v>
      </c>
      <c r="C49" s="3" t="s">
        <v>59</v>
      </c>
      <c r="D49" t="s">
        <v>60</v>
      </c>
      <c r="E49" s="3" t="s">
        <v>112</v>
      </c>
      <c r="F49" s="3" t="s">
        <v>14</v>
      </c>
      <c r="G49" s="3" t="s">
        <v>113</v>
      </c>
      <c r="H49" s="3" t="s">
        <v>37</v>
      </c>
      <c r="I49" s="3" t="s">
        <v>7</v>
      </c>
      <c r="J49" s="3" t="s">
        <v>24</v>
      </c>
      <c r="K49" s="3" t="s">
        <v>91</v>
      </c>
      <c r="L49" s="3" t="s">
        <v>27</v>
      </c>
      <c r="M49">
        <v>1</v>
      </c>
    </row>
    <row r="50" spans="1:13" x14ac:dyDescent="0.25">
      <c r="A50" s="2">
        <v>46301</v>
      </c>
      <c r="B50" s="1" t="str">
        <f ca="1">IF(Información1[[#This Row],[Fecha]]='Ajuste de fechas'!$A$2,"Día actual","Día anterior")</f>
        <v>Día anterior</v>
      </c>
      <c r="C50" s="3" t="s">
        <v>59</v>
      </c>
      <c r="D50" t="s">
        <v>60</v>
      </c>
      <c r="E50" s="3" t="s">
        <v>164</v>
      </c>
      <c r="F50" s="3" t="s">
        <v>14</v>
      </c>
      <c r="G50" s="3" t="s">
        <v>108</v>
      </c>
      <c r="H50" s="3" t="s">
        <v>37</v>
      </c>
      <c r="I50" s="3" t="s">
        <v>17</v>
      </c>
      <c r="J50" s="3" t="s">
        <v>24</v>
      </c>
      <c r="K50" s="3" t="s">
        <v>91</v>
      </c>
      <c r="L50" s="3" t="s">
        <v>25</v>
      </c>
      <c r="M50">
        <v>1</v>
      </c>
    </row>
    <row r="51" spans="1:13" x14ac:dyDescent="0.25">
      <c r="A51" s="2">
        <v>46301</v>
      </c>
      <c r="B51" s="1" t="str">
        <f ca="1">IF(Información1[[#This Row],[Fecha]]='Ajuste de fechas'!$A$2,"Día actual","Día anterior")</f>
        <v>Día anterior</v>
      </c>
      <c r="C51" s="3" t="s">
        <v>59</v>
      </c>
      <c r="D51" t="s">
        <v>60</v>
      </c>
      <c r="E51" s="3" t="s">
        <v>165</v>
      </c>
      <c r="F51" s="3" t="s">
        <v>14</v>
      </c>
      <c r="G51" s="3" t="s">
        <v>145</v>
      </c>
      <c r="H51" s="3" t="s">
        <v>37</v>
      </c>
      <c r="I51" s="3" t="s">
        <v>7</v>
      </c>
      <c r="J51" s="3" t="s">
        <v>24</v>
      </c>
      <c r="K51" s="3" t="s">
        <v>61</v>
      </c>
      <c r="L51" s="3" t="s">
        <v>25</v>
      </c>
      <c r="M51">
        <v>1</v>
      </c>
    </row>
    <row r="52" spans="1:13" x14ac:dyDescent="0.25">
      <c r="A52" s="2">
        <v>46301</v>
      </c>
      <c r="B52" s="1" t="str">
        <f ca="1">IF(Información1[[#This Row],[Fecha]]='Ajuste de fechas'!$A$2,"Día actual","Día anterior")</f>
        <v>Día anterior</v>
      </c>
      <c r="C52" s="3" t="s">
        <v>59</v>
      </c>
      <c r="D52" t="s">
        <v>60</v>
      </c>
      <c r="E52" s="3" t="s">
        <v>166</v>
      </c>
      <c r="F52" s="3" t="s">
        <v>13</v>
      </c>
      <c r="G52" s="3" t="s">
        <v>167</v>
      </c>
      <c r="H52" s="3" t="s">
        <v>37</v>
      </c>
      <c r="I52" s="3" t="s">
        <v>7</v>
      </c>
      <c r="J52" s="3" t="s">
        <v>28</v>
      </c>
      <c r="K52" s="3" t="s">
        <v>91</v>
      </c>
      <c r="L52" s="3" t="s">
        <v>25</v>
      </c>
      <c r="M52">
        <v>1</v>
      </c>
    </row>
    <row r="53" spans="1:13" x14ac:dyDescent="0.25">
      <c r="A53" s="2">
        <v>46301</v>
      </c>
      <c r="B53" s="1" t="str">
        <f ca="1">IF(Información1[[#This Row],[Fecha]]='Ajuste de fechas'!$A$2,"Día actual","Día anterior")</f>
        <v>Día anterior</v>
      </c>
      <c r="C53" s="3" t="s">
        <v>59</v>
      </c>
      <c r="D53" t="s">
        <v>60</v>
      </c>
      <c r="E53" s="3" t="s">
        <v>168</v>
      </c>
      <c r="F53" s="3" t="s">
        <v>98</v>
      </c>
      <c r="G53" s="3" t="s">
        <v>111</v>
      </c>
      <c r="H53" s="3" t="s">
        <v>37</v>
      </c>
      <c r="I53" s="3" t="s">
        <v>7</v>
      </c>
      <c r="J53" s="3" t="s">
        <v>24</v>
      </c>
      <c r="K53" s="3" t="s">
        <v>61</v>
      </c>
      <c r="L53" s="3" t="s">
        <v>25</v>
      </c>
      <c r="M53">
        <v>1</v>
      </c>
    </row>
    <row r="54" spans="1:13" x14ac:dyDescent="0.25">
      <c r="A54" s="2">
        <v>46301</v>
      </c>
      <c r="B54" s="1" t="str">
        <f ca="1">IF(Información1[[#This Row],[Fecha]]='Ajuste de fechas'!$A$2,"Día actual","Día anterior")</f>
        <v>Día anterior</v>
      </c>
      <c r="C54" s="3" t="s">
        <v>59</v>
      </c>
      <c r="D54" t="s">
        <v>60</v>
      </c>
      <c r="E54" s="3" t="s">
        <v>169</v>
      </c>
      <c r="F54" s="3" t="s">
        <v>6</v>
      </c>
      <c r="G54" s="3" t="s">
        <v>89</v>
      </c>
      <c r="H54" s="3" t="s">
        <v>37</v>
      </c>
      <c r="I54" s="3" t="s">
        <v>10</v>
      </c>
      <c r="J54" s="3" t="s">
        <v>24</v>
      </c>
      <c r="K54" s="3" t="s">
        <v>61</v>
      </c>
      <c r="L54" s="3" t="s">
        <v>26</v>
      </c>
      <c r="M54">
        <v>1</v>
      </c>
    </row>
    <row r="55" spans="1:13" x14ac:dyDescent="0.25">
      <c r="A55" s="2">
        <v>46301</v>
      </c>
      <c r="B55" s="1" t="str">
        <f ca="1">IF(Información1[[#This Row],[Fecha]]='Ajuste de fechas'!$A$2,"Día actual","Día anterior")</f>
        <v>Día anterior</v>
      </c>
      <c r="C55" s="3" t="s">
        <v>59</v>
      </c>
      <c r="D55" t="s">
        <v>60</v>
      </c>
      <c r="E55" s="3" t="s">
        <v>170</v>
      </c>
      <c r="F55" s="3" t="s">
        <v>6</v>
      </c>
      <c r="G55" s="3" t="s">
        <v>89</v>
      </c>
      <c r="H55" s="3" t="s">
        <v>37</v>
      </c>
      <c r="I55" s="3" t="s">
        <v>7</v>
      </c>
      <c r="J55" s="3" t="s">
        <v>24</v>
      </c>
      <c r="K55" s="3" t="s">
        <v>91</v>
      </c>
      <c r="L55" s="3" t="s">
        <v>27</v>
      </c>
      <c r="M55">
        <v>1</v>
      </c>
    </row>
    <row r="56" spans="1:13" x14ac:dyDescent="0.25">
      <c r="A56" s="2">
        <v>46301</v>
      </c>
      <c r="B56" s="1" t="str">
        <f ca="1">IF(Información1[[#This Row],[Fecha]]='Ajuste de fechas'!$A$2,"Día actual","Día anterior")</f>
        <v>Día anterior</v>
      </c>
      <c r="C56" s="3" t="s">
        <v>59</v>
      </c>
      <c r="D56" t="s">
        <v>60</v>
      </c>
      <c r="E56" s="3" t="s">
        <v>171</v>
      </c>
      <c r="F56" s="3" t="s">
        <v>15</v>
      </c>
      <c r="G56" s="3" t="s">
        <v>89</v>
      </c>
      <c r="H56" s="3" t="s">
        <v>37</v>
      </c>
      <c r="I56" s="3" t="s">
        <v>7</v>
      </c>
      <c r="J56" s="3" t="s">
        <v>29</v>
      </c>
      <c r="K56" s="3" t="s">
        <v>61</v>
      </c>
      <c r="L56" s="3" t="s">
        <v>25</v>
      </c>
      <c r="M56">
        <v>1</v>
      </c>
    </row>
    <row r="57" spans="1:13" x14ac:dyDescent="0.25">
      <c r="A57" s="2">
        <v>46301</v>
      </c>
      <c r="B57" s="1" t="str">
        <f ca="1">IF(Información1[[#This Row],[Fecha]]='Ajuste de fechas'!$A$2,"Día actual","Día anterior")</f>
        <v>Día anterior</v>
      </c>
      <c r="C57" s="3" t="s">
        <v>59</v>
      </c>
      <c r="D57" t="s">
        <v>60</v>
      </c>
      <c r="E57" s="3" t="s">
        <v>172</v>
      </c>
      <c r="F57" s="3" t="s">
        <v>72</v>
      </c>
      <c r="G57" s="3" t="s">
        <v>103</v>
      </c>
      <c r="H57" s="3" t="s">
        <v>37</v>
      </c>
      <c r="I57" s="3" t="s">
        <v>7</v>
      </c>
      <c r="J57" s="3" t="s">
        <v>24</v>
      </c>
      <c r="K57" s="3" t="s">
        <v>91</v>
      </c>
      <c r="L57" s="3" t="s">
        <v>25</v>
      </c>
      <c r="M57">
        <v>1</v>
      </c>
    </row>
    <row r="58" spans="1:13" x14ac:dyDescent="0.25">
      <c r="A58" s="2">
        <v>46301</v>
      </c>
      <c r="B58" s="1" t="str">
        <f ca="1">IF(Información1[[#This Row],[Fecha]]='Ajuste de fechas'!$A$2,"Día actual","Día anterior")</f>
        <v>Día anterior</v>
      </c>
      <c r="C58" s="3" t="s">
        <v>59</v>
      </c>
      <c r="D58" t="s">
        <v>60</v>
      </c>
      <c r="E58" s="3" t="s">
        <v>173</v>
      </c>
      <c r="F58" s="3" t="s">
        <v>36</v>
      </c>
      <c r="G58" s="3" t="s">
        <v>174</v>
      </c>
      <c r="H58" s="3" t="s">
        <v>37</v>
      </c>
      <c r="I58" s="3" t="s">
        <v>7</v>
      </c>
      <c r="J58" s="3" t="s">
        <v>24</v>
      </c>
      <c r="K58" s="3" t="s">
        <v>91</v>
      </c>
      <c r="L58" s="3" t="s">
        <v>25</v>
      </c>
      <c r="M58">
        <v>1</v>
      </c>
    </row>
    <row r="59" spans="1:13" x14ac:dyDescent="0.25">
      <c r="A59" s="2">
        <v>46301</v>
      </c>
      <c r="B59" s="1" t="str">
        <f ca="1">IF(Información1[[#This Row],[Fecha]]='Ajuste de fechas'!$A$2,"Día actual","Día anterior")</f>
        <v>Día anterior</v>
      </c>
      <c r="C59" s="3" t="s">
        <v>59</v>
      </c>
      <c r="D59" t="s">
        <v>60</v>
      </c>
      <c r="E59" s="3" t="s">
        <v>175</v>
      </c>
      <c r="F59" s="3" t="s">
        <v>176</v>
      </c>
      <c r="G59" s="3" t="s">
        <v>177</v>
      </c>
      <c r="H59" s="3" t="s">
        <v>37</v>
      </c>
      <c r="I59" s="3" t="s">
        <v>7</v>
      </c>
      <c r="J59" s="3" t="s">
        <v>16</v>
      </c>
      <c r="K59" s="3" t="s">
        <v>61</v>
      </c>
      <c r="L59" s="3" t="s">
        <v>25</v>
      </c>
      <c r="M59">
        <v>1</v>
      </c>
    </row>
    <row r="60" spans="1:13" x14ac:dyDescent="0.25">
      <c r="A60" s="2">
        <v>46301</v>
      </c>
      <c r="B60" s="1" t="str">
        <f ca="1">IF(Información1[[#This Row],[Fecha]]='Ajuste de fechas'!$A$2,"Día actual","Día anterior")</f>
        <v>Día anterior</v>
      </c>
      <c r="C60" s="3" t="s">
        <v>59</v>
      </c>
      <c r="D60" t="s">
        <v>60</v>
      </c>
      <c r="E60" s="3" t="s">
        <v>178</v>
      </c>
      <c r="F60" s="3" t="s">
        <v>13</v>
      </c>
      <c r="G60" s="3" t="s">
        <v>179</v>
      </c>
      <c r="H60" s="3" t="s">
        <v>37</v>
      </c>
      <c r="I60" s="3" t="s">
        <v>7</v>
      </c>
      <c r="J60" s="3" t="s">
        <v>28</v>
      </c>
      <c r="K60" s="3" t="s">
        <v>61</v>
      </c>
      <c r="L60" s="3" t="s">
        <v>25</v>
      </c>
      <c r="M60">
        <v>1</v>
      </c>
    </row>
    <row r="61" spans="1:13" x14ac:dyDescent="0.25">
      <c r="A61" s="2">
        <v>46301</v>
      </c>
      <c r="B61" s="1" t="str">
        <f ca="1">IF(Información1[[#This Row],[Fecha]]='Ajuste de fechas'!$A$2,"Día actual","Día anterior")</f>
        <v>Día anterior</v>
      </c>
      <c r="C61" s="3" t="s">
        <v>59</v>
      </c>
      <c r="D61" t="s">
        <v>60</v>
      </c>
      <c r="E61" s="3" t="s">
        <v>180</v>
      </c>
      <c r="F61" s="3" t="s">
        <v>13</v>
      </c>
      <c r="G61" s="3" t="s">
        <v>89</v>
      </c>
      <c r="H61" s="3" t="s">
        <v>37</v>
      </c>
      <c r="I61" s="3" t="s">
        <v>7</v>
      </c>
      <c r="J61" s="3" t="s">
        <v>28</v>
      </c>
      <c r="K61" s="3" t="s">
        <v>91</v>
      </c>
      <c r="L61" s="3" t="s">
        <v>25</v>
      </c>
      <c r="M61">
        <v>1</v>
      </c>
    </row>
    <row r="62" spans="1:13" x14ac:dyDescent="0.25">
      <c r="A62" s="2">
        <v>46301</v>
      </c>
      <c r="B62" s="1" t="str">
        <f ca="1">IF(Información1[[#This Row],[Fecha]]='Ajuste de fechas'!$A$2,"Día actual","Día anterior")</f>
        <v>Día anterior</v>
      </c>
      <c r="C62" s="3" t="s">
        <v>59</v>
      </c>
      <c r="D62" t="s">
        <v>60</v>
      </c>
      <c r="E62" s="3" t="s">
        <v>181</v>
      </c>
      <c r="F62" s="3" t="s">
        <v>14</v>
      </c>
      <c r="G62" s="3" t="s">
        <v>87</v>
      </c>
      <c r="H62" s="3" t="s">
        <v>37</v>
      </c>
      <c r="I62" s="3" t="s">
        <v>7</v>
      </c>
      <c r="J62" s="3" t="s">
        <v>24</v>
      </c>
      <c r="K62" s="3" t="s">
        <v>61</v>
      </c>
      <c r="L62" s="3" t="s">
        <v>25</v>
      </c>
      <c r="M62">
        <v>1</v>
      </c>
    </row>
    <row r="63" spans="1:13" x14ac:dyDescent="0.25">
      <c r="A63" s="2">
        <v>46301</v>
      </c>
      <c r="B63" s="1" t="str">
        <f ca="1">IF(Información1[[#This Row],[Fecha]]='Ajuste de fechas'!$A$2,"Día actual","Día anterior")</f>
        <v>Día anterior</v>
      </c>
      <c r="C63" s="3" t="s">
        <v>59</v>
      </c>
      <c r="D63" t="s">
        <v>60</v>
      </c>
      <c r="E63" s="3" t="s">
        <v>182</v>
      </c>
      <c r="F63" s="3" t="s">
        <v>84</v>
      </c>
      <c r="G63" s="3" t="s">
        <v>81</v>
      </c>
      <c r="H63" s="3" t="s">
        <v>37</v>
      </c>
      <c r="I63" s="3" t="s">
        <v>7</v>
      </c>
      <c r="J63" s="3" t="s">
        <v>24</v>
      </c>
      <c r="K63" s="3" t="s">
        <v>61</v>
      </c>
      <c r="L63" s="3" t="s">
        <v>27</v>
      </c>
      <c r="M63">
        <v>1</v>
      </c>
    </row>
    <row r="64" spans="1:13" x14ac:dyDescent="0.25">
      <c r="A64" s="2">
        <v>46301</v>
      </c>
      <c r="B64" s="1" t="str">
        <f ca="1">IF(Información1[[#This Row],[Fecha]]='Ajuste de fechas'!$A$2,"Día actual","Día anterior")</f>
        <v>Día anterior</v>
      </c>
      <c r="C64" s="3" t="s">
        <v>59</v>
      </c>
      <c r="D64" t="s">
        <v>60</v>
      </c>
      <c r="E64" s="3" t="s">
        <v>183</v>
      </c>
      <c r="F64" s="3" t="s">
        <v>13</v>
      </c>
      <c r="G64" s="3" t="s">
        <v>179</v>
      </c>
      <c r="H64" s="3" t="s">
        <v>37</v>
      </c>
      <c r="I64" s="3" t="s">
        <v>7</v>
      </c>
      <c r="J64" s="3" t="s">
        <v>28</v>
      </c>
      <c r="K64" s="3" t="s">
        <v>91</v>
      </c>
      <c r="L64" s="3" t="s">
        <v>25</v>
      </c>
      <c r="M64">
        <v>1</v>
      </c>
    </row>
    <row r="65" spans="1:13" x14ac:dyDescent="0.25">
      <c r="A65" s="2">
        <v>46301</v>
      </c>
      <c r="B65" s="1" t="str">
        <f ca="1">IF(Información1[[#This Row],[Fecha]]='Ajuste de fechas'!$A$2,"Día actual","Día anterior")</f>
        <v>Día anterior</v>
      </c>
      <c r="C65" s="3" t="s">
        <v>59</v>
      </c>
      <c r="D65" t="s">
        <v>60</v>
      </c>
      <c r="E65" s="3" t="s">
        <v>184</v>
      </c>
      <c r="F65" s="3" t="s">
        <v>84</v>
      </c>
      <c r="G65" s="3" t="s">
        <v>81</v>
      </c>
      <c r="H65" s="3" t="s">
        <v>37</v>
      </c>
      <c r="I65" s="3" t="s">
        <v>7</v>
      </c>
      <c r="J65" s="3" t="s">
        <v>24</v>
      </c>
      <c r="K65" s="3" t="s">
        <v>61</v>
      </c>
      <c r="L65" s="3" t="s">
        <v>27</v>
      </c>
      <c r="M65">
        <v>1</v>
      </c>
    </row>
    <row r="66" spans="1:13" x14ac:dyDescent="0.25">
      <c r="A66" s="2">
        <v>46301</v>
      </c>
      <c r="B66" s="1" t="str">
        <f ca="1">IF(Información1[[#This Row],[Fecha]]='Ajuste de fechas'!$A$2,"Día actual","Día anterior")</f>
        <v>Día anterior</v>
      </c>
      <c r="C66" s="3" t="s">
        <v>51</v>
      </c>
      <c r="D66" t="s">
        <v>52</v>
      </c>
      <c r="E66" s="3" t="s">
        <v>185</v>
      </c>
      <c r="F66" s="3" t="s">
        <v>35</v>
      </c>
      <c r="G66" s="3" t="s">
        <v>152</v>
      </c>
      <c r="H66" s="3" t="s">
        <v>54</v>
      </c>
      <c r="I66" s="3" t="s">
        <v>7</v>
      </c>
      <c r="J66" s="3" t="s">
        <v>24</v>
      </c>
      <c r="K66" s="3" t="s">
        <v>57</v>
      </c>
      <c r="L66" s="3" t="s">
        <v>25</v>
      </c>
      <c r="M66">
        <v>1</v>
      </c>
    </row>
    <row r="67" spans="1:13" x14ac:dyDescent="0.25">
      <c r="A67" s="2">
        <v>46301</v>
      </c>
      <c r="B67" s="1" t="str">
        <f ca="1">IF(Información1[[#This Row],[Fecha]]='Ajuste de fechas'!$A$2,"Día actual","Día anterior")</f>
        <v>Día anterior</v>
      </c>
      <c r="C67" s="3" t="s">
        <v>51</v>
      </c>
      <c r="D67" t="s">
        <v>52</v>
      </c>
      <c r="E67" s="3" t="s">
        <v>186</v>
      </c>
      <c r="F67" s="3" t="s">
        <v>14</v>
      </c>
      <c r="G67" s="3" t="s">
        <v>113</v>
      </c>
      <c r="H67" s="3" t="s">
        <v>54</v>
      </c>
      <c r="I67" s="3" t="s">
        <v>7</v>
      </c>
      <c r="J67" s="3" t="s">
        <v>24</v>
      </c>
      <c r="K67" s="3" t="s">
        <v>56</v>
      </c>
      <c r="L67" s="3" t="s">
        <v>27</v>
      </c>
      <c r="M67">
        <v>1</v>
      </c>
    </row>
    <row r="68" spans="1:13" x14ac:dyDescent="0.25">
      <c r="A68" s="2">
        <v>46301</v>
      </c>
      <c r="B68" s="1" t="str">
        <f ca="1">IF(Información1[[#This Row],[Fecha]]='Ajuste de fechas'!$A$2,"Día actual","Día anterior")</f>
        <v>Día anterior</v>
      </c>
      <c r="C68" s="3" t="s">
        <v>51</v>
      </c>
      <c r="D68" t="s">
        <v>52</v>
      </c>
      <c r="E68" s="3" t="s">
        <v>187</v>
      </c>
      <c r="F68" s="3" t="s">
        <v>13</v>
      </c>
      <c r="G68" s="3" t="s">
        <v>58</v>
      </c>
      <c r="H68" s="3" t="s">
        <v>54</v>
      </c>
      <c r="I68" s="3" t="s">
        <v>7</v>
      </c>
      <c r="J68" s="3" t="s">
        <v>28</v>
      </c>
      <c r="K68" s="3" t="s">
        <v>57</v>
      </c>
      <c r="L68" s="3" t="s">
        <v>25</v>
      </c>
      <c r="M68">
        <v>1</v>
      </c>
    </row>
    <row r="69" spans="1:13" x14ac:dyDescent="0.25">
      <c r="A69" s="2">
        <v>46301</v>
      </c>
      <c r="B69" s="1" t="str">
        <f ca="1">IF(Información1[[#This Row],[Fecha]]='Ajuste de fechas'!$A$2,"Día actual","Día anterior")</f>
        <v>Día anterior</v>
      </c>
      <c r="C69" s="3" t="s">
        <v>51</v>
      </c>
      <c r="D69" t="s">
        <v>52</v>
      </c>
      <c r="E69" s="3" t="s">
        <v>188</v>
      </c>
      <c r="F69" s="3" t="s">
        <v>53</v>
      </c>
      <c r="G69" s="3" t="s">
        <v>58</v>
      </c>
      <c r="H69" s="3" t="s">
        <v>54</v>
      </c>
      <c r="I69" s="3" t="s">
        <v>7</v>
      </c>
      <c r="J69" s="3" t="s">
        <v>55</v>
      </c>
      <c r="K69" s="3" t="s">
        <v>57</v>
      </c>
      <c r="L69" s="3" t="s">
        <v>25</v>
      </c>
      <c r="M69">
        <v>1</v>
      </c>
    </row>
    <row r="70" spans="1:13" x14ac:dyDescent="0.25">
      <c r="A70" s="2">
        <v>46301</v>
      </c>
      <c r="B70" s="1" t="str">
        <f ca="1">IF(Información1[[#This Row],[Fecha]]='Ajuste de fechas'!$A$2,"Día actual","Día anterior")</f>
        <v>Día anterior</v>
      </c>
      <c r="C70" s="3" t="s">
        <v>51</v>
      </c>
      <c r="D70" t="s">
        <v>52</v>
      </c>
      <c r="E70" s="3" t="s">
        <v>189</v>
      </c>
      <c r="F70" s="3" t="s">
        <v>14</v>
      </c>
      <c r="G70" s="3" t="s">
        <v>190</v>
      </c>
      <c r="H70" s="3" t="s">
        <v>54</v>
      </c>
      <c r="I70" s="3" t="s">
        <v>17</v>
      </c>
      <c r="J70" s="3" t="s">
        <v>24</v>
      </c>
      <c r="K70" s="3" t="s">
        <v>57</v>
      </c>
      <c r="L70" s="3" t="s">
        <v>25</v>
      </c>
      <c r="M70">
        <v>1</v>
      </c>
    </row>
    <row r="71" spans="1:13" x14ac:dyDescent="0.25">
      <c r="A71" s="2">
        <v>46301</v>
      </c>
      <c r="B71" s="1" t="str">
        <f ca="1">IF(Información1[[#This Row],[Fecha]]='Ajuste de fechas'!$A$2,"Día actual","Día anterior")</f>
        <v>Día anterior</v>
      </c>
      <c r="C71" s="3" t="s">
        <v>51</v>
      </c>
      <c r="D71" t="s">
        <v>52</v>
      </c>
      <c r="E71" s="3" t="s">
        <v>191</v>
      </c>
      <c r="F71" s="3" t="s">
        <v>16</v>
      </c>
      <c r="G71" s="3" t="s">
        <v>192</v>
      </c>
      <c r="H71" s="3" t="s">
        <v>54</v>
      </c>
      <c r="I71" s="3" t="s">
        <v>7</v>
      </c>
      <c r="J71" s="3" t="s">
        <v>16</v>
      </c>
      <c r="K71" s="3" t="s">
        <v>56</v>
      </c>
      <c r="L71" s="3" t="s">
        <v>25</v>
      </c>
      <c r="M71">
        <v>1</v>
      </c>
    </row>
    <row r="72" spans="1:13" x14ac:dyDescent="0.25">
      <c r="A72" s="2">
        <v>46301</v>
      </c>
      <c r="B72" s="1" t="str">
        <f ca="1">IF(Información1[[#This Row],[Fecha]]='Ajuste de fechas'!$A$2,"Día actual","Día anterior")</f>
        <v>Día anterior</v>
      </c>
      <c r="C72" s="3" t="s">
        <v>51</v>
      </c>
      <c r="D72" t="s">
        <v>52</v>
      </c>
      <c r="E72" s="3" t="s">
        <v>193</v>
      </c>
      <c r="F72" s="3" t="s">
        <v>98</v>
      </c>
      <c r="G72" s="3" t="s">
        <v>111</v>
      </c>
      <c r="H72" s="3" t="s">
        <v>54</v>
      </c>
      <c r="I72" s="3" t="s">
        <v>7</v>
      </c>
      <c r="J72" s="3" t="s">
        <v>24</v>
      </c>
      <c r="K72" s="3" t="s">
        <v>57</v>
      </c>
      <c r="L72" s="3" t="s">
        <v>27</v>
      </c>
      <c r="M72">
        <v>1</v>
      </c>
    </row>
    <row r="73" spans="1:13" x14ac:dyDescent="0.25">
      <c r="A73" s="2">
        <v>46301</v>
      </c>
      <c r="B73" s="1" t="str">
        <f ca="1">IF(Información1[[#This Row],[Fecha]]='Ajuste de fechas'!$A$2,"Día actual","Día anterior")</f>
        <v>Día anterior</v>
      </c>
      <c r="C73" s="3" t="s">
        <v>51</v>
      </c>
      <c r="D73" t="s">
        <v>52</v>
      </c>
      <c r="E73" s="3" t="s">
        <v>194</v>
      </c>
      <c r="F73" s="3" t="s">
        <v>14</v>
      </c>
      <c r="G73" s="3" t="s">
        <v>87</v>
      </c>
      <c r="H73" s="3" t="s">
        <v>54</v>
      </c>
      <c r="I73" s="3" t="s">
        <v>7</v>
      </c>
      <c r="J73" s="3" t="s">
        <v>24</v>
      </c>
      <c r="K73" s="3" t="s">
        <v>57</v>
      </c>
      <c r="L73" s="3" t="s">
        <v>25</v>
      </c>
      <c r="M73">
        <v>1</v>
      </c>
    </row>
    <row r="74" spans="1:13" x14ac:dyDescent="0.25">
      <c r="A74" s="2">
        <v>46301</v>
      </c>
      <c r="B74" s="1" t="str">
        <f ca="1">IF(Información1[[#This Row],[Fecha]]='Ajuste de fechas'!$A$2,"Día actual","Día anterior")</f>
        <v>Día anterior</v>
      </c>
      <c r="C74" s="3" t="s">
        <v>51</v>
      </c>
      <c r="D74" t="s">
        <v>52</v>
      </c>
      <c r="E74" s="3" t="s">
        <v>195</v>
      </c>
      <c r="F74" s="3" t="s">
        <v>14</v>
      </c>
      <c r="G74" s="3" t="s">
        <v>196</v>
      </c>
      <c r="H74" s="3" t="s">
        <v>54</v>
      </c>
      <c r="I74" s="3" t="s">
        <v>7</v>
      </c>
      <c r="J74" s="3" t="s">
        <v>24</v>
      </c>
      <c r="K74" s="3" t="s">
        <v>56</v>
      </c>
      <c r="L74" s="3" t="s">
        <v>25</v>
      </c>
      <c r="M74">
        <v>1</v>
      </c>
    </row>
    <row r="75" spans="1:13" x14ac:dyDescent="0.25">
      <c r="A75" s="2">
        <v>46301</v>
      </c>
      <c r="B75" s="1" t="str">
        <f ca="1">IF(Información1[[#This Row],[Fecha]]='Ajuste de fechas'!$A$2,"Día actual","Día anterior")</f>
        <v>Día anterior</v>
      </c>
      <c r="C75" s="3" t="s">
        <v>51</v>
      </c>
      <c r="D75" t="s">
        <v>52</v>
      </c>
      <c r="E75" s="3" t="s">
        <v>197</v>
      </c>
      <c r="F75" s="3" t="s">
        <v>35</v>
      </c>
      <c r="G75" s="3" t="s">
        <v>89</v>
      </c>
      <c r="H75" s="3" t="s">
        <v>54</v>
      </c>
      <c r="I75" s="3" t="s">
        <v>7</v>
      </c>
      <c r="J75" s="3" t="s">
        <v>24</v>
      </c>
      <c r="K75" s="3" t="s">
        <v>57</v>
      </c>
      <c r="L75" s="3" t="s">
        <v>25</v>
      </c>
      <c r="M75">
        <v>1</v>
      </c>
    </row>
    <row r="76" spans="1:13" x14ac:dyDescent="0.25">
      <c r="A76" s="2">
        <v>46301</v>
      </c>
      <c r="B76" s="1" t="str">
        <f ca="1">IF(Información1[[#This Row],[Fecha]]='Ajuste de fechas'!$A$2,"Día actual","Día anterior")</f>
        <v>Día anterior</v>
      </c>
      <c r="C76" s="3" t="s">
        <v>51</v>
      </c>
      <c r="D76" t="s">
        <v>52</v>
      </c>
      <c r="E76" s="3" t="s">
        <v>184</v>
      </c>
      <c r="F76" s="3" t="s">
        <v>84</v>
      </c>
      <c r="G76" s="3" t="s">
        <v>81</v>
      </c>
      <c r="H76" s="3" t="s">
        <v>54</v>
      </c>
      <c r="I76" s="3" t="s">
        <v>7</v>
      </c>
      <c r="J76" s="3" t="s">
        <v>24</v>
      </c>
      <c r="K76" s="3" t="s">
        <v>57</v>
      </c>
      <c r="L76" s="3" t="s">
        <v>27</v>
      </c>
      <c r="M76">
        <v>1</v>
      </c>
    </row>
    <row r="77" spans="1:13" x14ac:dyDescent="0.25">
      <c r="A77" s="2">
        <v>46301</v>
      </c>
      <c r="B77" s="1" t="str">
        <f ca="1">IF(Información1[[#This Row],[Fecha]]='Ajuste de fechas'!$A$2,"Día actual","Día anterior")</f>
        <v>Día anterior</v>
      </c>
      <c r="C77" s="3" t="s">
        <v>51</v>
      </c>
      <c r="D77" t="s">
        <v>52</v>
      </c>
      <c r="E77" s="3" t="s">
        <v>198</v>
      </c>
      <c r="F77" s="3" t="s">
        <v>13</v>
      </c>
      <c r="G77" s="3" t="s">
        <v>89</v>
      </c>
      <c r="H77" s="3" t="s">
        <v>54</v>
      </c>
      <c r="I77" s="3" t="s">
        <v>7</v>
      </c>
      <c r="J77" s="3" t="s">
        <v>28</v>
      </c>
      <c r="K77" s="3" t="s">
        <v>57</v>
      </c>
      <c r="L77" s="3" t="s">
        <v>25</v>
      </c>
      <c r="M77">
        <v>1</v>
      </c>
    </row>
    <row r="78" spans="1:13" x14ac:dyDescent="0.25">
      <c r="A78" s="2">
        <v>46301</v>
      </c>
      <c r="B78" s="1" t="str">
        <f ca="1">IF(Información1[[#This Row],[Fecha]]='Ajuste de fechas'!$A$2,"Día actual","Día anterior")</f>
        <v>Día anterior</v>
      </c>
      <c r="C78" s="3" t="s">
        <v>51</v>
      </c>
      <c r="D78" t="s">
        <v>52</v>
      </c>
      <c r="E78" s="3" t="s">
        <v>199</v>
      </c>
      <c r="F78" s="3" t="s">
        <v>13</v>
      </c>
      <c r="G78" s="3" t="s">
        <v>200</v>
      </c>
      <c r="H78" s="3" t="s">
        <v>54</v>
      </c>
      <c r="I78" s="3" t="s">
        <v>17</v>
      </c>
      <c r="J78" s="3" t="s">
        <v>28</v>
      </c>
      <c r="K78" s="3" t="s">
        <v>57</v>
      </c>
      <c r="L78" s="3" t="s">
        <v>25</v>
      </c>
      <c r="M78">
        <v>1</v>
      </c>
    </row>
    <row r="79" spans="1:13" x14ac:dyDescent="0.25">
      <c r="A79" s="2">
        <v>46301</v>
      </c>
      <c r="B79" s="1" t="str">
        <f ca="1">IF(Información1[[#This Row],[Fecha]]='Ajuste de fechas'!$A$2,"Día actual","Día anterior")</f>
        <v>Día anterior</v>
      </c>
      <c r="C79" s="3" t="s">
        <v>51</v>
      </c>
      <c r="D79" t="s">
        <v>52</v>
      </c>
      <c r="E79" s="3" t="s">
        <v>201</v>
      </c>
      <c r="F79" s="3" t="s">
        <v>35</v>
      </c>
      <c r="G79" s="3" t="s">
        <v>81</v>
      </c>
      <c r="H79" s="3" t="s">
        <v>54</v>
      </c>
      <c r="I79" s="3" t="s">
        <v>7</v>
      </c>
      <c r="J79" s="3" t="s">
        <v>24</v>
      </c>
      <c r="K79" s="3" t="s">
        <v>57</v>
      </c>
      <c r="L79" s="3" t="s">
        <v>25</v>
      </c>
      <c r="M79">
        <v>1</v>
      </c>
    </row>
    <row r="80" spans="1:13" x14ac:dyDescent="0.25">
      <c r="A80" s="2">
        <v>46302</v>
      </c>
      <c r="B80" s="1" t="str">
        <f ca="1">IF(Información1[[#This Row],[Fecha]]='Ajuste de fechas'!$A$2,"Día actual","Día anterior")</f>
        <v>Día actual</v>
      </c>
      <c r="C80" s="3" t="s">
        <v>38</v>
      </c>
      <c r="D80" t="s">
        <v>43</v>
      </c>
      <c r="E80" s="3" t="s">
        <v>202</v>
      </c>
      <c r="F80" s="3" t="s">
        <v>53</v>
      </c>
      <c r="G80" s="3" t="s">
        <v>203</v>
      </c>
      <c r="H80" s="3" t="s">
        <v>37</v>
      </c>
      <c r="I80" s="3" t="s">
        <v>7</v>
      </c>
      <c r="J80" s="3" t="s">
        <v>55</v>
      </c>
      <c r="K80" s="3" t="s">
        <v>40</v>
      </c>
      <c r="L80" s="3" t="s">
        <v>25</v>
      </c>
      <c r="M80">
        <v>1</v>
      </c>
    </row>
    <row r="81" spans="1:13" x14ac:dyDescent="0.25">
      <c r="A81" s="2">
        <v>46302</v>
      </c>
      <c r="B81" s="1" t="str">
        <f ca="1">IF(Información1[[#This Row],[Fecha]]='Ajuste de fechas'!$A$2,"Día actual","Día anterior")</f>
        <v>Día actual</v>
      </c>
      <c r="C81" s="3" t="s">
        <v>38</v>
      </c>
      <c r="D81" t="s">
        <v>43</v>
      </c>
      <c r="E81" s="3" t="s">
        <v>204</v>
      </c>
      <c r="F81" s="3" t="s">
        <v>98</v>
      </c>
      <c r="G81" s="3" t="s">
        <v>205</v>
      </c>
      <c r="H81" s="3" t="s">
        <v>37</v>
      </c>
      <c r="I81" s="3" t="s">
        <v>7</v>
      </c>
      <c r="J81" s="3" t="s">
        <v>24</v>
      </c>
      <c r="K81" s="3" t="s">
        <v>40</v>
      </c>
      <c r="L81" s="3" t="s">
        <v>25</v>
      </c>
      <c r="M81">
        <v>1</v>
      </c>
    </row>
    <row r="82" spans="1:13" x14ac:dyDescent="0.25">
      <c r="A82" s="2">
        <v>46302</v>
      </c>
      <c r="B82" s="1" t="str">
        <f ca="1">IF(Información1[[#This Row],[Fecha]]='Ajuste de fechas'!$A$2,"Día actual","Día anterior")</f>
        <v>Día actual</v>
      </c>
      <c r="C82" s="3" t="s">
        <v>38</v>
      </c>
      <c r="D82" t="s">
        <v>43</v>
      </c>
      <c r="E82" s="3" t="s">
        <v>206</v>
      </c>
      <c r="F82" s="3" t="s">
        <v>12</v>
      </c>
      <c r="G82" s="3" t="s">
        <v>207</v>
      </c>
      <c r="H82" s="3" t="s">
        <v>37</v>
      </c>
      <c r="I82" s="3" t="s">
        <v>7</v>
      </c>
      <c r="J82" s="3" t="s">
        <v>24</v>
      </c>
      <c r="K82" s="3" t="s">
        <v>40</v>
      </c>
      <c r="L82" s="3" t="s">
        <v>25</v>
      </c>
      <c r="M82">
        <v>1</v>
      </c>
    </row>
    <row r="83" spans="1:13" x14ac:dyDescent="0.25">
      <c r="A83" s="2">
        <v>46302</v>
      </c>
      <c r="B83" s="1" t="str">
        <f ca="1">IF(Información1[[#This Row],[Fecha]]='Ajuste de fechas'!$A$2,"Día actual","Día anterior")</f>
        <v>Día actual</v>
      </c>
      <c r="C83" s="3" t="s">
        <v>38</v>
      </c>
      <c r="D83" t="s">
        <v>43</v>
      </c>
      <c r="E83" s="3" t="s">
        <v>208</v>
      </c>
      <c r="F83" s="3" t="s">
        <v>13</v>
      </c>
      <c r="G83" s="3" t="s">
        <v>88</v>
      </c>
      <c r="H83" s="3" t="s">
        <v>37</v>
      </c>
      <c r="I83" s="3" t="s">
        <v>7</v>
      </c>
      <c r="J83" s="3" t="s">
        <v>28</v>
      </c>
      <c r="K83" s="3" t="s">
        <v>40</v>
      </c>
      <c r="L83" s="3" t="s">
        <v>25</v>
      </c>
      <c r="M83">
        <v>1</v>
      </c>
    </row>
    <row r="84" spans="1:13" x14ac:dyDescent="0.25">
      <c r="A84" s="2">
        <v>46302</v>
      </c>
      <c r="B84" s="1" t="str">
        <f ca="1">IF(Información1[[#This Row],[Fecha]]='Ajuste de fechas'!$A$2,"Día actual","Día anterior")</f>
        <v>Día actual</v>
      </c>
      <c r="C84" s="3" t="s">
        <v>38</v>
      </c>
      <c r="D84" t="s">
        <v>43</v>
      </c>
      <c r="E84" s="3" t="s">
        <v>209</v>
      </c>
      <c r="F84" s="3" t="s">
        <v>42</v>
      </c>
      <c r="G84" s="3" t="s">
        <v>210</v>
      </c>
      <c r="H84" s="3" t="s">
        <v>37</v>
      </c>
      <c r="I84" s="3" t="s">
        <v>7</v>
      </c>
      <c r="J84" s="3" t="s">
        <v>24</v>
      </c>
      <c r="K84" s="3" t="s">
        <v>40</v>
      </c>
      <c r="L84" s="3" t="s">
        <v>25</v>
      </c>
      <c r="M84">
        <v>1</v>
      </c>
    </row>
    <row r="85" spans="1:13" x14ac:dyDescent="0.25">
      <c r="A85" s="2">
        <v>46302</v>
      </c>
      <c r="B85" s="1" t="str">
        <f ca="1">IF(Información1[[#This Row],[Fecha]]='Ajuste de fechas'!$A$2,"Día actual","Día anterior")</f>
        <v>Día actual</v>
      </c>
      <c r="C85" s="3" t="s">
        <v>38</v>
      </c>
      <c r="D85" t="s">
        <v>43</v>
      </c>
      <c r="E85" s="3" t="s">
        <v>211</v>
      </c>
      <c r="F85" s="3" t="s">
        <v>42</v>
      </c>
      <c r="G85" s="3" t="s">
        <v>210</v>
      </c>
      <c r="H85" s="3" t="s">
        <v>37</v>
      </c>
      <c r="I85" s="3" t="s">
        <v>7</v>
      </c>
      <c r="J85" s="3" t="s">
        <v>24</v>
      </c>
      <c r="K85" s="3" t="s">
        <v>40</v>
      </c>
      <c r="L85" s="3" t="s">
        <v>25</v>
      </c>
      <c r="M85">
        <v>1</v>
      </c>
    </row>
    <row r="86" spans="1:13" x14ac:dyDescent="0.25">
      <c r="A86" s="2">
        <v>46302</v>
      </c>
      <c r="B86" s="1" t="str">
        <f ca="1">IF(Información1[[#This Row],[Fecha]]='Ajuste de fechas'!$A$2,"Día actual","Día anterior")</f>
        <v>Día actual</v>
      </c>
      <c r="C86" s="3" t="s">
        <v>38</v>
      </c>
      <c r="D86" t="s">
        <v>43</v>
      </c>
      <c r="E86" s="3" t="s">
        <v>212</v>
      </c>
      <c r="F86" s="3" t="s">
        <v>42</v>
      </c>
      <c r="G86" s="3" t="s">
        <v>213</v>
      </c>
      <c r="H86" s="3" t="s">
        <v>37</v>
      </c>
      <c r="I86" s="3" t="s">
        <v>7</v>
      </c>
      <c r="J86" s="3" t="s">
        <v>24</v>
      </c>
      <c r="K86" s="3" t="s">
        <v>40</v>
      </c>
      <c r="L86" s="3" t="s">
        <v>25</v>
      </c>
      <c r="M86">
        <v>1</v>
      </c>
    </row>
    <row r="87" spans="1:13" x14ac:dyDescent="0.25">
      <c r="A87" s="2">
        <v>46302</v>
      </c>
      <c r="B87" s="1" t="str">
        <f ca="1">IF(Información1[[#This Row],[Fecha]]='Ajuste de fechas'!$A$2,"Día actual","Día anterior")</f>
        <v>Día actual</v>
      </c>
      <c r="C87" s="3" t="s">
        <v>38</v>
      </c>
      <c r="D87" t="s">
        <v>43</v>
      </c>
      <c r="E87" s="3" t="s">
        <v>214</v>
      </c>
      <c r="F87" s="3" t="s">
        <v>13</v>
      </c>
      <c r="G87" s="3" t="s">
        <v>92</v>
      </c>
      <c r="H87" s="3" t="s">
        <v>37</v>
      </c>
      <c r="I87" s="3" t="s">
        <v>7</v>
      </c>
      <c r="J87" s="3" t="s">
        <v>28</v>
      </c>
      <c r="K87" s="3" t="s">
        <v>40</v>
      </c>
      <c r="L87" s="3" t="s">
        <v>25</v>
      </c>
      <c r="M87">
        <v>1</v>
      </c>
    </row>
    <row r="88" spans="1:13" x14ac:dyDescent="0.25">
      <c r="A88" s="2">
        <v>46302</v>
      </c>
      <c r="B88" s="1" t="str">
        <f ca="1">IF(Información1[[#This Row],[Fecha]]='Ajuste de fechas'!$A$2,"Día actual","Día anterior")</f>
        <v>Día actual</v>
      </c>
      <c r="C88" s="3" t="s">
        <v>47</v>
      </c>
      <c r="D88" t="s">
        <v>48</v>
      </c>
      <c r="E88" s="3" t="s">
        <v>215</v>
      </c>
      <c r="F88" s="3" t="s">
        <v>45</v>
      </c>
      <c r="G88" s="3" t="s">
        <v>216</v>
      </c>
      <c r="H88" s="3" t="s">
        <v>37</v>
      </c>
      <c r="I88" s="3" t="s">
        <v>7</v>
      </c>
      <c r="J88" s="3" t="s">
        <v>24</v>
      </c>
      <c r="K88" s="3" t="s">
        <v>49</v>
      </c>
      <c r="L88" s="3" t="s">
        <v>27</v>
      </c>
      <c r="M88">
        <v>1</v>
      </c>
    </row>
    <row r="89" spans="1:13" x14ac:dyDescent="0.25">
      <c r="A89" s="2">
        <v>46302</v>
      </c>
      <c r="B89" s="1" t="str">
        <f ca="1">IF(Información1[[#This Row],[Fecha]]='Ajuste de fechas'!$A$2,"Día actual","Día anterior")</f>
        <v>Día actual</v>
      </c>
      <c r="C89" s="3" t="s">
        <v>47</v>
      </c>
      <c r="D89" t="s">
        <v>48</v>
      </c>
      <c r="E89" s="3" t="s">
        <v>217</v>
      </c>
      <c r="F89" s="3" t="s">
        <v>35</v>
      </c>
      <c r="G89" s="3" t="s">
        <v>218</v>
      </c>
      <c r="H89" s="3" t="s">
        <v>37</v>
      </c>
      <c r="I89" s="3" t="s">
        <v>10</v>
      </c>
      <c r="J89" s="3" t="s">
        <v>24</v>
      </c>
      <c r="K89" s="3" t="s">
        <v>49</v>
      </c>
      <c r="L89" s="3" t="s">
        <v>27</v>
      </c>
      <c r="M89">
        <v>1</v>
      </c>
    </row>
    <row r="90" spans="1:13" x14ac:dyDescent="0.25">
      <c r="A90" s="2">
        <v>46302</v>
      </c>
      <c r="B90" s="1" t="str">
        <f ca="1">IF(Información1[[#This Row],[Fecha]]='Ajuste de fechas'!$A$2,"Día actual","Día anterior")</f>
        <v>Día actual</v>
      </c>
      <c r="C90" s="3" t="s">
        <v>47</v>
      </c>
      <c r="D90" t="s">
        <v>48</v>
      </c>
      <c r="E90" s="3" t="s">
        <v>219</v>
      </c>
      <c r="F90" s="3" t="s">
        <v>98</v>
      </c>
      <c r="G90" s="3" t="s">
        <v>150</v>
      </c>
      <c r="H90" s="3" t="s">
        <v>37</v>
      </c>
      <c r="I90" s="3" t="s">
        <v>7</v>
      </c>
      <c r="J90" s="3" t="s">
        <v>24</v>
      </c>
      <c r="K90" s="3" t="s">
        <v>49</v>
      </c>
      <c r="L90" s="3" t="s">
        <v>27</v>
      </c>
      <c r="M90">
        <v>1</v>
      </c>
    </row>
    <row r="91" spans="1:13" x14ac:dyDescent="0.25">
      <c r="A91" s="2">
        <v>46302</v>
      </c>
      <c r="B91" s="1" t="str">
        <f ca="1">IF(Información1[[#This Row],[Fecha]]='Ajuste de fechas'!$A$2,"Día actual","Día anterior")</f>
        <v>Día actual</v>
      </c>
      <c r="C91" s="3" t="s">
        <v>47</v>
      </c>
      <c r="D91" t="s">
        <v>48</v>
      </c>
      <c r="E91" s="3" t="s">
        <v>220</v>
      </c>
      <c r="F91" s="3" t="s">
        <v>15</v>
      </c>
      <c r="G91" s="3" t="s">
        <v>85</v>
      </c>
      <c r="H91" s="3" t="s">
        <v>37</v>
      </c>
      <c r="I91" s="3" t="s">
        <v>7</v>
      </c>
      <c r="J91" s="3" t="s">
        <v>29</v>
      </c>
      <c r="K91" s="3" t="s">
        <v>49</v>
      </c>
      <c r="L91" s="3" t="s">
        <v>25</v>
      </c>
      <c r="M91">
        <v>1</v>
      </c>
    </row>
    <row r="92" spans="1:13" x14ac:dyDescent="0.25">
      <c r="A92" s="2">
        <v>46302</v>
      </c>
      <c r="B92" s="1" t="str">
        <f ca="1">IF(Información1[[#This Row],[Fecha]]='Ajuste de fechas'!$A$2,"Día actual","Día anterior")</f>
        <v>Día actual</v>
      </c>
      <c r="C92" s="3" t="s">
        <v>38</v>
      </c>
      <c r="D92" t="s">
        <v>39</v>
      </c>
      <c r="E92" s="3" t="s">
        <v>221</v>
      </c>
      <c r="F92" s="3" t="s">
        <v>46</v>
      </c>
      <c r="G92" s="3" t="s">
        <v>222</v>
      </c>
      <c r="H92" s="3" t="s">
        <v>37</v>
      </c>
      <c r="I92" s="3" t="s">
        <v>7</v>
      </c>
      <c r="J92" s="3" t="s">
        <v>24</v>
      </c>
      <c r="K92" s="3" t="s">
        <v>41</v>
      </c>
      <c r="L92" s="3" t="s">
        <v>27</v>
      </c>
      <c r="M92">
        <v>1</v>
      </c>
    </row>
    <row r="93" spans="1:13" x14ac:dyDescent="0.25">
      <c r="A93" s="2">
        <v>46302</v>
      </c>
      <c r="B93" s="1" t="str">
        <f ca="1">IF(Información1[[#This Row],[Fecha]]='Ajuste de fechas'!$A$2,"Día actual","Día anterior")</f>
        <v>Día actual</v>
      </c>
      <c r="C93" s="3" t="s">
        <v>38</v>
      </c>
      <c r="D93" t="s">
        <v>39</v>
      </c>
      <c r="E93" s="3" t="s">
        <v>223</v>
      </c>
      <c r="F93" s="3" t="s">
        <v>36</v>
      </c>
      <c r="G93" s="3" t="s">
        <v>224</v>
      </c>
      <c r="H93" s="3" t="s">
        <v>37</v>
      </c>
      <c r="I93" s="3" t="s">
        <v>7</v>
      </c>
      <c r="J93" s="3" t="s">
        <v>24</v>
      </c>
      <c r="K93" s="3" t="s">
        <v>41</v>
      </c>
      <c r="L93" s="3" t="s">
        <v>27</v>
      </c>
      <c r="M93">
        <v>1</v>
      </c>
    </row>
    <row r="94" spans="1:13" x14ac:dyDescent="0.25">
      <c r="A94" s="2">
        <v>46302</v>
      </c>
      <c r="B94" s="1" t="str">
        <f ca="1">IF(Información1[[#This Row],[Fecha]]='Ajuste de fechas'!$A$2,"Día actual","Día anterior")</f>
        <v>Día actual</v>
      </c>
      <c r="C94" s="3" t="s">
        <v>38</v>
      </c>
      <c r="D94" t="s">
        <v>39</v>
      </c>
      <c r="E94" s="3" t="s">
        <v>215</v>
      </c>
      <c r="F94" s="3" t="s">
        <v>45</v>
      </c>
      <c r="G94" s="3" t="s">
        <v>216</v>
      </c>
      <c r="H94" s="3" t="s">
        <v>37</v>
      </c>
      <c r="I94" s="3" t="s">
        <v>7</v>
      </c>
      <c r="J94" s="3" t="s">
        <v>24</v>
      </c>
      <c r="K94" s="3" t="s">
        <v>41</v>
      </c>
      <c r="L94" s="3" t="s">
        <v>27</v>
      </c>
      <c r="M94">
        <v>1</v>
      </c>
    </row>
    <row r="95" spans="1:13" x14ac:dyDescent="0.25">
      <c r="A95" s="2">
        <v>46302</v>
      </c>
      <c r="B95" s="1" t="str">
        <f ca="1">IF(Información1[[#This Row],[Fecha]]='Ajuste de fechas'!$A$2,"Día actual","Día anterior")</f>
        <v>Día actual</v>
      </c>
      <c r="C95" s="3" t="s">
        <v>38</v>
      </c>
      <c r="D95" t="s">
        <v>39</v>
      </c>
      <c r="E95" s="3" t="s">
        <v>225</v>
      </c>
      <c r="F95" s="3" t="s">
        <v>72</v>
      </c>
      <c r="G95" s="3" t="s">
        <v>226</v>
      </c>
      <c r="H95" s="3" t="s">
        <v>37</v>
      </c>
      <c r="I95" s="3" t="s">
        <v>7</v>
      </c>
      <c r="J95" s="3" t="s">
        <v>24</v>
      </c>
      <c r="K95" s="3" t="s">
        <v>41</v>
      </c>
      <c r="L95" s="3" t="s">
        <v>27</v>
      </c>
      <c r="M95">
        <v>1</v>
      </c>
    </row>
    <row r="96" spans="1:13" x14ac:dyDescent="0.25">
      <c r="A96" s="2">
        <v>46302</v>
      </c>
      <c r="B96" s="1" t="str">
        <f ca="1">IF(Información1[[#This Row],[Fecha]]='Ajuste de fechas'!$A$2,"Día actual","Día anterior")</f>
        <v>Día actual</v>
      </c>
      <c r="C96" s="3" t="s">
        <v>38</v>
      </c>
      <c r="D96" t="s">
        <v>39</v>
      </c>
      <c r="E96" s="3" t="s">
        <v>227</v>
      </c>
      <c r="F96" s="3" t="s">
        <v>13</v>
      </c>
      <c r="G96" s="3" t="s">
        <v>86</v>
      </c>
      <c r="H96" s="3" t="s">
        <v>37</v>
      </c>
      <c r="I96" s="3" t="s">
        <v>7</v>
      </c>
      <c r="J96" s="3" t="s">
        <v>28</v>
      </c>
      <c r="K96" s="3" t="s">
        <v>40</v>
      </c>
      <c r="L96" s="3" t="s">
        <v>25</v>
      </c>
      <c r="M96">
        <v>1</v>
      </c>
    </row>
    <row r="97" spans="1:13" x14ac:dyDescent="0.25">
      <c r="A97" s="2">
        <v>46302</v>
      </c>
      <c r="B97" s="1" t="str">
        <f ca="1">IF(Información1[[#This Row],[Fecha]]='Ajuste de fechas'!$A$2,"Día actual","Día anterior")</f>
        <v>Día actual</v>
      </c>
      <c r="C97" s="3" t="s">
        <v>38</v>
      </c>
      <c r="D97" t="s">
        <v>39</v>
      </c>
      <c r="E97" s="3" t="s">
        <v>228</v>
      </c>
      <c r="F97" s="3" t="s">
        <v>14</v>
      </c>
      <c r="G97" s="3" t="s">
        <v>113</v>
      </c>
      <c r="H97" s="3" t="s">
        <v>37</v>
      </c>
      <c r="I97" s="3" t="s">
        <v>7</v>
      </c>
      <c r="J97" s="3" t="s">
        <v>24</v>
      </c>
      <c r="K97" s="3" t="s">
        <v>44</v>
      </c>
      <c r="L97" s="3" t="s">
        <v>26</v>
      </c>
      <c r="M97">
        <v>1</v>
      </c>
    </row>
    <row r="98" spans="1:13" x14ac:dyDescent="0.25">
      <c r="A98" s="2">
        <v>46302</v>
      </c>
      <c r="B98" s="1" t="str">
        <f ca="1">IF(Información1[[#This Row],[Fecha]]='Ajuste de fechas'!$A$2,"Día actual","Día anterior")</f>
        <v>Día actual</v>
      </c>
      <c r="C98" s="3" t="s">
        <v>38</v>
      </c>
      <c r="D98" t="s">
        <v>39</v>
      </c>
      <c r="E98" s="3" t="s">
        <v>229</v>
      </c>
      <c r="F98" s="3" t="s">
        <v>98</v>
      </c>
      <c r="G98" s="3" t="s">
        <v>230</v>
      </c>
      <c r="H98" s="3" t="s">
        <v>37</v>
      </c>
      <c r="I98" s="3" t="s">
        <v>7</v>
      </c>
      <c r="J98" s="3" t="s">
        <v>24</v>
      </c>
      <c r="K98" s="3" t="s">
        <v>40</v>
      </c>
      <c r="L98" s="3" t="s">
        <v>25</v>
      </c>
      <c r="M98">
        <v>1</v>
      </c>
    </row>
    <row r="99" spans="1:13" x14ac:dyDescent="0.25">
      <c r="A99" s="2">
        <v>46302</v>
      </c>
      <c r="B99" s="1" t="str">
        <f ca="1">IF(Información1[[#This Row],[Fecha]]='Ajuste de fechas'!$A$2,"Día actual","Día anterior")</f>
        <v>Día actual</v>
      </c>
      <c r="C99" s="3" t="s">
        <v>38</v>
      </c>
      <c r="D99" t="s">
        <v>39</v>
      </c>
      <c r="E99" s="3" t="s">
        <v>231</v>
      </c>
      <c r="F99" s="3" t="s">
        <v>33</v>
      </c>
      <c r="G99" s="3" t="s">
        <v>232</v>
      </c>
      <c r="H99" s="3" t="s">
        <v>37</v>
      </c>
      <c r="I99" s="3" t="s">
        <v>7</v>
      </c>
      <c r="J99" s="3" t="s">
        <v>16</v>
      </c>
      <c r="K99" s="3" t="s">
        <v>40</v>
      </c>
      <c r="L99" s="3" t="s">
        <v>25</v>
      </c>
      <c r="M99">
        <v>1</v>
      </c>
    </row>
    <row r="100" spans="1:13" x14ac:dyDescent="0.25">
      <c r="A100" s="2">
        <v>46302</v>
      </c>
      <c r="B100" s="1" t="str">
        <f ca="1">IF(Información1[[#This Row],[Fecha]]='Ajuste de fechas'!$A$2,"Día actual","Día anterior")</f>
        <v>Día actual</v>
      </c>
      <c r="C100" s="3" t="s">
        <v>38</v>
      </c>
      <c r="D100" t="s">
        <v>39</v>
      </c>
      <c r="E100" s="3" t="s">
        <v>233</v>
      </c>
      <c r="F100" s="3" t="s">
        <v>33</v>
      </c>
      <c r="G100" s="3" t="s">
        <v>150</v>
      </c>
      <c r="H100" s="3" t="s">
        <v>37</v>
      </c>
      <c r="I100" s="3" t="s">
        <v>7</v>
      </c>
      <c r="J100" s="3" t="s">
        <v>16</v>
      </c>
      <c r="K100" s="3" t="s">
        <v>41</v>
      </c>
      <c r="L100" s="3" t="s">
        <v>25</v>
      </c>
      <c r="M100">
        <v>1</v>
      </c>
    </row>
    <row r="101" spans="1:13" x14ac:dyDescent="0.25">
      <c r="A101" s="2">
        <v>46302</v>
      </c>
      <c r="B101" s="1" t="str">
        <f ca="1">IF(Información1[[#This Row],[Fecha]]='Ajuste de fechas'!$A$2,"Día actual","Día anterior")</f>
        <v>Día actual</v>
      </c>
      <c r="C101" s="3" t="s">
        <v>38</v>
      </c>
      <c r="D101" t="s">
        <v>39</v>
      </c>
      <c r="E101" s="3" t="s">
        <v>234</v>
      </c>
      <c r="F101" s="3" t="s">
        <v>12</v>
      </c>
      <c r="G101" s="3" t="s">
        <v>235</v>
      </c>
      <c r="H101" s="3" t="s">
        <v>37</v>
      </c>
      <c r="I101" s="3" t="s">
        <v>7</v>
      </c>
      <c r="J101" s="3" t="s">
        <v>24</v>
      </c>
      <c r="K101" s="3" t="s">
        <v>41</v>
      </c>
      <c r="L101" s="3" t="s">
        <v>27</v>
      </c>
      <c r="M101">
        <v>1</v>
      </c>
    </row>
    <row r="102" spans="1:13" x14ac:dyDescent="0.25">
      <c r="A102" s="2">
        <v>46302</v>
      </c>
      <c r="B102" s="1" t="str">
        <f ca="1">IF(Información1[[#This Row],[Fecha]]='Ajuste de fechas'!$A$2,"Día actual","Día anterior")</f>
        <v>Día actual</v>
      </c>
      <c r="C102" s="3" t="s">
        <v>51</v>
      </c>
      <c r="D102" t="s">
        <v>52</v>
      </c>
      <c r="E102" s="3" t="s">
        <v>236</v>
      </c>
      <c r="F102" s="3" t="s">
        <v>35</v>
      </c>
      <c r="G102" s="3" t="s">
        <v>237</v>
      </c>
      <c r="H102" s="3" t="s">
        <v>54</v>
      </c>
      <c r="I102" s="3" t="s">
        <v>17</v>
      </c>
      <c r="J102" s="3" t="s">
        <v>24</v>
      </c>
      <c r="K102" s="3" t="s">
        <v>57</v>
      </c>
      <c r="L102" s="3" t="s">
        <v>26</v>
      </c>
      <c r="M102">
        <v>1</v>
      </c>
    </row>
    <row r="103" spans="1:13" x14ac:dyDescent="0.25">
      <c r="A103" s="2">
        <v>46302</v>
      </c>
      <c r="B103" s="1" t="str">
        <f ca="1">IF(Información1[[#This Row],[Fecha]]='Ajuste de fechas'!$A$2,"Día actual","Día anterior")</f>
        <v>Día actual</v>
      </c>
      <c r="C103" s="3" t="s">
        <v>51</v>
      </c>
      <c r="D103" t="s">
        <v>52</v>
      </c>
      <c r="E103" s="3" t="s">
        <v>238</v>
      </c>
      <c r="F103" s="3" t="s">
        <v>13</v>
      </c>
      <c r="G103" s="3" t="s">
        <v>200</v>
      </c>
      <c r="H103" s="3" t="s">
        <v>54</v>
      </c>
      <c r="I103" s="3" t="s">
        <v>17</v>
      </c>
      <c r="J103" s="3" t="s">
        <v>28</v>
      </c>
      <c r="K103" s="3" t="s">
        <v>57</v>
      </c>
      <c r="L103" s="3" t="s">
        <v>26</v>
      </c>
      <c r="M103">
        <v>1</v>
      </c>
    </row>
    <row r="104" spans="1:13" x14ac:dyDescent="0.25">
      <c r="A104" s="2">
        <v>46302</v>
      </c>
      <c r="B104" s="1" t="str">
        <f ca="1">IF(Información1[[#This Row],[Fecha]]='Ajuste de fechas'!$A$2,"Día actual","Día anterior")</f>
        <v>Día actual</v>
      </c>
      <c r="C104" s="3" t="s">
        <v>51</v>
      </c>
      <c r="D104" t="s">
        <v>52</v>
      </c>
      <c r="E104" s="3" t="s">
        <v>239</v>
      </c>
      <c r="F104" s="3" t="s">
        <v>98</v>
      </c>
      <c r="G104" s="3" t="s">
        <v>205</v>
      </c>
      <c r="H104" s="3" t="s">
        <v>54</v>
      </c>
      <c r="I104" s="3" t="s">
        <v>7</v>
      </c>
      <c r="J104" s="3" t="s">
        <v>24</v>
      </c>
      <c r="K104" s="3" t="s">
        <v>57</v>
      </c>
      <c r="L104" s="3" t="s">
        <v>25</v>
      </c>
      <c r="M104">
        <v>1</v>
      </c>
    </row>
    <row r="105" spans="1:13" x14ac:dyDescent="0.25">
      <c r="A105" s="2">
        <v>46302</v>
      </c>
      <c r="B105" s="1" t="str">
        <f ca="1">IF(Información1[[#This Row],[Fecha]]='Ajuste de fechas'!$A$2,"Día actual","Día anterior")</f>
        <v>Día actual</v>
      </c>
      <c r="C105" s="3" t="s">
        <v>51</v>
      </c>
      <c r="D105" t="s">
        <v>52</v>
      </c>
      <c r="E105" s="3" t="s">
        <v>240</v>
      </c>
      <c r="F105" s="3" t="s">
        <v>6</v>
      </c>
      <c r="G105" s="3" t="s">
        <v>89</v>
      </c>
      <c r="H105" s="3" t="s">
        <v>54</v>
      </c>
      <c r="I105" s="3" t="s">
        <v>7</v>
      </c>
      <c r="J105" s="3" t="s">
        <v>24</v>
      </c>
      <c r="K105" s="3" t="s">
        <v>56</v>
      </c>
      <c r="L105" s="3" t="s">
        <v>25</v>
      </c>
      <c r="M105">
        <v>1</v>
      </c>
    </row>
    <row r="106" spans="1:13" x14ac:dyDescent="0.25">
      <c r="A106" s="2">
        <v>46302</v>
      </c>
      <c r="B106" s="1" t="str">
        <f ca="1">IF(Información1[[#This Row],[Fecha]]='Ajuste de fechas'!$A$2,"Día actual","Día anterior")</f>
        <v>Día actual</v>
      </c>
      <c r="C106" s="3" t="s">
        <v>59</v>
      </c>
      <c r="D106" t="s">
        <v>60</v>
      </c>
      <c r="E106" s="3" t="s">
        <v>241</v>
      </c>
      <c r="F106" s="3" t="s">
        <v>15</v>
      </c>
      <c r="G106" s="3" t="s">
        <v>242</v>
      </c>
      <c r="H106" s="3" t="s">
        <v>37</v>
      </c>
      <c r="I106" s="3" t="s">
        <v>7</v>
      </c>
      <c r="J106" s="3" t="s">
        <v>29</v>
      </c>
      <c r="K106" s="3" t="s">
        <v>91</v>
      </c>
      <c r="L106" s="3" t="s">
        <v>25</v>
      </c>
      <c r="M106">
        <v>1</v>
      </c>
    </row>
    <row r="107" spans="1:13" x14ac:dyDescent="0.25">
      <c r="A107" s="2">
        <v>46302</v>
      </c>
      <c r="B107" s="1" t="str">
        <f ca="1">IF(Información1[[#This Row],[Fecha]]='Ajuste de fechas'!$A$2,"Día actual","Día anterior")</f>
        <v>Día actual</v>
      </c>
      <c r="C107" s="3" t="s">
        <v>59</v>
      </c>
      <c r="D107" t="s">
        <v>60</v>
      </c>
      <c r="E107" s="3" t="s">
        <v>243</v>
      </c>
      <c r="F107" s="3" t="s">
        <v>13</v>
      </c>
      <c r="G107" s="3" t="s">
        <v>50</v>
      </c>
      <c r="H107" s="3" t="s">
        <v>37</v>
      </c>
      <c r="I107" s="3" t="s">
        <v>7</v>
      </c>
      <c r="J107" s="3" t="s">
        <v>28</v>
      </c>
      <c r="K107" s="3" t="s">
        <v>91</v>
      </c>
      <c r="L107" s="3" t="s">
        <v>25</v>
      </c>
      <c r="M107">
        <v>1</v>
      </c>
    </row>
    <row r="108" spans="1:13" x14ac:dyDescent="0.25">
      <c r="A108" s="2">
        <v>46302</v>
      </c>
      <c r="B108" s="1" t="str">
        <f ca="1">IF(Información1[[#This Row],[Fecha]]='Ajuste de fechas'!$A$2,"Día actual","Día anterior")</f>
        <v>Día actual</v>
      </c>
      <c r="C108" s="3" t="s">
        <v>59</v>
      </c>
      <c r="D108" t="s">
        <v>60</v>
      </c>
      <c r="E108" s="3" t="s">
        <v>244</v>
      </c>
      <c r="F108" s="3" t="s">
        <v>13</v>
      </c>
      <c r="G108" s="3" t="s">
        <v>245</v>
      </c>
      <c r="H108" s="3" t="s">
        <v>37</v>
      </c>
      <c r="I108" s="3" t="s">
        <v>7</v>
      </c>
      <c r="J108" s="3" t="s">
        <v>28</v>
      </c>
      <c r="K108" s="3" t="s">
        <v>61</v>
      </c>
      <c r="L108" s="3" t="s">
        <v>25</v>
      </c>
      <c r="M108">
        <v>1</v>
      </c>
    </row>
    <row r="109" spans="1:13" x14ac:dyDescent="0.25">
      <c r="A109" s="2">
        <v>46302</v>
      </c>
      <c r="B109" s="1" t="str">
        <f ca="1">IF(Información1[[#This Row],[Fecha]]='Ajuste de fechas'!$A$2,"Día actual","Día anterior")</f>
        <v>Día actual</v>
      </c>
      <c r="C109" s="3" t="s">
        <v>59</v>
      </c>
      <c r="D109" t="s">
        <v>60</v>
      </c>
      <c r="E109" s="3" t="s">
        <v>246</v>
      </c>
      <c r="F109" s="3" t="s">
        <v>42</v>
      </c>
      <c r="G109" s="3" t="s">
        <v>83</v>
      </c>
      <c r="H109" s="3" t="s">
        <v>37</v>
      </c>
      <c r="I109" s="3" t="s">
        <v>7</v>
      </c>
      <c r="J109" s="3" t="s">
        <v>24</v>
      </c>
      <c r="K109" s="3" t="s">
        <v>91</v>
      </c>
      <c r="L109" s="3" t="s">
        <v>25</v>
      </c>
      <c r="M109">
        <v>1</v>
      </c>
    </row>
    <row r="110" spans="1:13" x14ac:dyDescent="0.25">
      <c r="A110" s="2">
        <v>46302</v>
      </c>
      <c r="B110" s="1" t="str">
        <f ca="1">IF(Información1[[#This Row],[Fecha]]='Ajuste de fechas'!$A$2,"Día actual","Día anterior")</f>
        <v>Día actual</v>
      </c>
      <c r="C110" s="3" t="s">
        <v>59</v>
      </c>
      <c r="D110" t="s">
        <v>60</v>
      </c>
      <c r="E110" s="3" t="s">
        <v>247</v>
      </c>
      <c r="F110" s="3" t="s">
        <v>93</v>
      </c>
      <c r="G110" s="3" t="s">
        <v>248</v>
      </c>
      <c r="H110" s="3" t="s">
        <v>37</v>
      </c>
      <c r="I110" s="3" t="s">
        <v>7</v>
      </c>
      <c r="J110" s="3" t="s">
        <v>24</v>
      </c>
      <c r="K110" s="3" t="s">
        <v>91</v>
      </c>
      <c r="L110" s="3" t="s">
        <v>27</v>
      </c>
      <c r="M110">
        <v>1</v>
      </c>
    </row>
    <row r="111" spans="1:13" x14ac:dyDescent="0.25">
      <c r="A111" s="2">
        <v>46302</v>
      </c>
      <c r="B111" s="1" t="str">
        <f ca="1">IF(Información1[[#This Row],[Fecha]]='Ajuste de fechas'!$A$2,"Día actual","Día anterior")</f>
        <v>Día actual</v>
      </c>
      <c r="C111" s="3" t="s">
        <v>59</v>
      </c>
      <c r="D111" t="s">
        <v>60</v>
      </c>
      <c r="E111" s="3" t="s">
        <v>249</v>
      </c>
      <c r="F111" s="3" t="s">
        <v>98</v>
      </c>
      <c r="G111" s="3" t="s">
        <v>150</v>
      </c>
      <c r="H111" s="3" t="s">
        <v>37</v>
      </c>
      <c r="I111" s="3" t="s">
        <v>7</v>
      </c>
      <c r="J111" s="3" t="s">
        <v>24</v>
      </c>
      <c r="K111" s="3" t="s">
        <v>61</v>
      </c>
      <c r="L111" s="3" t="s">
        <v>25</v>
      </c>
      <c r="M111">
        <v>1</v>
      </c>
    </row>
    <row r="112" spans="1:13" x14ac:dyDescent="0.25">
      <c r="A112" s="2">
        <v>46302</v>
      </c>
      <c r="B112" s="1" t="str">
        <f ca="1">IF(Información1[[#This Row],[Fecha]]='Ajuste de fechas'!$A$2,"Día actual","Día anterior")</f>
        <v>Día actual</v>
      </c>
      <c r="C112" s="3" t="s">
        <v>59</v>
      </c>
      <c r="D112" t="s">
        <v>60</v>
      </c>
      <c r="E112" s="3" t="s">
        <v>250</v>
      </c>
      <c r="F112" s="3" t="s">
        <v>14</v>
      </c>
      <c r="G112" s="3" t="s">
        <v>145</v>
      </c>
      <c r="H112" s="3" t="s">
        <v>37</v>
      </c>
      <c r="I112" s="3" t="s">
        <v>7</v>
      </c>
      <c r="J112" s="3" t="s">
        <v>24</v>
      </c>
      <c r="K112" s="3" t="s">
        <v>91</v>
      </c>
      <c r="L112" s="3" t="s">
        <v>25</v>
      </c>
      <c r="M112">
        <v>1</v>
      </c>
    </row>
    <row r="113" spans="1:13" x14ac:dyDescent="0.25">
      <c r="A113" s="2">
        <v>46302</v>
      </c>
      <c r="B113" s="1" t="str">
        <f ca="1">IF(Información1[[#This Row],[Fecha]]='Ajuste de fechas'!$A$2,"Día actual","Día anterior")</f>
        <v>Día actual</v>
      </c>
      <c r="C113" s="3" t="s">
        <v>59</v>
      </c>
      <c r="D113" t="s">
        <v>60</v>
      </c>
      <c r="E113" s="3" t="s">
        <v>251</v>
      </c>
      <c r="F113" s="3" t="s">
        <v>16</v>
      </c>
      <c r="G113" s="3" t="s">
        <v>252</v>
      </c>
      <c r="H113" s="3" t="s">
        <v>37</v>
      </c>
      <c r="I113" s="3" t="s">
        <v>7</v>
      </c>
      <c r="J113" s="3" t="s">
        <v>16</v>
      </c>
      <c r="K113" s="3" t="s">
        <v>61</v>
      </c>
      <c r="L113" s="3" t="s">
        <v>34</v>
      </c>
      <c r="M113">
        <v>1</v>
      </c>
    </row>
    <row r="114" spans="1:13" x14ac:dyDescent="0.25">
      <c r="A114" s="2">
        <v>46302</v>
      </c>
      <c r="B114" s="1" t="str">
        <f ca="1">IF(Información1[[#This Row],[Fecha]]='Ajuste de fechas'!$A$2,"Día actual","Día anterior")</f>
        <v>Día actual</v>
      </c>
      <c r="C114" s="3" t="s">
        <v>59</v>
      </c>
      <c r="D114" t="s">
        <v>60</v>
      </c>
      <c r="E114" s="3" t="s">
        <v>253</v>
      </c>
      <c r="F114" s="3" t="s">
        <v>98</v>
      </c>
      <c r="G114" s="3" t="s">
        <v>254</v>
      </c>
      <c r="H114" s="3" t="s">
        <v>37</v>
      </c>
      <c r="I114" s="3" t="s">
        <v>7</v>
      </c>
      <c r="J114" s="3" t="s">
        <v>24</v>
      </c>
      <c r="K114" s="3" t="s">
        <v>91</v>
      </c>
      <c r="L114" s="3" t="s">
        <v>25</v>
      </c>
      <c r="M114">
        <v>1</v>
      </c>
    </row>
    <row r="115" spans="1:13" x14ac:dyDescent="0.25">
      <c r="A115" s="2">
        <v>46302</v>
      </c>
      <c r="B115" s="1" t="str">
        <f ca="1">IF(Información1[[#This Row],[Fecha]]='Ajuste de fechas'!$A$2,"Día actual","Día anterior")</f>
        <v>Día actual</v>
      </c>
      <c r="C115" s="3" t="s">
        <v>59</v>
      </c>
      <c r="D115" t="s">
        <v>60</v>
      </c>
      <c r="E115" s="3" t="s">
        <v>255</v>
      </c>
      <c r="F115" s="3" t="s">
        <v>42</v>
      </c>
      <c r="G115" s="3" t="s">
        <v>256</v>
      </c>
      <c r="H115" s="3" t="s">
        <v>37</v>
      </c>
      <c r="I115" s="3" t="s">
        <v>7</v>
      </c>
      <c r="J115" s="3" t="s">
        <v>24</v>
      </c>
      <c r="K115" s="3" t="s">
        <v>61</v>
      </c>
      <c r="L115" s="3" t="s">
        <v>25</v>
      </c>
      <c r="M115">
        <v>1</v>
      </c>
    </row>
    <row r="116" spans="1:13" x14ac:dyDescent="0.25">
      <c r="A116" s="2">
        <v>46302</v>
      </c>
      <c r="B116" s="1" t="str">
        <f ca="1">IF(Información1[[#This Row],[Fecha]]='Ajuste de fechas'!$A$2,"Día actual","Día anterior")</f>
        <v>Día actual</v>
      </c>
      <c r="C116" s="3" t="s">
        <v>59</v>
      </c>
      <c r="D116" t="s">
        <v>60</v>
      </c>
      <c r="E116" s="3" t="s">
        <v>257</v>
      </c>
      <c r="F116" s="3" t="s">
        <v>16</v>
      </c>
      <c r="G116" s="3" t="s">
        <v>121</v>
      </c>
      <c r="H116" s="3" t="s">
        <v>37</v>
      </c>
      <c r="I116" s="3" t="s">
        <v>7</v>
      </c>
      <c r="J116" s="3" t="s">
        <v>16</v>
      </c>
      <c r="K116" s="3" t="s">
        <v>61</v>
      </c>
      <c r="L116" s="3" t="s">
        <v>34</v>
      </c>
      <c r="M116">
        <v>1</v>
      </c>
    </row>
    <row r="117" spans="1:13" x14ac:dyDescent="0.25">
      <c r="A117" s="2">
        <v>46302</v>
      </c>
      <c r="B117" s="1" t="str">
        <f ca="1">IF(Información1[[#This Row],[Fecha]]='Ajuste de fechas'!$A$2,"Día actual","Día anterior")</f>
        <v>Día actual</v>
      </c>
      <c r="C117" s="3" t="s">
        <v>59</v>
      </c>
      <c r="D117" t="s">
        <v>60</v>
      </c>
      <c r="E117" s="3" t="s">
        <v>258</v>
      </c>
      <c r="F117" s="3" t="s">
        <v>16</v>
      </c>
      <c r="G117" s="3" t="s">
        <v>135</v>
      </c>
      <c r="H117" s="3" t="s">
        <v>37</v>
      </c>
      <c r="I117" s="3" t="s">
        <v>7</v>
      </c>
      <c r="J117" s="3" t="s">
        <v>16</v>
      </c>
      <c r="K117" s="3" t="s">
        <v>61</v>
      </c>
      <c r="L117" s="3" t="s">
        <v>25</v>
      </c>
      <c r="M117">
        <v>1</v>
      </c>
    </row>
    <row r="118" spans="1:13" x14ac:dyDescent="0.25">
      <c r="A118" s="2">
        <v>46302</v>
      </c>
      <c r="B118" s="1" t="str">
        <f ca="1">IF(Información1[[#This Row],[Fecha]]='Ajuste de fechas'!$A$2,"Día actual","Día anterior")</f>
        <v>Día actual</v>
      </c>
      <c r="C118" s="3" t="s">
        <v>59</v>
      </c>
      <c r="D118" t="s">
        <v>60</v>
      </c>
      <c r="E118" s="3" t="s">
        <v>259</v>
      </c>
      <c r="F118" s="3" t="s">
        <v>16</v>
      </c>
      <c r="G118" s="3" t="s">
        <v>135</v>
      </c>
      <c r="H118" s="3" t="s">
        <v>37</v>
      </c>
      <c r="I118" s="3" t="s">
        <v>7</v>
      </c>
      <c r="J118" s="3" t="s">
        <v>16</v>
      </c>
      <c r="K118" s="3" t="s">
        <v>91</v>
      </c>
      <c r="L118" s="3" t="s">
        <v>25</v>
      </c>
      <c r="M118">
        <v>1</v>
      </c>
    </row>
    <row r="119" spans="1:13" x14ac:dyDescent="0.25">
      <c r="A119" s="2">
        <v>46302</v>
      </c>
      <c r="B119" s="1" t="str">
        <f ca="1">IF(Información1[[#This Row],[Fecha]]='Ajuste de fechas'!$A$2,"Día actual","Día anterior")</f>
        <v>Día actual</v>
      </c>
      <c r="C119" s="3" t="s">
        <v>59</v>
      </c>
      <c r="D119" t="s">
        <v>60</v>
      </c>
      <c r="E119" s="3" t="s">
        <v>217</v>
      </c>
      <c r="F119" s="3" t="s">
        <v>35</v>
      </c>
      <c r="G119" s="3" t="s">
        <v>218</v>
      </c>
      <c r="H119" s="3" t="s">
        <v>37</v>
      </c>
      <c r="I119" s="3" t="s">
        <v>7</v>
      </c>
      <c r="J119" s="3" t="s">
        <v>24</v>
      </c>
      <c r="K119" s="3" t="s">
        <v>91</v>
      </c>
      <c r="L119" s="3" t="s">
        <v>27</v>
      </c>
      <c r="M119">
        <v>1</v>
      </c>
    </row>
    <row r="120" spans="1:13" x14ac:dyDescent="0.25">
      <c r="A120" s="2">
        <v>46302</v>
      </c>
      <c r="B120" s="1" t="str">
        <f ca="1">IF(Información1[[#This Row],[Fecha]]='Ajuste de fechas'!$A$2,"Día actual","Día anterior")</f>
        <v>Día actual</v>
      </c>
      <c r="C120" s="3" t="s">
        <v>59</v>
      </c>
      <c r="D120" t="s">
        <v>60</v>
      </c>
      <c r="E120" s="3" t="s">
        <v>80</v>
      </c>
      <c r="F120" s="3" t="s">
        <v>13</v>
      </c>
      <c r="G120" s="3" t="s">
        <v>62</v>
      </c>
      <c r="H120" s="3" t="s">
        <v>37</v>
      </c>
      <c r="I120" s="3" t="s">
        <v>7</v>
      </c>
      <c r="J120" s="3" t="s">
        <v>28</v>
      </c>
      <c r="K120" s="3" t="s">
        <v>66</v>
      </c>
      <c r="L120" s="3" t="s">
        <v>67</v>
      </c>
      <c r="M120">
        <v>1</v>
      </c>
    </row>
    <row r="121" spans="1:13" x14ac:dyDescent="0.25">
      <c r="A121" s="2">
        <v>46302</v>
      </c>
      <c r="B121" s="1" t="str">
        <f ca="1">IF(Información1[[#This Row],[Fecha]]='Ajuste de fechas'!$A$2,"Día actual","Día anterior")</f>
        <v>Día actual</v>
      </c>
      <c r="C121" s="3" t="s">
        <v>59</v>
      </c>
      <c r="D121" t="s">
        <v>60</v>
      </c>
      <c r="E121" s="3" t="s">
        <v>260</v>
      </c>
      <c r="F121" s="3" t="s">
        <v>13</v>
      </c>
      <c r="G121" s="3" t="s">
        <v>261</v>
      </c>
      <c r="H121" s="3" t="s">
        <v>37</v>
      </c>
      <c r="I121" s="3" t="s">
        <v>7</v>
      </c>
      <c r="J121" s="3" t="s">
        <v>28</v>
      </c>
      <c r="K121" s="3" t="s">
        <v>61</v>
      </c>
      <c r="L121" s="3" t="s">
        <v>25</v>
      </c>
      <c r="M121">
        <v>1</v>
      </c>
    </row>
    <row r="122" spans="1:13" x14ac:dyDescent="0.25">
      <c r="A122" s="2">
        <v>46302</v>
      </c>
      <c r="B122" s="1" t="str">
        <f ca="1">IF(Información1[[#This Row],[Fecha]]='Ajuste de fechas'!$A$2,"Día actual","Día anterior")</f>
        <v>Día actual</v>
      </c>
      <c r="C122" s="3" t="s">
        <v>59</v>
      </c>
      <c r="D122" t="s">
        <v>60</v>
      </c>
      <c r="E122" s="3" t="s">
        <v>262</v>
      </c>
      <c r="F122" s="3" t="s">
        <v>98</v>
      </c>
      <c r="G122" s="3" t="s">
        <v>99</v>
      </c>
      <c r="H122" s="3" t="s">
        <v>37</v>
      </c>
      <c r="I122" s="3" t="s">
        <v>7</v>
      </c>
      <c r="J122" s="3" t="s">
        <v>24</v>
      </c>
      <c r="K122" s="3" t="s">
        <v>61</v>
      </c>
      <c r="L122" s="3" t="s">
        <v>26</v>
      </c>
      <c r="M122">
        <v>1</v>
      </c>
    </row>
    <row r="123" spans="1:13" x14ac:dyDescent="0.25">
      <c r="A123" s="2">
        <v>46302</v>
      </c>
      <c r="B123" s="1" t="str">
        <f ca="1">IF(Información1[[#This Row],[Fecha]]='Ajuste de fechas'!$A$2,"Día actual","Día anterior")</f>
        <v>Día actual</v>
      </c>
      <c r="C123" s="3" t="s">
        <v>59</v>
      </c>
      <c r="D123" t="s">
        <v>60</v>
      </c>
      <c r="E123" s="3" t="s">
        <v>263</v>
      </c>
      <c r="F123" s="3" t="s">
        <v>98</v>
      </c>
      <c r="G123" s="3" t="s">
        <v>99</v>
      </c>
      <c r="H123" s="3" t="s">
        <v>37</v>
      </c>
      <c r="I123" s="3" t="s">
        <v>7</v>
      </c>
      <c r="J123" s="3" t="s">
        <v>24</v>
      </c>
      <c r="K123" s="3" t="s">
        <v>91</v>
      </c>
      <c r="L123" s="3" t="s">
        <v>25</v>
      </c>
      <c r="M123">
        <v>1</v>
      </c>
    </row>
    <row r="124" spans="1:13" x14ac:dyDescent="0.25">
      <c r="A124" s="2">
        <v>46302</v>
      </c>
      <c r="B124" s="1" t="str">
        <f ca="1">IF(Información1[[#This Row],[Fecha]]='Ajuste de fechas'!$A$2,"Día actual","Día anterior")</f>
        <v>Día actual</v>
      </c>
      <c r="C124" s="3" t="s">
        <v>59</v>
      </c>
      <c r="D124" t="s">
        <v>60</v>
      </c>
      <c r="E124" s="3" t="s">
        <v>264</v>
      </c>
      <c r="F124" s="3" t="s">
        <v>72</v>
      </c>
      <c r="G124" s="3" t="s">
        <v>226</v>
      </c>
      <c r="H124" s="3" t="s">
        <v>37</v>
      </c>
      <c r="I124" s="3" t="s">
        <v>7</v>
      </c>
      <c r="J124" s="3" t="s">
        <v>24</v>
      </c>
      <c r="K124" s="3" t="s">
        <v>61</v>
      </c>
      <c r="L124" s="3" t="s">
        <v>25</v>
      </c>
      <c r="M124">
        <v>1</v>
      </c>
    </row>
    <row r="125" spans="1:13" x14ac:dyDescent="0.25">
      <c r="A125" s="2">
        <v>46302</v>
      </c>
      <c r="B125" s="1" t="str">
        <f ca="1">IF(Información1[[#This Row],[Fecha]]='Ajuste de fechas'!$A$2,"Día actual","Día anterior")</f>
        <v>Día actual</v>
      </c>
      <c r="C125" s="3" t="s">
        <v>51</v>
      </c>
      <c r="D125" t="s">
        <v>52</v>
      </c>
      <c r="E125" s="3" t="s">
        <v>265</v>
      </c>
      <c r="F125" s="3" t="s">
        <v>13</v>
      </c>
      <c r="G125" s="3" t="s">
        <v>69</v>
      </c>
      <c r="H125" s="3" t="s">
        <v>54</v>
      </c>
      <c r="I125" s="3" t="s">
        <v>7</v>
      </c>
      <c r="J125" s="3" t="s">
        <v>28</v>
      </c>
      <c r="K125" s="3" t="s">
        <v>266</v>
      </c>
      <c r="L125" s="3" t="s">
        <v>67</v>
      </c>
      <c r="M125">
        <v>1</v>
      </c>
    </row>
    <row r="126" spans="1:13" x14ac:dyDescent="0.25">
      <c r="A126" s="2">
        <v>46302</v>
      </c>
      <c r="B126" s="1" t="str">
        <f ca="1">IF(Información1[[#This Row],[Fecha]]='Ajuste de fechas'!$A$2,"Día actual","Día anterior")</f>
        <v>Día actual</v>
      </c>
      <c r="C126" s="3" t="s">
        <v>51</v>
      </c>
      <c r="D126" t="s">
        <v>52</v>
      </c>
      <c r="E126" s="3" t="s">
        <v>267</v>
      </c>
      <c r="F126" s="3" t="s">
        <v>98</v>
      </c>
      <c r="G126" s="3" t="s">
        <v>99</v>
      </c>
      <c r="H126" s="3" t="s">
        <v>54</v>
      </c>
      <c r="I126" s="3" t="s">
        <v>7</v>
      </c>
      <c r="J126" s="3" t="s">
        <v>24</v>
      </c>
      <c r="K126" s="3" t="s">
        <v>57</v>
      </c>
      <c r="L126" s="3" t="s">
        <v>25</v>
      </c>
      <c r="M126">
        <v>1</v>
      </c>
    </row>
    <row r="127" spans="1:13" x14ac:dyDescent="0.25">
      <c r="A127" s="2">
        <v>46302</v>
      </c>
      <c r="B127" s="1" t="str">
        <f ca="1">IF(Información1[[#This Row],[Fecha]]='Ajuste de fechas'!$A$2,"Día actual","Día anterior")</f>
        <v>Día actual</v>
      </c>
      <c r="C127" s="3" t="s">
        <v>51</v>
      </c>
      <c r="D127" t="s">
        <v>52</v>
      </c>
      <c r="E127" s="3" t="s">
        <v>268</v>
      </c>
      <c r="F127" s="3" t="s">
        <v>35</v>
      </c>
      <c r="G127" s="3" t="s">
        <v>152</v>
      </c>
      <c r="H127" s="3" t="s">
        <v>54</v>
      </c>
      <c r="I127" s="3" t="s">
        <v>7</v>
      </c>
      <c r="J127" s="3" t="s">
        <v>24</v>
      </c>
      <c r="K127" s="3" t="s">
        <v>57</v>
      </c>
      <c r="L127" s="3" t="s">
        <v>25</v>
      </c>
      <c r="M127">
        <v>1</v>
      </c>
    </row>
    <row r="128" spans="1:13" x14ac:dyDescent="0.25">
      <c r="A128" s="2">
        <v>46302</v>
      </c>
      <c r="B128" s="1" t="str">
        <f ca="1">IF(Información1[[#This Row],[Fecha]]='Ajuste de fechas'!$A$2,"Día actual","Día anterior")</f>
        <v>Día actual</v>
      </c>
      <c r="C128" s="3" t="s">
        <v>51</v>
      </c>
      <c r="D128" t="s">
        <v>52</v>
      </c>
      <c r="E128" s="3" t="s">
        <v>269</v>
      </c>
      <c r="F128" s="3" t="s">
        <v>6</v>
      </c>
      <c r="G128" s="3" t="s">
        <v>89</v>
      </c>
      <c r="H128" s="3" t="s">
        <v>54</v>
      </c>
      <c r="I128" s="3" t="s">
        <v>7</v>
      </c>
      <c r="J128" s="3" t="s">
        <v>24</v>
      </c>
      <c r="K128" s="3" t="s">
        <v>57</v>
      </c>
      <c r="L128" s="3" t="s">
        <v>25</v>
      </c>
      <c r="M128">
        <v>1</v>
      </c>
    </row>
    <row r="129" spans="1:13" x14ac:dyDescent="0.25">
      <c r="A129" s="2">
        <v>46302</v>
      </c>
      <c r="B129" s="1" t="str">
        <f ca="1">IF(Información1[[#This Row],[Fecha]]='Ajuste de fechas'!$A$2,"Día actual","Día anterior")</f>
        <v>Día actual</v>
      </c>
      <c r="C129" s="3" t="s">
        <v>51</v>
      </c>
      <c r="D129" t="s">
        <v>52</v>
      </c>
      <c r="E129" s="3" t="s">
        <v>270</v>
      </c>
      <c r="F129" s="3" t="s">
        <v>6</v>
      </c>
      <c r="G129" s="3" t="s">
        <v>271</v>
      </c>
      <c r="H129" s="3" t="s">
        <v>54</v>
      </c>
      <c r="I129" s="3" t="s">
        <v>7</v>
      </c>
      <c r="J129" s="3" t="s">
        <v>24</v>
      </c>
      <c r="K129" s="3" t="s">
        <v>44</v>
      </c>
      <c r="L129" s="3" t="s">
        <v>26</v>
      </c>
      <c r="M129">
        <v>1</v>
      </c>
    </row>
    <row r="130" spans="1:13" x14ac:dyDescent="0.25">
      <c r="A130" s="2">
        <v>46302</v>
      </c>
      <c r="B130" s="1" t="str">
        <f ca="1">IF(Información1[[#This Row],[Fecha]]='Ajuste de fechas'!$A$2,"Día actual","Día anterior")</f>
        <v>Día actual</v>
      </c>
      <c r="C130" s="3" t="s">
        <v>51</v>
      </c>
      <c r="D130" t="s">
        <v>52</v>
      </c>
      <c r="E130" s="3" t="s">
        <v>272</v>
      </c>
      <c r="F130" s="3" t="s">
        <v>13</v>
      </c>
      <c r="G130" s="3" t="s">
        <v>69</v>
      </c>
      <c r="H130" s="3" t="s">
        <v>54</v>
      </c>
      <c r="I130" s="3" t="s">
        <v>7</v>
      </c>
      <c r="J130" s="3" t="s">
        <v>28</v>
      </c>
      <c r="K130" s="3" t="s">
        <v>57</v>
      </c>
      <c r="L130" s="3" t="s">
        <v>67</v>
      </c>
      <c r="M130">
        <v>1</v>
      </c>
    </row>
    <row r="131" spans="1:13" x14ac:dyDescent="0.25">
      <c r="A131" s="2">
        <v>46302</v>
      </c>
      <c r="B131" s="1" t="str">
        <f ca="1">IF(Información1[[#This Row],[Fecha]]='Ajuste de fechas'!$A$2,"Día actual","Día anterior")</f>
        <v>Día actual</v>
      </c>
      <c r="C131" s="3" t="s">
        <v>51</v>
      </c>
      <c r="D131" t="s">
        <v>52</v>
      </c>
      <c r="E131" s="3" t="s">
        <v>273</v>
      </c>
      <c r="F131" s="3" t="s">
        <v>53</v>
      </c>
      <c r="G131" s="3" t="s">
        <v>58</v>
      </c>
      <c r="H131" s="3" t="s">
        <v>54</v>
      </c>
      <c r="I131" s="3" t="s">
        <v>7</v>
      </c>
      <c r="J131" s="3" t="s">
        <v>55</v>
      </c>
      <c r="K131" s="3" t="s">
        <v>57</v>
      </c>
      <c r="L131" s="3" t="s">
        <v>25</v>
      </c>
      <c r="M131">
        <v>1</v>
      </c>
    </row>
    <row r="132" spans="1:13" x14ac:dyDescent="0.25">
      <c r="A132" s="2">
        <v>46302</v>
      </c>
      <c r="B132" s="1" t="str">
        <f ca="1">IF(Información1[[#This Row],[Fecha]]='Ajuste de fechas'!$A$2,"Día actual","Día anterior")</f>
        <v>Día actual</v>
      </c>
      <c r="C132" s="3" t="s">
        <v>51</v>
      </c>
      <c r="D132" t="s">
        <v>52</v>
      </c>
      <c r="E132" s="3" t="s">
        <v>274</v>
      </c>
      <c r="F132" s="3" t="s">
        <v>98</v>
      </c>
      <c r="G132" s="3" t="s">
        <v>150</v>
      </c>
      <c r="H132" s="3" t="s">
        <v>54</v>
      </c>
      <c r="I132" s="3" t="s">
        <v>7</v>
      </c>
      <c r="J132" s="3" t="s">
        <v>24</v>
      </c>
      <c r="K132" s="3" t="s">
        <v>57</v>
      </c>
      <c r="L132" s="3" t="s">
        <v>25</v>
      </c>
      <c r="M132">
        <v>1</v>
      </c>
    </row>
    <row r="133" spans="1:13" x14ac:dyDescent="0.25">
      <c r="A133" s="2">
        <v>46302</v>
      </c>
      <c r="B133" s="1" t="str">
        <f ca="1">IF(Información1[[#This Row],[Fecha]]='Ajuste de fechas'!$A$2,"Día actual","Día anterior")</f>
        <v>Día actual</v>
      </c>
      <c r="C133" s="3" t="s">
        <v>51</v>
      </c>
      <c r="D133" t="s">
        <v>52</v>
      </c>
      <c r="E133" s="3" t="s">
        <v>275</v>
      </c>
      <c r="F133" s="3" t="s">
        <v>14</v>
      </c>
      <c r="G133" s="3" t="s">
        <v>190</v>
      </c>
      <c r="H133" s="3" t="s">
        <v>54</v>
      </c>
      <c r="I133" s="3" t="s">
        <v>7</v>
      </c>
      <c r="J133" s="3" t="s">
        <v>24</v>
      </c>
      <c r="K133" s="3" t="s">
        <v>57</v>
      </c>
      <c r="L133" s="3" t="s">
        <v>25</v>
      </c>
      <c r="M133">
        <v>1</v>
      </c>
    </row>
    <row r="134" spans="1:13" x14ac:dyDescent="0.25">
      <c r="A134" s="2">
        <v>46302</v>
      </c>
      <c r="B134" s="1" t="str">
        <f ca="1">IF(Información1[[#This Row],[Fecha]]='Ajuste de fechas'!$A$2,"Día actual","Día anterior")</f>
        <v>Día actual</v>
      </c>
      <c r="C134" s="3" t="s">
        <v>51</v>
      </c>
      <c r="D134" t="s">
        <v>52</v>
      </c>
      <c r="E134" s="3" t="s">
        <v>276</v>
      </c>
      <c r="F134" s="3" t="s">
        <v>15</v>
      </c>
      <c r="G134" s="3" t="s">
        <v>82</v>
      </c>
      <c r="H134" s="3" t="s">
        <v>54</v>
      </c>
      <c r="I134" s="3" t="s">
        <v>17</v>
      </c>
      <c r="J134" s="3" t="s">
        <v>29</v>
      </c>
      <c r="K134" s="3" t="s">
        <v>57</v>
      </c>
      <c r="L134" s="3" t="s">
        <v>25</v>
      </c>
      <c r="M134">
        <v>1</v>
      </c>
    </row>
    <row r="135" spans="1:13" x14ac:dyDescent="0.25">
      <c r="A135" s="2">
        <v>46302</v>
      </c>
      <c r="B135" s="1" t="str">
        <f ca="1">IF(Información1[[#This Row],[Fecha]]='Ajuste de fechas'!$A$2,"Día actual","Día anterior")</f>
        <v>Día actual</v>
      </c>
      <c r="C135" s="3" t="s">
        <v>51</v>
      </c>
      <c r="D135" t="s">
        <v>52</v>
      </c>
      <c r="E135" s="3" t="s">
        <v>277</v>
      </c>
      <c r="F135" s="3" t="s">
        <v>33</v>
      </c>
      <c r="G135" s="3" t="s">
        <v>150</v>
      </c>
      <c r="H135" s="3" t="s">
        <v>54</v>
      </c>
      <c r="I135" s="3" t="s">
        <v>7</v>
      </c>
      <c r="J135" s="3" t="s">
        <v>16</v>
      </c>
      <c r="K135" s="3" t="s">
        <v>57</v>
      </c>
      <c r="L135" s="3" t="s">
        <v>25</v>
      </c>
      <c r="M135">
        <v>1</v>
      </c>
    </row>
    <row r="136" spans="1:13" x14ac:dyDescent="0.25">
      <c r="A136" s="2">
        <v>46302</v>
      </c>
      <c r="B136" s="1" t="str">
        <f ca="1">IF(Información1[[#This Row],[Fecha]]='Ajuste de fechas'!$A$2,"Día actual","Día anterior")</f>
        <v>Día actual</v>
      </c>
      <c r="C136" s="3" t="s">
        <v>51</v>
      </c>
      <c r="D136" t="s">
        <v>52</v>
      </c>
      <c r="E136" s="3" t="s">
        <v>278</v>
      </c>
      <c r="F136" s="3" t="s">
        <v>14</v>
      </c>
      <c r="G136" s="3" t="s">
        <v>87</v>
      </c>
      <c r="H136" s="3" t="s">
        <v>54</v>
      </c>
      <c r="I136" s="3" t="s">
        <v>7</v>
      </c>
      <c r="J136" s="3" t="s">
        <v>24</v>
      </c>
      <c r="K136" s="3" t="s">
        <v>57</v>
      </c>
      <c r="L136" s="3" t="s">
        <v>25</v>
      </c>
      <c r="M136">
        <v>1</v>
      </c>
    </row>
    <row r="137" spans="1:13" x14ac:dyDescent="0.25">
      <c r="A137" s="2">
        <v>46302</v>
      </c>
      <c r="B137" s="1" t="str">
        <f ca="1">IF(Información1[[#This Row],[Fecha]]='Ajuste de fechas'!$A$2,"Día actual","Día anterior")</f>
        <v>Día actual</v>
      </c>
      <c r="C137" s="3" t="s">
        <v>51</v>
      </c>
      <c r="D137" t="s">
        <v>52</v>
      </c>
      <c r="E137" s="3" t="s">
        <v>279</v>
      </c>
      <c r="F137" s="3" t="s">
        <v>35</v>
      </c>
      <c r="G137" s="3" t="s">
        <v>90</v>
      </c>
      <c r="H137" s="3" t="s">
        <v>54</v>
      </c>
      <c r="I137" s="3" t="s">
        <v>7</v>
      </c>
      <c r="J137" s="3" t="s">
        <v>24</v>
      </c>
      <c r="K137" s="3" t="s">
        <v>56</v>
      </c>
      <c r="L137" s="3" t="s">
        <v>25</v>
      </c>
      <c r="M137">
        <v>1</v>
      </c>
    </row>
    <row r="138" spans="1:13" x14ac:dyDescent="0.25">
      <c r="A138" s="2">
        <v>46302</v>
      </c>
      <c r="B138" s="1" t="str">
        <f ca="1">IF(Información1[[#This Row],[Fecha]]='Ajuste de fechas'!$A$2,"Día actual","Día anterior")</f>
        <v>Día actual</v>
      </c>
      <c r="C138" s="3" t="s">
        <v>51</v>
      </c>
      <c r="D138" t="s">
        <v>52</v>
      </c>
      <c r="E138" s="3" t="s">
        <v>280</v>
      </c>
      <c r="F138" s="3" t="s">
        <v>13</v>
      </c>
      <c r="G138" s="3" t="s">
        <v>281</v>
      </c>
      <c r="H138" s="3" t="s">
        <v>54</v>
      </c>
      <c r="I138" s="3" t="s">
        <v>7</v>
      </c>
      <c r="J138" s="3" t="s">
        <v>28</v>
      </c>
      <c r="K138" s="3" t="s">
        <v>57</v>
      </c>
      <c r="L138" s="3" t="s">
        <v>25</v>
      </c>
      <c r="M138">
        <v>1</v>
      </c>
    </row>
    <row r="139" spans="1:13" x14ac:dyDescent="0.25">
      <c r="A139" s="2">
        <v>46302</v>
      </c>
      <c r="B139" s="1" t="str">
        <f ca="1">IF(Información1[[#This Row],[Fecha]]='Ajuste de fechas'!$A$2,"Día actual","Día anterior")</f>
        <v>Día actual</v>
      </c>
      <c r="C139" s="3" t="s">
        <v>8</v>
      </c>
      <c r="D139" t="s">
        <v>9</v>
      </c>
      <c r="E139" s="3" t="s">
        <v>282</v>
      </c>
      <c r="F139" s="3" t="s">
        <v>6</v>
      </c>
      <c r="G139" s="3" t="s">
        <v>271</v>
      </c>
      <c r="H139" s="3" t="s">
        <v>37</v>
      </c>
      <c r="I139" s="3" t="s">
        <v>17</v>
      </c>
      <c r="J139" s="3" t="s">
        <v>24</v>
      </c>
      <c r="K139" s="3" t="s">
        <v>44</v>
      </c>
      <c r="L139" s="3" t="s">
        <v>26</v>
      </c>
      <c r="M139">
        <v>1</v>
      </c>
    </row>
    <row r="140" spans="1:13" x14ac:dyDescent="0.25">
      <c r="A140" s="2">
        <v>46302</v>
      </c>
      <c r="B140" s="1" t="str">
        <f ca="1">IF(Información1[[#This Row],[Fecha]]='Ajuste de fechas'!$A$2,"Día actual","Día anterior")</f>
        <v>Día actual</v>
      </c>
      <c r="C140" s="3" t="s">
        <v>8</v>
      </c>
      <c r="D140" t="s">
        <v>9</v>
      </c>
      <c r="E140" s="3" t="s">
        <v>283</v>
      </c>
      <c r="F140" s="3" t="s">
        <v>6</v>
      </c>
      <c r="G140" s="3" t="s">
        <v>73</v>
      </c>
      <c r="H140" s="3" t="s">
        <v>37</v>
      </c>
      <c r="I140" s="3" t="s">
        <v>17</v>
      </c>
      <c r="J140" s="3" t="s">
        <v>24</v>
      </c>
      <c r="K140" s="3" t="s">
        <v>44</v>
      </c>
      <c r="L140" s="3" t="s">
        <v>26</v>
      </c>
      <c r="M140">
        <v>1</v>
      </c>
    </row>
    <row r="141" spans="1:13" x14ac:dyDescent="0.25">
      <c r="A141" s="2">
        <v>46302</v>
      </c>
      <c r="B141" s="1" t="str">
        <f ca="1">IF(Información1[[#This Row],[Fecha]]='Ajuste de fechas'!$A$2,"Día actual","Día anterior")</f>
        <v>Día actual</v>
      </c>
      <c r="C141" s="3" t="s">
        <v>8</v>
      </c>
      <c r="D141" t="s">
        <v>9</v>
      </c>
      <c r="E141" s="3" t="s">
        <v>284</v>
      </c>
      <c r="F141" s="3" t="s">
        <v>13</v>
      </c>
      <c r="G141" s="3" t="s">
        <v>75</v>
      </c>
      <c r="H141" s="3" t="s">
        <v>37</v>
      </c>
      <c r="I141" s="3" t="s">
        <v>7</v>
      </c>
      <c r="J141" s="3" t="s">
        <v>28</v>
      </c>
      <c r="K141" s="3" t="s">
        <v>11</v>
      </c>
      <c r="L141" s="3" t="s">
        <v>34</v>
      </c>
      <c r="M141">
        <v>1</v>
      </c>
    </row>
    <row r="142" spans="1:13" x14ac:dyDescent="0.25">
      <c r="A142" s="2">
        <v>46302</v>
      </c>
      <c r="B142" s="1" t="str">
        <f ca="1">IF(Información1[[#This Row],[Fecha]]='Ajuste de fechas'!$A$2,"Día actual","Día anterior")</f>
        <v>Día actual</v>
      </c>
      <c r="C142" s="3" t="s">
        <v>8</v>
      </c>
      <c r="D142" t="s">
        <v>9</v>
      </c>
      <c r="E142" s="3" t="s">
        <v>285</v>
      </c>
      <c r="F142" s="3" t="s">
        <v>13</v>
      </c>
      <c r="G142" s="3" t="s">
        <v>286</v>
      </c>
      <c r="H142" s="3" t="s">
        <v>37</v>
      </c>
      <c r="I142" s="3" t="s">
        <v>7</v>
      </c>
      <c r="J142" s="3" t="s">
        <v>28</v>
      </c>
      <c r="K142" s="3" t="s">
        <v>11</v>
      </c>
      <c r="L142" s="3" t="s">
        <v>25</v>
      </c>
      <c r="M142">
        <v>1</v>
      </c>
    </row>
    <row r="143" spans="1:13" x14ac:dyDescent="0.25">
      <c r="A143" s="2">
        <v>46302</v>
      </c>
      <c r="B143" s="1" t="str">
        <f ca="1">IF(Información1[[#This Row],[Fecha]]='Ajuste de fechas'!$A$2,"Día actual","Día anterior")</f>
        <v>Día actual</v>
      </c>
      <c r="C143" s="3" t="s">
        <v>8</v>
      </c>
      <c r="D143" t="s">
        <v>9</v>
      </c>
      <c r="E143" s="3" t="s">
        <v>287</v>
      </c>
      <c r="F143" s="3" t="s">
        <v>33</v>
      </c>
      <c r="G143" s="3" t="s">
        <v>232</v>
      </c>
      <c r="H143" s="3" t="s">
        <v>37</v>
      </c>
      <c r="I143" s="3" t="s">
        <v>7</v>
      </c>
      <c r="J143" s="3" t="s">
        <v>16</v>
      </c>
      <c r="K143" s="3" t="s">
        <v>11</v>
      </c>
      <c r="L143" s="3" t="s">
        <v>25</v>
      </c>
      <c r="M143">
        <v>1</v>
      </c>
    </row>
    <row r="144" spans="1:13" x14ac:dyDescent="0.25">
      <c r="A144" s="2">
        <v>46302</v>
      </c>
      <c r="B144" s="1" t="str">
        <f ca="1">IF(Información1[[#This Row],[Fecha]]='Ajuste de fechas'!$A$2,"Día actual","Día anterior")</f>
        <v>Día actual</v>
      </c>
      <c r="C144" s="3" t="s">
        <v>8</v>
      </c>
      <c r="D144" t="s">
        <v>9</v>
      </c>
      <c r="E144" s="3" t="s">
        <v>288</v>
      </c>
      <c r="F144" s="3" t="s">
        <v>42</v>
      </c>
      <c r="G144" s="3" t="s">
        <v>94</v>
      </c>
      <c r="H144" s="3" t="s">
        <v>37</v>
      </c>
      <c r="I144" s="3" t="s">
        <v>7</v>
      </c>
      <c r="J144" s="3" t="s">
        <v>24</v>
      </c>
      <c r="K144" s="3" t="s">
        <v>11</v>
      </c>
      <c r="L144" s="3" t="s">
        <v>25</v>
      </c>
      <c r="M144">
        <v>1</v>
      </c>
    </row>
    <row r="145" spans="1:13" x14ac:dyDescent="0.25">
      <c r="A145" s="2">
        <v>46302</v>
      </c>
      <c r="B145" s="1" t="str">
        <f ca="1">IF(Información1[[#This Row],[Fecha]]='Ajuste de fechas'!$A$2,"Día actual","Día anterior")</f>
        <v>Día actual</v>
      </c>
      <c r="C145" s="3" t="s">
        <v>8</v>
      </c>
      <c r="D145" t="s">
        <v>9</v>
      </c>
      <c r="E145" s="3" t="s">
        <v>289</v>
      </c>
      <c r="F145" s="3" t="s">
        <v>46</v>
      </c>
      <c r="G145" s="3" t="s">
        <v>290</v>
      </c>
      <c r="H145" s="3" t="s">
        <v>37</v>
      </c>
      <c r="I145" s="3" t="s">
        <v>7</v>
      </c>
      <c r="J145" s="3" t="s">
        <v>24</v>
      </c>
      <c r="K145" s="3" t="s">
        <v>11</v>
      </c>
      <c r="L145" s="3" t="s">
        <v>25</v>
      </c>
      <c r="M145">
        <v>1</v>
      </c>
    </row>
    <row r="146" spans="1:13" x14ac:dyDescent="0.25">
      <c r="A146" s="2">
        <v>46302</v>
      </c>
      <c r="B146" s="1" t="str">
        <f ca="1">IF(Información1[[#This Row],[Fecha]]='Ajuste de fechas'!$A$2,"Día actual","Día anterior")</f>
        <v>Día actual</v>
      </c>
      <c r="C146" s="3" t="s">
        <v>8</v>
      </c>
      <c r="D146" t="s">
        <v>9</v>
      </c>
      <c r="E146" s="3" t="s">
        <v>291</v>
      </c>
      <c r="F146" s="3" t="s">
        <v>93</v>
      </c>
      <c r="G146" s="3" t="s">
        <v>248</v>
      </c>
      <c r="H146" s="3" t="s">
        <v>37</v>
      </c>
      <c r="I146" s="3" t="s">
        <v>7</v>
      </c>
      <c r="J146" s="3" t="s">
        <v>24</v>
      </c>
      <c r="K146" s="3" t="s">
        <v>11</v>
      </c>
      <c r="L146" s="3" t="s">
        <v>27</v>
      </c>
      <c r="M146">
        <v>1</v>
      </c>
    </row>
    <row r="147" spans="1:13" x14ac:dyDescent="0.25">
      <c r="A147" s="2">
        <v>46302</v>
      </c>
      <c r="B147" s="1" t="str">
        <f ca="1">IF(Información1[[#This Row],[Fecha]]='Ajuste de fechas'!$A$2,"Día actual","Día anterior")</f>
        <v>Día actual</v>
      </c>
      <c r="C147" s="3" t="s">
        <v>8</v>
      </c>
      <c r="D147" t="s">
        <v>9</v>
      </c>
      <c r="E147" s="3" t="s">
        <v>292</v>
      </c>
      <c r="F147" s="3" t="s">
        <v>98</v>
      </c>
      <c r="G147" s="3" t="s">
        <v>293</v>
      </c>
      <c r="H147" s="3" t="s">
        <v>37</v>
      </c>
      <c r="I147" s="3" t="s">
        <v>7</v>
      </c>
      <c r="J147" s="3" t="s">
        <v>24</v>
      </c>
      <c r="K147" s="3" t="s">
        <v>11</v>
      </c>
      <c r="L147" s="3" t="s">
        <v>25</v>
      </c>
      <c r="M147">
        <v>1</v>
      </c>
    </row>
    <row r="148" spans="1:13" x14ac:dyDescent="0.25">
      <c r="A148" s="2">
        <v>46302</v>
      </c>
      <c r="B148" s="1" t="str">
        <f ca="1">IF(Información1[[#This Row],[Fecha]]='Ajuste de fechas'!$A$2,"Día actual","Día anterior")</f>
        <v>Día actual</v>
      </c>
      <c r="C148" s="3" t="s">
        <v>8</v>
      </c>
      <c r="D148" t="s">
        <v>9</v>
      </c>
      <c r="E148" s="3" t="s">
        <v>294</v>
      </c>
      <c r="F148" s="3" t="s">
        <v>98</v>
      </c>
      <c r="G148" s="3" t="s">
        <v>99</v>
      </c>
      <c r="H148" s="3" t="s">
        <v>37</v>
      </c>
      <c r="I148" s="3" t="s">
        <v>7</v>
      </c>
      <c r="J148" s="3" t="s">
        <v>24</v>
      </c>
      <c r="K148" s="3" t="s">
        <v>11</v>
      </c>
      <c r="L148" s="3" t="s">
        <v>25</v>
      </c>
      <c r="M148">
        <v>1</v>
      </c>
    </row>
    <row r="149" spans="1:13" x14ac:dyDescent="0.25">
      <c r="A149" s="2">
        <v>46302</v>
      </c>
      <c r="B149" s="1" t="str">
        <f ca="1">IF(Información1[[#This Row],[Fecha]]='Ajuste de fechas'!$A$2,"Día actual","Día anterior")</f>
        <v>Día actual</v>
      </c>
      <c r="C149" s="3" t="s">
        <v>8</v>
      </c>
      <c r="D149" t="s">
        <v>9</v>
      </c>
      <c r="E149" s="3" t="s">
        <v>77</v>
      </c>
      <c r="F149" s="3" t="s">
        <v>33</v>
      </c>
      <c r="G149" s="3" t="s">
        <v>75</v>
      </c>
      <c r="H149" s="3" t="s">
        <v>37</v>
      </c>
      <c r="I149" s="3" t="s">
        <v>10</v>
      </c>
      <c r="J149" s="3" t="s">
        <v>16</v>
      </c>
      <c r="K149" s="3" t="s">
        <v>11</v>
      </c>
      <c r="L149" s="3" t="s">
        <v>26</v>
      </c>
      <c r="M149">
        <v>1</v>
      </c>
    </row>
    <row r="150" spans="1:13" x14ac:dyDescent="0.25">
      <c r="A150" s="2">
        <v>46302</v>
      </c>
      <c r="B150" s="1" t="str">
        <f ca="1">IF(Información1[[#This Row],[Fecha]]='Ajuste de fechas'!$A$2,"Día actual","Día anterior")</f>
        <v>Día actual</v>
      </c>
      <c r="C150" s="3" t="s">
        <v>8</v>
      </c>
      <c r="D150" t="s">
        <v>9</v>
      </c>
      <c r="E150" s="3" t="s">
        <v>74</v>
      </c>
      <c r="F150" s="3" t="s">
        <v>13</v>
      </c>
      <c r="G150" s="3" t="s">
        <v>75</v>
      </c>
      <c r="H150" s="3" t="s">
        <v>37</v>
      </c>
      <c r="I150" s="3" t="s">
        <v>10</v>
      </c>
      <c r="J150" s="3" t="s">
        <v>28</v>
      </c>
      <c r="K150" s="3" t="s">
        <v>11</v>
      </c>
      <c r="L150" s="3" t="s">
        <v>26</v>
      </c>
      <c r="M150">
        <v>1</v>
      </c>
    </row>
    <row r="151" spans="1:13" x14ac:dyDescent="0.25">
      <c r="A151" s="2">
        <v>46302</v>
      </c>
      <c r="B151" s="1" t="str">
        <f ca="1">IF(Información1[[#This Row],[Fecha]]='Ajuste de fechas'!$A$2,"Día actual","Día anterior")</f>
        <v>Día actual</v>
      </c>
      <c r="C151" s="3" t="s">
        <v>8</v>
      </c>
      <c r="D151" t="s">
        <v>9</v>
      </c>
      <c r="E151" s="3" t="s">
        <v>76</v>
      </c>
      <c r="F151" s="3" t="s">
        <v>13</v>
      </c>
      <c r="G151" s="3" t="s">
        <v>75</v>
      </c>
      <c r="H151" s="3" t="s">
        <v>37</v>
      </c>
      <c r="I151" s="3" t="s">
        <v>10</v>
      </c>
      <c r="J151" s="3" t="s">
        <v>28</v>
      </c>
      <c r="K151" s="3" t="s">
        <v>11</v>
      </c>
      <c r="L151" s="3" t="s">
        <v>26</v>
      </c>
      <c r="M151">
        <v>1</v>
      </c>
    </row>
    <row r="152" spans="1:13" x14ac:dyDescent="0.25">
      <c r="A152" s="2">
        <v>46302</v>
      </c>
      <c r="B152" s="1" t="str">
        <f ca="1">IF(Información1[[#This Row],[Fecha]]='Ajuste de fechas'!$A$2,"Día actual","Día anterior")</f>
        <v>Día actual</v>
      </c>
      <c r="C152" s="3" t="s">
        <v>8</v>
      </c>
      <c r="D152" t="s">
        <v>9</v>
      </c>
      <c r="E152" s="3" t="s">
        <v>295</v>
      </c>
      <c r="F152" s="3" t="s">
        <v>14</v>
      </c>
      <c r="G152" s="3" t="s">
        <v>75</v>
      </c>
      <c r="H152" s="3" t="s">
        <v>37</v>
      </c>
      <c r="I152" s="3" t="s">
        <v>10</v>
      </c>
      <c r="J152" s="3" t="s">
        <v>24</v>
      </c>
      <c r="K152" s="3" t="s">
        <v>11</v>
      </c>
      <c r="L152" s="3" t="s">
        <v>26</v>
      </c>
      <c r="M152">
        <v>1</v>
      </c>
    </row>
    <row r="153" spans="1:13" x14ac:dyDescent="0.25">
      <c r="A153" s="2">
        <v>46302</v>
      </c>
      <c r="B153" s="1" t="str">
        <f ca="1">IF(Información1[[#This Row],[Fecha]]='Ajuste de fechas'!$A$2,"Día actual","Día anterior")</f>
        <v>Día actual</v>
      </c>
      <c r="C153" s="3" t="s">
        <v>8</v>
      </c>
      <c r="D153" t="s">
        <v>9</v>
      </c>
      <c r="E153" s="3" t="s">
        <v>132</v>
      </c>
      <c r="F153" s="3" t="s">
        <v>12</v>
      </c>
      <c r="G153" s="3" t="s">
        <v>75</v>
      </c>
      <c r="H153" s="3" t="s">
        <v>37</v>
      </c>
      <c r="I153" s="3" t="s">
        <v>10</v>
      </c>
      <c r="J153" s="3" t="s">
        <v>24</v>
      </c>
      <c r="K153" s="3" t="s">
        <v>11</v>
      </c>
      <c r="L153" s="3" t="s">
        <v>26</v>
      </c>
      <c r="M153">
        <v>1</v>
      </c>
    </row>
    <row r="154" spans="1:13" x14ac:dyDescent="0.25">
      <c r="A154" s="2">
        <v>46302</v>
      </c>
      <c r="B154" s="1" t="str">
        <f ca="1">IF(Información1[[#This Row],[Fecha]]='Ajuste de fechas'!$A$2,"Día actual","Día anterior")</f>
        <v>Día actual</v>
      </c>
      <c r="C154" s="3" t="s">
        <v>8</v>
      </c>
      <c r="D154" t="s">
        <v>9</v>
      </c>
      <c r="E154" s="3" t="s">
        <v>78</v>
      </c>
      <c r="F154" s="3" t="s">
        <v>6</v>
      </c>
      <c r="G154" s="3" t="s">
        <v>75</v>
      </c>
      <c r="H154" s="3" t="s">
        <v>37</v>
      </c>
      <c r="I154" s="3" t="s">
        <v>10</v>
      </c>
      <c r="J154" s="3" t="s">
        <v>24</v>
      </c>
      <c r="K154" s="3" t="s">
        <v>11</v>
      </c>
      <c r="L154" s="3" t="s">
        <v>26</v>
      </c>
      <c r="M154">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31</v>
      </c>
      <c r="B1" t="s">
        <v>32</v>
      </c>
    </row>
    <row r="2" spans="1:2" x14ac:dyDescent="0.25">
      <c r="A2" s="2">
        <f ca="1">TODAY()</f>
        <v>46302</v>
      </c>
      <c r="B2" s="2">
        <f ca="1">A2-1</f>
        <v>46301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2026-10-07T23:38:04Z</dcterms:modified>
</cp:coreProperties>
</file>