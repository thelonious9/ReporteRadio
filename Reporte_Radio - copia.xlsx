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E1984AE9-D5EA-4ECA-81AD-8861C3B422A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91" i="2"/>
  <c r="B93" i="2"/>
  <c r="B95" i="2"/>
  <c r="B97" i="2"/>
  <c r="B99" i="2"/>
  <c r="B101" i="2"/>
  <c r="B103" i="2"/>
  <c r="B105" i="2"/>
  <c r="B107" i="2"/>
  <c r="B109" i="2"/>
  <c r="B111" i="2"/>
  <c r="B113" i="2"/>
  <c r="B115" i="2"/>
  <c r="B117" i="2"/>
  <c r="B119" i="2"/>
  <c r="B121" i="2"/>
  <c r="B123" i="2"/>
  <c r="B125" i="2"/>
  <c r="B127" i="2"/>
  <c r="B129" i="2"/>
  <c r="B131" i="2"/>
  <c r="B133" i="2"/>
  <c r="B135" i="2"/>
  <c r="B137" i="2"/>
  <c r="B139" i="2"/>
  <c r="B141" i="2"/>
  <c r="B143" i="2"/>
  <c r="B145" i="2"/>
  <c r="B147" i="2"/>
  <c r="B149" i="2"/>
  <c r="B151" i="2"/>
  <c r="B153" i="2"/>
  <c r="B155" i="2"/>
  <c r="B157" i="2"/>
  <c r="B159" i="2"/>
  <c r="B161" i="2"/>
  <c r="B163" i="2"/>
  <c r="B165" i="2"/>
  <c r="B167" i="2"/>
  <c r="B169" i="2"/>
  <c r="B171" i="2"/>
  <c r="B173" i="2"/>
  <c r="B176" i="2"/>
  <c r="B178"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2" i="2"/>
  <c r="B94" i="2"/>
  <c r="B96" i="2"/>
  <c r="B98" i="2"/>
  <c r="B100" i="2"/>
  <c r="B102" i="2"/>
  <c r="B104" i="2"/>
  <c r="B106" i="2"/>
  <c r="B108" i="2"/>
  <c r="B110" i="2"/>
  <c r="B112" i="2"/>
  <c r="B114" i="2"/>
  <c r="B116" i="2"/>
  <c r="B118" i="2"/>
  <c r="B120" i="2"/>
  <c r="B122" i="2"/>
  <c r="B124" i="2"/>
  <c r="B126" i="2"/>
  <c r="B128" i="2"/>
  <c r="B130" i="2"/>
  <c r="B132" i="2"/>
  <c r="B134" i="2"/>
  <c r="B136" i="2"/>
  <c r="B138" i="2"/>
  <c r="B140" i="2"/>
  <c r="B142" i="2"/>
  <c r="B144" i="2"/>
  <c r="B146" i="2"/>
  <c r="B148" i="2"/>
  <c r="B150" i="2"/>
  <c r="B152" i="2"/>
  <c r="B154" i="2"/>
  <c r="B156" i="2"/>
  <c r="B158" i="2"/>
  <c r="B160" i="2"/>
  <c r="B162" i="2"/>
  <c r="B164" i="2"/>
  <c r="B166" i="2"/>
  <c r="B168" i="2"/>
  <c r="B170" i="2"/>
  <c r="B172" i="2"/>
  <c r="B174" i="2"/>
  <c r="B175"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<sst xmlns="http://schemas.openxmlformats.org/spreadsheetml/2006/main" count="1785" uniqueCount="327">
  <si>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</si>
  <si>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</si>
  <si>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</si>
  <si>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</si>
  <si>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</si>
  <si>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</si>
  <si>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</si>
  <si>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</si>
  <si>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</si>
  <si>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</si>
  <si>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</si>
  <si>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</si>
  <si>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</si>
  <si>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</si>
  <si>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</si>
  <si>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</si>
  <si>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</si>
  <si>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</si>
  <si>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</si>
  <si>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</si>
  <si>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</si>
  <si>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</si>
  <si>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</si>
  <si>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</si>
  <si>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</si>
  <si>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</si>
  <si>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</si>
  <si>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</si>
  <si>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</si>
  <si>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</si>
  <si>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</si>
  <si>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</si>
  <si>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</si>
  <si>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</si>
  <si>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</si>
  <si>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</si>
  <si>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</si>
  <si>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</si>
  <si>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</si>
  <si>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</si>
  <si>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</si>
  <si>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</si>
  <si>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</si>
  <si>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</si>
  <si>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</si>
  <si>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</si>
  <si>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</si>
  <si>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</si>
  <si>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</si>
  <si>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</si>
  <si>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</si>
  <si>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</si>
  <si>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</si>
  <si>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</si>
  <si>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</si>
  <si>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</si>
  <si>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</si>
  <si>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</si>
  <si>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</si>
  <si>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</si>
  <si>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</si>
  <si>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</si>
  <si>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</si>
  <si>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</si>
  <si>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</si>
  <si>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</si>
  <si>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</si>
  <si>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</si>
  <si>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Fuga De Agua</t>
  </si>
  <si>
    <t>Eulalio Larrieta agradece a Carlos Gamiño por estar al pendiente de temas</t>
  </si>
  <si>
    <t>Queja transporte público</t>
  </si>
  <si>
    <t>La Poderosa Tuxpan 93.1 FM</t>
  </si>
  <si>
    <t>NN Nuestras Noticias Zona Norte</t>
  </si>
  <si>
    <t>Liz Argüelles</t>
  </si>
  <si>
    <t>Vialidad En Mal Estado</t>
  </si>
  <si>
    <t>Irving Sánchez</t>
  </si>
  <si>
    <t>Entrevista</t>
  </si>
  <si>
    <t>SSH</t>
  </si>
  <si>
    <t>Abasto de agua</t>
  </si>
  <si>
    <t>Enfoque Regional Matutino</t>
  </si>
  <si>
    <t>Rodolfo López</t>
  </si>
  <si>
    <t>Participación</t>
  </si>
  <si>
    <t>Videovigilancia</t>
  </si>
  <si>
    <t>Plan Nacional De Vivienda</t>
  </si>
  <si>
    <t>Radio Lobo 96.7 FM</t>
  </si>
  <si>
    <t>Enlace Noticias</t>
  </si>
  <si>
    <t>Gina Lorenzo</t>
  </si>
  <si>
    <t>Municipalización</t>
  </si>
  <si>
    <t>Curso de verano</t>
  </si>
  <si>
    <t>TSJEH</t>
  </si>
  <si>
    <t>Reforma Electoral</t>
  </si>
  <si>
    <t>Rutas de la Reconstrucción</t>
  </si>
  <si>
    <t>Contraloría</t>
  </si>
  <si>
    <t>Bienestar</t>
  </si>
  <si>
    <t>Iniciativa</t>
  </si>
  <si>
    <t>Cultura</t>
  </si>
  <si>
    <t>Alfabetización</t>
  </si>
  <si>
    <t>Proceso electoral</t>
  </si>
  <si>
    <t>Feria Patronal</t>
  </si>
  <si>
    <t>Educación socioemocional</t>
  </si>
  <si>
    <t>Aprehensión</t>
  </si>
  <si>
    <t>PGJEH aprehende en Pachuca a mujer requerida por la FGJCDMX por robo agravado</t>
  </si>
  <si>
    <t>Combate a la delincuencia</t>
  </si>
  <si>
    <t>DIFH</t>
  </si>
  <si>
    <t>Procuraduría municipal del menor</t>
  </si>
  <si>
    <t>Mesas de acercamiento</t>
  </si>
  <si>
    <t>Debemos convertir a Hidalgo en una potencia de valores: Edda Vite</t>
  </si>
  <si>
    <t>PGJEH aprehende a una persona investigada por robo agravado; operaba mediante falsa promesa de compra de vehículo. Fue entregada a la Fiscalía General de Justicia de la Ciudad de México.</t>
  </si>
  <si>
    <t>Gabinete de Seguridad de Hidalgo presenta resultados en la 6.a Reunión de Coordinación Interestatal de Paz y Seguridad</t>
  </si>
  <si>
    <t>Coordinación interestatal</t>
  </si>
  <si>
    <t>Del 31 de julio al 2 de agosto participa en la Segunda Jornada Estatal de Incorporación del Instituto Hidalguense de Educación para Adultos. El IHEA tiene como objetivo alfabetizar a 2,500 hidalguenses y reducir hasta en un 5.6 por ciento el índice de rezago educativo en la entidad. Por ello, invita a la comunidad a participar en esta jornada estatal de alfabetización que busca brindar oportunidades de aprendizaje a personas mayores de 15 años que no saben leer ni escribir. El director general del IHEA, Pedro Porras Pérez, destacó la importancia de esta jornada. Se espera que para este año más de 20 mil hidalguenses obtengan su certificado de estudios. AUDIO DE APOYO.</t>
  </si>
  <si>
    <t>Hablando de seguridad, esta madrugada se registró una balacera en la comunidad de El Tablón, en Atitalaquia; se habla de una persona sin vida. Es información que está saliendo de último momento. Estaremos al pendiente de qué es lo que resulta en las próximas horas. Ya autoridades de los tres órdenes de gobierno se encuentran en ese punto para velar por la seguridad de los ciudadanos y realizar las investigaciones correspondientes ante esta balacera registrada la madrugada de hoy viernes en Atitalaquia.</t>
  </si>
  <si>
    <t>Ataque Armado</t>
  </si>
  <si>
    <t>En cabina, participación de Jorge Hernández, director de Comunicación Social del Ayuntamiento de Pachuca, con el tema: Limpieza de malesa en varias colonias de Pachuca , continúa el bacheo permanenete de Sur a Norte</t>
  </si>
  <si>
    <t>Colegio de Contadoras Hidalguenses imparte capacitación sobre declaración anual y deducciones fiscales</t>
  </si>
  <si>
    <t>Capacitación</t>
  </si>
  <si>
    <t>La estrategia de seguridad en Hidalgo reportó resultados positivos entre abril y julio de este año. El Gabinete de Seguridad informó que se recuperaron 6 de cada 10 vehículos robados, con 469 unidades localizadas de un total de 770, logrando la detención de 80 personas. En el robo al transporte de carga también se recuperó el 63% de las unidades y más de 337 toneladas de mercancía.Además, la extorsión disminuyó un 65% durante el primer semestre de 2026, y gracias a la atención de llamadas al 911 y 089, se evitó que 1,179 personas fueran víctimas de fraude telefónico. Como parte de los operativos en los 10 penales del estado, también fueron asegurados 69 teléfonos celulares para impedir actividades delictivas desde el interior de los centros penitenciarios.</t>
  </si>
  <si>
    <t>La Comisión Nacional del Agua mantiene el desfogue controlado en la presa Requena, ubicada en Tepeji del Río, con una extracción de cinco metros cúbicos por segundo destinados al riego agrícola. El embalse registra ya un 96.8 por ciento de almacenamiento y las maniobras son supervisadas, por lo que no representan riesgo para la población.</t>
  </si>
  <si>
    <t>Desfogue De Presa</t>
  </si>
  <si>
    <t>Ixmiquilpan fortalece los derechos de las mujeres con un foro de liderazgo e igualdad. La información nos la presenta Jocelyn Sánchez. "Con el objetivo de fortalecer los derechos de las mujeres, en Ixmiquilpan se realizó el foro 'Mujeres libres, Mujeres líderes', donde especialistas de diversas instituciones abordaron temas como la atención a víctimas de violencia, mediación indígena, violencia familiar y los derechos de las mujeres indígenas. Durante el encuentro, el secretario de gobierno, Guillermo Olivares Reyna, afirmó que la administración estatal mantiene su compromiso con la igualdad y el acompañamiento a las mujeres indígenas. El foro reunió a autoridades estatales y municipales para promover el diálogo, la reflexión y el acceso a la información que contribuye a una vida libre de violencia y en pleno ejercicio de sus derechos. AUDIO DE APOYO</t>
  </si>
  <si>
    <t>Erradicación Violencia De Género</t>
  </si>
  <si>
    <t>El día de mañana asista al Segundo Festival de la Barbacoa del Valle del Mezquital; será en Santiago de Anaya y a partir de las 8:00 de la mañana van a estar todos los expositores en la explanada principal para disfrutar de este evento gastronómico.</t>
  </si>
  <si>
    <t>Festival Gastronómico</t>
  </si>
  <si>
    <t>Icathi y GEMI International consolidan alianza estratégica para elevar la competitividad del sector de autotransporte y logística, AUDIO APOYO</t>
  </si>
  <si>
    <t>STPSH</t>
  </si>
  <si>
    <t>Firma De Convenio</t>
  </si>
  <si>
    <t>Hospital Tula</t>
  </si>
  <si>
    <t>El gobernador de Hidalgo, Julio Menchaca Salazar, y el director general del Instituto Mexicano del Seguro Social, Zoé Robledo Aburto, supervisaron el avance de los trabajos en el nuevo Hospital General de Zona número cinco, que contará con 144 camas, 36 especialidades médicas y seis quirófanos. Durante el recorrido, el mandatario estatal reconoció el respaldo brindado por la presidenta de México, Claudia Sheinbaum Pardo, para consolidar esta unidad médica que contará con una mayor capacidad hospitalaria, equipamiento y personal especializado para dar seguridad social a miles de trabajadoras y trabajadores de la región tolteca. Por su parte, Robledo Aburto precisó que los servicios de laboratorio, consulta externa, medicina física y rehabilitación ya se encuentran en operación, destacando que la unidad de medicina familiar otorga alrededor de 400 consultas diarias para las personas y pacientes de la zona. AUDIOS DE APOYO</t>
  </si>
  <si>
    <t>El Cabildo de Pachuca aprobó, durante su Cuadragésima Sexta Sesión Ordinaria y a iniciativa del regidor Paco Ballesteros, instituir el 7 de agosto de cada año como el Día Municipal de las y los Artistas de Pachuca de Soto.La medida tiene como propósito reconocer de manera formal la labor de las y los creadores que, a través de distintas expresiones artísticas, contribuyen al patrimonio cultural de la capital hidalguense.</t>
  </si>
  <si>
    <t>Con el propósito de orientar el crecimiento ordenado, sostenible e incluyente del municipio, el Ayuntamiento de Mineral de la Reforma puso en marcha la consulta pública del Proyecto de Actualización del Programa Municipal de Desarrollo Urbano (PMDU), la cual permanecerá abierta hasta el 31 de julio de 2026.La iniciativa, coordinada por la Secretaría de Desarrollo Urbano Sostenible e Infraestructura Pública, busca integrar las voces, propuestas y perspectivas de los distintos sectores sociales para consolidar un instrumento de planeación que responda a los retos actuales y futuros del municipio.</t>
  </si>
  <si>
    <t>Ordenamiento Territorial</t>
  </si>
  <si>
    <t>Parque Ecológico Tula</t>
  </si>
  <si>
    <t>Este parque brindaba una solución integral apegada al bienestar ecológico y que iba a atender diferentes rubros, no solamente de recoger la basura o tener un lugar donde llevarla, sino reutilizar los residuos lo más posible para tener una dinámica de ecología circular. Lamentablemente no fue aprobado y ya se dijo que está completamente cancelado. Es oficial, no se va a realizar aquí, porque todavía había algunos rumores de ciudadanos que decían que más adelante se podía retomar la propuesta. Ya no es así, está completamente cancelado.El rechazo del 5.5 por ciento de los ciudadanos de tres municipios de Hidalgo fue suficiente para cancelar el proyecto del Polo de Desarrollo de Economía Circular para el Bienestar (PODECOBI), lanzado por el gobierno federal en agosto de 2025. Se trata de este predio con superficie de 275 hectáreas para el que ya estaba comprometida la participación de Walmart de México y donde se otorgarían beneficios fiscales a las empresas que quisieran aprovecharlo. Este fue el primer Polo de PODECOBI decretado por el actual gobierno.Los Polos PODECOBI son espacios designados por el gobierno de México para impulsar proyectos de economía circular. Bueno, la Semarnat publicó la cancelación oficial de la declaratoria para el Polo PODECOBI luego de una consulta pública en la que solo participaron 12,259 personas, es decir, el 8.8% de la lista nominal de electores en los municipios de Tula, Tlaxcoapan y Atitalaquia.</t>
  </si>
  <si>
    <t>El reporte presentado por la periodista Claudia Alcántara analiza los resultados del segundo trimestre de la Encuesta Nacional de Seguridad Pública Urbana (ENSU) del INEGI, contrastando las cifras oficiales con el sentir cotidiano de la ciudadanía en Hidalgo.En el plano estadístico, el informe destaca una disminución en el porcentaje de habitantes mayores de 18 años que perciben su entorno como inseguro en Pachuca. Esta tendencia a la baja —en comparación con el promedio nacional, donde seis de cada diez personas consideran insegura su ciudad— permitió a la capital hidalguense salir del grupo de demarcaciones con mayor percepción de inseguridad en el país. El reporte vincula esta mejora con las acciones de la estrategia estatal de seguridad, orientadas al fortalecimiento del patrullaje, el uso de tecnología, la coordinación interinstitucional y la atención a delitos de alto impacto.No obstante, la entrega expone una brecha clara entre los indicadores cuantitativos y la vivencia en las calles, particularmente entre las mujeres. Diversos testimonios ciudadanos recabados para el reporte expresan un temor constante ante delitos como asaltos en la vía pública o en el transporte, así como una inquietud persistente frente al riesgo de acoso, seguimiento y desaparición de mujeres y estudiantes. El reporte concluye enfatizando que, aunque las cifras oficiales muestran avances, persiste el reto de traducir los indicadores en una sensación real y uniforme de tranquilidad para toda la población.</t>
  </si>
  <si>
    <t>Percepción de inseguridad</t>
  </si>
  <si>
    <t>Reportaje</t>
  </si>
  <si>
    <t>Uplaph invita a participar en el Programa de Vivienda para el Bienestar de la Conavi, AUDIO APOYO</t>
  </si>
  <si>
    <t>La Comisión Nacional de Vivienda mantiene abierta hasta el 2 de agosto la convocatoria del programa de Vivienda para el Bienestar en cinco municipios de Hidalgo. El titular de la Unidad de Planeación y Prospectiva, Miguel Ángel Tello Vargas, informó que este programa está dirigido a personas que no cuentan con créditos de Infonavit o Fovissste y buscan facilitar el acceso a una vivienda digna.La convocatoria está disponible en los municipios de Actopan, Mixquiahuala, Huautla, Zapotlán de Juárez y Cempoala. Tendrán prioridad madres solteras, personas adultas mayores, población indígena, personas con discapacidad y habitantes de zonas vulnerables. El preregistro puede realizarse en la plataforma de la Conavi o en los módulos de atención habilitados. AUDIO DE APOYO</t>
  </si>
  <si>
    <t>Vía telefónica diputada Lizbeth Iraís Ordaz Islas con el tema : Elecciones. Comentó que el pasado miércoles distintas diputadas y diputados de diversas fuerzas políticas como Morena, Nueva Alianza, Partido del Trabajo, Partido Verde Ecologista y el Partido de la Revolución Democrática suscribimos una iniciativa, la cual plantea un tema bastante interesante para la democracia en el estado de Hidalgo. El tema central de esta iniciativa es la igualdad sustantiva en el acceso al cargo. Lo que plantea es que del total de los 84 municipios, 42 de ellos, en orden alfabético, sean signados por candidatas mujeres, lo que quiere decir que partidos políticos podrán proponer a candidatas mujeres u hombres del orden alfabético de la N a la Z y de la A a la M; esta sigue en análisis y, posterior a ello, tendrá que ser sometida con los diputad@s. Se trata de que más mujeres tengamos el acceso real a los cargos públicos.</t>
  </si>
  <si>
    <t>Habitantes de la comunidad de Xitejé de la Reforma, en el municipio de Tula, acudieron a la presidencia municipal para solicitar la puesta en operación del pozo Independencia de la Reforma, una obra que permanece sin funcionar desde la administración 2020-2024. Los vecinos señalaron que mientras el pozo continúa inactivo, la comunidad debe pagar por el suministro de agua proveniente de Macua, lo cual representa un gasto adicional que pega en el bolsillo de las familias de Xitejé. Por ello, pidieron a las autoridades municipales agilizar las acciones necesarias para habilitar la infraestructura y garantizar el abasto de agua potable. AUDIO DE APOYO</t>
  </si>
  <si>
    <t>Rehabilitación de pozo</t>
  </si>
  <si>
    <t>Sin adquirir deuda, gobierno de Hidalgo enfrenta afectaciones por vaguada monzónica, AUDIO APOYO</t>
  </si>
  <si>
    <t>Santiagada</t>
  </si>
  <si>
    <t>En el Día de la Mujer Masona, el Congreso del Estado Libre y Soberano de Hidalgo albergó el Foro por la Igualdad 2026 con el objetivo de promover la reflexión sobre la igualdad sustantiva y reconocer públicamente a mujeres cuya trayectoria contribuye al desarrollo social, cultural, educativo y comunitario de la entidad. Además, la Respetable Logia Simbólica Femenina Columnas Basálticas número 104 rindió un homenaje a la Maestra Mirna Yanira García Vargas, mediante la entrega de la presea Laureana Wright González, en reconocimiento a su destacada trayectoria e invaluable contribución al fortalecimiento de la masonería en México.</t>
  </si>
  <si>
    <t>Trabajo legislativo</t>
  </si>
  <si>
    <t>Radioescucha reporta falta de agua, llevamos 10 días sin agua.</t>
  </si>
  <si>
    <t>Radioescucha reporta falta de agua en la colonia Buenos Aires</t>
  </si>
  <si>
    <t>Radioescucha comenta: Habitantes de zona de Chavarria – Virreyes – Calera, exigimos a las Semot y al gobierno urge la troncal del Tuzobús; los choferes de las colectivas, ya que sacan su cuenta, ya no dan el servicio por esa zona.</t>
  </si>
  <si>
    <t>Radioescucha reporta baches en la esquina de Valle de San Javier</t>
  </si>
  <si>
    <t>Radioescucha reporta baches por la cancha de la Españita</t>
  </si>
  <si>
    <t>Radioescucha agradece a la Caasim, porque el día de ayer vinieron a reparar una fuga que había reportado.</t>
  </si>
  <si>
    <t>Locutor Jesús Riveros da lectura a comentario de radioescucha que reporta mal trato a pacientes por parte de una enfermera del Centro de Salud de Cuautepec.</t>
  </si>
  <si>
    <t>Mala atención médica</t>
  </si>
  <si>
    <t>El juez Edmundo Manuel Perusquia Cabañas determinó sustituir la medida cautelar por resguardo domiciliario y el uso de un brazalete electrónico, al considerar que el proceso se prolongó por más de dos años por causas ajenas al imputado. La defensa de Murillo Karam argumentó el deterioro de su estado de salud y la necesidad de recibir atención médica especializada, además de que los retrasos obedecieron a la tramitación de juicios de amparo. El exgçfuncionario enfrenta cargos por desaparición forzada, tortura y delitos contra la administración de la justicia, relacionados con la investigación de la desaparición de los 43 normalistas de Ayotzinapa. Pese a la modificación de la medida cautelar, Murillo Karam continuará bajo prisión domiciliaria y con restricciones como el uso de un brazalete electrónico y la prohibición de acercarse a aeropuertos. Además, enfrenta un segundo proceso penal por los delitos de tortura, desaparición forzada y coalición de servidores públicos.</t>
  </si>
  <si>
    <t>Prisión domiciliaria</t>
  </si>
  <si>
    <t>Con el propósito de proteger la integridad de la ciudadanía y prevenir accidentes en la vía pública, el Gobierno Municipal de Tulancingo, a través de la Dirección de Reglamentos, intensificó los operativos de inspección en establecimientos comerciales, lo que derivó en la infracción de cuatro negocios por colocar cazos con líquidos calientes sobre banquetas y áreas de tránsito peatonal. Las acciones de supervisión se realizaron en establecimientos ubicados en La Morena, avenida 21 de marzo, colonia Guadalupe y Huapalcalco, donde se detectó la presencia de recipientes con alimentos o líquidos a altas temperaturas que representaban un riesgo para peatones, especialmente para niñas, niños y personas adultas mayores. El director de Reglamentos, Óscar Serrano Hernández, informó que, tras una etapa de diálogo y sensibilización con comerciantes, el municipio mantiene recorridos permanentes para verificar el cumplimiento del Bando de Policía y Gobierno y de las disposiciones de seguridad aplicables al comercio establecido.</t>
  </si>
  <si>
    <t>Supervivencia establecimiento</t>
  </si>
  <si>
    <t>Locutor Jesús Riveros da lectura a comentario de radioescucha que reporta, llevan más de tres meses sin agua en Matías Rodríguez perteneciente al municipio de Singuilucan, hacen un llamado a la Caasim</t>
  </si>
  <si>
    <t>Consolida IHE la participación social en escuelas</t>
  </si>
  <si>
    <t>Participación social</t>
  </si>
  <si>
    <t>Un tribunal de los Juzgados de Control de Tulancingo concedió extender la medida cautelar de prisión preventiva oficiosa para tres personas acusadas por el múltiple feminicidio ocurrido el 30 de julio de 2024 en Santiago Tulantepec. Ello implica que, pese a que esta medida tenía vencimiento para el próximo 11 de agosto, los tres imputados permanecerán en el Centro de Reinserción Social (Cereso) de Tulancingo al menos hasta el próximo 28 de noviembre de 2026, en tanto concluye el desahogo de testigos pendientes y avanza el juicio hacia la fase final, de cara al dictado de sentencia. Tal fue la determinación de los jueces asignados al caso luego de que la agente del Ministerio Público solicitó la revisión de la medida cautelar en la audiencia pública de este 23 de julio. Ello, justificado en el artículo 20 de la Constitución y en el artículo 165 del Código Nacional de Procedimientos Penales. Explicó el Ministerio Público que el retraso obedece a que las audiencias se habían postergado hasta en ocho ocasiones por diversas causas, entre ellas ausencia o inasistencia de testigos, cambio de abogados de las personas acusadas y hasta problemas de salud por cirugías y males estomacales de los litigantes. En su exposición, argumentó que, en suma, el proceso judicial enfrentaba un retraso de 109 días, mismo tiempo que solicitaron extender la medida cautelar. Tras unos minutos de receso, el tribunal colegiado determinó por unanimidad conceder la petición y fijar el 28 de noviembre de 2026 como nueva fecha para que concluya la prisión preventiva. Asimismo, la jueza instruyó girar un oficio a la dirección del Cereso de Tulancingo y a las respectivas partes. Cabe mencionar que, ante la solicitud, los abogados de la defensa únicamente pidieron que la petición se resolviera conforme a derecho y no presentaron oposición alguna. En ese sentido, será el próximo 3 de agosto, a las 11:00 horas, cuando continúe el desahogo de testimonios, pues cabe recordar que la defensa de los acusados aún no libera a al menos una decena de testigos, entre ellos los padres de dos de las víctimas, quienes deberán comparecer nuevamente en la fecha mencionada. Además de ellos, será citado un agente pericial.</t>
  </si>
  <si>
    <t>Proceso Por Feminicidio</t>
  </si>
  <si>
    <t>Unen esfuerzos UTEC y SEIINAC en Cachiverano 2026</t>
  </si>
  <si>
    <t>El año pasado se viralizaron imágenes de pobladores cruzando el río a través de una tirolesa, en la que se trasladaban familias, estudiantes e incluso féretros hacia la localidad de San Andrés Miraflores, en el municipio de Tlahuiltepa, y viceversa. La problemática se agudizó con las lluvias del año pasado, por lo que los habitantes improvisaron puentes con troncos de madera, lo que representaba un alto riesgo para la población quienes hacían uso de esta infraestructura improvisada. Por instrucciones del secretario de Infraestructura y Desarrollo Urbano, Alejandro Sánchez García, personal de la Dirección General de Conservación de Carreteras acudió a Vado Hondo para realizar una inspección técnica e iniciar el proyecto de construcción de un paso peatonal. La obra busca brindar una solución segura a los habitantes, quienes durante la temporada de lluvias enfrentan el incremento del caudal del río Amajac, lo que dificulta el tránsito hacia la comunidad vecina. Actualmente, ya se trabaja en la construcción de dos puentes colgantes sobre el río Amajac: uno en la comunidad de Vado Hondo, en el municipio de Jacala, Hidalgo, y el otro del lado del municipio de Tlahuiltepa, por lo que se espera que en breve queden listos.</t>
  </si>
  <si>
    <t>Construcción de puente</t>
  </si>
  <si>
    <t>El ayuntamiento de Tasquillo informó que presentó una denuncia penal ante el Ministerio Público por el presunto delito contra la vida, integridad y dignidad de los animales, luego del caso de dos asnos que fueron arrastrados por un vehículo y resultaron con severas lesiones. De acuerdo con un comunicado oficial firmado por el presidente municipal, Alberto Basilio González, la denuncia ciudadana fue recibida el pasado 7 de julio, cuando se reportó el maltrato de los animales sobre el camino hacia la comunidad de El Llano.</t>
  </si>
  <si>
    <t>Maltrato animal</t>
  </si>
  <si>
    <t>La creación del municipio 85 en Hidalgo no resolverá por sí sola los problemas de municipalización y falta de servicios públicos en los fraccionamientos del sur de la zona metropolitana de Pachuca, consideró la presidenta de la Cámara Nacional de la Industria de Desarrollo y Promoción de Vivienda (Canadevi) Hidalgo, Ana Karen Juárez Navarrete. Durante la presentación del Comité Directivo 2026-2027, la dirigente empresarial precisó que la conformación de un nuevo municipio es una decisión que corresponde exclusivamente a las autoridades legislativas y al gobierno, por lo que el organismo no participa en ese proceso.</t>
  </si>
  <si>
    <t>El Instituto de Seguridad y Servicios Sociales de los Trabajadores del Estado (ISSSTE), dirigido por Martí Batres Guadarrama, destaca la capacidad de respuesta médica y la coordinación interinstitucional en la región Huasteca, a través de la Representación Estatal del organismo en Hidalgo, que permitió estabilizar y trasladar por vía aérea a una paciente de 54 años, no derechohabiente y madre de un elemento activo de la Secretaría de la Defensa Nacional (SEDENA). La paciente ingresó inicialmente al Hospital Integral de Atlapexco; sin embargo, debido a la gravedad de su estado de salud, al presentar un evento cerebrovascular hemorrágico, una emergencia hipertensiva y una complicación pleural, se gestionó de inmediato su referencia a la Clínica Hospital «Dr. Daniel Salazar Hernández» del ISSSTE en Huejutla. A su llegada, un equipo multidisciplinario del ISSSTE inició maniobras de soporte vital avanzado que incluyeron intubación endotraqueal, ventilación mecánica, monitoreo hemodinámico continuo, colocación de un catéter venoso central y una sonda endopleural, lo que permitió estabilizar a la paciente y hacer posible su traslado aeromédico. El director de la Clínica Hospital, Edgar Ramírez Fuentes, reconoció la actuación oportuna del personal médico, de enfermería y de apoyo, cuya intervención fue determinante para preservar la vida de la paciente y garantizar que pudiera ser trasladada en condiciones seguras al Hospital Central Militar en Ciudad de México para continuar con su atención especializada.</t>
  </si>
  <si>
    <t>Puente aéreo</t>
  </si>
  <si>
    <t>Con una expectativa de 80 mil visitantes y un programa que combina tradición, cultura, gastronomía y artesanía, el Pueblo Mágico de Real del Monte celebrará del 30 de julio al 2 de agosto la XXVI edición del Festival de la Plata, uno de los eventos más representativos de Hidalgo para promover el legado minero y el trabajo de las y los artesanos plateros. Durante la presentación oficial del festival, la directora general de Promoción y Mercadotecnia de la Secretaría de Turismo de Hidalgo, Fernanda Ibarra Percastre, en representación de la titular Elizabeth Quintanar Gómez, destacó que este encuentro se ha consolidado como uno de los principales escaparates artesanales y culturales del estado, al reunir las tradiciones mineras y plateras que distinguen al municipio. La funcionaria subrayó que el festival impulsa la actividad turística, fortalece la identidad hidalguense y genera beneficios económicos para las familias que dependen del turismo y de la producción artesanal. Por su parte, el presidente municipal Edmundo Méndez Tejeda informó que esta será la primera edición organizada directamente por el Ayuntamiento, como parte de una estrategia para fortalecer la profesionalización del sector turístico, mejorar los servicios y consolidar la oferta que ha convertido a Real del Monte en uno de los destinos más visitados del estado. Precisó que participarán 106 expositores, entre ellos 18 artesanas y artesanos plateros, además de que se prevé la generación de alrededor de 300 empleos temporales y una ocupación prácticamente total de las 500 habitaciones hoteleras disponibles en el municipio.</t>
  </si>
  <si>
    <t>Festival Turístico</t>
  </si>
  <si>
    <t>Como parte de la estrategia para fortalecer la seguridad y mejorar la capacidad de respuesta ante situaciones de riesgo, la Secretaría de Seguridad Pública, Tránsito y Vialidad de Pachuca inició el proceso de instalación de las 556 nuevas cámaras de videovigilancia anunciadas recientemente por el presidente municipal, Jorge Reyes. De este total, 256 cámaras fueron adquiridas por el Gobierno Municipal de Pachuca y 300 más por el Gobierno del Estado de Hidalgo, como resultado del trabajo coordinado entre ambos órdenes de gobierno para reforzar la infraestructura tecnológica destinada a la prevención del delito y la protección de la ciudadanía. Los trabajos comenzaron en distintos puntos estratégicos del municipio, donde personal especializado lleva a cabo la colocación de la infraestructura necesaria para poner en funcionamiento el nuevo sistema de monitoreo, el cual permitirá ampliar la cobertura de vigilancia y fortalecer las labores de prevención del delito.</t>
  </si>
  <si>
    <t>La seguridad en Cuautepec de Hinojosa continúa fortaleciéndose con la recepción de 34 equipos de videovigilancia del programa Policía Contigo, que permitirán ampliar la capacidad de monitoreo y respuesta en distintos puntos estratégicos del municipio. Sobre esta importante mejora, el alcalde Jorge Hernández Araus detalló que con esta entrega se incorporan 102 cámaras de videovigilancia, de las cuales 68 son cámaras fijas y 34 cámaras PTZ de alta movilidad, además de 34 videograbadores y 34 bobinas de cable UTP para su instalación y funcionamiento. Todo este equipamiento será enlazado al C5i Hidalgo y al CENACI C-2 Cuautepec, fortaleciendo la coordinación operativa y permitiendo un monitoreo más eficiente en beneficio de la población.</t>
  </si>
  <si>
    <t>IHM refuerza vínculos con municipios para frenar violencias contra las mujeres</t>
  </si>
  <si>
    <t>SSPH asegura más de mil 800 dosis de droga tras cateo en Mineral de la Reforma</t>
  </si>
  <si>
    <t>Combate Al Narcomenudeo</t>
  </si>
  <si>
    <t>Destina gobierno de Hidalgo más de 3 mdp en apoyos agrícolas, acuícolas y avícolas en la Laguna de Zupitlán</t>
  </si>
  <si>
    <t>Saderh</t>
  </si>
  <si>
    <t>Apoyo Al Agro</t>
  </si>
  <si>
    <t>Gobierno de Hidalgo reconoce el talento literario</t>
  </si>
  <si>
    <t>Premio estatal de literatura</t>
  </si>
  <si>
    <t>Julio Menchaca y Zoé Robledo verifican avance del Hospital General de Zona de Tula.</t>
  </si>
  <si>
    <t>Entrevista vía telefónica Erika Terrazas Castelán, coordinadora regional de la Financiera Nacional de Desarrollo en Liquidación - Habló sobre el programa “Volver a Crecer” un programa del Gobierno Federal a través de Hacienda, dicho programa está a cargo del Instituto para Devolver al Pueblo lo Robado, dicho programa se implementa en todos los Estados, incluidos Hidalgo, pero particularmente el día de hoy, le corresponde a la región de Tulancingo. El objetivo del programa “Volver a Crecer” consiste en liquidar, condonar o reestructurar deudas de pequeños y medianos productores del campo que tenían créditos impagables con la extinta Financiera Nacional de Desarrollo Agropecuario, Rural, Forestal y Pesquero, es decir, que los productores beneficiarios en Hidalgo, pertenecientes a la región de Tulancingo son de: Acatlán, Acaxochitlán, Agua Blanca, Metepec, Cuautepec, Santiago Tulantepec y Singuilucan, la importancia de este programa, es la condonación total de la deuda.</t>
  </si>
  <si>
    <t>Entrevista vía telefónica Febronio Rodríguez, presidente municipal de Tianguistengo - Habló sobre las actividades que se realizan en el municipio en el marco de la Feria Patronal Santa Ana 2026, que se llevará a cabo del 22 al 26 julio. Dentro de las actividades destacan eventos deportivos, muestras gastronómicas y presentaciones artísticas en el teatro del pueblo.</t>
  </si>
  <si>
    <t>Implementa Copriseh operativo sanitario para proteger a más de 90 mil peregrinos</t>
  </si>
  <si>
    <t>Vigilancia Sanitaria</t>
  </si>
  <si>
    <t>La Semot, a través de su organismo sectorizado el Sitmah, inicia este viernes 24 de julio el fortalecimiento de las rutas alimentadoras del Transporte Metropolitano con la incorporación de 60 nuevas unidades tipo vagoneta, como parte de la estrategia de renovación del transporte público que impulsa el gobernador Julio Menchaca para mejorar la movilidad de las y los hidalguenses.</t>
  </si>
  <si>
    <t>Alimentadoras Tuzobús</t>
  </si>
  <si>
    <t>Continúa en Pachuca la 79.ª Muestra Internacional de Cine con funciones diarias.</t>
  </si>
  <si>
    <t>Muestra de cine</t>
  </si>
  <si>
    <t>Julio Menchaca y Zoé Robledo verifican avance del Hospital General de Zona de Tula</t>
  </si>
  <si>
    <t>Juan Carlos Peña</t>
  </si>
  <si>
    <t>PGJEH aprehende en Pachuca a mujer requerida por la FGJCDMX por robo agravado.</t>
  </si>
  <si>
    <t>TV Cable hidalguense Canal 6</t>
  </si>
  <si>
    <t>Contigo Noticias</t>
  </si>
  <si>
    <t>Continúa en Pachuca la 79.ª Muestra Internacional de Cine con funciones diarias</t>
  </si>
  <si>
    <t>Asegura SSPH más de mil 800 dosis de droga tras cateo en Mineral de la Reforma</t>
  </si>
  <si>
    <t>Gabinete de Seguridad de Hidalgo presenta resultados en la 6ta. Reunión de Coordinación Interestatal de Paz y Seguridad</t>
  </si>
  <si>
    <t>Icathi y GEMI International consolidan alianza estratégica para elevar la competitividad del sector de autotransporte y logística</t>
  </si>
  <si>
    <t>Hidalgo lleva innovación y transparencia a la Primera Feria Nacional de Tecnologías</t>
  </si>
  <si>
    <t>Comisión de Contralores</t>
  </si>
  <si>
    <t>En el Día de la Mujer Masona, el Congreso del Estado Libre y Soberano de Hidalgo albergó el Foro por la Igualdad 2026 con el objetivo de promover la reflexión sobre la igualdad sustantiva y reconocer públicamente a mujeres cuya trayectoria contribuye al desarrollo social, cultural, educativo y comunitario de la entidad. Además, la Respetable Logia Simbólica Femenina Columnas Basálticas número 104 rindió un homenaje a la Maestra Mirna Yanira García Vargas, mediante la entrega de la presea Laureana Wright González, en reconocimiento a su destacada trayectoria e invaluable contribución al fortalecimiento de la masonería en México. El diputado Andrés Velázquez Vázquez, presidente de la Junta de Gobierno, reafirmó el compromiso de la Casa del Pueblo con la igualdad entre mujeres y hombres, destacando los avances alcanzados en el reconocimiento de los derechos de las mujeres, tanto en el ámbito político como en el rural. Asimismo, anunció la presentación de una iniciativa para garantizar la paridad en las presidencias municipales, con el objetivo de que el 50 por ciento de estos cargos sean ocupados por mujeres. También reconoció la labor de destacadas mujeres y organizaciones masónicas femeninas por promover valores como la libertad, igualdad, fraternidad y solidaridad; además, celebró el liderazgo de las mujeres en la vida pública, el respaldo del gobierno estatal y federal a la igualdad de género y la importancia de continuar impulsando leyes, políticas públicas y acciones que garanticen mayores oportunidades, libres de violencia y discriminación.</t>
  </si>
  <si>
    <t>Este viernes se dieron a conocer los detalles de la expo gastronómica, cultural y artesanal, que se llevará a cabo en el marco de la feria patronal de San Lorenzo Itztacoyotla 2026 en el municipio de Juárez Hidalgo,que se realizará del 6 al 10 de agosto, e incluirá una expo con 32 artesanos, eventos culturales y música huasteca. La cual busca promover la riqueza gastronómica, las artesanías, la cultura y las tradiciones que distinguen a esta comunidad.</t>
  </si>
  <si>
    <t>Vía telefónica Jesús Juárez denuncia que unos policías estatales detuvieron a su hijo de 19 años que circulaba por le General 1, esto debido a que trae los vidrios polarizados, pero no le han mostrado bajo qué norma se basa esto. Dice que le deberían infraccionar, pero no quitarle el carro. Acusa a los policías de corruptos y que en su opinión están actuando mal.</t>
  </si>
  <si>
    <t>Abuso Policiaco</t>
  </si>
  <si>
    <t>La SSPH, en conjunto con el Mando Coordinado de Progreso de Obregón, aseguró a una persona presuntamente relacionada con delitos contra la salud y recuperó una motocicleta con reporte de robo vigente; esto, durante recorridos de seguridad y vigilancia implementados en atención a una denuncia ciudadana.</t>
  </si>
  <si>
    <t>Un hombre identificado aparentemente como Franco MB habría atacado de manera sumamente violenta a su pareja sentimental en el municipio de Actopan, enclavado en el Valle del Mezquital del estado de Hidalgo, para luego darse a la fuga para evitar su responsabilidad, por lo que se busca. De acuerdo con la narrativa del hecho, del que a propósito se espera sea investigado bajo la respectiva de género, la agresión se dio por la tarde de este jueves 23 de julio, mientras el hombre y la mujer se encontraban al interior de un domicilio de la localidad La Estancia, donde comenzó una fuerte discusión. El altercado se desarrollaba principalmente con palabras altisonantes, pero en un momento dado el sujeto sacó un arma blanca y asestó varios golpes contra su oponente, quien fue identificada como AMM, dejándola con graves heridas que la mantienen en un estado de salud grave e incluso hasta delicado. Los gritos de la mujer siendo atacada, fueron escuchados por vecinos del municipio de Actopan, quienes comenzaron a emitir reiteradas llamadas de emergencia a la línea 911 para dar cuenta sobre lo que ocurría en el domicilio y urgieron a la autoridad su presencia antes de que hubiera consecuencias. la víctima debido a la gravedad de sus lesiones, debió ser trasladada en ambulancia hasta un hospital cercano, donde, como fue dicho, el último reporte médico indica que su estado de salud es delicado, ante lo cual fue iniciada una carpeta de investigación formal.</t>
  </si>
  <si>
    <t>Intento de feminicidio</t>
  </si>
  <si>
    <t>Un ataque armado registrado la noche del jueves dentro de una vivienda de la comunidad de El Tablón, en Atitalaquia, dejó una persona sin vida en el lugar y otra lesionada que tuvo que ser trasladada a un hospital. La agresión se dio en un domicilio particular ubicado sobre la calle Puerto Vallarta, donde habitantes reportaron detonaciones y solicitaron la intervención de los servicios de emergencia y corporaciones de seguridad. Al ingresar al inmueble, el personal confirmó que una de las víctimas ya no contaba con signos vitales mientras que persona presentaba heridas provocadas por impactos de arma de fuego, por lo que recibió atención inicial y posteriormente fue llevada a una institución médica. Versiones extraoficiales señalaron que una segunda persona habría perdido la vida mientras recibía atención hospitalaria. Sin embargo, hasta el momento este fallecimiento no ha sido confirmado públicamente por las autoridades, por lo que el saldo oficial permanece en una víctima mortal y una persona lesionada. Después del ataque, policías de distintas corporaciones se trasladaron hasta la calle Puerto Vallarta para resguardar el domicilio y evitar el ingreso de personas ajenas a la investigación. La zona permaneció acordonada mientras se solicitaba la presencia de personal ministerial. Hasta ahora no se han dado a conocer las identidades de las víctimas, sus edades o la relación exacta que existía entre ellas. Tampoco se ha informado si todas se encontraban dentro de la vivienda al momento de los disparos o si alguna fue atacada en el exterior dentro del perímetro. Se espera que la Procuraduría General de Justicia del Estado de Hidalgo (PGJEH) informe posteriormente el saldo definitivo y los avances de la carpeta de investigación.</t>
  </si>
  <si>
    <t>Mediante cateos, se detuvo a tres personas en posesión de narcóticos y fue desmantelado un centro de videovigilancia</t>
  </si>
  <si>
    <t>SSPH detiene a cinco y asegura túnel utilizado para el robo de hidrocarburo en Mineral de la Reforma</t>
  </si>
  <si>
    <t>Combate Al Huachicol</t>
  </si>
  <si>
    <t>Asegura SSPH a cuatro personas en Tepeapulco; tres son objetivos prioritarios</t>
  </si>
  <si>
    <t>La Comisión Nacional del Agua (Conagua) presentará en un plazo máximo de 15 días los resultados de un estudio donde se establezca si existe o no contaminación del proyecto del relleno sanitario del municipio de Tula. Lo anterior fue dado a conocer por la titular de la Secretaría de Medio Ambiente y Recursos Naturales de Hidalgo (Semarnath), Mónica Mixtega Trejo. El estudio será presentado ante la inquietud de la población cercana a la zona donde está proyectada la construcción y eventual operación del relleno sanitario sobre posible contaminación. A ello se han sumado las inquietudes y exigencias por parte de integrantes de colectivos sociales, quienes piden que se aclare el impacto ambiental del relleno sanitario. Recientemente se llevó a cabo reunión con representantes de instituciones gubernamentales de los tres órdenes de gobierno, junto con representantes de la población y colectivos sociales, además de la empresa a cargo de la construcción del relleno, donde se acordó que se presenten los estudios por parte de la Conagua. “Les preocupa el tema de cualquier tipo de contaminación, nosotros volvimos a insistir que el dictamen tiene como base todos los estudios, igual informamos que ya entregamos el expediente completo, y la Conagua pidió como máximo quince días”, señaló la funcionaria. De los resultados del estudio, dependerá continuar con la obra; por el momento, esta se encuentra detenida, lo anterior de acuerdo a resoluciones tomadas. Autoridades municipales de Tula de Allende habían anunciado la construcción y funcionamiento de un nuevo relleno sanitario, debido a la necesidad de un nuevo sitio para el depósito y tratamiento final de la basura que se genera. Mixtega Trejo señaló que el relleno sanitario es solamente para servicio del municipio de Tula, por lo que los 14 municipios que anteriormente utilizaban el antiguo relleno han tenido que buscar alternativas, como estaciones de transferencia o el envío de residuos a rellenos autorizados en el Estado de México. Agregó que, hasta el momento, ningún otro municipio ha presentado un proyecto formal para construir nueva infraestructura de disposición final.</t>
  </si>
  <si>
    <t>Semarnath</t>
  </si>
  <si>
    <t>Relleno Sanitario</t>
  </si>
  <si>
    <t>Al menos mil 853 de las 6 mil 500 concesiones de agua registradas en Hidalgo se encuentran vencidas, lo que representa el 28.5 por ciento del total y las coloca en riesgo de ser recuperadas por la Federación si sus titulares no regularizan su situación, informó la delegación estatal de la Comisión Nacional del Agua (Conagua). De acuerdo con el director local de la Conagua, Félix Brambila Mendoza, los títulos vencidos corresponden principalmente a concesiones para uso agrícola, aunque también existen permisos sin actualizar de municipios y organismos operadores de agua potable. Precisó que alrededor del 70 por ciento de las concesiones vencidas son de uso agrícola y, en su mayoría, se localizan en el Valle del Mezquital. Entre los casos identificados se encuentran concesiones relacionadas con organismos de municipios como Huejutla y Molango, además de productores agrícolas de la región del Valle del Mezquital. El funcionario explicó que la falta de renovación de los títulos puede derivar en la pérdida de los derechos de aprovechamiento del agua, ya que las concesiones vencidas pueden ser recuperadas por la Federación. En 2025 se habilitó un programa de regularización de concesiones vencidas entre el 1 de octubre de 2017 y marzo de 2025, pero los titulares no acudieron a realizar sus trámites. En este contexto, la diputada federal de Morena, Tatiana Ángeles Moreno, señaló que en diversas regiones de Hidalgo las vedas impiden el otorgamiento de nuevas concesiones de agua, debido a la disminución histórica de los mantos acuíferos. Conagua Explicó que municipios como Ixmiquilpan, Singuilucan y Huasca se encuentran dentro de zonas restringidas, donde legalmente no es posible autorizar nuevos títulos de concesión. La legisladora reconoció además que esta situación ha generado contradicciones en la aplicación de la Ley General de Aguas, pues existen usuarios que continúan aprovechando el recurso sin una concesión vigente debido a que, por las vedas, la autoridad no puede expedir nuevos permisos. Anteriormente, Brambila Mendoza exhortó a los usuarios a revisar la vigencia de sus concesiones e iniciar los trámites correspondientes para evitar que los títulos sean extinguidos y el volumen de agua concesionado regrese al control de la Federación. De acuerdo con las cifras presentadas por la Conagua, casi tres de cada 10 concesiones de agua existentes en Hidalgo permanecen vencidas.</t>
  </si>
  <si>
    <t>Ley de aguas</t>
  </si>
  <si>
    <t>En cabina Sofy Vargas, Vocal Electoral de Organización Electoral de la 04 Junta Electoral Ejecutiva del INE con sede en Tulancingo, informó que el proceso electoral federal inicial en diciembre con la instalación de Consejo General y casi de manera paralela inicia el proceso electoral local. Explicó que parte de sus funciones es el monitorear en la radio y la televisión las actividades de los precandidatos y candidatos en el periodo electoral, para verificar que cumplan con los tiempos asignado a cada partido. En este sentido, dijo que están convocando a las instituciones de educación superior públicas y privadas a participar en este monitoreo y la fecha limite para inscribirse es el 31 de julio.</t>
  </si>
  <si>
    <t>IHE impulsa la formación continua de docentes en Hidalgo</t>
  </si>
  <si>
    <t>Formación continua</t>
  </si>
  <si>
    <t>Daniel Martínez sobre el retiro de un carrusel instalado en la esquina de las calles 20 de noviembre y Echávarri, dentro del perímetro de la feria tradicional de la feria de Los Angelitos, señala que en esta situación al único que se le vio en el lugar y resolvió fue al director de Protección Civil municipal, Jesús García Ávila, porque todos los demás involucrados en el tema como el Secretario de Seguridad Cuidada, la regidora y presidenta de la Comisión de Protección civil y a muchos más que debían estar ahí, no se les vio.</t>
  </si>
  <si>
    <t>Un grupo de personas exigió a las autoridades municipales de Tulancingo el retiro de un carrusel instalado en la esquina de las calles 20 de noviembre y Echávarri, dentro del perímetro de la feria tradicional de la feria de Los Angelitos. Los inconformes, sobre todo comerciantes y vecinos cercanos a la parroquia de Nuestra Señora de los Ángeles, señalan que la colocación y operación del carrusel no permite la circulación adecuada de la gente, además de estar apenas a unos metros del teatro del pueblo, donde se registra una gran aglomeración de personas que acuden a ver las presentaciones artísticas. Apenas al terminar el protocolo de inauguración del festejo, los inconformes se acercaron a autoridades municipales, reclamando incluso a gritos y con insultos al director de Protección Civil municipal, Jesús García Ávila, que supuestamente había autorizado la instalación del juego mecánico. Posteriormente, los quejosos y las autoridades municipales se trasladaron a la zona donde se encontraba el carrusel; en dicho sitio, Óscar Islas, dirigente de los comerciantes de temporada, aseguró que ya habían solicitado que no se permitiera la colocación del carrusel. El presidente del comité de la tradicional feria, Raymundo Dimas Cortés, no pudo responder quién dio la autorización para instalar el carrusel, señalando que “se estudiaría”, quién otorgó dicha autorización. Asumiendo su responsabilidad, García Ávila dijo que en ese momento se retirarían las vallas, y eventualmente se retiraría o se reubicaría el carrusel, para evitar el registro de una complicación, tanto por la atención a una emergencia, así como para dejar mayor espacio para el flujo de personas, así como para el desplazamiento de personal de seguridad pública, Tránsito y Movilidad, así como de Protección Civil, en caso de requerir atender algún reporte. Finalmente, las vallas alrededor del carrusel fueron retiradas, además de establecer por parte de Protección Civil que no se permitiría su funcionamiento, e incluso eventualmente será retirado.</t>
  </si>
  <si>
    <t>Dos personas lesionadas, una de ellas durante una riña, es el saldo de la Santiagada realizada el sábado 25 de julio sobre avenida México, en la cabecera municipal de Santiago Tulantepec. Edmundo Hernández Chimal, titular de la dirección municipal de Bomberos y Protección Civil, señaló que en ninguno de ambos casos fue necesario realizar traslado de lesionados para ser hospitalizados. Hernández Chimal atribuyó la disminución de personas lesionadas a las restricciones en la venta y consumo de bebidas alcohólicas implementadas en los últimos años, así como al operativo coordinado entre las corporaciones de emergencia. Aunque en algunos videos difundidos en redes sociales se observa a una persona que fue levantada por uno de los toros usados en la Santiagada, no se le reporta como lesionada. Fue en el año 2019 cuando también no se registraron incidentes mayores, ni lesionados de consecuencias graves. El saldo más alto de personas lesionadas durante la Santiagada ocurrió en el año 2006, cuando 26 personas tuvieron que ser atendidas en esa ocasión. La Santiagada es la suelta de toros en medio de una empalizada ubicada en una de las calles de la cabecera municipal los cuales son “toreados” por personas que ingresan de forma espontánea. Se trata de uno de los eventos más importantes que se desarrollan en el marco de la feria tradicional, del cual, varios grupos animalistas han expresado su rechazo por las prácticas de maltrato e incluso tortura en este caso a los toros. Para garantizar la seguridad de asistentes y participantes se desplegó un operativo integrado por 12 elementos de Bomberos y Protección Civil, distribuidos en tres ambulancias. Además de 18 integrantes de la Cruz Roja, también con tres unidades de emergencia, así como de otras corporaciones de atención a emergencias, como la Cruz Ámbar.</t>
  </si>
  <si>
    <t>Un juez del Reclusorio Norte retiró la medida de prisión preventiva justificada al exprocurador general de la República, Jesús Murillo Karam. La defensa del ex funcionario público federal argumentó ante el juzgador que han pasado dos años en los que se justificaba la prisión preventiva y hasta ahora sigue sin sentencia por el retraso de su proceso. Los abogados de Murillo Karam señalaron que la jurisprudencia de la Suprema Corte de Justicia de la Nación que desde el año 2022, obliga a revisar la medida cautelar cuando un procesado ha permanecido privado de la libertad por más de dos años. A ello agregaron que habían cambiado las condiciones que motivaron la imposición de la prisión domiciliaria, ya que el deterioro de su estado de salud hace necesario que reciba atención médica de manera permanente. La decisión del juez fue emitida la tarde del pasado jueves 23 de julio. El retiro de la medida no significa que el exgobernador de Hidalgo pueda salir de su casa debido a que solo aplica para el proceso que enfrenta en el Reclusorio Norte.</t>
  </si>
  <si>
    <t>Menos de la mitad de los 84 municipios que conforman el Estado de Hidalgo cuentan con su respectivo Centro de Comando y Control (C2), y por lo tanto, de instalaciones y equipo para vigilancia de prevención a delitos y atención a denuncias. El dato fue ofrecido en reciente visita de trabajo a Tulancingo por Salvador Cruz Neri, titular de la Secretaría de Seguridad Pública de Hidalgo (SSPH). En la región, Tulancingo cuenta con Centro de Atención en Seguridad, Videovigilancia Inteligente y Monitoreo Policial, para labores de vigilancia e inteligencia para prevención y atención a delitos. Acaxochitlán, Cuautepec, Singuilucan y Santiago Tulantepec cuentan con sus respectivos C2, los cuales están interconectados al Centro de Control, Comando, Comunicaciones, Cómputo, Coordinación e Inteligencia (C5i), a cargo de la SSPH. En el caso de Acatlán, desde hace casi tres años se anunció la creación y operación de su C2, sin que hasta el momento se haya concretado. Las autoridades de dicho municipio han señalado que las instalaciones que se dejaron tienen varias deficiencias en su infraestructura, lo que no permite hasta la fecha el inicio de operaciones. Los centros de videovigilancia y monitoreo en materia de seguridad pública, se han recomendado a los municipios por parte de las autoridades estatales en materia de seguridad pública para dar seguimiento en caso del registro de alguna situación delictiva. Incluso en días recientes se anunció la firma de dos convenios en Tulancingo y Santiago Tulantepec para la instalación de más cámaras de videovigilancia, que serán instaladas en calles internas de ambos municipios, con objetivo de extender las áreas de atención. Cruz Neri dijo que conoce sobre municipios que ya están invirtiendo para la conformación y funcionamiento de sus respectivos C2 locales. Por lo que espera que en el transcurso de los próximos meses, incluso del siguiente año, se incremente la cantidad de los centros de videovigilancia y monitoreo a cargo de municipios.</t>
  </si>
  <si>
    <t>En cabina Alberto González y Andrés Torres también se introdujeron el tema de una iniciativa de reforma electoral que busca garantizar la equidad en las candidaturas para presidencias municipales. Esta iniciativa fue apoyada por diferentes fracciones de diputados, quienes propusieron reservar un número de puestos para candidaturas femeninas. Hubo críticas sobre la tardanza de esta propuesta, sugiriendo que se debió haber trabajado antes, considerando la experiencia de elecciones pasadas. Se expone que algunas localidades, que históricamente no han sido gobernadas por mujeres, deberían tener la oportunidad de postular candidatas. Sin embargo, se observa que la propuesta no contempló adecuadamente las experiencias anteriores en las elecciones, sugiriendo que se perdió una oportunidad para hacer cambios significativos en la representación de género. La discusión enfatiza la necesidad de revisar y aprender de la historia política del país para abordar así la falta de liderazgo femenino en ciertos municipios. Las autoridades electorales y los diputados están bajo presión para realizar reformas antes de las elecciones del 2024, ya que hay un plazo de 90 días que comienza el 15 de diciembre. Se han expresado preocupaciones por la propuesta presentada, con críticas de figuras como Tania Mesa y grupos de mujeres que consideran que no es coherente. Existen diferencias de opiniones sobre cómo implementar la reforma, ya que algunos creen que se está buscando ganar a toda costa, mientras que otros piensan que es para evitar pérdidas. Se menciona que el calendario electoral está apretado y que existe una falta de consenso entre los partidos, especialmente en la bancada de Morena. Algunos diputados apoyan la iniciativa, pero otros no están de acuerdo con ciertos aspectos. Es importante que los medios de comunicación y la élite política se enfoquen en estos temas, ya que tendrán un gran impacto en las próximas elecciones. El debate actual incluye numerosas fuerzas políticas, con al menos cinco a favor y tres en contra de la reforma. Sin embargo, hay dudas sobre cómo se implementarán las fórmulas para la elección de los alcaldes y sus suplentes, así como otros roles como los regidores. La complejidad del proceso plantea desafíos adicionales desde el punto de vista legislativo. Se debe prestar atención a la manera en que se manejan las discusiones y cómo estas afectan a los partidos políticos y a sus miembros. La polarización percibida puede generar tensiones entre los grupos, complicando aún más el clima electoral. En conclusión, las autoridades se enfrentan a una situación complicada que requiere reflexión y consenso para avanzar de manera efectiva antes de las elecciones. Se ha retirado la opción para que los segundos lugares en las elecciones municipales se integren al cabildo. Ahora, solo serán considerados los primeros lugares. Además, hay cambios en la reelección para los municipios. Los candidatos independientes también están permitidos, pero deberán competir en la elección; esto afecta a las alianzas y a los nuevos partidos. Los cambios buscan fortalecer el cabildo al eliminar el contrapeso que representaban los segundos, terceros y cuartos lugares. La próxima elección municipal se prevé complicada debido a la gran cantidad de candidatos y la dinámica entre los partidos. Estos cambios aún deben ser aprobados para implementarse en las próximas elecciones municipales, que son más numerosas y relevantes en comparación con las elecciones legislativas.</t>
  </si>
  <si>
    <t>En cabina Alberto González y Andrés Torres hablan sobre un conflicto que existe dentro de Morena. Este enfrentamiento ha estado presente por mucho tiempo, principalmente entre los que se autodenominan como los fundadores o "puros" de Morena y otros miembros del partido. Este fin de semana, la diputada Tania Mesa hizo declaraciones relevantes en el marco del inicio del proceso electoral para renovar los 84 ayuntamientos, y también se relaciona con una reforma electoral en curso. El problema entre los fundadores y los demás miembros de Morena sigue sin resolverse. El fin de semana, también se dio la visita de Ariana Montiel, quien tuvo un encuentro con jóvenes. Sin embargo, la información sobre esto fue limitada y las notas surgieron principalmente de las redes sociales. Montiel no es muy conocida en su municipio, aunque tiene una historia familiar fuerte en la política, lo que ha hecho que su carrera sea complicada a pesar de haber sido presidenta municipal. Tatiana, otro líder del partido, ha tenido problemas en su administración, a pesar de su tiempo en el cargo. Ella asumió el puesto en medio de la pandemia y no fue capaz de formar un gabinete sólido, lo que sugiere falta de conexión con su comunidad. Además, ha habido tensiones con otros miembros de su equipo, lo que ha perjudicado su imagen. También se mencionó un evento importante en el que Alfonso Ramírez Cuellar, diputado federal, destapó a Tatiana como una posible candidata para la renovación del gobierno del estado en el 2028. Sin embargo, este anuncio no tuvo mucha cobertura en los medios. Por otro lado, un evento masivo de otro miembro de Morena, Santiago de Anaya, atrajo a mucha gente, lo que destaca la competencia interna en el partido. Ariana Montiel, al parecer, no esperaba que alguien más se presentara en su evento. La situación muestra la complejidad de la política interna en Morena y cómo diferentes grupos están buscando posicionarse para el futuro. Además, se menciona que ocurrió otro evento el mismo día, que generó una división en la atención de la gente y en los medios. La presencia de personalidades como Marco Rico y Ariana Montiel fue discutida, y se planteó la idea de que Montiel podría haber estado sorprendida por la falta de comunicación sobre ciertos aspectos. Se señala una crisis en el partido político Morena, mencionando que las declaraciones desde Estados Unidos han afectado la percepción de sus representantes, aunque no haya investigaciones directas en curso.</t>
  </si>
  <si>
    <t>Morena</t>
  </si>
  <si>
    <t>Conflicto partidista</t>
  </si>
  <si>
    <t>Partidos</t>
  </si>
  <si>
    <t>En el Valle del Mezquital hubo jornadas de la paz encabezadas por el secretario de Gobierno, Guillermo Olivares.</t>
  </si>
  <si>
    <t>Jornada por la paz</t>
  </si>
  <si>
    <t>En una jornada de trabajo coordinada y encabezada por la secretaria de Medio Ambiente y Recursos Naturales de Hidalgo, Mónica Mixtega, y el presidente municipal, Jorge Reyes, este viernes se llevó a cabo la siembra de mil 500 árboles en las instalaciones de la Unidad Deportiva. El despliegue de esta iniciativa conjunta responde al plan para fortalecer la infraestructura verde de la ciudad y hacer frente de manera directa a los efectos del cambio climático, en especial a la reducción de las islas de calor urbanas. En el marco de esta jornada, Pachuca fue distinguida internacionalmente con el reconocimiento “2025 Tree Cities of the World”, otorgado por la Arbor Day Foundation y la Organización de las Naciones Unidas para la Alimentación y la Agricultura (FAO). Esta acreditación ubica a la capital hidalguense dentro de un grupo selecto de ciudades comprometidas globalmente con la gestión, conservación y protección continua de su arbolado urbano. Jorge Reyes señaló que recibir esta insignia internacional ratifica la ruta trazada por el municipio para edificar una ciudad más sostenible e incluyente, donde el incremento de las áreas verdes sea un eje rector que se trabaje codo a codo con el gobierno del estado y la propia ciudadanía. Para asegurar la supervivencia de la masa forestal, los mil 500 árboles plantados corresponden a especies cuidadosamente elegidas tras evaluar las condiciones de suelo y clima del complejo deportivo. Entre las variedades colocadas se encuentran cedro blanco, pino greggii, pino montezumae, trueno, salvia, cigarrillo, olivo y fresno.</t>
  </si>
  <si>
    <t>Reforestación</t>
  </si>
  <si>
    <t>Con el objetivo de recuperar el orden, proteger el espacio público y mejorar la imagen de la capital hidalguense, el gobierno municipal encabezado por Jorge Reyes ha retirado 292 anuncios irregulares de septiembre de 2024 a la fecha, como parte de la aplicación de la Ley de Imagen Urbana para el Estado de Hidalgo. La estrategia ha permitido eliminar estructuras que incumplían la normatividad y afectaban el entorno de la ciudad, favoreciendo una mayor seguridad y mejores condiciones para la movilidad de peatones y automovilistas. Del total de anuncios retirados, 12 corresponden a espectaculares; 183 fueron desmontados de la vía pública, ya sea mediante intervenciones de la autoridad municipal o de forma voluntaria por sus propietarios; 78 eran estructuras imposibles de regularizar por encontrarse en azoteas, fachadas laterales o ser autosoportadas, mientras que 19 estructuras publicitarias fueron retiradas de puentes peatonales.</t>
  </si>
  <si>
    <t>Imagen Urbana</t>
  </si>
  <si>
    <t>Julio Menchaca combate rezago en infraestructura pública; inversión supera 25 mil millones de pesos</t>
  </si>
  <si>
    <t>Toma de protesta</t>
  </si>
  <si>
    <t>Andrés Torres sobre que no hay señal del Canal del Pueblo en el Valle de Tulancingo dice que si no está reportada en el INE ni en lo que fuera el IFT, es como no tener nada. Nos mandan testaferros a decirnos que sí está al aire, pero no está porque oficialmente no está y además es un delito porque están pidiendo recursos para ponerla al aire y ya la tienen al aire. Entonces, quién está mintiendo, de verdad que es una monserga luchar todos los días contra la corrupción campante aquí en Radio y Televisión de Hidalgo y sobre todo a la gente quien insiste e insiste en tomar lo que no es de ella y que cuando señalas, cuando se dice aquí está mal, aquí está mal tenemos que corregirlo; entonces eres el enemigo. Cuántos directores de Radio y Televisión de Hidalgo han pisado la cárcel. Qué paso con lo Auditoría Superior del Estado y de Hidalgo que está revisando al ex director de Radio y Televisión de Hidalgo, se acaban de tener (sic), se perdieron no se van a ejercer 6.5 millones de pesos que en esta administración, que en los último 3 meses se perdieron con la mala administración de Radio y Televisión de Hidalgo que eran destinados para la estación de Tenango de Doria y para la AM en Pachuca si eso no es una mala administración, si no es un tema de pifias; entonces el enemigo está dentro. Hay que entender que si no puedes con un cargo están comiendo actos de corrupción, pero todo es porque les dijimos no hay televisión en Tulancingo desde hace mucho tiempo y si dicen que sí hay, pues repórtenlo al INE, al IEH porque hay convenios hay con, hay temas con el IEH, hay tiempo oficiales también. Entonces a al MIR también, a la matriz de indicadores porque eso va aparejado con el Plan Estatal de Desarrollo eso va a la Unidad de Planeación</t>
  </si>
  <si>
    <t>Andrés Torres comenta que el 1010 de Amplitud Modulada, el Vocero Huasteco sigue fuera del aire, ya más de 3 meses.</t>
  </si>
  <si>
    <t>Para este 27 de julio se pronostican intervalos de chubascos (5 a 25 mm), temperaturas máximas de 30 a 35 °C en las regiones norte y este, y rachas de viento de hasta 60 km/h. Evita cruzar ríos, arroyos o calles inundadas y conduce con precaución. Mantente hidratado y evita la exposición prolongada al sol. Asegura objetos que puedan desprenderse por el viento y permanece atento a las recomendaciones de Protección Civil. En caso de emergencia, llama al 911.</t>
  </si>
  <si>
    <t>Alerta Meteorológica</t>
  </si>
  <si>
    <t>El fin de semana Protección Civil de Pachuca lanzó una alerta por las fuertes ráfagas de viento que se podrían presentar, por lo que se mantiene la alerta roja.</t>
  </si>
  <si>
    <t>Los comediantes conocidos como "Los Destrampados" se presentaron en Atotonilco el Grande, Hidalgo, donde sufrieron el robo de la taquilla de su espectáculo. Tras cumplir con su presentación, al intentar cobrar el espectáculo, el encargado del circo les informó que la persona responsable de la taquilla se había fugado con la totalidad del dinero recaudado por el boletaje.Los artistas dieron a conocer los hechos a través de sus redes sociales, lo que motivó la intervención de las autoridades para investigar lo sucedido y dar con los responsables de este hecho delictivo.</t>
  </si>
  <si>
    <t>Denuncia</t>
  </si>
  <si>
    <t>Durante el ciclo escolar 2025-2026, el Instituto Hidalguense de Educación fortaleció las acciones de promoción a la salud mental y el bienestar socioemocional en escuelas de distintos niveles educativos de la entidad, a través de la Dirección General de Acompañamiento Socioemocional y Educativo. Se desarrollaron talleres, conferencias, pláticas, actividades participativas y espacios de reflexión, enfocados en fortalecer habilidades como la empatía, el respeto, la solidaridad, la convivencia dentro de las comunidades escolares. En educación especial, las acciones llegaron a 18 centros educativos, en beneficio de más de 900 integrantes de la comunidad educativa, mientras que en educación inicial, más de 800 personas fueron atendidas en 25 planteles con estrategias orientadas al desarrollo socioemocional desde los primeros años de vida. En preescolar, el acompañamiento alcanzó a más de 41.000 integrantes de la comunidad educativa en 513 planteles, con actividades centradas en el reconocimiento y la regulación de las emociones, la comunicación asertiva y la convivencia respetuosa.</t>
  </si>
  <si>
    <t>Radioescucha reporta falta de agua en Valle del Palmar</t>
  </si>
  <si>
    <t>Al menos cuatro personas resultaron lesionadas tras un accidente vial registrado sobre la carretera Pachuca-Huejutla, en el tramo correspondiente al municipio de Atotonilco el Grande. De acuerdo con las autoridades, un vehículo se impactó contra un objeto fijo por causas que aún se investigan</t>
  </si>
  <si>
    <t>Accidente Carretero</t>
  </si>
  <si>
    <t>Radioescucha José Hernadéz, comento que hace como 3 meses los delegados de la colonia se llevaron la tapa del registro, Caasim vino destapo el drenaje y todo , pero nadie hace nada para poner la tapa esto en Calle Simón Bolivar en Barrio La Palma</t>
  </si>
  <si>
    <t>Alcantarillado</t>
  </si>
  <si>
    <t>El Subsecretario de Protección Civil de Hidalgo, Román Bernal Díaz, compartió un reporte sobre las condiciones meteorológicas previstas para esta semana aquí en Hidalgo. Para el día lunes y martes se esperan lluvias de 5 a 25 milímetros con chusvascos e intervalos, principalmente en la zona norte, noreste y centro del estado. , AUDIO APOYO</t>
  </si>
  <si>
    <t>En cabina, participación de Jorge Hernández, director de Comunicación Social del Ayuntamiento de Pachuca, con el tema: Limpieza varias colonias de Pachuca</t>
  </si>
  <si>
    <t>A partir de agosto, 10 bachilleratos Margarita Maza y dos centros de estudios de bachillerato iniciarán actividades en Hidalgo, como parte de una estrategia para ampliar la cobertura de educación media superior en la entidad. El secretario de Educación Pública de Hidalgo Natividad Castrejón Valdés informó que mientras avanzan los procesos para construir los planteles definitivos, las clases comenzarán en sedes provisionales, con el objetivo de garantizar que las y los estudiantes puedan iniciar el próximo ciclo escolar. Los bachilleratos Margarita Maza operarán temporalmente en municipios como Tula, Mineral de la Reforma, Pachuca, Totonilco de Tula, Apan y Tezontepec de Aldama. A esta oferta educativa se sumarán dos centros de estudios de bachillerato que estarán ubicados en Tolcayuca y Tizayuca. De acuerdo con el funcionario, la apertura de estos espacios permitirá ampliar las opciones para jóvenes que buscan continuar con su formación académica y que en algunos casos requieren horarios flexibles para combinar sus estudios con actividades laborales o personales. Estas acciones forman parte de los proyectos estratégicos impulsados por los gobiernos estatal y federal para fortalecer la educación media superior.</t>
  </si>
  <si>
    <t>Bachillerato Nacional</t>
  </si>
  <si>
    <t>SSPH despliega operativo en Huichapan; asegura a cinco personas y presunta droga</t>
  </si>
  <si>
    <t>Cuatro hombres fueron detenidos en el municipio de Tepeapulco durante un operativo de la Guardia Nacional tras una denuncia anónima al 089 sobre el desplazamiento de tractocamiones con autotanques escoltados por camionetas sospechosas. Las autoridades localizaron dos tractocamiones con autotanques vacíos abandonados y posteriormente interceptaron dos camionetas tipo pick-up en las que viajaban los presuntos responsables, tres de ellos considerados objetivos prioritarios por su probable participación en actividades delictivas en la región.En la acción fueron aseguradas dos armas largas, dos armas cortas, más de mil trescientas dosis de marihuana, 227 dosis de presunto cristal, una báscula gramera y cinco teléfonos celulares. Los detenidos y lo asegurado quedaron a disposición del Ministerio Público que determinará su situación jurídica.</t>
  </si>
  <si>
    <t>La Fiscalía General de la República (FGR) obtuvo la vinculación a proceso de Juan “N”, señalado por su probable participación en los delitos de robo de autotransporte del Servicio Público Federal, portación de un inhibidor de señal y privación ilegal de la libertad, hechos ocurridos en el municipio de Mixquiahuala de Juárez.De acuerdo con la autoridad federal, elementos de la Dirección de Seguridad Pública y Tránsito Municipal atendieron el reporte de un ciudadano que alertó sobre la presunta agresión contra el conductor de un tractocamión en la entrada de la comunidad de Teñhe. Al arribar al sitio, los oficiales realizaron la detención del imputado y aseguraron el tractocamión, un teléfono celular y un inhibidor de señal con 16 antenas.Tras la integración de la carpeta de investigación, un juez de Control determinó vincular a proceso a Juan “N” e imponerle la medida cautelar de prisión preventiva oficiosa, además de fijar un plazo de un mes para el cierre de la investigación complementaria.</t>
  </si>
  <si>
    <t>Un túnel de seis metros de profundidad y 50 metros de longitud, acondicionado para la extracción ilícita de hidrocarburo, fue localizado por fuerzas de seguridad en un predio de la colonia El Saucillo, en Mineral de la Reforma. En este operativo los agentes capturaron a cinco personas que se encontraban en el sitio. La infraestructura clandestina contaba con equipamiento técnico especializado para conectarse directamente a un ducto de Petróleos Mexicanos mediante mangueras de alta presión de uso industrial.Además, fueron asegurados tres inmuebles, una bodega para almacenamiento de combustible, 500 metros de manguera de alta presión y diversas dosis de presuntos narcóticos, explicó la dependencia. Este hallazgo de la excavación derivó en la ejecución de tres órdenes de cateo en inmuebles vinculados a la red de ordeña, entre los cuales también se localizó una bodega utilizada para centro de almacenamiento ilícito de combustible. En esta misma intervención donde fue hallado este huachitúnel, las fuerzas de seguridad detuvieron a cinco personas que intentaron darse a la fuga al percatarse de la presencia policial, a quienes les incautaron diversas dosis de narcóticos entre sus pertenencias. Con este aseguramiento suman ya 19 estructuras subterráneas desmanteladas en la entidad durante la actual administración en municipios como Cuautepec, Pachuca, Tepeji del Río, Tula y Mineral de la Reforma. De acuerdo con datos del Secretariado Ejecutivo del Sistema Nacional de Seguridad Pública, Hidalgo lidera la estadística nacional por huachicol, al acumular 1,815 carpetas de investigación por este delito durante el primer semestre de 2026.</t>
  </si>
  <si>
    <t>Una persona fue detenida en Progreso de Obregón por su presunta relación con delitos contra la salud durante un operativo derivado de una denuncia ciudadana. Agentes estatales aseguraron 23 dosis de presunta marihuana, 17 dosis de aparente cristal, una báscula gramera y recuperaron una motocicleta con reporte de robo vigente y alteraciones en sus medios de identificación. El detenido y los objetos asegurados quedaron a disposición de la autoridad competente.</t>
  </si>
  <si>
    <t>Hidalgo celebra el Día Mundial del Bordado con un foro de maestras artesanas. La Secretaría de Cultura reunirá a creadoras de distintas regiones del estado y de Tlaxcala para compartir saberes, preservar esta tradición y promover el comercio justo bajo el esquema de "cero regateo", reconociendo el valor de las piezas elaboradas a mano.</t>
  </si>
  <si>
    <t>Conservación del Patrimonio Cultural</t>
  </si>
  <si>
    <t>Un intenso incendio redujo a cenizas un puesto ambulante de tortas en el estacionamiento de Soriana del Valle, en Pachuca. El fuego se propagó rápidamente y alcanzó a otros negocios instalados en la zona, dejando importantes daños materiales. Afortunadamente no se reportaron personas lesionadas.Este es un tema que se tendrá que revisar, dado que en este punto se ubica un paradero del transporte público donde a toda hora hay personas esperando colectivos; la presencia de tanques de gas pone en riesgo la seguridad de la población. Elementos de emergencia controlaron el siniestro y evitaron que el fuego se extendiera a vehículos y establecimientos cercanos, mientras que las autoridades investigan las causas del incendio.</t>
  </si>
  <si>
    <t>Control de incendios</t>
  </si>
  <si>
    <t>Víctor Manuel Velázquez Rangel, presidente de administración de la Cooperativa La Cruz Azul, envió un mensaje a los socios y trabajadores tras la obtención del título Campeón de Campeones en el fútbol profesional ante Toluca por marcador de 3-1. AUDIO DE APOYO</t>
  </si>
  <si>
    <t>Cruz Azul</t>
  </si>
  <si>
    <t>Vía telefónica Arq. Ángela Guillón, director del Instituto Cultural de Pachuca, con el tema: Curso de verano: Comentó que ya tiene 2 semanas que inició y también informó sobre las actividades culturales que se llevarán a cabo en esta semana.</t>
  </si>
  <si>
    <t>IHM refuerza vínculos con municipios para frenar violencias contra las mujeres, AUDIO APOYO</t>
  </si>
  <si>
    <t>En cabina, entrevista Sra. Rosa María Duran, presidenta del Consejo Regulador del Patrimonio Cultural Real del Monte Cornwall A.C. (Corepac). Con el Festival Internacional del Paste en su 18.ª edición, se llevará a cabo el 9, 10 y 11 de octubre.</t>
  </si>
  <si>
    <t>Festival Del Paste</t>
  </si>
  <si>
    <t>El Segundo Festival de la Barbacoa del Valle del Mezquital reunió este sábado a productores, artesanos y familias en Santiago de Anaya para promover la gastronomía hidalguense. Durante la inauguración, el titular de la Unidad de Planeación y Prospectiva, Miguel Ángel Tello Vargas, destacó el impacto de este evento en la economía local con la participación de 27 barbacoyeros y 48 artesanos. Se anunció que el municipio de El Cardonal albergará la tercera edición del festival en 2027. Además, en el concurso de la mejor salsa, Alfajayucan obtuvo el primer lugar, seguido de Zimapán y Tasquillo. AUDIO DE APOYO</t>
  </si>
  <si>
    <t>Del 30 de julio al 2 de agosto, Mineral del Monte será sede de la 26ª edición del Festival de la Plata para honrar la tradición minera y artesanal del pueblo mágico. Se contempla la llegada de miles de visitantes y una importante derrama económica para la región:En el marco del evento se promoverá la iniciativa "cero regateo" para dar el valor justo al trabajo de las y los artesanos: Un gran llamado con esta acción de "cero regateo" no solo en este festival, sino en cualquier pueblo mágico o con sabor que visite, para pagar lo justo por las artesanías.</t>
  </si>
  <si>
    <t>Vecina del municipio de Zimapán, escuchó ruidos en su domicilio; en las imágenes logró captar a un hombre que intentó entrar al inmueble. Al percatarse de que fue descubierto, el sujeto escapó. AUDIO APOYO.</t>
  </si>
  <si>
    <t>Inseguridad</t>
  </si>
  <si>
    <t>A nivel nacional, el secretario de Educación Pública, Mario Delgado Carrillo, informó que durante este año se contempla una inversión de más de 10 mil millones de pesos para infraestructura. En educación básica,” la escuela es nuestra”, es una inversión para este año de 37 mil 715 millones de pesos. Para media superior, la preparatoria, 10 mil 916 millones y para superior 9 mil 783 con un total de 58 mil 415, AUDIO APOYO</t>
  </si>
  <si>
    <t>La Escuela es Nuestra</t>
  </si>
  <si>
    <t>Radioescucha pide limpieza de hierbas en Valle de San Javier</t>
  </si>
  <si>
    <t>Limpieza Urbana</t>
  </si>
  <si>
    <t>Un niño de ocho años reportado como extraviado en Paseos de Chavarría fue localizado sano y salvo durante un operativo de búsqueda. En las labores participaron elementos de prevención del delito, monitoreo móvil y la unidad canina; fue el agente K9 "Ares" quien encontró al menor, el cual fue entregado a su familia.</t>
  </si>
  <si>
    <t>Localización de persona</t>
  </si>
  <si>
    <t>Durante la conferencia de prensa semanal del gobierno de Hidalgo, también se habló de la operación del Sistema del Transporte Metropolitano. La titular de la SEMOT Lyzbeth Robles, informó sobre la estrategia que empezó a implementarse este día para reforzar el respeto al carril confinado de este sistema, anteriormente conocido como Tuzobús. Mencionó que en 15 días informará a las personas conductoras sobre la importancia del respeto al carril confinado. Se iniciará un periodo de amonestación del 27 de julio al 15 de agosto del 2026, se les informará sobre la importancia de respetar el carril, sus datos quedarán registrados. En caso de una nueva intervención o reincidencia, será acreedor de una multa de 20 a 30 UMAS. AUDIO APOYO</t>
  </si>
  <si>
    <t>Mañanera de Hidalgo</t>
  </si>
  <si>
    <t>Agosto, el mes de las Personas Mayores</t>
  </si>
  <si>
    <t>Mes Del Adulto Mayor</t>
  </si>
  <si>
    <t>El Gobierno de Hidalgo dio seguimiento a las peticiones ciudadanas presentadas en las mesas de acercamiento de bienestar y paz mediante una sesión encabezada por la Secretaría de Gobierno, en la que dependencias de los tres órdenes de gobierno informaron sobre las acciones realizadas para atender las solicitudes planteadas por la población. Durante el encuentro, el secretario de Gobierno, Guillermo Olivares Reyna, afirmó que este mecanismo busca combatir la apatía, la negligencia y la corrupción, además de mantener un gobierno cercano con atención directa y diálogo abierto con la ciudadanía.Las autoridades señalaron que estas sesiones forman parte de la segunda etapa de las Mesas de Acercamiento de Bienestar y Paz, cuyo objetivo es dar seguimiento a los compromisos asumidos y fortalecer la coordinación institucional para ofrecer respuestas oportunas a las comunidades. AUDIO DE APOYO</t>
  </si>
  <si>
    <t>La Policía Municipal de Atitalaquia recuperó una camioneta con reporte de robo vigente en la colonia 18 de Marzo. Durante recorridos de vigilancia, los agentes detectaron la unidad en condiciones irregulares y, tras verificar sus datos en el sistema oficial, confirmaron que contaba con reporte de robo. El vehículo fue asegurado y puesto a disposición del Ministerio Público para los trámites legales correspondientes.</t>
  </si>
  <si>
    <t>Recuperación De Vehículos Robados</t>
  </si>
  <si>
    <t>En una jornada de trabajo coordinada y encabezada por la secretaria de Medio Ambiente y Recursos Naturales de Hidalgo, Mónica Mixtega, y el presidente municipal, Jorge Alberto Reyes, este viernes se llevó a cabo la siembra de mil 500 árboles en las instalaciones de la Unidad Deportiva. El despliegue de esta iniciativa conjunta responde al plan para fortalecer la infraestructura verde de la ciudad y hacer frente de manera directa a los efectos del cambio climático, en especial a la reducción de las islas de calor urbanas.En el marco de esta jornada, Pachuca fue distinguida internacionalmente con el reconocimiento “2025 Tree Cities of the World”, otorgado por la Arbor Day Foundation y la Organización de las Naciones Unidas para la Alimentación y la Agricultura (FAO). Esta acreditación ubica a la capital hidalguense dentro de un grupo selecto de ciudades comprometidas globalmente con la gestión, conservación y protección continua de su arbolado urbano.</t>
  </si>
  <si>
    <t>Hoy la Presidenta de México Claudia Sheimbaum dio un reporte sobre esta propuesta que se está haciendo en las escuelas para que los niños no lleven teléfonos celulares. Comentó conductor que habrá que ver cómo va avanzando esta información, tendremos ver cuáles serán las propuestas que se pongan sobre la mesa.</t>
  </si>
  <si>
    <t>Regulación de dispositivos digitales</t>
  </si>
  <si>
    <t>En la región del Valle del Mezquital, el Gobierno de Actopan informó que fue falsa la versión difundida en redes sociales sobre un supuesto asalto con arma de fuego a un negocio en la calle Allende, en la colonia Rojo Gómez. De acuerdo con la autoridad municipal, en el lugar ocurrió una riña entre dos hombres, uno de ellos el propietario del establecimiento, quien resultó lesionado por los golpes. Policías municipales acudieron al reporte y revisaron las cámaras de videovigilancia con autorización del afectado, confirmando los hechos. El comerciante, de 55 años, acudió por sus propios medios a recibir atención médica por una lesión en la cabeza. Las autoridades llamaron a verificar la información antes de compartirla en redes sociales.</t>
  </si>
  <si>
    <t>Riña</t>
  </si>
  <si>
    <t>Hoy durante la conferencia de prensa semanal del gobierno de Hidalgo, se dio a conocer un balance de los avances y resultados de la estrategia “Rutas de la Reconstrucción”, puesta en marcha para atender las afectaciones provocadas por la vaguada monzónica del 2025 y avanzar en la recuperación de los municipios que fueron afectados por este fenómeno. AUDIO APOYO VIDEO</t>
  </si>
  <si>
    <t>En Hidalgo, según datos de la semana 26 del Boletín Epidemiológico de la Secretaría de Salud, con corte al 20 de julio, en la entidad se han diagnosticado en este 2026 a 1703 casos de depresión, de los cuales 1407 corresponden a mujeres y 386 a hombres. En cuanto a intentos de suicidio, se tiene un registro de 62 casos, de los cuales 40 pertenecen a mujeres y 22 a hombres. La depresión es un trastorno del estado de ánimo que se caracteriza por estar triste constantemente o perder el placer o interés por actividades que disfrutabas previamente, sentimientos de culpa o autoestima baja, alteraciones del sueño o del apetito, fatiga y falta de concentración. La depresión puede ser duradera o recurrente y puede llegar a deteriorar la capacidad de la persona de desempeñarse en distintas áreas, como el trabajo, la escuela, la casa o hacer frente a su vida cotidiana.</t>
  </si>
  <si>
    <t>Salud Mental</t>
  </si>
  <si>
    <t>La Secretaría de Movilidad y Transporte del Estado de Hidalgo realiza el operativo "Transporte Seguro" en los 84 municipios de la entidad de manera aleatoria. El director general del Sistema del Transporte Convencional de Hidalgo, José Antonio Pérez Sánchez, informó que se verifican las condiciones físicas de las unidades de transporte público, además de revisar la vigencia de sus documentos y la de las personas operadoras: Recuerde que también puede hacer sus denuncias o sus quejas a través de los canales oficiales de la Secretaría de Movilidad y Transporte si observa alguna anomalía o irregularidad en el transporte público de la zona donde vive, como que no esté visible el tarjetón o que la foto no corresponda a la del operador. AUDIO DE APOYO</t>
  </si>
  <si>
    <t>Supervisión de Transporte</t>
  </si>
  <si>
    <t>El gobernador Julio Menchaca Salazar tomó protesta al 12º Comité Directivo del Colegio de Ingenieros Civiles del Estado de Hidalgo durante la primera reunión triregional 2026 de la Federación Mexicana de Colegios de Ingenieros Civiles. En este evento el mandatario destacó que en menos de cuatro años su administración ha destinado más de 25 mil millones de pesos a obra pública, un monto que dijo supera la inversión realizada en las dos administraciones estatales anteriores. Además anunció que junto con el Gobierno de México se invertirán 9 mil 115 millones de pesos para la reconstrucción de las regiones afectadas por las lluvias de octubre de 2025:El nuevo presidente del colegio, Alberto Reyes Torres, refrendó el compromiso del gremio para colaborar como apoyo técnico especializado en los proyectos de infraestructura que impulsa el Estado. AUDIO DE APOYO</t>
  </si>
  <si>
    <t>Locutor Jesús Riveros da lectura a comentario de radioescucha que reporta material hospitalario abandondado en Tulancingo, Jesús Riveros responde que dará aviso a las autoridades en la materia correspondiente para la atención.</t>
  </si>
  <si>
    <t>Disposición de residuos hospitalarios</t>
  </si>
  <si>
    <t>Con un amplio programa integrado por 14 disciplinas deportivas y una bolsa de premiación de 465 mil pesos, este 1 de agosto dará inicio el programa deportivo de feria, consolidándose como uno de los eventos más esperados por atletas locales y visitantes. La directora de Cultura Física y Recreación, Eneida Hernández Rosas, informó que las actividades contemplan competencias de box, fisicoculturismo, basquetbol en diferentes categorías, tochito flag, voleibol, duatlón, futbol varonil y femenil, frontón, además de un serial de ciclismo, en coordinación con el club Rinobikers, y una exhibición de lima lama con la participación de más de 40 exponentes. El 90 por ciento de las actividades tendrá como sede la Unidad Deportiva Municipal Javier Rojo Gómez, mientras que el duatlón y el serial de ciclismo se desarrollarán sobre la vialidad de acceso a la Presidencia Municipal. Por su parte, el certamen Primer Míster Tulancingo 2026 se llevará a cabo en el Auditorio Manuel Fernando Soto, el próximo 9 de agosto, a partir de las 9:00 horas. Las inscripciones para participar en cualquiera de las competencias ya se encuentran abiertas en la Dirección de Cultura Física y Recreación, ubicada en la Unidad Deportiva Municipal Javier Rojo Gómez, y en los números de contacto establecidos en las convocatorias publicadas a través de la página oficial de Facebook de la dependencia. Para esta edición, la bolsa de premiación asciende a 465 mil pesos, lo que representa un incremento de 50 mil pesos respecto al año anterior. Esta inversión forma parte del compromiso de la presidenta municipal, Lorena García Cázares, de fortalecer el deporte, reconocer el esfuerzo de las y los atletas y generar espacios que promuevan la sana convivencia.</t>
  </si>
  <si>
    <t>Expo feria</t>
  </si>
  <si>
    <t>Miles de familias que forman parte de la Beca Universal Rita Cetina comenzarán a recibir durante agosto el apoyo económico destinado a la compra de útiles escolares y uniformes, luego de que concluya la entrega de las tarjetas del Banco del Bienestar en las escuelas del país. La Coordinación Nacional de Becas para el Bienestar informó que la distribución de los plásticos continuará hasta el 31 de julio. Posteriormente iniciará la dispersión del pago único de 2,500 pesos por estudiante, siguiendo un calendario basado en la primera letra del primer apellido del titular de la tarjeta.</t>
  </si>
  <si>
    <t>Beca Rita Cetina</t>
  </si>
  <si>
    <t>El carrusel instalado en la esquina de avenida del Trabajo y 20 de Noviembre comenzó a ser retirado luego de las inconformidades manifestadas por comerciantes de la Feria de los Angelitos, en Tulancingo, quienes señalaron que el juego mecánico obstruía el paso de peatones y afectaba la movilidad en una de las zonas con mayor afluencia durante las festividades. Personal encargado del desmontaje informó que las labores iniciaron desde la noche del domingo 26 de julio, cuando comenzaron a retirar las primeras piezas del carrusel. Durante este lunes continuaron con los trabajos y, para permitir el acceso de la grúa que desmontará la estructura, también fue retirado el teatro del pueblo instalado en el sitio. De acuerdo con información proporcionada por el presidente del Comité de Feria, Raymundo Dimas, hasta el momento no se ha definido el destino final del juego mecánico, sin embargo señaló que el retiro está en proceso.</t>
  </si>
  <si>
    <t>ITESHU fortalece la vinculación con sectores productivos y sociales</t>
  </si>
  <si>
    <t>Vinculación Académica</t>
  </si>
  <si>
    <t>Policía Industrial Bancaria del Estado de Hidalgo, lista para conmemorar su 50 aniversario</t>
  </si>
  <si>
    <t>Conmemoración Aniversario</t>
  </si>
  <si>
    <t>Concluye el Segundo Festival de la Barbacoa del Valle del Mezquital.</t>
  </si>
  <si>
    <t>Mesas de Bienestar y Paz regresan a El Arenal con respuestas a ciudadanía</t>
  </si>
  <si>
    <t>La instalación de un carrusel en el cruce de las calles 20 de Noviembre y Avenida del Trabajo generó inconformidad entre comerciantes de la Feria de Los Angelitos, quienes se manifestaron durante la inauguración al señalar que el juego mecánico podría representar un riesgo para asistentes. Posterior a la ceremonia de inauguración, que se llevó a cabo en la explanada de la Iglesia de Los Angelitos, con la presencia de regidores y representantes de la feria, comerciantes reiteraron la necesidad del retiro de las vallas metálicas del carrusel, el cual, previamente se dijo no formaría parte de la oferta de entretenimiento derivado de sus dimensiones. Oscar Islas, líder de la unión de comerciantes de temporada, expuso que la inconformidad inició desde el montaje de los juegos mecánicos, esta semana, ya que en las reuniones se habían advertido que el carrusel no debía instalarse en ese punto, al tratarse de uno de los principales accesos hacia la zona del teatro del pueblo y donde se concentra una importante cantidad de personas. “Se llegó a un acuerdo hace un año para no colorar ese juego y no estuvo, en este año el convenio era que lo recorrieran porque ya estaba aquí, pero al no ver avance los compañeros se juntaron y la exigencia es que se retire, porque en caso de alguna contingencia las entradas y salidas son intransitables”. Durante el diálogo con los inconformes, el director de Bomberos y Protección Civil, Jesús García Ávila, reconoció que hubo fallas de comunicación con la empresa responsable de los juegos mecánicos y asumió la responsabilidad de lo ocurrido. En este sentido, García Ávila, indicó que el juego mecánico será inspeccionado por un perito para revisar la estabilidad del juego, los sistemas de anclaje, las condiciones de funcionamiento, la cercanía con cableado e infraestructura y el cumplimiento de las medidas de seguridad exigidas para este tipo de instalaciones. Hasta que concluya el dictamen, el carrusel permanecerá fuera de servicio. El funcionario agregó que, como parte del operativo preventivo implementado para la feria, ya fueron distribuidos 18 extintores estratégicamente en la zona comercial y de juegos mecánicos, además de mantenerse supervisiones permanentes a lonas, instalaciones eléctricas y demás medidas de protección civil.</t>
  </si>
  <si>
    <t>Locutor Jesús Riveros entrevista a dos adultos mayores que fueron infraccionados en el municipio de Cuautepec de manera injusta, alegan, que circulaban por el Blvd. Francisco I. Madero en donde se realizan obras bailes, sin embargo, no cuentan con los suficientes señalamientos que indiquen la circulación, sobren todo, para personas que visitan el municipio. Por lo anterior, solicitan mayor flexibilidad y mayor difusión para evitar este tipo de situaciones.</t>
  </si>
  <si>
    <t>Multa de tránsito</t>
  </si>
  <si>
    <t>En vivo desde la conferencia matutina, Juan Carlos Santamaría informó que, se dieron a conocer detalles recientes a cerca de la certeza que se debe tener sobre las nuevas unidades del Sistema de Transporte Metropolitano, las nuevas disposiciones que tienen de asientos, las comodidades y los servicios para la seguridad de los usuarios. En ese sentido, la secretaria de Movilidad y Transporte , Lizbeth Robles Gutiérrez, presentó información acerca del carril confinado y las mulas que se aplicarán a partir del próximo 16 de agosto, sin embargo, dijo, antes, habrá un periodo de apercibimiento para quienes invadan el carril confinado.</t>
  </si>
  <si>
    <t>Locutor Juan Carlos Santamaría transmite en vivo desde la conferencia matutina del Gobierno del Estado de Hidalgo, en donde, el titular de Comunicación, Edmundo Pineda realizó el reconocimiento a la transmisión que la NQ lleva para todo el amable auditorio a través de Enlace Hidalgo, es el reconocimiento a la relevancia de la estación y de que, a través de ella, se puede llevar esta información de primera mano a las personas que amablemente siguen esta señal.</t>
  </si>
  <si>
    <t>OCSAD</t>
  </si>
  <si>
    <t>Durante su participación en la conferencia matutina semanal, Orlando Ángeles, titular de la Oficialía Mayor dio a conocer la entrada en operación de las nuevas rutas alimentadoras de lo que ahora es el Sistema de Transporte Metropolitano. (AUDIO ORLANDO ANGELES).</t>
  </si>
  <si>
    <t>Oficialía Mayor</t>
  </si>
  <si>
    <t>Locutor Juan Carlos Santamaría transmite en vivo desde la conferencia matutina del Gobierno del Estado de Hidalgo, informando que, en la plnacha de la Plaza Juárez hay unidades para hacer la comparativa de lo que fue el Tuzobús y que ahora es Transporte Metropolitano y también hay unidades nuevas que recientemente ha entrado en operación para las rutas alimentadoras en la zona metropolitana de Pachuca, por lo que será de los temas que se estén tratando en la conferencia matutina semanal.</t>
  </si>
  <si>
    <t>Locutor Juan Carlos Santamaría transmite en vivo desde la conferencia matutina del Gobierno del Estado de Hidalgo, que comenzó, con la presentación por parte del titular de comunicación, Edmundo Pineda López anunciando a los funcionarios que estarán brindando información entre ellos, el titular de la Oficialía Mayor y la secretaría de Movilidad y Transporte.</t>
  </si>
  <si>
    <t>La Feria del Libro Infantil y Juvenil se internacionaliza y extiende la cultura a 12 municipios</t>
  </si>
  <si>
    <t>Feria Del Libro</t>
  </si>
  <si>
    <t>En su colaboración semanal Gustavo Rosales habló sobre la participación de los mexicanos en los “Juegos Centroamericanos” en donde México lleva hasta el momento 44 preseas y resalta la participación del hidalguense Edgar Cadena que ganó medalla de plata en ciclismo.</t>
  </si>
  <si>
    <t>Justa Deportiva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</si>
</sst>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8" tableType="queryTable" totalsRowShown="0">
  <autoFilter ref="A1:M178"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8"/>
  <sheetViews>
    <sheetView tabSelected="1" topLeftCell="A143" workbookViewId="0">
      <selection activeCell="A178" sqref="A17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5.1406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46227</v>
      </c>
      <c r="B2" s="1" t="str">
        <f ca="1">IF(Información1[[#This Row],[Fecha]]='Ajuste de fechas'!$A$2,"Día actual","Día anterior")</f>
        <v>Día anterior</v>
      </c>
      <c r="C2" s="3" t="s">
        <v>28</v>
      </c>
      <c r="D2" t="s">
        <v>79</v>
      </c>
      <c r="E2" s="3" t="s">
        <v>111</v>
      </c>
      <c r="F2" s="3" t="s">
        <v>19</v>
      </c>
      <c r="G2" s="3" t="s">
        <v>112</v>
      </c>
      <c r="H2" s="3" t="s">
        <v>11</v>
      </c>
      <c r="I2" s="3" t="s">
        <v>7</v>
      </c>
      <c r="J2" s="3" t="s">
        <v>43</v>
      </c>
      <c r="K2" s="3" t="s">
        <v>80</v>
      </c>
      <c r="L2" s="3" t="s">
        <v>40</v>
      </c>
      <c r="M2">
        <v>1</v>
      </c>
    </row>
    <row r="3" spans="1:13" x14ac:dyDescent="0.25">
      <c r="A3" s="2">
        <v>46227</v>
      </c>
      <c r="B3" s="1" t="str">
        <f ca="1">IF(Información1[[#This Row],[Fecha]]='Ajuste de fechas'!$A$2,"Día actual","Día anterior")</f>
        <v>Día anterior</v>
      </c>
      <c r="C3" s="3" t="s">
        <v>8</v>
      </c>
      <c r="D3" t="s">
        <v>10</v>
      </c>
      <c r="E3" s="3" t="s">
        <v>113</v>
      </c>
      <c r="F3" s="3" t="s">
        <v>19</v>
      </c>
      <c r="G3" s="3" t="s">
        <v>32</v>
      </c>
      <c r="H3" s="3" t="s">
        <v>11</v>
      </c>
      <c r="I3" s="3" t="s">
        <v>7</v>
      </c>
      <c r="J3" s="3" t="s">
        <v>43</v>
      </c>
      <c r="K3" s="3" t="s">
        <v>14</v>
      </c>
      <c r="L3" s="3" t="s">
        <v>81</v>
      </c>
      <c r="M3">
        <v>1</v>
      </c>
    </row>
    <row r="4" spans="1:13" x14ac:dyDescent="0.25">
      <c r="A4" s="2">
        <v>46227</v>
      </c>
      <c r="B4" s="1" t="str">
        <f ca="1">IF(Información1[[#This Row],[Fecha]]='Ajuste de fechas'!$A$2,"Día actual","Día anterior")</f>
        <v>Día anterior</v>
      </c>
      <c r="C4" s="3" t="s">
        <v>28</v>
      </c>
      <c r="D4" t="s">
        <v>79</v>
      </c>
      <c r="E4" s="3" t="s">
        <v>117</v>
      </c>
      <c r="F4" s="3" t="s">
        <v>22</v>
      </c>
      <c r="G4" s="3" t="s">
        <v>118</v>
      </c>
      <c r="H4" s="3" t="s">
        <v>11</v>
      </c>
      <c r="I4" s="3" t="s">
        <v>7</v>
      </c>
      <c r="J4" s="3" t="s">
        <v>44</v>
      </c>
      <c r="K4" s="3" t="s">
        <v>80</v>
      </c>
      <c r="L4" s="3" t="s">
        <v>40</v>
      </c>
      <c r="M4">
        <v>1</v>
      </c>
    </row>
    <row r="5" spans="1:13" x14ac:dyDescent="0.25">
      <c r="A5" s="2">
        <v>46227</v>
      </c>
      <c r="B5" s="1" t="str">
        <f ca="1">IF(Información1[[#This Row],[Fecha]]='Ajuste de fechas'!$A$2,"Día actual","Día anterior")</f>
        <v>Día anterior</v>
      </c>
      <c r="C5" s="3" t="s">
        <v>8</v>
      </c>
      <c r="D5" t="s">
        <v>10</v>
      </c>
      <c r="E5" s="3" t="s">
        <v>128</v>
      </c>
      <c r="F5" s="3" t="s">
        <v>19</v>
      </c>
      <c r="G5" s="3" t="s">
        <v>94</v>
      </c>
      <c r="H5" s="3" t="s">
        <v>11</v>
      </c>
      <c r="I5" s="3" t="s">
        <v>7</v>
      </c>
      <c r="J5" s="3" t="s">
        <v>43</v>
      </c>
      <c r="K5" s="3" t="s">
        <v>14</v>
      </c>
      <c r="L5" s="3" t="s">
        <v>40</v>
      </c>
      <c r="M5">
        <v>1</v>
      </c>
    </row>
    <row r="6" spans="1:13" x14ac:dyDescent="0.25">
      <c r="A6" s="2">
        <v>46227</v>
      </c>
      <c r="B6" s="1" t="str">
        <f ca="1">IF(Información1[[#This Row],[Fecha]]='Ajuste de fechas'!$A$2,"Día actual","Día anterior")</f>
        <v>Día anterior</v>
      </c>
      <c r="C6" s="3" t="s">
        <v>8</v>
      </c>
      <c r="D6" t="s">
        <v>10</v>
      </c>
      <c r="E6" s="3" t="s">
        <v>129</v>
      </c>
      <c r="F6" s="3" t="s">
        <v>19</v>
      </c>
      <c r="G6" s="3" t="s">
        <v>130</v>
      </c>
      <c r="H6" s="3" t="s">
        <v>11</v>
      </c>
      <c r="I6" s="3" t="s">
        <v>7</v>
      </c>
      <c r="J6" s="3" t="s">
        <v>43</v>
      </c>
      <c r="K6" s="3" t="s">
        <v>14</v>
      </c>
      <c r="L6" s="3" t="s">
        <v>40</v>
      </c>
      <c r="M6">
        <v>1</v>
      </c>
    </row>
    <row r="7" spans="1:13" x14ac:dyDescent="0.25">
      <c r="A7" s="2">
        <v>46227</v>
      </c>
      <c r="B7" s="1" t="str">
        <f ca="1">IF(Información1[[#This Row],[Fecha]]='Ajuste de fechas'!$A$2,"Día actual","Día anterior")</f>
        <v>Día anterior</v>
      </c>
      <c r="C7" s="3" t="s">
        <v>28</v>
      </c>
      <c r="D7" t="s">
        <v>79</v>
      </c>
      <c r="E7" s="3" t="s">
        <v>132</v>
      </c>
      <c r="F7" s="3" t="s">
        <v>22</v>
      </c>
      <c r="G7" s="3" t="s">
        <v>131</v>
      </c>
      <c r="H7" s="3" t="s">
        <v>11</v>
      </c>
      <c r="I7" s="3" t="s">
        <v>7</v>
      </c>
      <c r="J7" s="3" t="s">
        <v>44</v>
      </c>
      <c r="K7" s="3" t="s">
        <v>80</v>
      </c>
      <c r="L7" s="3" t="s">
        <v>40</v>
      </c>
      <c r="M7">
        <v>1</v>
      </c>
    </row>
    <row r="8" spans="1:13" x14ac:dyDescent="0.25">
      <c r="A8" s="2">
        <v>46227</v>
      </c>
      <c r="B8" s="1" t="str">
        <f ca="1">IF(Información1[[#This Row],[Fecha]]='Ajuste de fechas'!$A$2,"Día actual","Día anterior")</f>
        <v>Día anterior</v>
      </c>
      <c r="C8" s="3" t="s">
        <v>28</v>
      </c>
      <c r="D8" t="s">
        <v>79</v>
      </c>
      <c r="E8" s="3" t="s">
        <v>133</v>
      </c>
      <c r="F8" s="3" t="s">
        <v>24</v>
      </c>
      <c r="G8" s="3" t="s">
        <v>134</v>
      </c>
      <c r="H8" s="3" t="s">
        <v>11</v>
      </c>
      <c r="I8" s="3" t="s">
        <v>7</v>
      </c>
      <c r="J8" s="3" t="s">
        <v>24</v>
      </c>
      <c r="K8" s="3" t="s">
        <v>80</v>
      </c>
      <c r="L8" s="3" t="s">
        <v>135</v>
      </c>
      <c r="M8">
        <v>1</v>
      </c>
    </row>
    <row r="9" spans="1:13" x14ac:dyDescent="0.25">
      <c r="A9" s="2">
        <v>46227</v>
      </c>
      <c r="B9" s="1" t="str">
        <f ca="1">IF(Información1[[#This Row],[Fecha]]='Ajuste de fechas'!$A$2,"Día actual","Día anterior")</f>
        <v>Día anterior</v>
      </c>
      <c r="C9" s="3" t="s">
        <v>8</v>
      </c>
      <c r="D9" t="s">
        <v>10</v>
      </c>
      <c r="E9" s="3" t="s">
        <v>138</v>
      </c>
      <c r="F9" s="3" t="s">
        <v>54</v>
      </c>
      <c r="G9" s="3" t="s">
        <v>90</v>
      </c>
      <c r="H9" s="3" t="s">
        <v>11</v>
      </c>
      <c r="I9" s="3" t="s">
        <v>7</v>
      </c>
      <c r="J9" s="3" t="s">
        <v>24</v>
      </c>
      <c r="K9" s="3" t="s">
        <v>14</v>
      </c>
      <c r="L9" s="3" t="s">
        <v>76</v>
      </c>
      <c r="M9">
        <v>1</v>
      </c>
    </row>
    <row r="10" spans="1:13" x14ac:dyDescent="0.25">
      <c r="A10" s="2">
        <v>46227</v>
      </c>
      <c r="B10" s="1" t="str">
        <f ca="1">IF(Información1[[#This Row],[Fecha]]='Ajuste de fechas'!$A$2,"Día actual","Día anterior")</f>
        <v>Día anterior</v>
      </c>
      <c r="C10" s="3" t="s">
        <v>28</v>
      </c>
      <c r="D10" t="s">
        <v>79</v>
      </c>
      <c r="E10" s="3" t="s">
        <v>139</v>
      </c>
      <c r="F10" s="3" t="s">
        <v>19</v>
      </c>
      <c r="G10" s="3" t="s">
        <v>140</v>
      </c>
      <c r="H10" s="3" t="s">
        <v>11</v>
      </c>
      <c r="I10" s="3" t="s">
        <v>7</v>
      </c>
      <c r="J10" s="3" t="s">
        <v>43</v>
      </c>
      <c r="K10" s="3" t="s">
        <v>80</v>
      </c>
      <c r="L10" s="3" t="s">
        <v>40</v>
      </c>
      <c r="M10">
        <v>1</v>
      </c>
    </row>
    <row r="11" spans="1:13" x14ac:dyDescent="0.25">
      <c r="A11" s="2">
        <v>46227</v>
      </c>
      <c r="B11" s="1" t="str">
        <f ca="1">IF(Información1[[#This Row],[Fecha]]='Ajuste de fechas'!$A$2,"Día actual","Día anterior")</f>
        <v>Día anterior</v>
      </c>
      <c r="C11" s="3" t="s">
        <v>8</v>
      </c>
      <c r="D11" t="s">
        <v>10</v>
      </c>
      <c r="E11" s="3" t="s">
        <v>143</v>
      </c>
      <c r="F11" s="3" t="s">
        <v>54</v>
      </c>
      <c r="G11" s="3" t="s">
        <v>144</v>
      </c>
      <c r="H11" s="3" t="s">
        <v>11</v>
      </c>
      <c r="I11" s="3" t="s">
        <v>7</v>
      </c>
      <c r="J11" s="3" t="s">
        <v>24</v>
      </c>
      <c r="K11" s="3" t="s">
        <v>14</v>
      </c>
      <c r="L11" s="3" t="s">
        <v>40</v>
      </c>
      <c r="M11">
        <v>1</v>
      </c>
    </row>
    <row r="12" spans="1:13" x14ac:dyDescent="0.25">
      <c r="A12" s="2">
        <v>46227</v>
      </c>
      <c r="B12" s="1" t="str">
        <f ca="1">IF(Información1[[#This Row],[Fecha]]='Ajuste de fechas'!$A$2,"Día actual","Día anterior")</f>
        <v>Día anterior</v>
      </c>
      <c r="C12" s="3" t="s">
        <v>8</v>
      </c>
      <c r="D12" t="s">
        <v>10</v>
      </c>
      <c r="E12" s="3" t="s">
        <v>148</v>
      </c>
      <c r="F12" s="3" t="s">
        <v>19</v>
      </c>
      <c r="G12" s="3" t="s">
        <v>74</v>
      </c>
      <c r="H12" s="3" t="s">
        <v>11</v>
      </c>
      <c r="I12" s="3" t="s">
        <v>25</v>
      </c>
      <c r="J12" s="3" t="s">
        <v>43</v>
      </c>
      <c r="K12" s="3" t="s">
        <v>9</v>
      </c>
      <c r="L12" s="3" t="s">
        <v>41</v>
      </c>
      <c r="M12">
        <v>1</v>
      </c>
    </row>
    <row r="13" spans="1:13" x14ac:dyDescent="0.25">
      <c r="A13" s="2">
        <v>46227</v>
      </c>
      <c r="B13" s="1" t="str">
        <f ca="1">IF(Información1[[#This Row],[Fecha]]='Ajuste de fechas'!$A$2,"Día actual","Día anterior")</f>
        <v>Día anterior</v>
      </c>
      <c r="C13" s="3" t="s">
        <v>8</v>
      </c>
      <c r="D13" t="s">
        <v>10</v>
      </c>
      <c r="E13" s="3" t="s">
        <v>149</v>
      </c>
      <c r="F13" s="3" t="s">
        <v>19</v>
      </c>
      <c r="G13" s="3" t="s">
        <v>74</v>
      </c>
      <c r="H13" s="3" t="s">
        <v>11</v>
      </c>
      <c r="I13" s="3" t="s">
        <v>25</v>
      </c>
      <c r="J13" s="3" t="s">
        <v>43</v>
      </c>
      <c r="K13" s="3" t="s">
        <v>9</v>
      </c>
      <c r="L13" s="3" t="s">
        <v>41</v>
      </c>
      <c r="M13">
        <v>1</v>
      </c>
    </row>
    <row r="14" spans="1:13" x14ac:dyDescent="0.25">
      <c r="A14" s="2">
        <v>46227</v>
      </c>
      <c r="B14" s="1" t="str">
        <f ca="1">IF(Información1[[#This Row],[Fecha]]='Ajuste de fechas'!$A$2,"Día actual","Día anterior")</f>
        <v>Día anterior</v>
      </c>
      <c r="C14" s="3" t="s">
        <v>8</v>
      </c>
      <c r="D14" t="s">
        <v>10</v>
      </c>
      <c r="E14" s="3" t="s">
        <v>20</v>
      </c>
      <c r="F14" s="3" t="s">
        <v>19</v>
      </c>
      <c r="G14" s="3" t="s">
        <v>32</v>
      </c>
      <c r="H14" s="3" t="s">
        <v>11</v>
      </c>
      <c r="I14" s="3" t="s">
        <v>12</v>
      </c>
      <c r="J14" s="3" t="s">
        <v>43</v>
      </c>
      <c r="K14" s="3" t="s">
        <v>14</v>
      </c>
      <c r="L14" s="3" t="s">
        <v>41</v>
      </c>
      <c r="M14">
        <v>1</v>
      </c>
    </row>
    <row r="15" spans="1:13" x14ac:dyDescent="0.25">
      <c r="A15" s="2">
        <v>46227</v>
      </c>
      <c r="B15" s="1" t="str">
        <f ca="1">IF(Información1[[#This Row],[Fecha]]='Ajuste de fechas'!$A$2,"Día actual","Día anterior")</f>
        <v>Día anterior</v>
      </c>
      <c r="C15" s="3" t="s">
        <v>8</v>
      </c>
      <c r="D15" t="s">
        <v>10</v>
      </c>
      <c r="E15" s="3" t="s">
        <v>18</v>
      </c>
      <c r="F15" s="3" t="s">
        <v>19</v>
      </c>
      <c r="G15" s="3" t="s">
        <v>32</v>
      </c>
      <c r="H15" s="3" t="s">
        <v>11</v>
      </c>
      <c r="I15" s="3" t="s">
        <v>12</v>
      </c>
      <c r="J15" s="3" t="s">
        <v>43</v>
      </c>
      <c r="K15" s="3" t="s">
        <v>14</v>
      </c>
      <c r="L15" s="3" t="s">
        <v>41</v>
      </c>
      <c r="M15">
        <v>1</v>
      </c>
    </row>
    <row r="16" spans="1:13" x14ac:dyDescent="0.25">
      <c r="A16" s="2">
        <v>46227</v>
      </c>
      <c r="B16" s="1" t="str">
        <f ca="1">IF(Información1[[#This Row],[Fecha]]='Ajuste de fechas'!$A$2,"Día actual","Día anterior")</f>
        <v>Día anterior</v>
      </c>
      <c r="C16" s="3" t="s">
        <v>8</v>
      </c>
      <c r="D16" t="s">
        <v>10</v>
      </c>
      <c r="E16" s="3" t="s">
        <v>69</v>
      </c>
      <c r="F16" s="3" t="s">
        <v>54</v>
      </c>
      <c r="G16" s="3" t="s">
        <v>32</v>
      </c>
      <c r="H16" s="3" t="s">
        <v>11</v>
      </c>
      <c r="I16" s="3" t="s">
        <v>12</v>
      </c>
      <c r="J16" s="3" t="s">
        <v>24</v>
      </c>
      <c r="K16" s="3" t="s">
        <v>14</v>
      </c>
      <c r="L16" s="3" t="s">
        <v>41</v>
      </c>
      <c r="M16">
        <v>1</v>
      </c>
    </row>
    <row r="17" spans="1:13" x14ac:dyDescent="0.25">
      <c r="A17" s="2">
        <v>46227</v>
      </c>
      <c r="B17" s="1" t="str">
        <f ca="1">IF(Información1[[#This Row],[Fecha]]='Ajuste de fechas'!$A$2,"Día actual","Día anterior")</f>
        <v>Día anterior</v>
      </c>
      <c r="C17" s="3" t="s">
        <v>50</v>
      </c>
      <c r="D17" t="s">
        <v>55</v>
      </c>
      <c r="E17" s="3" t="s">
        <v>151</v>
      </c>
      <c r="F17" s="3" t="s">
        <v>22</v>
      </c>
      <c r="G17" s="3" t="s">
        <v>152</v>
      </c>
      <c r="H17" s="3" t="s">
        <v>11</v>
      </c>
      <c r="I17" s="3" t="s">
        <v>25</v>
      </c>
      <c r="J17" s="3" t="s">
        <v>44</v>
      </c>
      <c r="K17" s="3" t="s">
        <v>9</v>
      </c>
      <c r="L17" s="3" t="s">
        <v>41</v>
      </c>
      <c r="M17">
        <v>1</v>
      </c>
    </row>
    <row r="18" spans="1:13" x14ac:dyDescent="0.25">
      <c r="A18" s="2">
        <v>46227</v>
      </c>
      <c r="B18" s="1" t="str">
        <f ca="1">IF(Información1[[#This Row],[Fecha]]='Ajuste de fechas'!$A$2,"Día actual","Día anterior")</f>
        <v>Día anterior</v>
      </c>
      <c r="C18" s="3" t="s">
        <v>50</v>
      </c>
      <c r="D18" t="s">
        <v>55</v>
      </c>
      <c r="E18" s="3" t="s">
        <v>153</v>
      </c>
      <c r="F18" s="3" t="s">
        <v>24</v>
      </c>
      <c r="G18" s="3" t="s">
        <v>154</v>
      </c>
      <c r="H18" s="3" t="s">
        <v>11</v>
      </c>
      <c r="I18" s="3" t="s">
        <v>7</v>
      </c>
      <c r="J18" s="3" t="s">
        <v>24</v>
      </c>
      <c r="K18" s="3" t="s">
        <v>75</v>
      </c>
      <c r="L18" s="3" t="s">
        <v>40</v>
      </c>
      <c r="M18">
        <v>1</v>
      </c>
    </row>
    <row r="19" spans="1:13" x14ac:dyDescent="0.25">
      <c r="A19" s="2">
        <v>46227</v>
      </c>
      <c r="B19" s="1" t="str">
        <f ca="1">IF(Información1[[#This Row],[Fecha]]='Ajuste de fechas'!$A$2,"Día actual","Día anterior")</f>
        <v>Día anterior</v>
      </c>
      <c r="C19" s="3" t="s">
        <v>50</v>
      </c>
      <c r="D19" t="s">
        <v>55</v>
      </c>
      <c r="E19" s="3" t="s">
        <v>155</v>
      </c>
      <c r="F19" s="3" t="s">
        <v>19</v>
      </c>
      <c r="G19" s="3" t="s">
        <v>156</v>
      </c>
      <c r="H19" s="3" t="s">
        <v>11</v>
      </c>
      <c r="I19" s="3" t="s">
        <v>7</v>
      </c>
      <c r="J19" s="3" t="s">
        <v>43</v>
      </c>
      <c r="K19" s="3" t="s">
        <v>51</v>
      </c>
      <c r="L19" s="3" t="s">
        <v>40</v>
      </c>
      <c r="M19">
        <v>1</v>
      </c>
    </row>
    <row r="20" spans="1:13" x14ac:dyDescent="0.25">
      <c r="A20" s="2">
        <v>46227</v>
      </c>
      <c r="B20" s="1" t="str">
        <f ca="1">IF(Información1[[#This Row],[Fecha]]='Ajuste de fechas'!$A$2,"Día actual","Día anterior")</f>
        <v>Día anterior</v>
      </c>
      <c r="C20" s="3" t="s">
        <v>50</v>
      </c>
      <c r="D20" t="s">
        <v>55</v>
      </c>
      <c r="E20" s="3" t="s">
        <v>160</v>
      </c>
      <c r="F20" s="3" t="s">
        <v>89</v>
      </c>
      <c r="G20" s="3" t="s">
        <v>161</v>
      </c>
      <c r="H20" s="3" t="s">
        <v>11</v>
      </c>
      <c r="I20" s="3" t="s">
        <v>7</v>
      </c>
      <c r="J20" s="3" t="s">
        <v>24</v>
      </c>
      <c r="K20" s="3" t="s">
        <v>67</v>
      </c>
      <c r="L20" s="3" t="s">
        <v>40</v>
      </c>
      <c r="M20">
        <v>1</v>
      </c>
    </row>
    <row r="21" spans="1:13" x14ac:dyDescent="0.25">
      <c r="A21" s="2">
        <v>46227</v>
      </c>
      <c r="B21" s="1" t="str">
        <f ca="1">IF(Información1[[#This Row],[Fecha]]='Ajuste de fechas'!$A$2,"Día actual","Día anterior")</f>
        <v>Día anterior</v>
      </c>
      <c r="C21" s="3" t="s">
        <v>63</v>
      </c>
      <c r="D21" t="s">
        <v>64</v>
      </c>
      <c r="E21" s="3" t="s">
        <v>165</v>
      </c>
      <c r="F21" s="3" t="s">
        <v>19</v>
      </c>
      <c r="G21" s="3" t="s">
        <v>166</v>
      </c>
      <c r="H21" s="3" t="s">
        <v>11</v>
      </c>
      <c r="I21" s="3" t="s">
        <v>7</v>
      </c>
      <c r="J21" s="3" t="s">
        <v>43</v>
      </c>
      <c r="K21" s="3" t="s">
        <v>65</v>
      </c>
      <c r="L21" s="3" t="s">
        <v>40</v>
      </c>
      <c r="M21">
        <v>1</v>
      </c>
    </row>
    <row r="22" spans="1:13" x14ac:dyDescent="0.25">
      <c r="A22" s="2">
        <v>46227</v>
      </c>
      <c r="B22" s="1" t="str">
        <f ca="1">IF(Información1[[#This Row],[Fecha]]='Ajuste de fechas'!$A$2,"Día actual","Día anterior")</f>
        <v>Día anterior</v>
      </c>
      <c r="C22" s="3" t="s">
        <v>63</v>
      </c>
      <c r="D22" t="s">
        <v>64</v>
      </c>
      <c r="E22" s="3" t="s">
        <v>167</v>
      </c>
      <c r="F22" s="3" t="s">
        <v>24</v>
      </c>
      <c r="G22" s="3" t="s">
        <v>87</v>
      </c>
      <c r="H22" s="3" t="s">
        <v>11</v>
      </c>
      <c r="I22" s="3" t="s">
        <v>7</v>
      </c>
      <c r="J22" s="3" t="s">
        <v>24</v>
      </c>
      <c r="K22" s="3" t="s">
        <v>65</v>
      </c>
      <c r="L22" s="3" t="s">
        <v>40</v>
      </c>
      <c r="M22">
        <v>1</v>
      </c>
    </row>
    <row r="23" spans="1:13" x14ac:dyDescent="0.25">
      <c r="A23" s="2">
        <v>46227</v>
      </c>
      <c r="B23" s="1" t="str">
        <f ca="1">IF(Información1[[#This Row],[Fecha]]='Ajuste de fechas'!$A$2,"Día actual","Día anterior")</f>
        <v>Día anterior</v>
      </c>
      <c r="C23" s="3" t="s">
        <v>63</v>
      </c>
      <c r="D23" t="s">
        <v>64</v>
      </c>
      <c r="E23" s="3" t="s">
        <v>168</v>
      </c>
      <c r="F23" s="3" t="s">
        <v>22</v>
      </c>
      <c r="G23" s="3" t="s">
        <v>169</v>
      </c>
      <c r="H23" s="3" t="s">
        <v>11</v>
      </c>
      <c r="I23" s="3" t="s">
        <v>7</v>
      </c>
      <c r="J23" s="3" t="s">
        <v>44</v>
      </c>
      <c r="K23" s="3" t="s">
        <v>65</v>
      </c>
      <c r="L23" s="3" t="s">
        <v>40</v>
      </c>
      <c r="M23">
        <v>1</v>
      </c>
    </row>
    <row r="24" spans="1:13" x14ac:dyDescent="0.25">
      <c r="A24" s="2">
        <v>46227</v>
      </c>
      <c r="B24" s="1" t="str">
        <f ca="1">IF(Información1[[#This Row],[Fecha]]='Ajuste de fechas'!$A$2,"Día actual","Día anterior")</f>
        <v>Día anterior</v>
      </c>
      <c r="C24" s="3" t="s">
        <v>63</v>
      </c>
      <c r="D24" t="s">
        <v>64</v>
      </c>
      <c r="E24" s="3" t="s">
        <v>170</v>
      </c>
      <c r="F24" s="3" t="s">
        <v>19</v>
      </c>
      <c r="G24" s="3" t="s">
        <v>171</v>
      </c>
      <c r="H24" s="3" t="s">
        <v>11</v>
      </c>
      <c r="I24" s="3" t="s">
        <v>7</v>
      </c>
      <c r="J24" s="3" t="s">
        <v>43</v>
      </c>
      <c r="K24" s="3" t="s">
        <v>65</v>
      </c>
      <c r="L24" s="3" t="s">
        <v>40</v>
      </c>
      <c r="M24">
        <v>1</v>
      </c>
    </row>
    <row r="25" spans="1:13" x14ac:dyDescent="0.25">
      <c r="A25" s="2">
        <v>46227</v>
      </c>
      <c r="B25" s="1" t="str">
        <f ca="1">IF(Información1[[#This Row],[Fecha]]='Ajuste de fechas'!$A$2,"Día actual","Día anterior")</f>
        <v>Día anterior</v>
      </c>
      <c r="C25" s="3" t="s">
        <v>63</v>
      </c>
      <c r="D25" t="s">
        <v>64</v>
      </c>
      <c r="E25" s="3" t="s">
        <v>172</v>
      </c>
      <c r="F25" s="3" t="s">
        <v>19</v>
      </c>
      <c r="G25" s="3" t="s">
        <v>82</v>
      </c>
      <c r="H25" s="3" t="s">
        <v>11</v>
      </c>
      <c r="I25" s="3" t="s">
        <v>7</v>
      </c>
      <c r="J25" s="3" t="s">
        <v>43</v>
      </c>
      <c r="K25" s="3" t="s">
        <v>65</v>
      </c>
      <c r="L25" s="3" t="s">
        <v>40</v>
      </c>
      <c r="M25">
        <v>1</v>
      </c>
    </row>
    <row r="26" spans="1:13" x14ac:dyDescent="0.25">
      <c r="A26" s="2">
        <v>46227</v>
      </c>
      <c r="B26" s="1" t="str">
        <f ca="1">IF(Información1[[#This Row],[Fecha]]='Ajuste de fechas'!$A$2,"Día actual","Día anterior")</f>
        <v>Día anterior</v>
      </c>
      <c r="C26" s="3" t="s">
        <v>63</v>
      </c>
      <c r="D26" t="s">
        <v>64</v>
      </c>
      <c r="E26" s="3" t="s">
        <v>173</v>
      </c>
      <c r="F26" s="3" t="s">
        <v>19</v>
      </c>
      <c r="G26" s="3" t="s">
        <v>82</v>
      </c>
      <c r="H26" s="3" t="s">
        <v>11</v>
      </c>
      <c r="I26" s="3" t="s">
        <v>7</v>
      </c>
      <c r="J26" s="3" t="s">
        <v>43</v>
      </c>
      <c r="K26" s="3" t="s">
        <v>65</v>
      </c>
      <c r="L26" s="3" t="s">
        <v>40</v>
      </c>
      <c r="M26">
        <v>1</v>
      </c>
    </row>
    <row r="27" spans="1:13" x14ac:dyDescent="0.25">
      <c r="A27" s="2">
        <v>46227</v>
      </c>
      <c r="B27" s="1" t="str">
        <f ca="1">IF(Información1[[#This Row],[Fecha]]='Ajuste de fechas'!$A$2,"Día actual","Día anterior")</f>
        <v>Día anterior</v>
      </c>
      <c r="C27" s="3" t="s">
        <v>50</v>
      </c>
      <c r="D27" t="s">
        <v>52</v>
      </c>
      <c r="E27" s="3" t="s">
        <v>183</v>
      </c>
      <c r="F27" s="3" t="s">
        <v>22</v>
      </c>
      <c r="G27" s="3" t="s">
        <v>179</v>
      </c>
      <c r="H27" s="3" t="s">
        <v>11</v>
      </c>
      <c r="I27" s="3" t="s">
        <v>7</v>
      </c>
      <c r="J27" s="3" t="s">
        <v>44</v>
      </c>
      <c r="K27" s="3" t="s">
        <v>51</v>
      </c>
      <c r="L27" s="3" t="s">
        <v>76</v>
      </c>
      <c r="M27">
        <v>1</v>
      </c>
    </row>
    <row r="28" spans="1:13" x14ac:dyDescent="0.25">
      <c r="A28" s="2">
        <v>46227</v>
      </c>
      <c r="B28" s="1" t="str">
        <f ca="1">IF(Información1[[#This Row],[Fecha]]='Ajuste de fechas'!$A$2,"Día actual","Día anterior")</f>
        <v>Día anterior</v>
      </c>
      <c r="C28" s="3" t="s">
        <v>50</v>
      </c>
      <c r="D28" t="s">
        <v>52</v>
      </c>
      <c r="E28" s="3" t="s">
        <v>184</v>
      </c>
      <c r="F28" s="3" t="s">
        <v>19</v>
      </c>
      <c r="G28" s="3" t="s">
        <v>98</v>
      </c>
      <c r="H28" s="3" t="s">
        <v>11</v>
      </c>
      <c r="I28" s="3" t="s">
        <v>7</v>
      </c>
      <c r="J28" s="3" t="s">
        <v>43</v>
      </c>
      <c r="K28" s="3" t="s">
        <v>49</v>
      </c>
      <c r="L28" s="3" t="s">
        <v>76</v>
      </c>
      <c r="M28">
        <v>1</v>
      </c>
    </row>
    <row r="29" spans="1:13" x14ac:dyDescent="0.25">
      <c r="A29" s="2">
        <v>46227</v>
      </c>
      <c r="B29" s="1" t="str">
        <f ca="1">IF(Información1[[#This Row],[Fecha]]='Ajuste de fechas'!$A$2,"Día actual","Día anterior")</f>
        <v>Día anterior</v>
      </c>
      <c r="C29" s="3" t="s">
        <v>50</v>
      </c>
      <c r="D29" t="s">
        <v>52</v>
      </c>
      <c r="E29" s="3" t="s">
        <v>172</v>
      </c>
      <c r="F29" s="3" t="s">
        <v>19</v>
      </c>
      <c r="G29" s="3" t="s">
        <v>82</v>
      </c>
      <c r="H29" s="3" t="s">
        <v>11</v>
      </c>
      <c r="I29" s="3" t="s">
        <v>7</v>
      </c>
      <c r="J29" s="3" t="s">
        <v>43</v>
      </c>
      <c r="K29" s="3" t="s">
        <v>49</v>
      </c>
      <c r="L29" s="3" t="s">
        <v>40</v>
      </c>
      <c r="M29">
        <v>1</v>
      </c>
    </row>
    <row r="30" spans="1:13" x14ac:dyDescent="0.25">
      <c r="A30" s="2">
        <v>46227</v>
      </c>
      <c r="B30" s="1" t="str">
        <f ca="1">IF(Información1[[#This Row],[Fecha]]='Ajuste de fechas'!$A$2,"Día actual","Día anterior")</f>
        <v>Día anterior</v>
      </c>
      <c r="C30" s="3" t="s">
        <v>50</v>
      </c>
      <c r="D30" t="s">
        <v>52</v>
      </c>
      <c r="E30" s="3" t="s">
        <v>160</v>
      </c>
      <c r="F30" s="3" t="s">
        <v>89</v>
      </c>
      <c r="G30" s="3" t="s">
        <v>161</v>
      </c>
      <c r="H30" s="3" t="s">
        <v>11</v>
      </c>
      <c r="I30" s="3" t="s">
        <v>7</v>
      </c>
      <c r="J30" s="3" t="s">
        <v>24</v>
      </c>
      <c r="K30" s="3" t="s">
        <v>51</v>
      </c>
      <c r="L30" s="3" t="s">
        <v>40</v>
      </c>
      <c r="M30">
        <v>1</v>
      </c>
    </row>
    <row r="31" spans="1:13" x14ac:dyDescent="0.25">
      <c r="A31" s="2">
        <v>46227</v>
      </c>
      <c r="B31" s="1" t="str">
        <f ca="1">IF(Información1[[#This Row],[Fecha]]='Ajuste de fechas'!$A$2,"Día actual","Día anterior")</f>
        <v>Día anterior</v>
      </c>
      <c r="C31" s="3" t="s">
        <v>8</v>
      </c>
      <c r="D31" t="s">
        <v>10</v>
      </c>
      <c r="E31" s="3" t="s">
        <v>107</v>
      </c>
      <c r="F31" s="3" t="s">
        <v>48</v>
      </c>
      <c r="G31" s="3" t="s">
        <v>100</v>
      </c>
      <c r="H31" s="3" t="s">
        <v>11</v>
      </c>
      <c r="I31" s="3" t="s">
        <v>7</v>
      </c>
      <c r="J31" s="3" t="s">
        <v>39</v>
      </c>
      <c r="K31" s="3" t="s">
        <v>14</v>
      </c>
      <c r="L31" s="3" t="s">
        <v>42</v>
      </c>
      <c r="M31">
        <v>1</v>
      </c>
    </row>
    <row r="32" spans="1:13" x14ac:dyDescent="0.25">
      <c r="A32" s="2">
        <v>46227</v>
      </c>
      <c r="B32" s="1" t="str">
        <f ca="1">IF(Información1[[#This Row],[Fecha]]='Ajuste de fechas'!$A$2,"Día actual","Día anterior")</f>
        <v>Día anterior</v>
      </c>
      <c r="C32" s="3" t="s">
        <v>8</v>
      </c>
      <c r="D32" t="s">
        <v>10</v>
      </c>
      <c r="E32" s="3" t="s">
        <v>108</v>
      </c>
      <c r="F32" s="3" t="s">
        <v>23</v>
      </c>
      <c r="G32" s="3" t="s">
        <v>109</v>
      </c>
      <c r="H32" s="3" t="s">
        <v>11</v>
      </c>
      <c r="I32" s="3" t="s">
        <v>7</v>
      </c>
      <c r="J32" s="3" t="s">
        <v>39</v>
      </c>
      <c r="K32" s="3" t="s">
        <v>14</v>
      </c>
      <c r="L32" s="3" t="s">
        <v>42</v>
      </c>
      <c r="M32">
        <v>1</v>
      </c>
    </row>
    <row r="33" spans="1:13" x14ac:dyDescent="0.25">
      <c r="A33" s="2">
        <v>46227</v>
      </c>
      <c r="B33" s="1" t="str">
        <f ca="1">IF(Información1[[#This Row],[Fecha]]='Ajuste de fechas'!$A$2,"Día actual","Día anterior")</f>
        <v>Día anterior</v>
      </c>
      <c r="C33" s="3" t="s">
        <v>28</v>
      </c>
      <c r="D33" t="s">
        <v>79</v>
      </c>
      <c r="E33" s="3" t="s">
        <v>110</v>
      </c>
      <c r="F33" s="3" t="s">
        <v>21</v>
      </c>
      <c r="G33" s="3" t="s">
        <v>96</v>
      </c>
      <c r="H33" s="3" t="s">
        <v>11</v>
      </c>
      <c r="I33" s="3" t="s">
        <v>7</v>
      </c>
      <c r="J33" s="3" t="s">
        <v>39</v>
      </c>
      <c r="K33" s="3" t="s">
        <v>80</v>
      </c>
      <c r="L33" s="3" t="s">
        <v>40</v>
      </c>
      <c r="M33">
        <v>1</v>
      </c>
    </row>
    <row r="34" spans="1:13" x14ac:dyDescent="0.25">
      <c r="A34" s="2">
        <v>46227</v>
      </c>
      <c r="B34" s="1" t="str">
        <f ca="1">IF(Información1[[#This Row],[Fecha]]='Ajuste de fechas'!$A$2,"Día actual","Día anterior")</f>
        <v>Día anterior</v>
      </c>
      <c r="C34" s="3" t="s">
        <v>8</v>
      </c>
      <c r="D34" t="s">
        <v>10</v>
      </c>
      <c r="E34" s="3" t="s">
        <v>114</v>
      </c>
      <c r="F34" s="3" t="s">
        <v>92</v>
      </c>
      <c r="G34" s="3" t="s">
        <v>115</v>
      </c>
      <c r="H34" s="3" t="s">
        <v>11</v>
      </c>
      <c r="I34" s="3" t="s">
        <v>7</v>
      </c>
      <c r="J34" s="3" t="s">
        <v>39</v>
      </c>
      <c r="K34" s="3" t="s">
        <v>14</v>
      </c>
      <c r="L34" s="3" t="s">
        <v>42</v>
      </c>
      <c r="M34">
        <v>1</v>
      </c>
    </row>
    <row r="35" spans="1:13" x14ac:dyDescent="0.25">
      <c r="A35" s="2">
        <v>46227</v>
      </c>
      <c r="B35" s="1" t="str">
        <f ca="1">IF(Información1[[#This Row],[Fecha]]='Ajuste de fechas'!$A$2,"Día actual","Día anterior")</f>
        <v>Día anterior</v>
      </c>
      <c r="C35" s="3" t="s">
        <v>28</v>
      </c>
      <c r="D35" t="s">
        <v>79</v>
      </c>
      <c r="E35" s="3" t="s">
        <v>116</v>
      </c>
      <c r="F35" s="3" t="s">
        <v>23</v>
      </c>
      <c r="G35" s="3" t="s">
        <v>109</v>
      </c>
      <c r="H35" s="3" t="s">
        <v>11</v>
      </c>
      <c r="I35" s="3" t="s">
        <v>7</v>
      </c>
      <c r="J35" s="3" t="s">
        <v>39</v>
      </c>
      <c r="K35" s="3" t="s">
        <v>80</v>
      </c>
      <c r="L35" s="3" t="s">
        <v>40</v>
      </c>
      <c r="M35">
        <v>1</v>
      </c>
    </row>
    <row r="36" spans="1:13" x14ac:dyDescent="0.25">
      <c r="A36" s="2">
        <v>46227</v>
      </c>
      <c r="B36" s="1" t="str">
        <f ca="1">IF(Información1[[#This Row],[Fecha]]='Ajuste de fechas'!$A$2,"Día actual","Día anterior")</f>
        <v>Día anterior</v>
      </c>
      <c r="C36" s="3" t="s">
        <v>28</v>
      </c>
      <c r="D36" t="s">
        <v>79</v>
      </c>
      <c r="E36" s="3" t="s">
        <v>119</v>
      </c>
      <c r="F36" s="3" t="s">
        <v>15</v>
      </c>
      <c r="G36" s="3" t="s">
        <v>120</v>
      </c>
      <c r="H36" s="3" t="s">
        <v>11</v>
      </c>
      <c r="I36" s="3" t="s">
        <v>7</v>
      </c>
      <c r="J36" s="3" t="s">
        <v>39</v>
      </c>
      <c r="K36" s="3" t="s">
        <v>80</v>
      </c>
      <c r="L36" s="3" t="s">
        <v>40</v>
      </c>
      <c r="M36">
        <v>1</v>
      </c>
    </row>
    <row r="37" spans="1:13" x14ac:dyDescent="0.25">
      <c r="A37" s="2">
        <v>46227</v>
      </c>
      <c r="B37" s="1" t="str">
        <f ca="1">IF(Información1[[#This Row],[Fecha]]='Ajuste de fechas'!$A$2,"Día actual","Día anterior")</f>
        <v>Día anterior</v>
      </c>
      <c r="C37" s="3" t="s">
        <v>28</v>
      </c>
      <c r="D37" t="s">
        <v>79</v>
      </c>
      <c r="E37" s="3" t="s">
        <v>121</v>
      </c>
      <c r="F37" s="3" t="s">
        <v>31</v>
      </c>
      <c r="G37" s="3" t="s">
        <v>122</v>
      </c>
      <c r="H37" s="3" t="s">
        <v>11</v>
      </c>
      <c r="I37" s="3" t="s">
        <v>7</v>
      </c>
      <c r="J37" s="3" t="s">
        <v>39</v>
      </c>
      <c r="K37" s="3" t="s">
        <v>80</v>
      </c>
      <c r="L37" s="3" t="s">
        <v>40</v>
      </c>
      <c r="M37">
        <v>1</v>
      </c>
    </row>
    <row r="38" spans="1:13" x14ac:dyDescent="0.25">
      <c r="A38" s="2">
        <v>46227</v>
      </c>
      <c r="B38" s="1" t="str">
        <f ca="1">IF(Información1[[#This Row],[Fecha]]='Ajuste de fechas'!$A$2,"Día actual","Día anterior")</f>
        <v>Día anterior</v>
      </c>
      <c r="C38" s="3" t="s">
        <v>71</v>
      </c>
      <c r="D38" t="s">
        <v>72</v>
      </c>
      <c r="E38" s="3" t="s">
        <v>123</v>
      </c>
      <c r="F38" s="3" t="s">
        <v>124</v>
      </c>
      <c r="G38" s="3" t="s">
        <v>125</v>
      </c>
      <c r="H38" s="3" t="s">
        <v>11</v>
      </c>
      <c r="I38" s="3" t="s">
        <v>7</v>
      </c>
      <c r="J38" s="3" t="s">
        <v>39</v>
      </c>
      <c r="K38" s="3" t="s">
        <v>73</v>
      </c>
      <c r="L38" s="3" t="s">
        <v>42</v>
      </c>
      <c r="M38">
        <v>1</v>
      </c>
    </row>
    <row r="39" spans="1:13" x14ac:dyDescent="0.25">
      <c r="A39" s="2">
        <v>46227</v>
      </c>
      <c r="B39" s="1" t="str">
        <f ca="1">IF(Información1[[#This Row],[Fecha]]='Ajuste de fechas'!$A$2,"Día actual","Día anterior")</f>
        <v>Día anterior</v>
      </c>
      <c r="C39" s="3" t="s">
        <v>28</v>
      </c>
      <c r="D39" t="s">
        <v>79</v>
      </c>
      <c r="E39" s="3" t="s">
        <v>127</v>
      </c>
      <c r="F39" s="3" t="s">
        <v>26</v>
      </c>
      <c r="G39" s="3" t="s">
        <v>126</v>
      </c>
      <c r="H39" s="3" t="s">
        <v>11</v>
      </c>
      <c r="I39" s="3" t="s">
        <v>7</v>
      </c>
      <c r="J39" s="3" t="s">
        <v>39</v>
      </c>
      <c r="K39" s="3" t="s">
        <v>80</v>
      </c>
      <c r="L39" s="3" t="s">
        <v>40</v>
      </c>
      <c r="M39">
        <v>1</v>
      </c>
    </row>
    <row r="40" spans="1:13" x14ac:dyDescent="0.25">
      <c r="A40" s="2">
        <v>46227</v>
      </c>
      <c r="B40" s="1" t="str">
        <f ca="1">IF(Información1[[#This Row],[Fecha]]='Ajuste de fechas'!$A$2,"Día actual","Día anterior")</f>
        <v>Día anterior</v>
      </c>
      <c r="C40" s="3" t="s">
        <v>71</v>
      </c>
      <c r="D40" t="s">
        <v>72</v>
      </c>
      <c r="E40" s="3" t="s">
        <v>136</v>
      </c>
      <c r="F40" s="3" t="s">
        <v>31</v>
      </c>
      <c r="G40" s="3" t="s">
        <v>83</v>
      </c>
      <c r="H40" s="3" t="s">
        <v>11</v>
      </c>
      <c r="I40" s="3" t="s">
        <v>7</v>
      </c>
      <c r="J40" s="3" t="s">
        <v>39</v>
      </c>
      <c r="K40" s="3" t="s">
        <v>73</v>
      </c>
      <c r="L40" s="3" t="s">
        <v>42</v>
      </c>
      <c r="M40">
        <v>1</v>
      </c>
    </row>
    <row r="41" spans="1:13" x14ac:dyDescent="0.25">
      <c r="A41" s="2">
        <v>46227</v>
      </c>
      <c r="B41" s="1" t="str">
        <f ca="1">IF(Información1[[#This Row],[Fecha]]='Ajuste de fechas'!$A$2,"Día actual","Día anterior")</f>
        <v>Día anterior</v>
      </c>
      <c r="C41" s="3" t="s">
        <v>28</v>
      </c>
      <c r="D41" t="s">
        <v>79</v>
      </c>
      <c r="E41" s="3" t="s">
        <v>137</v>
      </c>
      <c r="F41" s="3" t="s">
        <v>31</v>
      </c>
      <c r="G41" s="3" t="s">
        <v>83</v>
      </c>
      <c r="H41" s="3" t="s">
        <v>11</v>
      </c>
      <c r="I41" s="3" t="s">
        <v>7</v>
      </c>
      <c r="J41" s="3" t="s">
        <v>39</v>
      </c>
      <c r="K41" s="3" t="s">
        <v>80</v>
      </c>
      <c r="L41" s="3" t="s">
        <v>40</v>
      </c>
      <c r="M41">
        <v>1</v>
      </c>
    </row>
    <row r="42" spans="1:13" x14ac:dyDescent="0.25">
      <c r="A42" s="2">
        <v>46227</v>
      </c>
      <c r="B42" s="1" t="str">
        <f ca="1">IF(Información1[[#This Row],[Fecha]]='Ajuste de fechas'!$A$2,"Día actual","Día anterior")</f>
        <v>Día anterior</v>
      </c>
      <c r="C42" s="3" t="s">
        <v>71</v>
      </c>
      <c r="D42" t="s">
        <v>72</v>
      </c>
      <c r="E42" s="3" t="s">
        <v>141</v>
      </c>
      <c r="F42" s="3" t="s">
        <v>26</v>
      </c>
      <c r="G42" s="3" t="s">
        <v>91</v>
      </c>
      <c r="H42" s="3" t="s">
        <v>11</v>
      </c>
      <c r="I42" s="3" t="s">
        <v>7</v>
      </c>
      <c r="J42" s="3" t="s">
        <v>39</v>
      </c>
      <c r="K42" s="3" t="s">
        <v>73</v>
      </c>
      <c r="L42" s="3" t="s">
        <v>42</v>
      </c>
      <c r="M42">
        <v>1</v>
      </c>
    </row>
    <row r="43" spans="1:13" x14ac:dyDescent="0.25">
      <c r="A43" s="2">
        <v>46227</v>
      </c>
      <c r="B43" s="1" t="str">
        <f ca="1">IF(Información1[[#This Row],[Fecha]]='Ajuste de fechas'!$A$2,"Día actual","Día anterior")</f>
        <v>Día anterior</v>
      </c>
      <c r="C43" s="3" t="s">
        <v>8</v>
      </c>
      <c r="D43" t="s">
        <v>10</v>
      </c>
      <c r="E43" s="3" t="s">
        <v>145</v>
      </c>
      <c r="F43" s="3" t="s">
        <v>6</v>
      </c>
      <c r="G43" s="3" t="s">
        <v>78</v>
      </c>
      <c r="H43" s="3" t="s">
        <v>11</v>
      </c>
      <c r="I43" s="3" t="s">
        <v>25</v>
      </c>
      <c r="J43" s="3" t="s">
        <v>39</v>
      </c>
      <c r="K43" s="3" t="s">
        <v>9</v>
      </c>
      <c r="L43" s="3" t="s">
        <v>41</v>
      </c>
      <c r="M43">
        <v>1</v>
      </c>
    </row>
    <row r="44" spans="1:13" x14ac:dyDescent="0.25">
      <c r="A44" s="2">
        <v>46227</v>
      </c>
      <c r="B44" s="1" t="str">
        <f ca="1">IF(Información1[[#This Row],[Fecha]]='Ajuste de fechas'!$A$2,"Día actual","Día anterior")</f>
        <v>Día anterior</v>
      </c>
      <c r="C44" s="3" t="s">
        <v>8</v>
      </c>
      <c r="D44" t="s">
        <v>10</v>
      </c>
      <c r="E44" s="3" t="s">
        <v>146</v>
      </c>
      <c r="F44" s="3" t="s">
        <v>6</v>
      </c>
      <c r="G44" s="3" t="s">
        <v>78</v>
      </c>
      <c r="H44" s="3" t="s">
        <v>11</v>
      </c>
      <c r="I44" s="3" t="s">
        <v>25</v>
      </c>
      <c r="J44" s="3" t="s">
        <v>39</v>
      </c>
      <c r="K44" s="3" t="s">
        <v>9</v>
      </c>
      <c r="L44" s="3" t="s">
        <v>41</v>
      </c>
      <c r="M44">
        <v>1</v>
      </c>
    </row>
    <row r="45" spans="1:13" x14ac:dyDescent="0.25">
      <c r="A45" s="2">
        <v>46227</v>
      </c>
      <c r="B45" s="1" t="str">
        <f ca="1">IF(Información1[[#This Row],[Fecha]]='Ajuste de fechas'!$A$2,"Día actual","Día anterior")</f>
        <v>Día anterior</v>
      </c>
      <c r="C45" s="3" t="s">
        <v>8</v>
      </c>
      <c r="D45" t="s">
        <v>10</v>
      </c>
      <c r="E45" s="3" t="s">
        <v>147</v>
      </c>
      <c r="F45" s="3" t="s">
        <v>17</v>
      </c>
      <c r="G45" s="3" t="s">
        <v>70</v>
      </c>
      <c r="H45" s="3" t="s">
        <v>11</v>
      </c>
      <c r="I45" s="3" t="s">
        <v>25</v>
      </c>
      <c r="J45" s="3" t="s">
        <v>39</v>
      </c>
      <c r="K45" s="3" t="s">
        <v>9</v>
      </c>
      <c r="L45" s="3" t="s">
        <v>41</v>
      </c>
      <c r="M45">
        <v>1</v>
      </c>
    </row>
    <row r="46" spans="1:13" x14ac:dyDescent="0.25">
      <c r="A46" s="2">
        <v>46227</v>
      </c>
      <c r="B46" s="1" t="str">
        <f ca="1">IF(Información1[[#This Row],[Fecha]]='Ajuste de fechas'!$A$2,"Día actual","Día anterior")</f>
        <v>Día anterior</v>
      </c>
      <c r="C46" s="3" t="s">
        <v>8</v>
      </c>
      <c r="D46" t="s">
        <v>10</v>
      </c>
      <c r="E46" s="3" t="s">
        <v>13</v>
      </c>
      <c r="F46" s="3" t="s">
        <v>15</v>
      </c>
      <c r="G46" s="3" t="s">
        <v>32</v>
      </c>
      <c r="H46" s="3" t="s">
        <v>11</v>
      </c>
      <c r="I46" s="3" t="s">
        <v>12</v>
      </c>
      <c r="J46" s="3" t="s">
        <v>39</v>
      </c>
      <c r="K46" s="3" t="s">
        <v>14</v>
      </c>
      <c r="L46" s="3" t="s">
        <v>41</v>
      </c>
      <c r="M46">
        <v>1</v>
      </c>
    </row>
    <row r="47" spans="1:13" x14ac:dyDescent="0.25">
      <c r="A47" s="2">
        <v>46227</v>
      </c>
      <c r="B47" s="1" t="str">
        <f ca="1">IF(Información1[[#This Row],[Fecha]]='Ajuste de fechas'!$A$2,"Día actual","Día anterior")</f>
        <v>Día anterior</v>
      </c>
      <c r="C47" s="3" t="s">
        <v>8</v>
      </c>
      <c r="D47" t="s">
        <v>10</v>
      </c>
      <c r="E47" s="3" t="s">
        <v>16</v>
      </c>
      <c r="F47" s="3" t="s">
        <v>17</v>
      </c>
      <c r="G47" s="3" t="s">
        <v>32</v>
      </c>
      <c r="H47" s="3" t="s">
        <v>11</v>
      </c>
      <c r="I47" s="3" t="s">
        <v>12</v>
      </c>
      <c r="J47" s="3" t="s">
        <v>39</v>
      </c>
      <c r="K47" s="3" t="s">
        <v>14</v>
      </c>
      <c r="L47" s="3" t="s">
        <v>41</v>
      </c>
      <c r="M47">
        <v>1</v>
      </c>
    </row>
    <row r="48" spans="1:13" x14ac:dyDescent="0.25">
      <c r="A48" s="2">
        <v>46227</v>
      </c>
      <c r="B48" s="1" t="str">
        <f ca="1">IF(Información1[[#This Row],[Fecha]]='Ajuste de fechas'!$A$2,"Día actual","Día anterior")</f>
        <v>Día anterior</v>
      </c>
      <c r="C48" s="3" t="s">
        <v>8</v>
      </c>
      <c r="D48" t="s">
        <v>10</v>
      </c>
      <c r="E48" s="3" t="s">
        <v>53</v>
      </c>
      <c r="F48" s="3" t="s">
        <v>6</v>
      </c>
      <c r="G48" s="3" t="s">
        <v>32</v>
      </c>
      <c r="H48" s="3" t="s">
        <v>11</v>
      </c>
      <c r="I48" s="3" t="s">
        <v>12</v>
      </c>
      <c r="J48" s="3" t="s">
        <v>39</v>
      </c>
      <c r="K48" s="3" t="s">
        <v>14</v>
      </c>
      <c r="L48" s="3" t="s">
        <v>41</v>
      </c>
      <c r="M48">
        <v>1</v>
      </c>
    </row>
    <row r="49" spans="1:13" x14ac:dyDescent="0.25">
      <c r="A49" s="2">
        <v>46227</v>
      </c>
      <c r="B49" s="1" t="str">
        <f ca="1">IF(Información1[[#This Row],[Fecha]]='Ajuste de fechas'!$A$2,"Día actual","Día anterior")</f>
        <v>Día anterior</v>
      </c>
      <c r="C49" s="3" t="s">
        <v>8</v>
      </c>
      <c r="D49" t="s">
        <v>10</v>
      </c>
      <c r="E49" s="3" t="s">
        <v>150</v>
      </c>
      <c r="F49" s="3" t="s">
        <v>6</v>
      </c>
      <c r="G49" s="3" t="s">
        <v>68</v>
      </c>
      <c r="H49" s="3" t="s">
        <v>11</v>
      </c>
      <c r="I49" s="3" t="s">
        <v>12</v>
      </c>
      <c r="J49" s="3" t="s">
        <v>39</v>
      </c>
      <c r="K49" s="3" t="s">
        <v>9</v>
      </c>
      <c r="L49" s="3" t="s">
        <v>41</v>
      </c>
      <c r="M49">
        <v>1</v>
      </c>
    </row>
    <row r="50" spans="1:13" x14ac:dyDescent="0.25">
      <c r="A50" s="2">
        <v>46227</v>
      </c>
      <c r="B50" s="1" t="str">
        <f ca="1">IF(Información1[[#This Row],[Fecha]]='Ajuste de fechas'!$A$2,"Día actual","Día anterior")</f>
        <v>Día anterior</v>
      </c>
      <c r="C50" s="3" t="s">
        <v>50</v>
      </c>
      <c r="D50" t="s">
        <v>55</v>
      </c>
      <c r="E50" s="3" t="s">
        <v>157</v>
      </c>
      <c r="F50" s="3" t="s">
        <v>6</v>
      </c>
      <c r="G50" s="3" t="s">
        <v>78</v>
      </c>
      <c r="H50" s="3" t="s">
        <v>11</v>
      </c>
      <c r="I50" s="3" t="s">
        <v>25</v>
      </c>
      <c r="J50" s="3" t="s">
        <v>39</v>
      </c>
      <c r="K50" s="3" t="s">
        <v>9</v>
      </c>
      <c r="L50" s="3" t="s">
        <v>41</v>
      </c>
      <c r="M50">
        <v>1</v>
      </c>
    </row>
    <row r="51" spans="1:13" x14ac:dyDescent="0.25">
      <c r="A51" s="2">
        <v>46227</v>
      </c>
      <c r="B51" s="1" t="str">
        <f ca="1">IF(Información1[[#This Row],[Fecha]]='Ajuste de fechas'!$A$2,"Día actual","Día anterior")</f>
        <v>Día anterior</v>
      </c>
      <c r="C51" s="3" t="s">
        <v>50</v>
      </c>
      <c r="D51" t="s">
        <v>55</v>
      </c>
      <c r="E51" s="3" t="s">
        <v>158</v>
      </c>
      <c r="F51" s="3" t="s">
        <v>21</v>
      </c>
      <c r="G51" s="3" t="s">
        <v>159</v>
      </c>
      <c r="H51" s="3" t="s">
        <v>11</v>
      </c>
      <c r="I51" s="3" t="s">
        <v>7</v>
      </c>
      <c r="J51" s="3" t="s">
        <v>39</v>
      </c>
      <c r="K51" s="3" t="s">
        <v>51</v>
      </c>
      <c r="L51" s="3" t="s">
        <v>42</v>
      </c>
      <c r="M51">
        <v>1</v>
      </c>
    </row>
    <row r="52" spans="1:13" x14ac:dyDescent="0.25">
      <c r="A52" s="2">
        <v>46227</v>
      </c>
      <c r="B52" s="1" t="str">
        <f ca="1">IF(Información1[[#This Row],[Fecha]]='Ajuste de fechas'!$A$2,"Día actual","Día anterior")</f>
        <v>Día anterior</v>
      </c>
      <c r="C52" s="3" t="s">
        <v>50</v>
      </c>
      <c r="D52" t="s">
        <v>55</v>
      </c>
      <c r="E52" s="3" t="s">
        <v>162</v>
      </c>
      <c r="F52" s="3" t="s">
        <v>21</v>
      </c>
      <c r="G52" s="3" t="s">
        <v>88</v>
      </c>
      <c r="H52" s="3" t="s">
        <v>11</v>
      </c>
      <c r="I52" s="3" t="s">
        <v>7</v>
      </c>
      <c r="J52" s="3" t="s">
        <v>39</v>
      </c>
      <c r="K52" s="3" t="s">
        <v>75</v>
      </c>
      <c r="L52" s="3" t="s">
        <v>42</v>
      </c>
      <c r="M52">
        <v>1</v>
      </c>
    </row>
    <row r="53" spans="1:13" x14ac:dyDescent="0.25">
      <c r="A53" s="2">
        <v>46227</v>
      </c>
      <c r="B53" s="1" t="str">
        <f ca="1">IF(Información1[[#This Row],[Fecha]]='Ajuste de fechas'!$A$2,"Día actual","Día anterior")</f>
        <v>Día anterior</v>
      </c>
      <c r="C53" s="3" t="s">
        <v>63</v>
      </c>
      <c r="D53" t="s">
        <v>64</v>
      </c>
      <c r="E53" s="3" t="s">
        <v>163</v>
      </c>
      <c r="F53" s="3" t="s">
        <v>6</v>
      </c>
      <c r="G53" s="3" t="s">
        <v>164</v>
      </c>
      <c r="H53" s="3" t="s">
        <v>11</v>
      </c>
      <c r="I53" s="3" t="s">
        <v>7</v>
      </c>
      <c r="J53" s="3" t="s">
        <v>39</v>
      </c>
      <c r="K53" s="3" t="s">
        <v>65</v>
      </c>
      <c r="L53" s="3" t="s">
        <v>40</v>
      </c>
      <c r="M53">
        <v>1</v>
      </c>
    </row>
    <row r="54" spans="1:13" x14ac:dyDescent="0.25">
      <c r="A54" s="2">
        <v>46227</v>
      </c>
      <c r="B54" s="1" t="str">
        <f ca="1">IF(Información1[[#This Row],[Fecha]]='Ajuste de fechas'!$A$2,"Día actual","Día anterior")</f>
        <v>Día anterior</v>
      </c>
      <c r="C54" s="3" t="s">
        <v>63</v>
      </c>
      <c r="D54" t="s">
        <v>64</v>
      </c>
      <c r="E54" s="3" t="s">
        <v>162</v>
      </c>
      <c r="F54" s="3" t="s">
        <v>21</v>
      </c>
      <c r="G54" s="3" t="s">
        <v>88</v>
      </c>
      <c r="H54" s="3" t="s">
        <v>11</v>
      </c>
      <c r="I54" s="3" t="s">
        <v>7</v>
      </c>
      <c r="J54" s="3" t="s">
        <v>39</v>
      </c>
      <c r="K54" s="3" t="s">
        <v>65</v>
      </c>
      <c r="L54" s="3" t="s">
        <v>42</v>
      </c>
      <c r="M54">
        <v>1</v>
      </c>
    </row>
    <row r="55" spans="1:13" x14ac:dyDescent="0.25">
      <c r="A55" s="2">
        <v>46227</v>
      </c>
      <c r="B55" s="1" t="str">
        <f ca="1">IF(Información1[[#This Row],[Fecha]]='Ajuste de fechas'!$A$2,"Día actual","Día anterior")</f>
        <v>Día anterior</v>
      </c>
      <c r="C55" s="3" t="s">
        <v>63</v>
      </c>
      <c r="D55" t="s">
        <v>64</v>
      </c>
      <c r="E55" s="3" t="s">
        <v>174</v>
      </c>
      <c r="F55" s="3" t="s">
        <v>15</v>
      </c>
      <c r="G55" s="3" t="s">
        <v>120</v>
      </c>
      <c r="H55" s="3" t="s">
        <v>11</v>
      </c>
      <c r="I55" s="3" t="s">
        <v>7</v>
      </c>
      <c r="J55" s="3" t="s">
        <v>39</v>
      </c>
      <c r="K55" s="3" t="s">
        <v>65</v>
      </c>
      <c r="L55" s="3" t="s">
        <v>42</v>
      </c>
      <c r="M55">
        <v>1</v>
      </c>
    </row>
    <row r="56" spans="1:13" x14ac:dyDescent="0.25">
      <c r="A56" s="2">
        <v>46227</v>
      </c>
      <c r="B56" s="1" t="str">
        <f ca="1">IF(Información1[[#This Row],[Fecha]]='Ajuste de fechas'!$A$2,"Día actual","Día anterior")</f>
        <v>Día anterior</v>
      </c>
      <c r="C56" s="3" t="s">
        <v>63</v>
      </c>
      <c r="D56" t="s">
        <v>64</v>
      </c>
      <c r="E56" s="3" t="s">
        <v>175</v>
      </c>
      <c r="F56" s="3" t="s">
        <v>23</v>
      </c>
      <c r="G56" s="3" t="s">
        <v>176</v>
      </c>
      <c r="H56" s="3" t="s">
        <v>11</v>
      </c>
      <c r="I56" s="3" t="s">
        <v>7</v>
      </c>
      <c r="J56" s="3" t="s">
        <v>39</v>
      </c>
      <c r="K56" s="3" t="s">
        <v>65</v>
      </c>
      <c r="L56" s="3" t="s">
        <v>42</v>
      </c>
      <c r="M56">
        <v>1</v>
      </c>
    </row>
    <row r="57" spans="1:13" x14ac:dyDescent="0.25">
      <c r="A57" s="2">
        <v>46227</v>
      </c>
      <c r="B57" s="1" t="str">
        <f ca="1">IF(Información1[[#This Row],[Fecha]]='Ajuste de fechas'!$A$2,"Día actual","Día anterior")</f>
        <v>Día anterior</v>
      </c>
      <c r="C57" s="3" t="s">
        <v>63</v>
      </c>
      <c r="D57" t="s">
        <v>64</v>
      </c>
      <c r="E57" s="3" t="s">
        <v>177</v>
      </c>
      <c r="F57" s="3" t="s">
        <v>178</v>
      </c>
      <c r="G57" s="3" t="s">
        <v>179</v>
      </c>
      <c r="H57" s="3" t="s">
        <v>11</v>
      </c>
      <c r="I57" s="3" t="s">
        <v>7</v>
      </c>
      <c r="J57" s="3" t="s">
        <v>39</v>
      </c>
      <c r="K57" s="3" t="s">
        <v>65</v>
      </c>
      <c r="L57" s="3" t="s">
        <v>42</v>
      </c>
      <c r="M57">
        <v>1</v>
      </c>
    </row>
    <row r="58" spans="1:13" x14ac:dyDescent="0.25">
      <c r="A58" s="2">
        <v>46227</v>
      </c>
      <c r="B58" s="1" t="str">
        <f ca="1">IF(Información1[[#This Row],[Fecha]]='Ajuste de fechas'!$A$2,"Día actual","Día anterior")</f>
        <v>Día anterior</v>
      </c>
      <c r="C58" s="3" t="s">
        <v>63</v>
      </c>
      <c r="D58" t="s">
        <v>64</v>
      </c>
      <c r="E58" s="3" t="s">
        <v>180</v>
      </c>
      <c r="F58" s="3" t="s">
        <v>95</v>
      </c>
      <c r="G58" s="3" t="s">
        <v>181</v>
      </c>
      <c r="H58" s="3" t="s">
        <v>11</v>
      </c>
      <c r="I58" s="3" t="s">
        <v>7</v>
      </c>
      <c r="J58" s="3" t="s">
        <v>39</v>
      </c>
      <c r="K58" s="3" t="s">
        <v>65</v>
      </c>
      <c r="L58" s="3" t="s">
        <v>42</v>
      </c>
      <c r="M58">
        <v>1</v>
      </c>
    </row>
    <row r="59" spans="1:13" x14ac:dyDescent="0.25">
      <c r="A59" s="2">
        <v>46227</v>
      </c>
      <c r="B59" s="1" t="str">
        <f ca="1">IF(Información1[[#This Row],[Fecha]]='Ajuste de fechas'!$A$2,"Día actual","Día anterior")</f>
        <v>Día anterior</v>
      </c>
      <c r="C59" s="3" t="s">
        <v>63</v>
      </c>
      <c r="D59" t="s">
        <v>64</v>
      </c>
      <c r="E59" s="3" t="s">
        <v>108</v>
      </c>
      <c r="F59" s="3" t="s">
        <v>23</v>
      </c>
      <c r="G59" s="3" t="s">
        <v>109</v>
      </c>
      <c r="H59" s="3" t="s">
        <v>11</v>
      </c>
      <c r="I59" s="3" t="s">
        <v>7</v>
      </c>
      <c r="J59" s="3" t="s">
        <v>39</v>
      </c>
      <c r="K59" s="3" t="s">
        <v>65</v>
      </c>
      <c r="L59" s="3" t="s">
        <v>42</v>
      </c>
      <c r="M59">
        <v>1</v>
      </c>
    </row>
    <row r="60" spans="1:13" x14ac:dyDescent="0.25">
      <c r="A60" s="2">
        <v>46227</v>
      </c>
      <c r="B60" s="1" t="str">
        <f ca="1">IF(Información1[[#This Row],[Fecha]]='Ajuste de fechas'!$A$2,"Día actual","Día anterior")</f>
        <v>Día anterior</v>
      </c>
      <c r="C60" s="3" t="s">
        <v>63</v>
      </c>
      <c r="D60" t="s">
        <v>64</v>
      </c>
      <c r="E60" s="3" t="s">
        <v>182</v>
      </c>
      <c r="F60" s="3" t="s">
        <v>26</v>
      </c>
      <c r="G60" s="3" t="s">
        <v>126</v>
      </c>
      <c r="H60" s="3" t="s">
        <v>11</v>
      </c>
      <c r="I60" s="3" t="s">
        <v>7</v>
      </c>
      <c r="J60" s="3" t="s">
        <v>39</v>
      </c>
      <c r="K60" s="3" t="s">
        <v>65</v>
      </c>
      <c r="L60" s="3" t="s">
        <v>42</v>
      </c>
      <c r="M60">
        <v>1</v>
      </c>
    </row>
    <row r="61" spans="1:13" x14ac:dyDescent="0.25">
      <c r="A61" s="2">
        <v>46227</v>
      </c>
      <c r="B61" s="1" t="str">
        <f ca="1">IF(Información1[[#This Row],[Fecha]]='Ajuste de fechas'!$A$2,"Día actual","Día anterior")</f>
        <v>Día anterior</v>
      </c>
      <c r="C61" s="3" t="s">
        <v>50</v>
      </c>
      <c r="D61" t="s">
        <v>52</v>
      </c>
      <c r="E61" s="3" t="s">
        <v>185</v>
      </c>
      <c r="F61" s="3" t="s">
        <v>77</v>
      </c>
      <c r="G61" s="3" t="s">
        <v>186</v>
      </c>
      <c r="H61" s="3" t="s">
        <v>11</v>
      </c>
      <c r="I61" s="3" t="s">
        <v>7</v>
      </c>
      <c r="J61" s="3" t="s">
        <v>39</v>
      </c>
      <c r="K61" s="3" t="s">
        <v>49</v>
      </c>
      <c r="L61" s="3" t="s">
        <v>42</v>
      </c>
      <c r="M61">
        <v>1</v>
      </c>
    </row>
    <row r="62" spans="1:13" x14ac:dyDescent="0.25">
      <c r="A62" s="2">
        <v>46227</v>
      </c>
      <c r="B62" s="1" t="str">
        <f ca="1">IF(Información1[[#This Row],[Fecha]]='Ajuste de fechas'!$A$2,"Día actual","Día anterior")</f>
        <v>Día anterior</v>
      </c>
      <c r="C62" s="3" t="s">
        <v>50</v>
      </c>
      <c r="D62" t="s">
        <v>52</v>
      </c>
      <c r="E62" s="3" t="s">
        <v>187</v>
      </c>
      <c r="F62" s="3" t="s">
        <v>17</v>
      </c>
      <c r="G62" s="3" t="s">
        <v>188</v>
      </c>
      <c r="H62" s="3" t="s">
        <v>11</v>
      </c>
      <c r="I62" s="3" t="s">
        <v>7</v>
      </c>
      <c r="J62" s="3" t="s">
        <v>39</v>
      </c>
      <c r="K62" s="3" t="s">
        <v>49</v>
      </c>
      <c r="L62" s="3" t="s">
        <v>42</v>
      </c>
      <c r="M62">
        <v>1</v>
      </c>
    </row>
    <row r="63" spans="1:13" x14ac:dyDescent="0.25">
      <c r="A63" s="2">
        <v>46227</v>
      </c>
      <c r="B63" s="1" t="str">
        <f ca="1">IF(Información1[[#This Row],[Fecha]]='Ajuste de fechas'!$A$2,"Día actual","Día anterior")</f>
        <v>Día anterior</v>
      </c>
      <c r="C63" s="3" t="s">
        <v>50</v>
      </c>
      <c r="D63" t="s">
        <v>52</v>
      </c>
      <c r="E63" s="3" t="s">
        <v>108</v>
      </c>
      <c r="F63" s="3" t="s">
        <v>23</v>
      </c>
      <c r="G63" s="3" t="s">
        <v>109</v>
      </c>
      <c r="H63" s="3" t="s">
        <v>11</v>
      </c>
      <c r="I63" s="3" t="s">
        <v>7</v>
      </c>
      <c r="J63" s="3" t="s">
        <v>39</v>
      </c>
      <c r="K63" s="3" t="s">
        <v>49</v>
      </c>
      <c r="L63" s="3" t="s">
        <v>42</v>
      </c>
      <c r="M63">
        <v>1</v>
      </c>
    </row>
    <row r="64" spans="1:13" x14ac:dyDescent="0.25">
      <c r="A64" s="2">
        <v>46227</v>
      </c>
      <c r="B64" s="1" t="str">
        <f ca="1">IF(Información1[[#This Row],[Fecha]]='Ajuste de fechas'!$A$2,"Día actual","Día anterior")</f>
        <v>Día anterior</v>
      </c>
      <c r="C64" s="3" t="s">
        <v>50</v>
      </c>
      <c r="D64" t="s">
        <v>52</v>
      </c>
      <c r="E64" s="3" t="s">
        <v>189</v>
      </c>
      <c r="F64" s="3" t="s">
        <v>95</v>
      </c>
      <c r="G64" s="3" t="s">
        <v>190</v>
      </c>
      <c r="H64" s="3" t="s">
        <v>11</v>
      </c>
      <c r="I64" s="3" t="s">
        <v>7</v>
      </c>
      <c r="J64" s="3" t="s">
        <v>39</v>
      </c>
      <c r="K64" s="3" t="s">
        <v>49</v>
      </c>
      <c r="L64" s="3" t="s">
        <v>42</v>
      </c>
      <c r="M64">
        <v>1</v>
      </c>
    </row>
    <row r="65" spans="1:13" x14ac:dyDescent="0.25">
      <c r="A65" s="2">
        <v>46227</v>
      </c>
      <c r="B65" s="1" t="str">
        <f ca="1">IF(Información1[[#This Row],[Fecha]]='Ajuste de fechas'!$A$2,"Día actual","Día anterior")</f>
        <v>Día anterior</v>
      </c>
      <c r="C65" s="3" t="s">
        <v>50</v>
      </c>
      <c r="D65" t="s">
        <v>52</v>
      </c>
      <c r="E65" s="3" t="s">
        <v>191</v>
      </c>
      <c r="F65" s="3" t="s">
        <v>26</v>
      </c>
      <c r="G65" s="3" t="s">
        <v>126</v>
      </c>
      <c r="H65" s="3" t="s">
        <v>11</v>
      </c>
      <c r="I65" s="3" t="s">
        <v>7</v>
      </c>
      <c r="J65" s="3" t="s">
        <v>39</v>
      </c>
      <c r="K65" s="3" t="s">
        <v>192</v>
      </c>
      <c r="L65" s="3" t="s">
        <v>42</v>
      </c>
      <c r="M65">
        <v>1</v>
      </c>
    </row>
    <row r="66" spans="1:13" x14ac:dyDescent="0.25">
      <c r="A66" s="2">
        <v>46227</v>
      </c>
      <c r="B66" s="1" t="str">
        <f ca="1">IF(Información1[[#This Row],[Fecha]]='Ajuste de fechas'!$A$2,"Día actual","Día anterior")</f>
        <v>Día anterior</v>
      </c>
      <c r="C66" s="3" t="s">
        <v>50</v>
      </c>
      <c r="D66" t="s">
        <v>52</v>
      </c>
      <c r="E66" s="3" t="s">
        <v>175</v>
      </c>
      <c r="F66" s="3" t="s">
        <v>23</v>
      </c>
      <c r="G66" s="3" t="s">
        <v>176</v>
      </c>
      <c r="H66" s="3" t="s">
        <v>11</v>
      </c>
      <c r="I66" s="3" t="s">
        <v>7</v>
      </c>
      <c r="J66" s="3" t="s">
        <v>39</v>
      </c>
      <c r="K66" s="3" t="s">
        <v>49</v>
      </c>
      <c r="L66" s="3" t="s">
        <v>42</v>
      </c>
      <c r="M66">
        <v>1</v>
      </c>
    </row>
    <row r="67" spans="1:13" x14ac:dyDescent="0.25">
      <c r="A67" s="2">
        <v>46227</v>
      </c>
      <c r="B67" s="1" t="str">
        <f ca="1">IF(Información1[[#This Row],[Fecha]]='Ajuste de fechas'!$A$2,"Día actual","Día anterior")</f>
        <v>Día anterior</v>
      </c>
      <c r="C67" s="3" t="s">
        <v>50</v>
      </c>
      <c r="D67" t="s">
        <v>52</v>
      </c>
      <c r="E67" s="3" t="s">
        <v>193</v>
      </c>
      <c r="F67" s="3" t="s">
        <v>48</v>
      </c>
      <c r="G67" s="3" t="s">
        <v>100</v>
      </c>
      <c r="H67" s="3" t="s">
        <v>11</v>
      </c>
      <c r="I67" s="3" t="s">
        <v>7</v>
      </c>
      <c r="J67" s="3" t="s">
        <v>39</v>
      </c>
      <c r="K67" s="3" t="s">
        <v>49</v>
      </c>
      <c r="L67" s="3" t="s">
        <v>42</v>
      </c>
      <c r="M67">
        <v>1</v>
      </c>
    </row>
    <row r="68" spans="1:13" x14ac:dyDescent="0.25">
      <c r="A68" s="2">
        <v>46227</v>
      </c>
      <c r="B68" s="1" t="str">
        <f ca="1">IF(Información1[[#This Row],[Fecha]]='Ajuste de fechas'!$A$2,"Día actual","Día anterior")</f>
        <v>Día anterior</v>
      </c>
      <c r="C68" s="3" t="s">
        <v>194</v>
      </c>
      <c r="D68" t="s">
        <v>195</v>
      </c>
      <c r="E68" s="3" t="s">
        <v>196</v>
      </c>
      <c r="F68" s="3" t="s">
        <v>95</v>
      </c>
      <c r="G68" s="3" t="s">
        <v>190</v>
      </c>
      <c r="H68" s="3" t="s">
        <v>57</v>
      </c>
      <c r="I68" s="3" t="s">
        <v>7</v>
      </c>
      <c r="J68" s="3" t="s">
        <v>39</v>
      </c>
      <c r="K68" s="3" t="s">
        <v>49</v>
      </c>
      <c r="L68" s="3" t="s">
        <v>42</v>
      </c>
      <c r="M68">
        <v>1</v>
      </c>
    </row>
    <row r="69" spans="1:13" x14ac:dyDescent="0.25">
      <c r="A69" s="2">
        <v>46227</v>
      </c>
      <c r="B69" s="1" t="str">
        <f ca="1">IF(Información1[[#This Row],[Fecha]]='Ajuste de fechas'!$A$2,"Día actual","Día anterior")</f>
        <v>Día anterior</v>
      </c>
      <c r="C69" s="3" t="s">
        <v>194</v>
      </c>
      <c r="D69" t="s">
        <v>195</v>
      </c>
      <c r="E69" s="3" t="s">
        <v>197</v>
      </c>
      <c r="F69" s="3" t="s">
        <v>23</v>
      </c>
      <c r="G69" s="3" t="s">
        <v>176</v>
      </c>
      <c r="H69" s="3" t="s">
        <v>57</v>
      </c>
      <c r="I69" s="3" t="s">
        <v>7</v>
      </c>
      <c r="J69" s="3" t="s">
        <v>39</v>
      </c>
      <c r="K69" s="3" t="s">
        <v>49</v>
      </c>
      <c r="L69" s="3" t="s">
        <v>42</v>
      </c>
      <c r="M69">
        <v>1</v>
      </c>
    </row>
    <row r="70" spans="1:13" x14ac:dyDescent="0.25">
      <c r="A70" s="2">
        <v>46227</v>
      </c>
      <c r="B70" s="1" t="str">
        <f ca="1">IF(Información1[[#This Row],[Fecha]]='Ajuste de fechas'!$A$2,"Día actual","Día anterior")</f>
        <v>Día anterior</v>
      </c>
      <c r="C70" s="3" t="s">
        <v>194</v>
      </c>
      <c r="D70" t="s">
        <v>195</v>
      </c>
      <c r="E70" s="3" t="s">
        <v>101</v>
      </c>
      <c r="F70" s="3" t="s">
        <v>48</v>
      </c>
      <c r="G70" s="3" t="s">
        <v>100</v>
      </c>
      <c r="H70" s="3" t="s">
        <v>57</v>
      </c>
      <c r="I70" s="3" t="s">
        <v>7</v>
      </c>
      <c r="J70" s="3" t="s">
        <v>39</v>
      </c>
      <c r="K70" s="3" t="s">
        <v>49</v>
      </c>
      <c r="L70" s="3" t="s">
        <v>42</v>
      </c>
      <c r="M70">
        <v>1</v>
      </c>
    </row>
    <row r="71" spans="1:13" x14ac:dyDescent="0.25">
      <c r="A71" s="2">
        <v>46227</v>
      </c>
      <c r="B71" s="1" t="str">
        <f ca="1">IF(Información1[[#This Row],[Fecha]]='Ajuste de fechas'!$A$2,"Día actual","Día anterior")</f>
        <v>Día anterior</v>
      </c>
      <c r="C71" s="3" t="s">
        <v>194</v>
      </c>
      <c r="D71" t="s">
        <v>195</v>
      </c>
      <c r="E71" s="3" t="s">
        <v>198</v>
      </c>
      <c r="F71" s="3" t="s">
        <v>23</v>
      </c>
      <c r="G71" s="3" t="s">
        <v>109</v>
      </c>
      <c r="H71" s="3" t="s">
        <v>57</v>
      </c>
      <c r="I71" s="3" t="s">
        <v>7</v>
      </c>
      <c r="J71" s="3" t="s">
        <v>39</v>
      </c>
      <c r="K71" s="3" t="s">
        <v>49</v>
      </c>
      <c r="L71" s="3" t="s">
        <v>42</v>
      </c>
      <c r="M71">
        <v>1</v>
      </c>
    </row>
    <row r="72" spans="1:13" x14ac:dyDescent="0.25">
      <c r="A72" s="2">
        <v>46227</v>
      </c>
      <c r="B72" s="1" t="str">
        <f ca="1">IF(Información1[[#This Row],[Fecha]]='Ajuste de fechas'!$A$2,"Día actual","Día anterior")</f>
        <v>Día anterior</v>
      </c>
      <c r="C72" s="3" t="s">
        <v>194</v>
      </c>
      <c r="D72" t="s">
        <v>195</v>
      </c>
      <c r="E72" s="3" t="s">
        <v>185</v>
      </c>
      <c r="F72" s="3" t="s">
        <v>77</v>
      </c>
      <c r="G72" s="3" t="s">
        <v>186</v>
      </c>
      <c r="H72" s="3" t="s">
        <v>57</v>
      </c>
      <c r="I72" s="3" t="s">
        <v>7</v>
      </c>
      <c r="J72" s="3" t="s">
        <v>39</v>
      </c>
      <c r="K72" s="3" t="s">
        <v>49</v>
      </c>
      <c r="L72" s="3" t="s">
        <v>42</v>
      </c>
      <c r="M72">
        <v>1</v>
      </c>
    </row>
    <row r="73" spans="1:13" x14ac:dyDescent="0.25">
      <c r="A73" s="2">
        <v>46227</v>
      </c>
      <c r="B73" s="1" t="str">
        <f ca="1">IF(Información1[[#This Row],[Fecha]]='Ajuste de fechas'!$A$2,"Día actual","Día anterior")</f>
        <v>Día anterior</v>
      </c>
      <c r="C73" s="3" t="s">
        <v>194</v>
      </c>
      <c r="D73" t="s">
        <v>195</v>
      </c>
      <c r="E73" s="3" t="s">
        <v>199</v>
      </c>
      <c r="F73" s="3" t="s">
        <v>124</v>
      </c>
      <c r="G73" s="3" t="s">
        <v>125</v>
      </c>
      <c r="H73" s="3" t="s">
        <v>57</v>
      </c>
      <c r="I73" s="3" t="s">
        <v>7</v>
      </c>
      <c r="J73" s="3" t="s">
        <v>39</v>
      </c>
      <c r="K73" s="3" t="s">
        <v>49</v>
      </c>
      <c r="L73" s="3" t="s">
        <v>42</v>
      </c>
      <c r="M73">
        <v>1</v>
      </c>
    </row>
    <row r="74" spans="1:13" x14ac:dyDescent="0.25">
      <c r="A74" s="2">
        <v>46227</v>
      </c>
      <c r="B74" s="1" t="str">
        <f ca="1">IF(Información1[[#This Row],[Fecha]]='Ajuste de fechas'!$A$2,"Día actual","Día anterior")</f>
        <v>Día anterior</v>
      </c>
      <c r="C74" s="3" t="s">
        <v>194</v>
      </c>
      <c r="D74" t="s">
        <v>195</v>
      </c>
      <c r="E74" s="3" t="s">
        <v>200</v>
      </c>
      <c r="F74" s="3" t="s">
        <v>92</v>
      </c>
      <c r="G74" s="3" t="s">
        <v>201</v>
      </c>
      <c r="H74" s="3" t="s">
        <v>57</v>
      </c>
      <c r="I74" s="3" t="s">
        <v>7</v>
      </c>
      <c r="J74" s="3" t="s">
        <v>39</v>
      </c>
      <c r="K74" s="3" t="s">
        <v>49</v>
      </c>
      <c r="L74" s="3" t="s">
        <v>42</v>
      </c>
      <c r="M74">
        <v>1</v>
      </c>
    </row>
    <row r="75" spans="1:13" x14ac:dyDescent="0.25">
      <c r="A75" s="2">
        <v>46227</v>
      </c>
      <c r="B75" s="1" t="str">
        <f ca="1">IF(Información1[[#This Row],[Fecha]]='Ajuste de fechas'!$A$2,"Día actual","Día anterior")</f>
        <v>Día anterior</v>
      </c>
      <c r="C75" s="3" t="s">
        <v>194</v>
      </c>
      <c r="D75" t="s">
        <v>195</v>
      </c>
      <c r="E75" s="3" t="s">
        <v>202</v>
      </c>
      <c r="F75" s="3" t="s">
        <v>54</v>
      </c>
      <c r="G75" s="3" t="s">
        <v>144</v>
      </c>
      <c r="H75" s="3" t="s">
        <v>57</v>
      </c>
      <c r="I75" s="3" t="s">
        <v>7</v>
      </c>
      <c r="J75" s="3" t="s">
        <v>24</v>
      </c>
      <c r="K75" s="3" t="s">
        <v>49</v>
      </c>
      <c r="L75" s="3" t="s">
        <v>40</v>
      </c>
      <c r="M75">
        <v>1</v>
      </c>
    </row>
    <row r="76" spans="1:13" x14ac:dyDescent="0.25">
      <c r="A76" s="2">
        <v>46227</v>
      </c>
      <c r="B76" s="1" t="str">
        <f ca="1">IF(Información1[[#This Row],[Fecha]]='Ajuste de fechas'!$A$2,"Día actual","Día anterior")</f>
        <v>Día anterior</v>
      </c>
      <c r="C76" s="3" t="s">
        <v>194</v>
      </c>
      <c r="D76" t="s">
        <v>195</v>
      </c>
      <c r="E76" s="3" t="s">
        <v>106</v>
      </c>
      <c r="F76" s="3" t="s">
        <v>103</v>
      </c>
      <c r="G76" s="3" t="s">
        <v>104</v>
      </c>
      <c r="H76" s="3" t="s">
        <v>57</v>
      </c>
      <c r="I76" s="3" t="s">
        <v>7</v>
      </c>
      <c r="J76" s="3" t="s">
        <v>39</v>
      </c>
      <c r="K76" s="3" t="s">
        <v>49</v>
      </c>
      <c r="L76" s="3" t="s">
        <v>42</v>
      </c>
      <c r="M76">
        <v>1</v>
      </c>
    </row>
    <row r="77" spans="1:13" x14ac:dyDescent="0.25">
      <c r="A77" s="2">
        <v>46227</v>
      </c>
      <c r="B77" s="1" t="str">
        <f ca="1">IF(Información1[[#This Row],[Fecha]]='Ajuste de fechas'!$A$2,"Día actual","Día anterior")</f>
        <v>Día anterior</v>
      </c>
      <c r="C77" s="3" t="s">
        <v>194</v>
      </c>
      <c r="D77" t="s">
        <v>195</v>
      </c>
      <c r="E77" s="3" t="s">
        <v>191</v>
      </c>
      <c r="F77" s="3" t="s">
        <v>26</v>
      </c>
      <c r="G77" s="3" t="s">
        <v>126</v>
      </c>
      <c r="H77" s="3" t="s">
        <v>57</v>
      </c>
      <c r="I77" s="3" t="s">
        <v>7</v>
      </c>
      <c r="J77" s="3" t="s">
        <v>39</v>
      </c>
      <c r="K77" s="3" t="s">
        <v>49</v>
      </c>
      <c r="L77" s="3" t="s">
        <v>42</v>
      </c>
      <c r="M77">
        <v>1</v>
      </c>
    </row>
    <row r="78" spans="1:13" x14ac:dyDescent="0.25">
      <c r="A78" s="2">
        <v>46227</v>
      </c>
      <c r="B78" s="1" t="str">
        <f ca="1">IF(Información1[[#This Row],[Fecha]]='Ajuste de fechas'!$A$2,"Día actual","Día anterior")</f>
        <v>Día anterior</v>
      </c>
      <c r="C78" s="3" t="s">
        <v>194</v>
      </c>
      <c r="D78" t="s">
        <v>195</v>
      </c>
      <c r="E78" s="3" t="s">
        <v>203</v>
      </c>
      <c r="F78" s="3" t="s">
        <v>19</v>
      </c>
      <c r="G78" s="3" t="s">
        <v>98</v>
      </c>
      <c r="H78" s="3" t="s">
        <v>57</v>
      </c>
      <c r="I78" s="3" t="s">
        <v>7</v>
      </c>
      <c r="J78" s="3" t="s">
        <v>43</v>
      </c>
      <c r="K78" s="3" t="s">
        <v>49</v>
      </c>
      <c r="L78" s="3" t="s">
        <v>40</v>
      </c>
      <c r="M78">
        <v>1</v>
      </c>
    </row>
    <row r="79" spans="1:13" x14ac:dyDescent="0.25">
      <c r="A79" s="2">
        <v>46230</v>
      </c>
      <c r="B79" s="1" t="str">
        <f ca="1">IF(Información1[[#This Row],[Fecha]]='Ajuste de fechas'!$A$2,"Día actual","Día anterior")</f>
        <v>Día actual</v>
      </c>
      <c r="C79" s="3" t="s">
        <v>59</v>
      </c>
      <c r="D79" t="s">
        <v>60</v>
      </c>
      <c r="E79" s="3" t="s">
        <v>204</v>
      </c>
      <c r="F79" s="3" t="s">
        <v>23</v>
      </c>
      <c r="G79" s="3" t="s">
        <v>205</v>
      </c>
      <c r="H79" s="3" t="s">
        <v>11</v>
      </c>
      <c r="I79" s="3" t="s">
        <v>25</v>
      </c>
      <c r="J79" s="3" t="s">
        <v>39</v>
      </c>
      <c r="K79" s="3" t="s">
        <v>9</v>
      </c>
      <c r="L79" s="3" t="s">
        <v>41</v>
      </c>
      <c r="M79">
        <v>1</v>
      </c>
    </row>
    <row r="80" spans="1:13" x14ac:dyDescent="0.25">
      <c r="A80" s="2">
        <v>46230</v>
      </c>
      <c r="B80" s="1" t="str">
        <f ca="1">IF(Información1[[#This Row],[Fecha]]='Ajuste de fechas'!$A$2,"Día actual","Día anterior")</f>
        <v>Día actual</v>
      </c>
      <c r="C80" s="3" t="s">
        <v>59</v>
      </c>
      <c r="D80" t="s">
        <v>60</v>
      </c>
      <c r="E80" s="3" t="s">
        <v>206</v>
      </c>
      <c r="F80" s="3" t="s">
        <v>23</v>
      </c>
      <c r="G80" s="3" t="s">
        <v>176</v>
      </c>
      <c r="H80" s="3" t="s">
        <v>11</v>
      </c>
      <c r="I80" s="3" t="s">
        <v>7</v>
      </c>
      <c r="J80" s="3" t="s">
        <v>39</v>
      </c>
      <c r="K80" s="3" t="s">
        <v>61</v>
      </c>
      <c r="L80" s="3" t="s">
        <v>42</v>
      </c>
      <c r="M80">
        <v>1</v>
      </c>
    </row>
    <row r="81" spans="1:13" x14ac:dyDescent="0.25">
      <c r="A81" s="2">
        <v>46230</v>
      </c>
      <c r="B81" s="1" t="str">
        <f ca="1">IF(Información1[[#This Row],[Fecha]]='Ajuste de fechas'!$A$2,"Día actual","Día anterior")</f>
        <v>Día actual</v>
      </c>
      <c r="C81" s="3" t="s">
        <v>59</v>
      </c>
      <c r="D81" t="s">
        <v>60</v>
      </c>
      <c r="E81" s="3" t="s">
        <v>207</v>
      </c>
      <c r="F81" s="3" t="s">
        <v>19</v>
      </c>
      <c r="G81" s="3" t="s">
        <v>208</v>
      </c>
      <c r="H81" s="3" t="s">
        <v>11</v>
      </c>
      <c r="I81" s="3" t="s">
        <v>7</v>
      </c>
      <c r="J81" s="3" t="s">
        <v>43</v>
      </c>
      <c r="K81" s="3" t="s">
        <v>61</v>
      </c>
      <c r="L81" s="3" t="s">
        <v>40</v>
      </c>
      <c r="M81">
        <v>1</v>
      </c>
    </row>
    <row r="82" spans="1:13" x14ac:dyDescent="0.25">
      <c r="A82" s="2">
        <v>46230</v>
      </c>
      <c r="B82" s="1" t="str">
        <f ca="1">IF(Información1[[#This Row],[Fecha]]='Ajuste de fechas'!$A$2,"Día actual","Día anterior")</f>
        <v>Día actual</v>
      </c>
      <c r="C82" s="3" t="s">
        <v>59</v>
      </c>
      <c r="D82" t="s">
        <v>60</v>
      </c>
      <c r="E82" s="3" t="s">
        <v>209</v>
      </c>
      <c r="F82" s="3" t="s">
        <v>48</v>
      </c>
      <c r="G82" s="3" t="s">
        <v>112</v>
      </c>
      <c r="H82" s="3" t="s">
        <v>11</v>
      </c>
      <c r="I82" s="3" t="s">
        <v>25</v>
      </c>
      <c r="J82" s="3" t="s">
        <v>39</v>
      </c>
      <c r="K82" s="3" t="s">
        <v>61</v>
      </c>
      <c r="L82" s="3" t="s">
        <v>40</v>
      </c>
      <c r="M82">
        <v>1</v>
      </c>
    </row>
    <row r="83" spans="1:13" x14ac:dyDescent="0.25">
      <c r="A83" s="2">
        <v>46230</v>
      </c>
      <c r="B83" s="1" t="str">
        <f ca="1">IF(Información1[[#This Row],[Fecha]]='Ajuste de fechas'!$A$2,"Día actual","Día anterior")</f>
        <v>Día actual</v>
      </c>
      <c r="C83" s="3" t="s">
        <v>59</v>
      </c>
      <c r="D83" t="s">
        <v>60</v>
      </c>
      <c r="E83" s="3" t="s">
        <v>210</v>
      </c>
      <c r="F83" s="3" t="s">
        <v>48</v>
      </c>
      <c r="G83" s="3" t="s">
        <v>176</v>
      </c>
      <c r="H83" s="3" t="s">
        <v>11</v>
      </c>
      <c r="I83" s="3" t="s">
        <v>7</v>
      </c>
      <c r="J83" s="3" t="s">
        <v>39</v>
      </c>
      <c r="K83" s="3" t="s">
        <v>61</v>
      </c>
      <c r="L83" s="3" t="s">
        <v>42</v>
      </c>
      <c r="M83">
        <v>1</v>
      </c>
    </row>
    <row r="84" spans="1:13" x14ac:dyDescent="0.25">
      <c r="A84" s="2">
        <v>46230</v>
      </c>
      <c r="B84" s="1" t="str">
        <f ca="1">IF(Información1[[#This Row],[Fecha]]='Ajuste de fechas'!$A$2,"Día actual","Día anterior")</f>
        <v>Día actual</v>
      </c>
      <c r="C84" s="3" t="s">
        <v>59</v>
      </c>
      <c r="D84" t="s">
        <v>60</v>
      </c>
      <c r="E84" s="3" t="s">
        <v>211</v>
      </c>
      <c r="F84" s="3" t="s">
        <v>23</v>
      </c>
      <c r="G84" s="3" t="s">
        <v>212</v>
      </c>
      <c r="H84" s="3" t="s">
        <v>11</v>
      </c>
      <c r="I84" s="3" t="s">
        <v>7</v>
      </c>
      <c r="J84" s="3" t="s">
        <v>39</v>
      </c>
      <c r="K84" s="3" t="s">
        <v>61</v>
      </c>
      <c r="L84" s="3" t="s">
        <v>42</v>
      </c>
      <c r="M84">
        <v>1</v>
      </c>
    </row>
    <row r="85" spans="1:13" x14ac:dyDescent="0.25">
      <c r="A85" s="2">
        <v>46230</v>
      </c>
      <c r="B85" s="1" t="str">
        <f ca="1">IF(Información1[[#This Row],[Fecha]]='Ajuste de fechas'!$A$2,"Día actual","Día anterior")</f>
        <v>Día actual</v>
      </c>
      <c r="C85" s="3" t="s">
        <v>59</v>
      </c>
      <c r="D85" t="s">
        <v>60</v>
      </c>
      <c r="E85" s="3" t="s">
        <v>213</v>
      </c>
      <c r="F85" s="3" t="s">
        <v>23</v>
      </c>
      <c r="G85" s="3" t="s">
        <v>102</v>
      </c>
      <c r="H85" s="3" t="s">
        <v>11</v>
      </c>
      <c r="I85" s="3" t="s">
        <v>7</v>
      </c>
      <c r="J85" s="3" t="s">
        <v>39</v>
      </c>
      <c r="K85" s="3" t="s">
        <v>61</v>
      </c>
      <c r="L85" s="3" t="s">
        <v>42</v>
      </c>
      <c r="M85">
        <v>1</v>
      </c>
    </row>
    <row r="86" spans="1:13" x14ac:dyDescent="0.25">
      <c r="A86" s="2">
        <v>46230</v>
      </c>
      <c r="B86" s="1" t="str">
        <f ca="1">IF(Información1[[#This Row],[Fecha]]='Ajuste de fechas'!$A$2,"Día actual","Día anterior")</f>
        <v>Día actual</v>
      </c>
      <c r="C86" s="3" t="s">
        <v>59</v>
      </c>
      <c r="D86" t="s">
        <v>60</v>
      </c>
      <c r="E86" s="3" t="s">
        <v>214</v>
      </c>
      <c r="F86" s="3" t="s">
        <v>215</v>
      </c>
      <c r="G86" s="3" t="s">
        <v>216</v>
      </c>
      <c r="H86" s="3" t="s">
        <v>11</v>
      </c>
      <c r="I86" s="3" t="s">
        <v>7</v>
      </c>
      <c r="J86" s="3" t="s">
        <v>39</v>
      </c>
      <c r="K86" s="3" t="s">
        <v>61</v>
      </c>
      <c r="L86" s="3" t="s">
        <v>40</v>
      </c>
      <c r="M86">
        <v>1</v>
      </c>
    </row>
    <row r="87" spans="1:13" x14ac:dyDescent="0.25">
      <c r="A87" s="2">
        <v>46230</v>
      </c>
      <c r="B87" s="1" t="str">
        <f ca="1">IF(Información1[[#This Row],[Fecha]]='Ajuste de fechas'!$A$2,"Día actual","Día anterior")</f>
        <v>Día actual</v>
      </c>
      <c r="C87" s="3" t="s">
        <v>59</v>
      </c>
      <c r="D87" t="s">
        <v>60</v>
      </c>
      <c r="E87" s="3" t="s">
        <v>217</v>
      </c>
      <c r="F87" s="3" t="s">
        <v>22</v>
      </c>
      <c r="G87" s="3" t="s">
        <v>218</v>
      </c>
      <c r="H87" s="3" t="s">
        <v>11</v>
      </c>
      <c r="I87" s="3" t="s">
        <v>7</v>
      </c>
      <c r="J87" s="3" t="s">
        <v>44</v>
      </c>
      <c r="K87" s="3" t="s">
        <v>61</v>
      </c>
      <c r="L87" s="3" t="s">
        <v>40</v>
      </c>
      <c r="M87">
        <v>1</v>
      </c>
    </row>
    <row r="88" spans="1:13" x14ac:dyDescent="0.25">
      <c r="A88" s="2">
        <v>46230</v>
      </c>
      <c r="B88" s="1" t="str">
        <f ca="1">IF(Información1[[#This Row],[Fecha]]='Ajuste de fechas'!$A$2,"Día actual","Día anterior")</f>
        <v>Día actual</v>
      </c>
      <c r="C88" s="3" t="s">
        <v>59</v>
      </c>
      <c r="D88" t="s">
        <v>60</v>
      </c>
      <c r="E88" s="3" t="s">
        <v>219</v>
      </c>
      <c r="F88" s="3" t="s">
        <v>24</v>
      </c>
      <c r="G88" s="3" t="s">
        <v>97</v>
      </c>
      <c r="H88" s="3" t="s">
        <v>11</v>
      </c>
      <c r="I88" s="3" t="s">
        <v>7</v>
      </c>
      <c r="J88" s="3" t="s">
        <v>24</v>
      </c>
      <c r="K88" s="3" t="s">
        <v>61</v>
      </c>
      <c r="L88" s="3" t="s">
        <v>76</v>
      </c>
      <c r="M88">
        <v>1</v>
      </c>
    </row>
    <row r="89" spans="1:13" x14ac:dyDescent="0.25">
      <c r="A89" s="2">
        <v>46230</v>
      </c>
      <c r="B89" s="1" t="str">
        <f ca="1">IF(Información1[[#This Row],[Fecha]]='Ajuste de fechas'!$A$2,"Día actual","Día anterior")</f>
        <v>Día actual</v>
      </c>
      <c r="C89" s="3" t="s">
        <v>59</v>
      </c>
      <c r="D89" t="s">
        <v>60</v>
      </c>
      <c r="E89" s="3" t="s">
        <v>220</v>
      </c>
      <c r="F89" s="3" t="s">
        <v>21</v>
      </c>
      <c r="G89" s="3" t="s">
        <v>221</v>
      </c>
      <c r="H89" s="3" t="s">
        <v>11</v>
      </c>
      <c r="I89" s="3" t="s">
        <v>7</v>
      </c>
      <c r="J89" s="3" t="s">
        <v>39</v>
      </c>
      <c r="K89" s="3" t="s">
        <v>61</v>
      </c>
      <c r="L89" s="3" t="s">
        <v>42</v>
      </c>
      <c r="M89">
        <v>1</v>
      </c>
    </row>
    <row r="90" spans="1:13" x14ac:dyDescent="0.25">
      <c r="A90" s="2">
        <v>46230</v>
      </c>
      <c r="B90" s="1" t="str">
        <f ca="1">IF(Información1[[#This Row],[Fecha]]='Ajuste de fechas'!$A$2,"Día actual","Día anterior")</f>
        <v>Día actual</v>
      </c>
      <c r="C90" s="3" t="s">
        <v>59</v>
      </c>
      <c r="D90" t="s">
        <v>60</v>
      </c>
      <c r="E90" s="3" t="s">
        <v>62</v>
      </c>
      <c r="F90" s="3" t="s">
        <v>19</v>
      </c>
      <c r="G90" s="3" t="s">
        <v>56</v>
      </c>
      <c r="H90" s="3" t="s">
        <v>11</v>
      </c>
      <c r="I90" s="3" t="s">
        <v>7</v>
      </c>
      <c r="J90" s="3" t="s">
        <v>43</v>
      </c>
      <c r="K90" s="3" t="s">
        <v>61</v>
      </c>
      <c r="L90" s="3" t="s">
        <v>81</v>
      </c>
      <c r="M90">
        <v>1</v>
      </c>
    </row>
    <row r="91" spans="1:13" x14ac:dyDescent="0.25">
      <c r="A91" s="2">
        <v>46230</v>
      </c>
      <c r="B91" s="1" t="str">
        <f ca="1">IF(Información1[[#This Row],[Fecha]]='Ajuste de fechas'!$A$2,"Día actual","Día anterior")</f>
        <v>Día actual</v>
      </c>
      <c r="C91" s="3" t="s">
        <v>59</v>
      </c>
      <c r="D91" t="s">
        <v>60</v>
      </c>
      <c r="E91" s="3" t="s">
        <v>222</v>
      </c>
      <c r="F91" s="3" t="s">
        <v>19</v>
      </c>
      <c r="G91" s="3" t="s">
        <v>98</v>
      </c>
      <c r="H91" s="3" t="s">
        <v>11</v>
      </c>
      <c r="I91" s="3" t="s">
        <v>25</v>
      </c>
      <c r="J91" s="3" t="s">
        <v>43</v>
      </c>
      <c r="K91" s="3" t="s">
        <v>61</v>
      </c>
      <c r="L91" s="3" t="s">
        <v>41</v>
      </c>
      <c r="M91">
        <v>1</v>
      </c>
    </row>
    <row r="92" spans="1:13" x14ac:dyDescent="0.25">
      <c r="A92" s="2">
        <v>46230</v>
      </c>
      <c r="B92" s="1" t="str">
        <f ca="1">IF(Información1[[#This Row],[Fecha]]='Ajuste de fechas'!$A$2,"Día actual","Día anterior")</f>
        <v>Día actual</v>
      </c>
      <c r="C92" s="3" t="s">
        <v>59</v>
      </c>
      <c r="D92" t="s">
        <v>60</v>
      </c>
      <c r="E92" s="3" t="s">
        <v>223</v>
      </c>
      <c r="F92" s="3" t="s">
        <v>19</v>
      </c>
      <c r="G92" s="3" t="s">
        <v>98</v>
      </c>
      <c r="H92" s="3" t="s">
        <v>11</v>
      </c>
      <c r="I92" s="3" t="s">
        <v>7</v>
      </c>
      <c r="J92" s="3" t="s">
        <v>43</v>
      </c>
      <c r="K92" s="3" t="s">
        <v>61</v>
      </c>
      <c r="L92" s="3" t="s">
        <v>40</v>
      </c>
      <c r="M92">
        <v>1</v>
      </c>
    </row>
    <row r="93" spans="1:13" x14ac:dyDescent="0.25">
      <c r="A93" s="2">
        <v>46230</v>
      </c>
      <c r="B93" s="1" t="str">
        <f ca="1">IF(Información1[[#This Row],[Fecha]]='Ajuste de fechas'!$A$2,"Día actual","Día anterior")</f>
        <v>Día actual</v>
      </c>
      <c r="C93" s="3" t="s">
        <v>59</v>
      </c>
      <c r="D93" t="s">
        <v>60</v>
      </c>
      <c r="E93" s="3" t="s">
        <v>224</v>
      </c>
      <c r="F93" s="3" t="s">
        <v>19</v>
      </c>
      <c r="G93" s="3" t="s">
        <v>142</v>
      </c>
      <c r="H93" s="3" t="s">
        <v>11</v>
      </c>
      <c r="I93" s="3" t="s">
        <v>7</v>
      </c>
      <c r="J93" s="3" t="s">
        <v>43</v>
      </c>
      <c r="K93" s="3" t="s">
        <v>61</v>
      </c>
      <c r="L93" s="3" t="s">
        <v>40</v>
      </c>
      <c r="M93">
        <v>1</v>
      </c>
    </row>
    <row r="94" spans="1:13" x14ac:dyDescent="0.25">
      <c r="A94" s="2">
        <v>46230</v>
      </c>
      <c r="B94" s="1" t="str">
        <f ca="1">IF(Información1[[#This Row],[Fecha]]='Ajuste de fechas'!$A$2,"Día actual","Día anterior")</f>
        <v>Día actual</v>
      </c>
      <c r="C94" s="3" t="s">
        <v>59</v>
      </c>
      <c r="D94" t="s">
        <v>60</v>
      </c>
      <c r="E94" s="3" t="s">
        <v>225</v>
      </c>
      <c r="F94" s="3" t="s">
        <v>24</v>
      </c>
      <c r="G94" s="3" t="s">
        <v>154</v>
      </c>
      <c r="H94" s="3" t="s">
        <v>11</v>
      </c>
      <c r="I94" s="3" t="s">
        <v>7</v>
      </c>
      <c r="J94" s="3" t="s">
        <v>24</v>
      </c>
      <c r="K94" s="3" t="s">
        <v>61</v>
      </c>
      <c r="L94" s="3" t="s">
        <v>40</v>
      </c>
      <c r="M94">
        <v>1</v>
      </c>
    </row>
    <row r="95" spans="1:13" x14ac:dyDescent="0.25">
      <c r="A95" s="2">
        <v>46230</v>
      </c>
      <c r="B95" s="1" t="str">
        <f ca="1">IF(Información1[[#This Row],[Fecha]]='Ajuste de fechas'!$A$2,"Día actual","Día anterior")</f>
        <v>Día actual</v>
      </c>
      <c r="C95" s="3" t="s">
        <v>59</v>
      </c>
      <c r="D95" t="s">
        <v>60</v>
      </c>
      <c r="E95" s="3" t="s">
        <v>226</v>
      </c>
      <c r="F95" s="3" t="s">
        <v>23</v>
      </c>
      <c r="G95" s="3" t="s">
        <v>82</v>
      </c>
      <c r="H95" s="3" t="s">
        <v>11</v>
      </c>
      <c r="I95" s="3" t="s">
        <v>7</v>
      </c>
      <c r="J95" s="3" t="s">
        <v>39</v>
      </c>
      <c r="K95" s="3" t="s">
        <v>61</v>
      </c>
      <c r="L95" s="3" t="s">
        <v>40</v>
      </c>
      <c r="M95">
        <v>1</v>
      </c>
    </row>
    <row r="96" spans="1:13" x14ac:dyDescent="0.25">
      <c r="A96" s="2">
        <v>46230</v>
      </c>
      <c r="B96" s="1" t="str">
        <f ca="1">IF(Información1[[#This Row],[Fecha]]='Ajuste de fechas'!$A$2,"Día actual","Día anterior")</f>
        <v>Día actual</v>
      </c>
      <c r="C96" s="3" t="s">
        <v>29</v>
      </c>
      <c r="D96" t="s">
        <v>30</v>
      </c>
      <c r="E96" s="3" t="s">
        <v>227</v>
      </c>
      <c r="F96" s="3" t="s">
        <v>54</v>
      </c>
      <c r="G96" s="3" t="s">
        <v>90</v>
      </c>
      <c r="H96" s="3" t="s">
        <v>57</v>
      </c>
      <c r="I96" s="3" t="s">
        <v>7</v>
      </c>
      <c r="J96" s="3" t="s">
        <v>24</v>
      </c>
      <c r="K96" s="3" t="s">
        <v>27</v>
      </c>
      <c r="L96" s="3" t="s">
        <v>41</v>
      </c>
      <c r="M96">
        <v>1</v>
      </c>
    </row>
    <row r="97" spans="1:13" x14ac:dyDescent="0.25">
      <c r="A97" s="2">
        <v>46230</v>
      </c>
      <c r="B97" s="1" t="str">
        <f ca="1">IF(Información1[[#This Row],[Fecha]]='Ajuste de fechas'!$A$2,"Día actual","Día anterior")</f>
        <v>Día actual</v>
      </c>
      <c r="C97" s="3" t="s">
        <v>29</v>
      </c>
      <c r="D97" t="s">
        <v>30</v>
      </c>
      <c r="E97" s="3" t="s">
        <v>228</v>
      </c>
      <c r="F97" s="3" t="s">
        <v>229</v>
      </c>
      <c r="G97" s="3" t="s">
        <v>230</v>
      </c>
      <c r="H97" s="3" t="s">
        <v>57</v>
      </c>
      <c r="I97" s="3" t="s">
        <v>7</v>
      </c>
      <c r="J97" s="3" t="s">
        <v>231</v>
      </c>
      <c r="K97" s="3" t="s">
        <v>27</v>
      </c>
      <c r="L97" s="3" t="s">
        <v>41</v>
      </c>
      <c r="M97">
        <v>1</v>
      </c>
    </row>
    <row r="98" spans="1:13" x14ac:dyDescent="0.25">
      <c r="A98" s="2">
        <v>46230</v>
      </c>
      <c r="B98" s="1" t="str">
        <f ca="1">IF(Información1[[#This Row],[Fecha]]='Ajuste de fechas'!$A$2,"Día actual","Día anterior")</f>
        <v>Día actual</v>
      </c>
      <c r="C98" s="3" t="s">
        <v>29</v>
      </c>
      <c r="D98" t="s">
        <v>30</v>
      </c>
      <c r="E98" s="3" t="s">
        <v>232</v>
      </c>
      <c r="F98" s="3" t="s">
        <v>15</v>
      </c>
      <c r="G98" s="3" t="s">
        <v>233</v>
      </c>
      <c r="H98" s="3" t="s">
        <v>57</v>
      </c>
      <c r="I98" s="3" t="s">
        <v>7</v>
      </c>
      <c r="J98" s="3" t="s">
        <v>39</v>
      </c>
      <c r="K98" s="3" t="s">
        <v>27</v>
      </c>
      <c r="L98" s="3" t="s">
        <v>40</v>
      </c>
      <c r="M98">
        <v>1</v>
      </c>
    </row>
    <row r="99" spans="1:13" x14ac:dyDescent="0.25">
      <c r="A99" s="2">
        <v>46230</v>
      </c>
      <c r="B99" s="1" t="str">
        <f ca="1">IF(Información1[[#This Row],[Fecha]]='Ajuste de fechas'!$A$2,"Día actual","Día anterior")</f>
        <v>Día actual</v>
      </c>
      <c r="C99" s="3" t="s">
        <v>29</v>
      </c>
      <c r="D99" t="s">
        <v>30</v>
      </c>
      <c r="E99" s="3" t="s">
        <v>234</v>
      </c>
      <c r="F99" s="3" t="s">
        <v>215</v>
      </c>
      <c r="G99" s="3" t="s">
        <v>235</v>
      </c>
      <c r="H99" s="3" t="s">
        <v>57</v>
      </c>
      <c r="I99" s="3" t="s">
        <v>7</v>
      </c>
      <c r="J99" s="3" t="s">
        <v>39</v>
      </c>
      <c r="K99" s="3" t="s">
        <v>27</v>
      </c>
      <c r="L99" s="3" t="s">
        <v>40</v>
      </c>
      <c r="M99">
        <v>1</v>
      </c>
    </row>
    <row r="100" spans="1:13" x14ac:dyDescent="0.25">
      <c r="A100" s="2">
        <v>46230</v>
      </c>
      <c r="B100" s="1" t="str">
        <f ca="1">IF(Información1[[#This Row],[Fecha]]='Ajuste de fechas'!$A$2,"Día actual","Día anterior")</f>
        <v>Día actual</v>
      </c>
      <c r="C100" s="3" t="s">
        <v>29</v>
      </c>
      <c r="D100" t="s">
        <v>30</v>
      </c>
      <c r="E100" s="3" t="s">
        <v>236</v>
      </c>
      <c r="F100" s="3" t="s">
        <v>19</v>
      </c>
      <c r="G100" s="3" t="s">
        <v>237</v>
      </c>
      <c r="H100" s="3" t="s">
        <v>57</v>
      </c>
      <c r="I100" s="3" t="s">
        <v>7</v>
      </c>
      <c r="J100" s="3" t="s">
        <v>43</v>
      </c>
      <c r="K100" s="3" t="s">
        <v>27</v>
      </c>
      <c r="L100" s="3" t="s">
        <v>40</v>
      </c>
      <c r="M100">
        <v>1</v>
      </c>
    </row>
    <row r="101" spans="1:13" x14ac:dyDescent="0.25">
      <c r="A101" s="2">
        <v>46230</v>
      </c>
      <c r="B101" s="1" t="str">
        <f ca="1">IF(Información1[[#This Row],[Fecha]]='Ajuste de fechas'!$A$2,"Día actual","Día anterior")</f>
        <v>Día actual</v>
      </c>
      <c r="C101" s="3" t="s">
        <v>29</v>
      </c>
      <c r="D101" t="s">
        <v>30</v>
      </c>
      <c r="E101" s="3" t="s">
        <v>238</v>
      </c>
      <c r="F101" s="3" t="s">
        <v>26</v>
      </c>
      <c r="G101" s="3" t="s">
        <v>239</v>
      </c>
      <c r="H101" s="3" t="s">
        <v>57</v>
      </c>
      <c r="I101" s="3" t="s">
        <v>7</v>
      </c>
      <c r="J101" s="3" t="s">
        <v>39</v>
      </c>
      <c r="K101" s="3" t="s">
        <v>27</v>
      </c>
      <c r="L101" s="3" t="s">
        <v>42</v>
      </c>
      <c r="M101">
        <v>1</v>
      </c>
    </row>
    <row r="102" spans="1:13" x14ac:dyDescent="0.25">
      <c r="A102" s="2">
        <v>46230</v>
      </c>
      <c r="B102" s="1" t="str">
        <f ca="1">IF(Información1[[#This Row],[Fecha]]='Ajuste de fechas'!$A$2,"Día actual","Día anterior")</f>
        <v>Día actual</v>
      </c>
      <c r="C102" s="3" t="s">
        <v>29</v>
      </c>
      <c r="D102" t="s">
        <v>30</v>
      </c>
      <c r="E102" s="3" t="s">
        <v>240</v>
      </c>
      <c r="F102" s="3" t="s">
        <v>15</v>
      </c>
      <c r="G102" s="3" t="s">
        <v>29</v>
      </c>
      <c r="H102" s="3" t="s">
        <v>57</v>
      </c>
      <c r="I102" s="3" t="s">
        <v>25</v>
      </c>
      <c r="J102" s="3" t="s">
        <v>39</v>
      </c>
      <c r="K102" s="3" t="s">
        <v>27</v>
      </c>
      <c r="L102" s="3" t="s">
        <v>41</v>
      </c>
      <c r="M102">
        <v>1</v>
      </c>
    </row>
    <row r="103" spans="1:13" x14ac:dyDescent="0.25">
      <c r="A103" s="2">
        <v>46230</v>
      </c>
      <c r="B103" s="1" t="str">
        <f ca="1">IF(Información1[[#This Row],[Fecha]]='Ajuste de fechas'!$A$2,"Día actual","Día anterior")</f>
        <v>Día actual</v>
      </c>
      <c r="C103" s="3" t="s">
        <v>29</v>
      </c>
      <c r="D103" t="s">
        <v>30</v>
      </c>
      <c r="E103" s="3" t="s">
        <v>241</v>
      </c>
      <c r="F103" s="3" t="s">
        <v>15</v>
      </c>
      <c r="G103" s="3" t="s">
        <v>58</v>
      </c>
      <c r="H103" s="3" t="s">
        <v>57</v>
      </c>
      <c r="I103" s="3" t="s">
        <v>25</v>
      </c>
      <c r="J103" s="3" t="s">
        <v>39</v>
      </c>
      <c r="K103" s="3" t="s">
        <v>27</v>
      </c>
      <c r="L103" s="3" t="s">
        <v>41</v>
      </c>
      <c r="M103">
        <v>1</v>
      </c>
    </row>
    <row r="104" spans="1:13" x14ac:dyDescent="0.25">
      <c r="A104" s="2">
        <v>46230</v>
      </c>
      <c r="B104" s="1" t="str">
        <f ca="1">IF(Información1[[#This Row],[Fecha]]='Ajuste de fechas'!$A$2,"Día actual","Día anterior")</f>
        <v>Día actual</v>
      </c>
      <c r="C104" s="3" t="s">
        <v>29</v>
      </c>
      <c r="D104" t="s">
        <v>30</v>
      </c>
      <c r="E104" s="3" t="s">
        <v>242</v>
      </c>
      <c r="F104" s="3" t="s">
        <v>15</v>
      </c>
      <c r="G104" s="3" t="s">
        <v>243</v>
      </c>
      <c r="H104" s="3" t="s">
        <v>57</v>
      </c>
      <c r="I104" s="3" t="s">
        <v>7</v>
      </c>
      <c r="J104" s="3" t="s">
        <v>39</v>
      </c>
      <c r="K104" s="3" t="s">
        <v>27</v>
      </c>
      <c r="L104" s="3" t="s">
        <v>40</v>
      </c>
      <c r="M104">
        <v>1</v>
      </c>
    </row>
    <row r="105" spans="1:13" x14ac:dyDescent="0.25">
      <c r="A105" s="2">
        <v>46230</v>
      </c>
      <c r="B105" s="1" t="str">
        <f ca="1">IF(Información1[[#This Row],[Fecha]]='Ajuste de fechas'!$A$2,"Día actual","Día anterior")</f>
        <v>Día actual</v>
      </c>
      <c r="C105" s="3" t="s">
        <v>29</v>
      </c>
      <c r="D105" t="s">
        <v>30</v>
      </c>
      <c r="E105" s="3" t="s">
        <v>244</v>
      </c>
      <c r="F105" s="3" t="s">
        <v>19</v>
      </c>
      <c r="G105" s="3" t="s">
        <v>243</v>
      </c>
      <c r="H105" s="3" t="s">
        <v>57</v>
      </c>
      <c r="I105" s="3" t="s">
        <v>7</v>
      </c>
      <c r="J105" s="3" t="s">
        <v>43</v>
      </c>
      <c r="K105" s="3" t="s">
        <v>27</v>
      </c>
      <c r="L105" s="3" t="s">
        <v>40</v>
      </c>
      <c r="M105">
        <v>1</v>
      </c>
    </row>
    <row r="106" spans="1:13" x14ac:dyDescent="0.25">
      <c r="A106" s="2">
        <v>46230</v>
      </c>
      <c r="B106" s="1" t="str">
        <f ca="1">IF(Información1[[#This Row],[Fecha]]='Ajuste de fechas'!$A$2,"Día actual","Día anterior")</f>
        <v>Día actual</v>
      </c>
      <c r="C106" s="3" t="s">
        <v>28</v>
      </c>
      <c r="D106" t="s">
        <v>66</v>
      </c>
      <c r="E106" s="3" t="s">
        <v>245</v>
      </c>
      <c r="F106" s="3" t="s">
        <v>24</v>
      </c>
      <c r="G106" s="3" t="s">
        <v>246</v>
      </c>
      <c r="H106" s="3" t="s">
        <v>11</v>
      </c>
      <c r="I106" s="3" t="s">
        <v>7</v>
      </c>
      <c r="J106" s="3" t="s">
        <v>24</v>
      </c>
      <c r="K106" s="3" t="s">
        <v>67</v>
      </c>
      <c r="L106" s="3" t="s">
        <v>40</v>
      </c>
      <c r="M106">
        <v>1</v>
      </c>
    </row>
    <row r="107" spans="1:13" x14ac:dyDescent="0.25">
      <c r="A107" s="2">
        <v>46230</v>
      </c>
      <c r="B107" s="1" t="str">
        <f ca="1">IF(Información1[[#This Row],[Fecha]]='Ajuste de fechas'!$A$2,"Día actual","Día anterior")</f>
        <v>Día actual</v>
      </c>
      <c r="C107" s="3" t="s">
        <v>28</v>
      </c>
      <c r="D107" t="s">
        <v>66</v>
      </c>
      <c r="E107" s="3" t="s">
        <v>247</v>
      </c>
      <c r="F107" s="3" t="s">
        <v>21</v>
      </c>
      <c r="G107" s="3" t="s">
        <v>99</v>
      </c>
      <c r="H107" s="3" t="s">
        <v>11</v>
      </c>
      <c r="I107" s="3" t="s">
        <v>7</v>
      </c>
      <c r="J107" s="3" t="s">
        <v>39</v>
      </c>
      <c r="K107" s="3" t="s">
        <v>67</v>
      </c>
      <c r="L107" s="3" t="s">
        <v>42</v>
      </c>
      <c r="M107">
        <v>1</v>
      </c>
    </row>
    <row r="108" spans="1:13" x14ac:dyDescent="0.25">
      <c r="A108" s="2">
        <v>46230</v>
      </c>
      <c r="B108" s="1" t="str">
        <f ca="1">IF(Información1[[#This Row],[Fecha]]='Ajuste de fechas'!$A$2,"Día actual","Día anterior")</f>
        <v>Día actual</v>
      </c>
      <c r="C108" s="3" t="s">
        <v>28</v>
      </c>
      <c r="D108" t="s">
        <v>79</v>
      </c>
      <c r="E108" s="3" t="s">
        <v>245</v>
      </c>
      <c r="F108" s="3" t="s">
        <v>24</v>
      </c>
      <c r="G108" s="3" t="s">
        <v>246</v>
      </c>
      <c r="H108" s="3" t="s">
        <v>11</v>
      </c>
      <c r="I108" s="3" t="s">
        <v>7</v>
      </c>
      <c r="J108" s="3" t="s">
        <v>24</v>
      </c>
      <c r="K108" s="3" t="s">
        <v>80</v>
      </c>
      <c r="L108" s="3" t="s">
        <v>40</v>
      </c>
      <c r="M108">
        <v>1</v>
      </c>
    </row>
    <row r="109" spans="1:13" x14ac:dyDescent="0.25">
      <c r="A109" s="2">
        <v>46230</v>
      </c>
      <c r="B109" s="1" t="str">
        <f ca="1">IF(Información1[[#This Row],[Fecha]]='Ajuste de fechas'!$A$2,"Día actual","Día anterior")</f>
        <v>Día actual</v>
      </c>
      <c r="C109" s="3" t="s">
        <v>8</v>
      </c>
      <c r="D109" t="s">
        <v>10</v>
      </c>
      <c r="E109" s="3" t="s">
        <v>248</v>
      </c>
      <c r="F109" s="3" t="s">
        <v>6</v>
      </c>
      <c r="G109" s="3" t="s">
        <v>78</v>
      </c>
      <c r="H109" s="3" t="s">
        <v>11</v>
      </c>
      <c r="I109" s="3" t="s">
        <v>25</v>
      </c>
      <c r="J109" s="3" t="s">
        <v>39</v>
      </c>
      <c r="K109" s="3" t="s">
        <v>9</v>
      </c>
      <c r="L109" s="3" t="s">
        <v>41</v>
      </c>
      <c r="M109">
        <v>1</v>
      </c>
    </row>
    <row r="110" spans="1:13" x14ac:dyDescent="0.25">
      <c r="A110" s="2">
        <v>46230</v>
      </c>
      <c r="B110" s="1" t="str">
        <f ca="1">IF(Información1[[#This Row],[Fecha]]='Ajuste de fechas'!$A$2,"Día actual","Día anterior")</f>
        <v>Día actual</v>
      </c>
      <c r="C110" s="3" t="s">
        <v>28</v>
      </c>
      <c r="D110" t="s">
        <v>79</v>
      </c>
      <c r="E110" s="3" t="s">
        <v>249</v>
      </c>
      <c r="F110" s="3" t="s">
        <v>19</v>
      </c>
      <c r="G110" s="3" t="s">
        <v>250</v>
      </c>
      <c r="H110" s="3" t="s">
        <v>11</v>
      </c>
      <c r="I110" s="3" t="s">
        <v>7</v>
      </c>
      <c r="J110" s="3" t="s">
        <v>43</v>
      </c>
      <c r="K110" s="3" t="s">
        <v>80</v>
      </c>
      <c r="L110" s="3" t="s">
        <v>40</v>
      </c>
      <c r="M110">
        <v>1</v>
      </c>
    </row>
    <row r="111" spans="1:13" x14ac:dyDescent="0.25">
      <c r="A111" s="2">
        <v>46230</v>
      </c>
      <c r="B111" s="1" t="str">
        <f ca="1">IF(Información1[[#This Row],[Fecha]]='Ajuste de fechas'!$A$2,"Día actual","Día anterior")</f>
        <v>Día actual</v>
      </c>
      <c r="C111" s="3" t="s">
        <v>8</v>
      </c>
      <c r="D111" t="s">
        <v>10</v>
      </c>
      <c r="E111" s="3" t="s">
        <v>251</v>
      </c>
      <c r="F111" s="3" t="s">
        <v>6</v>
      </c>
      <c r="G111" s="3" t="s">
        <v>252</v>
      </c>
      <c r="H111" s="3" t="s">
        <v>11</v>
      </c>
      <c r="I111" s="3" t="s">
        <v>25</v>
      </c>
      <c r="J111" s="3" t="s">
        <v>39</v>
      </c>
      <c r="K111" s="3" t="s">
        <v>9</v>
      </c>
      <c r="L111" s="3" t="s">
        <v>41</v>
      </c>
      <c r="M111">
        <v>1</v>
      </c>
    </row>
    <row r="112" spans="1:13" x14ac:dyDescent="0.25">
      <c r="A112" s="2">
        <v>46230</v>
      </c>
      <c r="B112" s="1" t="str">
        <f ca="1">IF(Información1[[#This Row],[Fecha]]='Ajuste de fechas'!$A$2,"Día actual","Día anterior")</f>
        <v>Día actual</v>
      </c>
      <c r="C112" s="3" t="s">
        <v>28</v>
      </c>
      <c r="D112" t="s">
        <v>66</v>
      </c>
      <c r="E112" s="3" t="s">
        <v>253</v>
      </c>
      <c r="F112" s="3" t="s">
        <v>15</v>
      </c>
      <c r="G112" s="3" t="s">
        <v>243</v>
      </c>
      <c r="H112" s="3" t="s">
        <v>11</v>
      </c>
      <c r="I112" s="3" t="s">
        <v>7</v>
      </c>
      <c r="J112" s="3" t="s">
        <v>39</v>
      </c>
      <c r="K112" s="3" t="s">
        <v>67</v>
      </c>
      <c r="L112" s="3" t="s">
        <v>40</v>
      </c>
      <c r="M112">
        <v>1</v>
      </c>
    </row>
    <row r="113" spans="1:13" x14ac:dyDescent="0.25">
      <c r="A113" s="2">
        <v>46230</v>
      </c>
      <c r="B113" s="1" t="str">
        <f ca="1">IF(Información1[[#This Row],[Fecha]]='Ajuste de fechas'!$A$2,"Día actual","Día anterior")</f>
        <v>Día actual</v>
      </c>
      <c r="C113" s="3" t="s">
        <v>8</v>
      </c>
      <c r="D113" t="s">
        <v>10</v>
      </c>
      <c r="E113" s="3" t="s">
        <v>254</v>
      </c>
      <c r="F113" s="3" t="s">
        <v>19</v>
      </c>
      <c r="G113" s="3" t="s">
        <v>32</v>
      </c>
      <c r="H113" s="3" t="s">
        <v>11</v>
      </c>
      <c r="I113" s="3" t="s">
        <v>7</v>
      </c>
      <c r="J113" s="3" t="s">
        <v>43</v>
      </c>
      <c r="K113" s="3" t="s">
        <v>14</v>
      </c>
      <c r="L113" s="3" t="s">
        <v>81</v>
      </c>
      <c r="M113">
        <v>1</v>
      </c>
    </row>
    <row r="114" spans="1:13" x14ac:dyDescent="0.25">
      <c r="A114" s="2">
        <v>46230</v>
      </c>
      <c r="B114" s="1" t="str">
        <f ca="1">IF(Información1[[#This Row],[Fecha]]='Ajuste de fechas'!$A$2,"Día actual","Día anterior")</f>
        <v>Día actual</v>
      </c>
      <c r="C114" s="3" t="s">
        <v>8</v>
      </c>
      <c r="D114" t="s">
        <v>10</v>
      </c>
      <c r="E114" s="3" t="s">
        <v>20</v>
      </c>
      <c r="F114" s="3" t="s">
        <v>19</v>
      </c>
      <c r="G114" s="3" t="s">
        <v>32</v>
      </c>
      <c r="H114" s="3" t="s">
        <v>11</v>
      </c>
      <c r="I114" s="3" t="s">
        <v>12</v>
      </c>
      <c r="J114" s="3" t="s">
        <v>43</v>
      </c>
      <c r="K114" s="3" t="s">
        <v>14</v>
      </c>
      <c r="L114" s="3" t="s">
        <v>41</v>
      </c>
      <c r="M114">
        <v>1</v>
      </c>
    </row>
    <row r="115" spans="1:13" x14ac:dyDescent="0.25">
      <c r="A115" s="2">
        <v>46230</v>
      </c>
      <c r="B115" s="1" t="str">
        <f ca="1">IF(Información1[[#This Row],[Fecha]]='Ajuste de fechas'!$A$2,"Día actual","Día anterior")</f>
        <v>Día actual</v>
      </c>
      <c r="C115" s="3" t="s">
        <v>8</v>
      </c>
      <c r="D115" t="s">
        <v>10</v>
      </c>
      <c r="E115" s="3" t="s">
        <v>18</v>
      </c>
      <c r="F115" s="3" t="s">
        <v>19</v>
      </c>
      <c r="G115" s="3" t="s">
        <v>32</v>
      </c>
      <c r="H115" s="3" t="s">
        <v>11</v>
      </c>
      <c r="I115" s="3" t="s">
        <v>12</v>
      </c>
      <c r="J115" s="3" t="s">
        <v>43</v>
      </c>
      <c r="K115" s="3" t="s">
        <v>14</v>
      </c>
      <c r="L115" s="3" t="s">
        <v>41</v>
      </c>
      <c r="M115">
        <v>1</v>
      </c>
    </row>
    <row r="116" spans="1:13" x14ac:dyDescent="0.25">
      <c r="A116" s="2">
        <v>46230</v>
      </c>
      <c r="B116" s="1" t="str">
        <f ca="1">IF(Información1[[#This Row],[Fecha]]='Ajuste de fechas'!$A$2,"Día actual","Día anterior")</f>
        <v>Día actual</v>
      </c>
      <c r="C116" s="3" t="s">
        <v>8</v>
      </c>
      <c r="D116" t="s">
        <v>10</v>
      </c>
      <c r="E116" s="3" t="s">
        <v>69</v>
      </c>
      <c r="F116" s="3" t="s">
        <v>54</v>
      </c>
      <c r="G116" s="3" t="s">
        <v>32</v>
      </c>
      <c r="H116" s="3" t="s">
        <v>11</v>
      </c>
      <c r="I116" s="3" t="s">
        <v>12</v>
      </c>
      <c r="J116" s="3" t="s">
        <v>24</v>
      </c>
      <c r="K116" s="3" t="s">
        <v>14</v>
      </c>
      <c r="L116" s="3" t="s">
        <v>41</v>
      </c>
      <c r="M116">
        <v>1</v>
      </c>
    </row>
    <row r="117" spans="1:13" x14ac:dyDescent="0.25">
      <c r="A117" s="2">
        <v>46230</v>
      </c>
      <c r="B117" s="1" t="str">
        <f ca="1">IF(Información1[[#This Row],[Fecha]]='Ajuste de fechas'!$A$2,"Día actual","Día anterior")</f>
        <v>Día actual</v>
      </c>
      <c r="C117" s="3" t="s">
        <v>8</v>
      </c>
      <c r="D117" t="s">
        <v>10</v>
      </c>
      <c r="E117" s="3" t="s">
        <v>13</v>
      </c>
      <c r="F117" s="3" t="s">
        <v>15</v>
      </c>
      <c r="G117" s="3" t="s">
        <v>32</v>
      </c>
      <c r="H117" s="3" t="s">
        <v>11</v>
      </c>
      <c r="I117" s="3" t="s">
        <v>12</v>
      </c>
      <c r="J117" s="3" t="s">
        <v>39</v>
      </c>
      <c r="K117" s="3" t="s">
        <v>14</v>
      </c>
      <c r="L117" s="3" t="s">
        <v>41</v>
      </c>
      <c r="M117">
        <v>1</v>
      </c>
    </row>
    <row r="118" spans="1:13" x14ac:dyDescent="0.25">
      <c r="A118" s="2">
        <v>46230</v>
      </c>
      <c r="B118" s="1" t="str">
        <f ca="1">IF(Información1[[#This Row],[Fecha]]='Ajuste de fechas'!$A$2,"Día actual","Día anterior")</f>
        <v>Día actual</v>
      </c>
      <c r="C118" s="3" t="s">
        <v>8</v>
      </c>
      <c r="D118" t="s">
        <v>10</v>
      </c>
      <c r="E118" s="3" t="s">
        <v>16</v>
      </c>
      <c r="F118" s="3" t="s">
        <v>17</v>
      </c>
      <c r="G118" s="3" t="s">
        <v>32</v>
      </c>
      <c r="H118" s="3" t="s">
        <v>11</v>
      </c>
      <c r="I118" s="3" t="s">
        <v>12</v>
      </c>
      <c r="J118" s="3" t="s">
        <v>39</v>
      </c>
      <c r="K118" s="3" t="s">
        <v>14</v>
      </c>
      <c r="L118" s="3" t="s">
        <v>41</v>
      </c>
      <c r="M118">
        <v>1</v>
      </c>
    </row>
    <row r="119" spans="1:13" x14ac:dyDescent="0.25">
      <c r="A119" s="2">
        <v>46230</v>
      </c>
      <c r="B119" s="1" t="str">
        <f ca="1">IF(Información1[[#This Row],[Fecha]]='Ajuste de fechas'!$A$2,"Día actual","Día anterior")</f>
        <v>Día actual</v>
      </c>
      <c r="C119" s="3" t="s">
        <v>8</v>
      </c>
      <c r="D119" t="s">
        <v>10</v>
      </c>
      <c r="E119" s="3" t="s">
        <v>53</v>
      </c>
      <c r="F119" s="3" t="s">
        <v>6</v>
      </c>
      <c r="G119" s="3" t="s">
        <v>32</v>
      </c>
      <c r="H119" s="3" t="s">
        <v>11</v>
      </c>
      <c r="I119" s="3" t="s">
        <v>12</v>
      </c>
      <c r="J119" s="3" t="s">
        <v>39</v>
      </c>
      <c r="K119" s="3" t="s">
        <v>14</v>
      </c>
      <c r="L119" s="3" t="s">
        <v>41</v>
      </c>
      <c r="M119">
        <v>1</v>
      </c>
    </row>
    <row r="120" spans="1:13" x14ac:dyDescent="0.25">
      <c r="A120" s="2">
        <v>46230</v>
      </c>
      <c r="B120" s="1" t="str">
        <f ca="1">IF(Información1[[#This Row],[Fecha]]='Ajuste de fechas'!$A$2,"Día actual","Día anterior")</f>
        <v>Día actual</v>
      </c>
      <c r="C120" s="3" t="s">
        <v>28</v>
      </c>
      <c r="D120" t="s">
        <v>66</v>
      </c>
      <c r="E120" s="3" t="s">
        <v>255</v>
      </c>
      <c r="F120" s="3" t="s">
        <v>21</v>
      </c>
      <c r="G120" s="3" t="s">
        <v>256</v>
      </c>
      <c r="H120" s="3" t="s">
        <v>11</v>
      </c>
      <c r="I120" s="3" t="s">
        <v>7</v>
      </c>
      <c r="J120" s="3" t="s">
        <v>39</v>
      </c>
      <c r="K120" s="3" t="s">
        <v>67</v>
      </c>
      <c r="L120" s="3" t="s">
        <v>40</v>
      </c>
      <c r="M120">
        <v>1</v>
      </c>
    </row>
    <row r="121" spans="1:13" x14ac:dyDescent="0.25">
      <c r="A121" s="2">
        <v>46230</v>
      </c>
      <c r="B121" s="1" t="str">
        <f ca="1">IF(Información1[[#This Row],[Fecha]]='Ajuste de fechas'!$A$2,"Día actual","Día anterior")</f>
        <v>Día actual</v>
      </c>
      <c r="C121" s="3" t="s">
        <v>28</v>
      </c>
      <c r="D121" t="s">
        <v>66</v>
      </c>
      <c r="E121" s="3" t="s">
        <v>257</v>
      </c>
      <c r="F121" s="3" t="s">
        <v>23</v>
      </c>
      <c r="G121" s="3" t="s">
        <v>102</v>
      </c>
      <c r="H121" s="3" t="s">
        <v>11</v>
      </c>
      <c r="I121" s="3" t="s">
        <v>7</v>
      </c>
      <c r="J121" s="3" t="s">
        <v>39</v>
      </c>
      <c r="K121" s="3" t="s">
        <v>67</v>
      </c>
      <c r="L121" s="3" t="s">
        <v>42</v>
      </c>
      <c r="M121">
        <v>1</v>
      </c>
    </row>
    <row r="122" spans="1:13" x14ac:dyDescent="0.25">
      <c r="A122" s="2">
        <v>46230</v>
      </c>
      <c r="B122" s="1" t="str">
        <f ca="1">IF(Información1[[#This Row],[Fecha]]='Ajuste de fechas'!$A$2,"Día actual","Día anterior")</f>
        <v>Día actual</v>
      </c>
      <c r="C122" s="3" t="s">
        <v>28</v>
      </c>
      <c r="D122" t="s">
        <v>79</v>
      </c>
      <c r="E122" s="3" t="s">
        <v>258</v>
      </c>
      <c r="F122" s="3" t="s">
        <v>23</v>
      </c>
      <c r="G122" s="3" t="s">
        <v>102</v>
      </c>
      <c r="H122" s="3" t="s">
        <v>11</v>
      </c>
      <c r="I122" s="3" t="s">
        <v>7</v>
      </c>
      <c r="J122" s="3" t="s">
        <v>39</v>
      </c>
      <c r="K122" s="3" t="s">
        <v>80</v>
      </c>
      <c r="L122" s="3" t="s">
        <v>40</v>
      </c>
      <c r="M122">
        <v>1</v>
      </c>
    </row>
    <row r="123" spans="1:13" x14ac:dyDescent="0.25">
      <c r="A123" s="2">
        <v>46230</v>
      </c>
      <c r="B123" s="1" t="str">
        <f ca="1">IF(Información1[[#This Row],[Fecha]]='Ajuste de fechas'!$A$2,"Día actual","Día anterior")</f>
        <v>Día actual</v>
      </c>
      <c r="C123" s="3" t="s">
        <v>8</v>
      </c>
      <c r="D123" t="s">
        <v>10</v>
      </c>
      <c r="E123" s="3" t="s">
        <v>259</v>
      </c>
      <c r="F123" s="3" t="s">
        <v>22</v>
      </c>
      <c r="G123" s="3" t="s">
        <v>102</v>
      </c>
      <c r="H123" s="3" t="s">
        <v>11</v>
      </c>
      <c r="I123" s="3" t="s">
        <v>7</v>
      </c>
      <c r="J123" s="3" t="s">
        <v>44</v>
      </c>
      <c r="K123" s="3" t="s">
        <v>14</v>
      </c>
      <c r="L123" s="3" t="s">
        <v>40</v>
      </c>
      <c r="M123">
        <v>1</v>
      </c>
    </row>
    <row r="124" spans="1:13" x14ac:dyDescent="0.25">
      <c r="A124" s="2">
        <v>46230</v>
      </c>
      <c r="B124" s="1" t="str">
        <f ca="1">IF(Información1[[#This Row],[Fecha]]='Ajuste de fechas'!$A$2,"Día actual","Día anterior")</f>
        <v>Día actual</v>
      </c>
      <c r="C124" s="3" t="s">
        <v>28</v>
      </c>
      <c r="D124" t="s">
        <v>79</v>
      </c>
      <c r="E124" s="3" t="s">
        <v>260</v>
      </c>
      <c r="F124" s="3" t="s">
        <v>23</v>
      </c>
      <c r="G124" s="3" t="s">
        <v>212</v>
      </c>
      <c r="H124" s="3" t="s">
        <v>11</v>
      </c>
      <c r="I124" s="3" t="s">
        <v>7</v>
      </c>
      <c r="J124" s="3" t="s">
        <v>39</v>
      </c>
      <c r="K124" s="3" t="s">
        <v>80</v>
      </c>
      <c r="L124" s="3" t="s">
        <v>40</v>
      </c>
      <c r="M124">
        <v>1</v>
      </c>
    </row>
    <row r="125" spans="1:13" x14ac:dyDescent="0.25">
      <c r="A125" s="2">
        <v>46230</v>
      </c>
      <c r="B125" s="1" t="str">
        <f ca="1">IF(Información1[[#This Row],[Fecha]]='Ajuste de fechas'!$A$2,"Día actual","Día anterior")</f>
        <v>Día actual</v>
      </c>
      <c r="C125" s="3" t="s">
        <v>8</v>
      </c>
      <c r="D125" t="s">
        <v>10</v>
      </c>
      <c r="E125" s="3" t="s">
        <v>211</v>
      </c>
      <c r="F125" s="3" t="s">
        <v>23</v>
      </c>
      <c r="G125" s="3" t="s">
        <v>212</v>
      </c>
      <c r="H125" s="3" t="s">
        <v>11</v>
      </c>
      <c r="I125" s="3" t="s">
        <v>7</v>
      </c>
      <c r="J125" s="3" t="s">
        <v>39</v>
      </c>
      <c r="K125" s="3" t="s">
        <v>14</v>
      </c>
      <c r="L125" s="3" t="s">
        <v>42</v>
      </c>
      <c r="M125">
        <v>1</v>
      </c>
    </row>
    <row r="126" spans="1:13" x14ac:dyDescent="0.25">
      <c r="A126" s="2">
        <v>46230</v>
      </c>
      <c r="B126" s="1" t="str">
        <f ca="1">IF(Información1[[#This Row],[Fecha]]='Ajuste de fechas'!$A$2,"Día actual","Día anterior")</f>
        <v>Día actual</v>
      </c>
      <c r="C126" s="3" t="s">
        <v>28</v>
      </c>
      <c r="D126" t="s">
        <v>79</v>
      </c>
      <c r="E126" s="3" t="s">
        <v>261</v>
      </c>
      <c r="F126" s="3" t="s">
        <v>23</v>
      </c>
      <c r="G126" s="3" t="s">
        <v>176</v>
      </c>
      <c r="H126" s="3" t="s">
        <v>11</v>
      </c>
      <c r="I126" s="3" t="s">
        <v>7</v>
      </c>
      <c r="J126" s="3" t="s">
        <v>39</v>
      </c>
      <c r="K126" s="3" t="s">
        <v>80</v>
      </c>
      <c r="L126" s="3" t="s">
        <v>40</v>
      </c>
      <c r="M126">
        <v>1</v>
      </c>
    </row>
    <row r="127" spans="1:13" x14ac:dyDescent="0.25">
      <c r="A127" s="2">
        <v>46230</v>
      </c>
      <c r="B127" s="1" t="str">
        <f ca="1">IF(Información1[[#This Row],[Fecha]]='Ajuste de fechas'!$A$2,"Día actual","Día anterior")</f>
        <v>Día actual</v>
      </c>
      <c r="C127" s="3" t="s">
        <v>28</v>
      </c>
      <c r="D127" t="s">
        <v>79</v>
      </c>
      <c r="E127" s="3" t="s">
        <v>262</v>
      </c>
      <c r="F127" s="3" t="s">
        <v>95</v>
      </c>
      <c r="G127" s="3" t="s">
        <v>263</v>
      </c>
      <c r="H127" s="3" t="s">
        <v>11</v>
      </c>
      <c r="I127" s="3" t="s">
        <v>7</v>
      </c>
      <c r="J127" s="3" t="s">
        <v>39</v>
      </c>
      <c r="K127" s="3" t="s">
        <v>80</v>
      </c>
      <c r="L127" s="3" t="s">
        <v>40</v>
      </c>
      <c r="M127">
        <v>1</v>
      </c>
    </row>
    <row r="128" spans="1:13" x14ac:dyDescent="0.25">
      <c r="A128" s="2">
        <v>46230</v>
      </c>
      <c r="B128" s="1" t="str">
        <f ca="1">IF(Información1[[#This Row],[Fecha]]='Ajuste de fechas'!$A$2,"Día actual","Día anterior")</f>
        <v>Día actual</v>
      </c>
      <c r="C128" s="3" t="s">
        <v>28</v>
      </c>
      <c r="D128" t="s">
        <v>79</v>
      </c>
      <c r="E128" s="3" t="s">
        <v>264</v>
      </c>
      <c r="F128" s="3" t="s">
        <v>19</v>
      </c>
      <c r="G128" s="3" t="s">
        <v>265</v>
      </c>
      <c r="H128" s="3" t="s">
        <v>11</v>
      </c>
      <c r="I128" s="3" t="s">
        <v>7</v>
      </c>
      <c r="J128" s="3" t="s">
        <v>43</v>
      </c>
      <c r="K128" s="3" t="s">
        <v>80</v>
      </c>
      <c r="L128" s="3" t="s">
        <v>40</v>
      </c>
      <c r="M128">
        <v>1</v>
      </c>
    </row>
    <row r="129" spans="1:13" x14ac:dyDescent="0.25">
      <c r="A129" s="2">
        <v>46230</v>
      </c>
      <c r="B129" s="1" t="str">
        <f ca="1">IF(Información1[[#This Row],[Fecha]]='Ajuste de fechas'!$A$2,"Día actual","Día anterior")</f>
        <v>Día actual</v>
      </c>
      <c r="C129" s="3" t="s">
        <v>28</v>
      </c>
      <c r="D129" t="s">
        <v>79</v>
      </c>
      <c r="E129" s="3" t="s">
        <v>266</v>
      </c>
      <c r="F129" s="3" t="s">
        <v>24</v>
      </c>
      <c r="G129" s="3" t="s">
        <v>267</v>
      </c>
      <c r="H129" s="3" t="s">
        <v>11</v>
      </c>
      <c r="I129" s="3" t="s">
        <v>7</v>
      </c>
      <c r="J129" s="3" t="s">
        <v>24</v>
      </c>
      <c r="K129" s="3" t="s">
        <v>80</v>
      </c>
      <c r="L129" s="3" t="s">
        <v>40</v>
      </c>
      <c r="M129">
        <v>1</v>
      </c>
    </row>
    <row r="130" spans="1:13" x14ac:dyDescent="0.25">
      <c r="A130" s="2">
        <v>46230</v>
      </c>
      <c r="B130" s="1" t="str">
        <f ca="1">IF(Información1[[#This Row],[Fecha]]='Ajuste de fechas'!$A$2,"Día actual","Día anterior")</f>
        <v>Día actual</v>
      </c>
      <c r="C130" s="3" t="s">
        <v>8</v>
      </c>
      <c r="D130" t="s">
        <v>10</v>
      </c>
      <c r="E130" s="3" t="s">
        <v>268</v>
      </c>
      <c r="F130" s="3" t="s">
        <v>19</v>
      </c>
      <c r="G130" s="3" t="s">
        <v>88</v>
      </c>
      <c r="H130" s="3" t="s">
        <v>11</v>
      </c>
      <c r="I130" s="3" t="s">
        <v>7</v>
      </c>
      <c r="J130" s="3" t="s">
        <v>43</v>
      </c>
      <c r="K130" s="3" t="s">
        <v>14</v>
      </c>
      <c r="L130" s="3" t="s">
        <v>76</v>
      </c>
      <c r="M130">
        <v>1</v>
      </c>
    </row>
    <row r="131" spans="1:13" x14ac:dyDescent="0.25">
      <c r="A131" s="2">
        <v>46230</v>
      </c>
      <c r="B131" s="1" t="str">
        <f ca="1">IF(Información1[[#This Row],[Fecha]]='Ajuste de fechas'!$A$2,"Día actual","Día anterior")</f>
        <v>Día actual</v>
      </c>
      <c r="C131" s="3" t="s">
        <v>71</v>
      </c>
      <c r="D131" t="s">
        <v>72</v>
      </c>
      <c r="E131" s="3" t="s">
        <v>269</v>
      </c>
      <c r="F131" s="3" t="s">
        <v>15</v>
      </c>
      <c r="G131" s="3" t="s">
        <v>120</v>
      </c>
      <c r="H131" s="3" t="s">
        <v>11</v>
      </c>
      <c r="I131" s="3" t="s">
        <v>7</v>
      </c>
      <c r="J131" s="3" t="s">
        <v>39</v>
      </c>
      <c r="K131" s="3" t="s">
        <v>73</v>
      </c>
      <c r="L131" s="3" t="s">
        <v>42</v>
      </c>
      <c r="M131">
        <v>1</v>
      </c>
    </row>
    <row r="132" spans="1:13" x14ac:dyDescent="0.25">
      <c r="A132" s="2">
        <v>46230</v>
      </c>
      <c r="B132" s="1" t="str">
        <f ca="1">IF(Información1[[#This Row],[Fecha]]='Ajuste de fechas'!$A$2,"Día actual","Día anterior")</f>
        <v>Día actual</v>
      </c>
      <c r="C132" s="3" t="s">
        <v>8</v>
      </c>
      <c r="D132" t="s">
        <v>10</v>
      </c>
      <c r="E132" s="3" t="s">
        <v>270</v>
      </c>
      <c r="F132" s="3" t="s">
        <v>24</v>
      </c>
      <c r="G132" s="3" t="s">
        <v>271</v>
      </c>
      <c r="H132" s="3" t="s">
        <v>11</v>
      </c>
      <c r="I132" s="3" t="s">
        <v>7</v>
      </c>
      <c r="J132" s="3" t="s">
        <v>24</v>
      </c>
      <c r="K132" s="3" t="s">
        <v>14</v>
      </c>
      <c r="L132" s="3" t="s">
        <v>76</v>
      </c>
      <c r="M132">
        <v>1</v>
      </c>
    </row>
    <row r="133" spans="1:13" x14ac:dyDescent="0.25">
      <c r="A133" s="2">
        <v>46230</v>
      </c>
      <c r="B133" s="1" t="str">
        <f ca="1">IF(Información1[[#This Row],[Fecha]]='Ajuste de fechas'!$A$2,"Día actual","Día anterior")</f>
        <v>Día actual</v>
      </c>
      <c r="C133" s="3" t="s">
        <v>28</v>
      </c>
      <c r="D133" t="s">
        <v>79</v>
      </c>
      <c r="E133" s="3" t="s">
        <v>272</v>
      </c>
      <c r="F133" s="3" t="s">
        <v>31</v>
      </c>
      <c r="G133" s="3" t="s">
        <v>122</v>
      </c>
      <c r="H133" s="3" t="s">
        <v>11</v>
      </c>
      <c r="I133" s="3" t="s">
        <v>7</v>
      </c>
      <c r="J133" s="3" t="s">
        <v>39</v>
      </c>
      <c r="K133" s="3" t="s">
        <v>80</v>
      </c>
      <c r="L133" s="3" t="s">
        <v>40</v>
      </c>
      <c r="M133">
        <v>1</v>
      </c>
    </row>
    <row r="134" spans="1:13" x14ac:dyDescent="0.25">
      <c r="A134" s="2">
        <v>46230</v>
      </c>
      <c r="B134" s="1" t="str">
        <f ca="1">IF(Información1[[#This Row],[Fecha]]='Ajuste de fechas'!$A$2,"Día actual","Día anterior")</f>
        <v>Día actual</v>
      </c>
      <c r="C134" s="3" t="s">
        <v>28</v>
      </c>
      <c r="D134" t="s">
        <v>79</v>
      </c>
      <c r="E134" s="3" t="s">
        <v>273</v>
      </c>
      <c r="F134" s="3" t="s">
        <v>19</v>
      </c>
      <c r="G134" s="3" t="s">
        <v>171</v>
      </c>
      <c r="H134" s="3" t="s">
        <v>11</v>
      </c>
      <c r="I134" s="3" t="s">
        <v>7</v>
      </c>
      <c r="J134" s="3" t="s">
        <v>43</v>
      </c>
      <c r="K134" s="3" t="s">
        <v>80</v>
      </c>
      <c r="L134" s="3" t="s">
        <v>40</v>
      </c>
      <c r="M134">
        <v>1</v>
      </c>
    </row>
    <row r="135" spans="1:13" x14ac:dyDescent="0.25">
      <c r="A135" s="2">
        <v>46230</v>
      </c>
      <c r="B135" s="1" t="str">
        <f ca="1">IF(Información1[[#This Row],[Fecha]]='Ajuste de fechas'!$A$2,"Día actual","Día anterior")</f>
        <v>Día actual</v>
      </c>
      <c r="C135" s="3" t="s">
        <v>28</v>
      </c>
      <c r="D135" t="s">
        <v>66</v>
      </c>
      <c r="E135" s="3" t="s">
        <v>274</v>
      </c>
      <c r="F135" s="3" t="s">
        <v>19</v>
      </c>
      <c r="G135" s="3" t="s">
        <v>275</v>
      </c>
      <c r="H135" s="3" t="s">
        <v>11</v>
      </c>
      <c r="I135" s="3" t="s">
        <v>7</v>
      </c>
      <c r="J135" s="3" t="s">
        <v>43</v>
      </c>
      <c r="K135" s="3" t="s">
        <v>67</v>
      </c>
      <c r="L135" s="3" t="s">
        <v>40</v>
      </c>
      <c r="M135">
        <v>1</v>
      </c>
    </row>
    <row r="136" spans="1:13" x14ac:dyDescent="0.25">
      <c r="A136" s="2">
        <v>46230</v>
      </c>
      <c r="B136" s="1" t="str">
        <f ca="1">IF(Información1[[#This Row],[Fecha]]='Ajuste de fechas'!$A$2,"Día actual","Día anterior")</f>
        <v>Día actual</v>
      </c>
      <c r="C136" s="3" t="s">
        <v>28</v>
      </c>
      <c r="D136" t="s">
        <v>66</v>
      </c>
      <c r="E136" s="3" t="s">
        <v>276</v>
      </c>
      <c r="F136" s="3" t="s">
        <v>22</v>
      </c>
      <c r="G136" s="3" t="s">
        <v>277</v>
      </c>
      <c r="H136" s="3" t="s">
        <v>11</v>
      </c>
      <c r="I136" s="3" t="s">
        <v>7</v>
      </c>
      <c r="J136" s="3" t="s">
        <v>44</v>
      </c>
      <c r="K136" s="3" t="s">
        <v>67</v>
      </c>
      <c r="L136" s="3" t="s">
        <v>40</v>
      </c>
      <c r="M136">
        <v>1</v>
      </c>
    </row>
    <row r="137" spans="1:13" x14ac:dyDescent="0.25">
      <c r="A137" s="2">
        <v>46230</v>
      </c>
      <c r="B137" s="1" t="str">
        <f ca="1">IF(Información1[[#This Row],[Fecha]]='Ajuste de fechas'!$A$2,"Día actual","Día anterior")</f>
        <v>Día actual</v>
      </c>
      <c r="C137" s="3" t="s">
        <v>8</v>
      </c>
      <c r="D137" t="s">
        <v>10</v>
      </c>
      <c r="E137" s="3" t="s">
        <v>278</v>
      </c>
      <c r="F137" s="3" t="s">
        <v>19</v>
      </c>
      <c r="G137" s="3" t="s">
        <v>279</v>
      </c>
      <c r="H137" s="3" t="s">
        <v>11</v>
      </c>
      <c r="I137" s="3" t="s">
        <v>7</v>
      </c>
      <c r="J137" s="3" t="s">
        <v>43</v>
      </c>
      <c r="K137" s="3" t="s">
        <v>9</v>
      </c>
      <c r="L137" s="3" t="s">
        <v>41</v>
      </c>
      <c r="M137">
        <v>1</v>
      </c>
    </row>
    <row r="138" spans="1:13" x14ac:dyDescent="0.25">
      <c r="A138" s="2">
        <v>46230</v>
      </c>
      <c r="B138" s="1" t="str">
        <f ca="1">IF(Información1[[#This Row],[Fecha]]='Ajuste de fechas'!$A$2,"Día actual","Día anterior")</f>
        <v>Día actual</v>
      </c>
      <c r="C138" s="3" t="s">
        <v>28</v>
      </c>
      <c r="D138" t="s">
        <v>79</v>
      </c>
      <c r="E138" s="3" t="s">
        <v>280</v>
      </c>
      <c r="F138" s="3" t="s">
        <v>19</v>
      </c>
      <c r="G138" s="3" t="s">
        <v>281</v>
      </c>
      <c r="H138" s="3" t="s">
        <v>11</v>
      </c>
      <c r="I138" s="3" t="s">
        <v>7</v>
      </c>
      <c r="J138" s="3" t="s">
        <v>43</v>
      </c>
      <c r="K138" s="3" t="s">
        <v>80</v>
      </c>
      <c r="L138" s="3" t="s">
        <v>40</v>
      </c>
      <c r="M138">
        <v>1</v>
      </c>
    </row>
    <row r="139" spans="1:13" x14ac:dyDescent="0.25">
      <c r="A139" s="2">
        <v>46230</v>
      </c>
      <c r="B139" s="1" t="str">
        <f ca="1">IF(Información1[[#This Row],[Fecha]]='Ajuste de fechas'!$A$2,"Día actual","Día anterior")</f>
        <v>Día actual</v>
      </c>
      <c r="C139" s="3" t="s">
        <v>28</v>
      </c>
      <c r="D139" t="s">
        <v>66</v>
      </c>
      <c r="E139" s="3" t="s">
        <v>282</v>
      </c>
      <c r="F139" s="3" t="s">
        <v>17</v>
      </c>
      <c r="G139" s="3" t="s">
        <v>283</v>
      </c>
      <c r="H139" s="3" t="s">
        <v>11</v>
      </c>
      <c r="I139" s="3" t="s">
        <v>7</v>
      </c>
      <c r="J139" s="3" t="s">
        <v>39</v>
      </c>
      <c r="K139" s="3" t="s">
        <v>67</v>
      </c>
      <c r="L139" s="3" t="s">
        <v>40</v>
      </c>
      <c r="M139">
        <v>1</v>
      </c>
    </row>
    <row r="140" spans="1:13" x14ac:dyDescent="0.25">
      <c r="A140" s="2">
        <v>46230</v>
      </c>
      <c r="B140" s="1" t="str">
        <f ca="1">IF(Información1[[#This Row],[Fecha]]='Ajuste de fechas'!$A$2,"Día actual","Día anterior")</f>
        <v>Día actual</v>
      </c>
      <c r="C140" s="3" t="s">
        <v>71</v>
      </c>
      <c r="D140" t="s">
        <v>72</v>
      </c>
      <c r="E140" s="3" t="s">
        <v>284</v>
      </c>
      <c r="F140" s="3" t="s">
        <v>93</v>
      </c>
      <c r="G140" s="3" t="s">
        <v>285</v>
      </c>
      <c r="H140" s="3" t="s">
        <v>11</v>
      </c>
      <c r="I140" s="3" t="s">
        <v>7</v>
      </c>
      <c r="J140" s="3" t="s">
        <v>39</v>
      </c>
      <c r="K140" s="3" t="s">
        <v>73</v>
      </c>
      <c r="L140" s="3" t="s">
        <v>42</v>
      </c>
      <c r="M140">
        <v>1</v>
      </c>
    </row>
    <row r="141" spans="1:13" x14ac:dyDescent="0.25">
      <c r="A141" s="2">
        <v>46230</v>
      </c>
      <c r="B141" s="1" t="str">
        <f ca="1">IF(Información1[[#This Row],[Fecha]]='Ajuste de fechas'!$A$2,"Día actual","Día anterior")</f>
        <v>Día actual</v>
      </c>
      <c r="C141" s="3" t="s">
        <v>8</v>
      </c>
      <c r="D141" t="s">
        <v>10</v>
      </c>
      <c r="E141" s="3" t="s">
        <v>284</v>
      </c>
      <c r="F141" s="3" t="s">
        <v>93</v>
      </c>
      <c r="G141" s="3" t="s">
        <v>285</v>
      </c>
      <c r="H141" s="3" t="s">
        <v>11</v>
      </c>
      <c r="I141" s="3" t="s">
        <v>7</v>
      </c>
      <c r="J141" s="3" t="s">
        <v>39</v>
      </c>
      <c r="K141" s="3" t="s">
        <v>14</v>
      </c>
      <c r="L141" s="3" t="s">
        <v>42</v>
      </c>
      <c r="M141">
        <v>1</v>
      </c>
    </row>
    <row r="142" spans="1:13" x14ac:dyDescent="0.25">
      <c r="A142" s="2">
        <v>46230</v>
      </c>
      <c r="B142" s="1" t="str">
        <f ca="1">IF(Información1[[#This Row],[Fecha]]='Ajuste de fechas'!$A$2,"Día actual","Día anterior")</f>
        <v>Día actual</v>
      </c>
      <c r="C142" s="3" t="s">
        <v>28</v>
      </c>
      <c r="D142" t="s">
        <v>79</v>
      </c>
      <c r="E142" s="3" t="s">
        <v>286</v>
      </c>
      <c r="F142" s="3" t="s">
        <v>15</v>
      </c>
      <c r="G142" s="3" t="s">
        <v>105</v>
      </c>
      <c r="H142" s="3" t="s">
        <v>11</v>
      </c>
      <c r="I142" s="3" t="s">
        <v>7</v>
      </c>
      <c r="J142" s="3" t="s">
        <v>39</v>
      </c>
      <c r="K142" s="3" t="s">
        <v>80</v>
      </c>
      <c r="L142" s="3" t="s">
        <v>40</v>
      </c>
      <c r="M142">
        <v>1</v>
      </c>
    </row>
    <row r="143" spans="1:13" x14ac:dyDescent="0.25">
      <c r="A143" s="2">
        <v>46230</v>
      </c>
      <c r="B143" s="1" t="str">
        <f ca="1">IF(Información1[[#This Row],[Fecha]]='Ajuste de fechas'!$A$2,"Día actual","Día anterior")</f>
        <v>Día actual</v>
      </c>
      <c r="C143" s="3" t="s">
        <v>8</v>
      </c>
      <c r="D143" t="s">
        <v>10</v>
      </c>
      <c r="E143" s="3" t="s">
        <v>196</v>
      </c>
      <c r="F143" s="3" t="s">
        <v>95</v>
      </c>
      <c r="G143" s="3" t="s">
        <v>190</v>
      </c>
      <c r="H143" s="3" t="s">
        <v>11</v>
      </c>
      <c r="I143" s="3" t="s">
        <v>7</v>
      </c>
      <c r="J143" s="3" t="s">
        <v>39</v>
      </c>
      <c r="K143" s="3" t="s">
        <v>14</v>
      </c>
      <c r="L143" s="3" t="s">
        <v>42</v>
      </c>
      <c r="M143">
        <v>1</v>
      </c>
    </row>
    <row r="144" spans="1:13" x14ac:dyDescent="0.25">
      <c r="A144" s="2">
        <v>46230</v>
      </c>
      <c r="B144" s="1" t="str">
        <f ca="1">IF(Información1[[#This Row],[Fecha]]='Ajuste de fechas'!$A$2,"Día actual","Día anterior")</f>
        <v>Día actual</v>
      </c>
      <c r="C144" s="3" t="s">
        <v>28</v>
      </c>
      <c r="D144" t="s">
        <v>79</v>
      </c>
      <c r="E144" s="3" t="s">
        <v>287</v>
      </c>
      <c r="F144" s="3" t="s">
        <v>19</v>
      </c>
      <c r="G144" s="3" t="s">
        <v>288</v>
      </c>
      <c r="H144" s="3" t="s">
        <v>11</v>
      </c>
      <c r="I144" s="3" t="s">
        <v>7</v>
      </c>
      <c r="J144" s="3" t="s">
        <v>43</v>
      </c>
      <c r="K144" s="3" t="s">
        <v>80</v>
      </c>
      <c r="L144" s="3" t="s">
        <v>40</v>
      </c>
      <c r="M144">
        <v>1</v>
      </c>
    </row>
    <row r="145" spans="1:13" x14ac:dyDescent="0.25">
      <c r="A145" s="2">
        <v>46230</v>
      </c>
      <c r="B145" s="1" t="str">
        <f ca="1">IF(Información1[[#This Row],[Fecha]]='Ajuste de fechas'!$A$2,"Día actual","Día anterior")</f>
        <v>Día actual</v>
      </c>
      <c r="C145" s="3" t="s">
        <v>8</v>
      </c>
      <c r="D145" t="s">
        <v>10</v>
      </c>
      <c r="E145" s="3" t="s">
        <v>289</v>
      </c>
      <c r="F145" s="3" t="s">
        <v>215</v>
      </c>
      <c r="G145" s="3" t="s">
        <v>235</v>
      </c>
      <c r="H145" s="3" t="s">
        <v>11</v>
      </c>
      <c r="I145" s="3" t="s">
        <v>7</v>
      </c>
      <c r="J145" s="3" t="s">
        <v>39</v>
      </c>
      <c r="K145" s="3" t="s">
        <v>14</v>
      </c>
      <c r="L145" s="3" t="s">
        <v>40</v>
      </c>
      <c r="M145">
        <v>1</v>
      </c>
    </row>
    <row r="146" spans="1:13" x14ac:dyDescent="0.25">
      <c r="A146" s="2">
        <v>46230</v>
      </c>
      <c r="B146" s="1" t="str">
        <f ca="1">IF(Información1[[#This Row],[Fecha]]='Ajuste de fechas'!$A$2,"Día actual","Día anterior")</f>
        <v>Día actual</v>
      </c>
      <c r="C146" s="3" t="s">
        <v>28</v>
      </c>
      <c r="D146" t="s">
        <v>66</v>
      </c>
      <c r="E146" s="3" t="s">
        <v>290</v>
      </c>
      <c r="F146" s="3" t="s">
        <v>22</v>
      </c>
      <c r="G146" s="3" t="s">
        <v>291</v>
      </c>
      <c r="H146" s="3" t="s">
        <v>11</v>
      </c>
      <c r="I146" s="3" t="s">
        <v>7</v>
      </c>
      <c r="J146" s="3" t="s">
        <v>44</v>
      </c>
      <c r="K146" s="3" t="s">
        <v>67</v>
      </c>
      <c r="L146" s="3" t="s">
        <v>40</v>
      </c>
      <c r="M146">
        <v>1</v>
      </c>
    </row>
    <row r="147" spans="1:13" x14ac:dyDescent="0.25">
      <c r="A147" s="2">
        <v>46230</v>
      </c>
      <c r="B147" s="1" t="str">
        <f ca="1">IF(Información1[[#This Row],[Fecha]]='Ajuste de fechas'!$A$2,"Día actual","Día anterior")</f>
        <v>Día actual</v>
      </c>
      <c r="C147" s="3" t="s">
        <v>28</v>
      </c>
      <c r="D147" t="s">
        <v>79</v>
      </c>
      <c r="E147" s="3" t="s">
        <v>292</v>
      </c>
      <c r="F147" s="3" t="s">
        <v>19</v>
      </c>
      <c r="G147" s="3" t="s">
        <v>293</v>
      </c>
      <c r="H147" s="3" t="s">
        <v>11</v>
      </c>
      <c r="I147" s="3" t="s">
        <v>7</v>
      </c>
      <c r="J147" s="3" t="s">
        <v>43</v>
      </c>
      <c r="K147" s="3" t="s">
        <v>80</v>
      </c>
      <c r="L147" s="3" t="s">
        <v>40</v>
      </c>
      <c r="M147">
        <v>1</v>
      </c>
    </row>
    <row r="148" spans="1:13" x14ac:dyDescent="0.25">
      <c r="A148" s="2">
        <v>46230</v>
      </c>
      <c r="B148" s="1" t="str">
        <f ca="1">IF(Información1[[#This Row],[Fecha]]='Ajuste de fechas'!$A$2,"Día actual","Día anterior")</f>
        <v>Día actual</v>
      </c>
      <c r="C148" s="3" t="s">
        <v>28</v>
      </c>
      <c r="D148" t="s">
        <v>66</v>
      </c>
      <c r="E148" s="3" t="s">
        <v>294</v>
      </c>
      <c r="F148" s="3" t="s">
        <v>26</v>
      </c>
      <c r="G148" s="3" t="s">
        <v>91</v>
      </c>
      <c r="H148" s="3" t="s">
        <v>11</v>
      </c>
      <c r="I148" s="3" t="s">
        <v>7</v>
      </c>
      <c r="J148" s="3" t="s">
        <v>39</v>
      </c>
      <c r="K148" s="3" t="s">
        <v>67</v>
      </c>
      <c r="L148" s="3" t="s">
        <v>40</v>
      </c>
      <c r="M148">
        <v>1</v>
      </c>
    </row>
    <row r="149" spans="1:13" x14ac:dyDescent="0.25">
      <c r="A149" s="2">
        <v>46230</v>
      </c>
      <c r="B149" s="1" t="str">
        <f ca="1">IF(Información1[[#This Row],[Fecha]]='Ajuste de fechas'!$A$2,"Día actual","Día anterior")</f>
        <v>Día actual</v>
      </c>
      <c r="C149" s="3" t="s">
        <v>8</v>
      </c>
      <c r="D149" t="s">
        <v>10</v>
      </c>
      <c r="E149" s="3" t="s">
        <v>295</v>
      </c>
      <c r="F149" s="3" t="s">
        <v>77</v>
      </c>
      <c r="G149" s="3" t="s">
        <v>296</v>
      </c>
      <c r="H149" s="3" t="s">
        <v>11</v>
      </c>
      <c r="I149" s="3" t="s">
        <v>7</v>
      </c>
      <c r="J149" s="3" t="s">
        <v>39</v>
      </c>
      <c r="K149" s="3" t="s">
        <v>14</v>
      </c>
      <c r="L149" s="3" t="s">
        <v>40</v>
      </c>
      <c r="M149">
        <v>1</v>
      </c>
    </row>
    <row r="150" spans="1:13" x14ac:dyDescent="0.25">
      <c r="A150" s="2">
        <v>46230</v>
      </c>
      <c r="B150" s="1" t="str">
        <f ca="1">IF(Información1[[#This Row],[Fecha]]='Ajuste de fechas'!$A$2,"Día actual","Día anterior")</f>
        <v>Día actual</v>
      </c>
      <c r="C150" s="3" t="s">
        <v>28</v>
      </c>
      <c r="D150" t="s">
        <v>79</v>
      </c>
      <c r="E150" s="3" t="s">
        <v>297</v>
      </c>
      <c r="F150" s="3" t="s">
        <v>17</v>
      </c>
      <c r="G150" s="3" t="s">
        <v>298</v>
      </c>
      <c r="H150" s="3" t="s">
        <v>11</v>
      </c>
      <c r="I150" s="3" t="s">
        <v>7</v>
      </c>
      <c r="J150" s="3" t="s">
        <v>39</v>
      </c>
      <c r="K150" s="3" t="s">
        <v>80</v>
      </c>
      <c r="L150" s="3" t="s">
        <v>40</v>
      </c>
      <c r="M150">
        <v>1</v>
      </c>
    </row>
    <row r="151" spans="1:13" x14ac:dyDescent="0.25">
      <c r="A151" s="2">
        <v>46230</v>
      </c>
      <c r="B151" s="1" t="str">
        <f ca="1">IF(Información1[[#This Row],[Fecha]]='Ajuste de fechas'!$A$2,"Día actual","Día anterior")</f>
        <v>Día actual</v>
      </c>
      <c r="C151" s="3" t="s">
        <v>84</v>
      </c>
      <c r="D151" t="s">
        <v>85</v>
      </c>
      <c r="E151" s="3" t="s">
        <v>238</v>
      </c>
      <c r="F151" s="3" t="s">
        <v>26</v>
      </c>
      <c r="G151" s="3" t="s">
        <v>239</v>
      </c>
      <c r="H151" s="3" t="s">
        <v>11</v>
      </c>
      <c r="I151" s="3" t="s">
        <v>7</v>
      </c>
      <c r="J151" s="3" t="s">
        <v>39</v>
      </c>
      <c r="K151" s="3" t="s">
        <v>86</v>
      </c>
      <c r="L151" s="3" t="s">
        <v>42</v>
      </c>
      <c r="M151">
        <v>1</v>
      </c>
    </row>
    <row r="152" spans="1:13" x14ac:dyDescent="0.25">
      <c r="A152" s="2">
        <v>46230</v>
      </c>
      <c r="B152" s="1" t="str">
        <f ca="1">IF(Información1[[#This Row],[Fecha]]='Ajuste de fechas'!$A$2,"Día actual","Día anterior")</f>
        <v>Día actual</v>
      </c>
      <c r="C152" s="3" t="s">
        <v>71</v>
      </c>
      <c r="D152" t="s">
        <v>72</v>
      </c>
      <c r="E152" s="3" t="s">
        <v>238</v>
      </c>
      <c r="F152" s="3" t="s">
        <v>26</v>
      </c>
      <c r="G152" s="3" t="s">
        <v>239</v>
      </c>
      <c r="H152" s="3" t="s">
        <v>11</v>
      </c>
      <c r="I152" s="3" t="s">
        <v>7</v>
      </c>
      <c r="J152" s="3" t="s">
        <v>39</v>
      </c>
      <c r="K152" s="3" t="s">
        <v>73</v>
      </c>
      <c r="L152" s="3" t="s">
        <v>42</v>
      </c>
      <c r="M152">
        <v>1</v>
      </c>
    </row>
    <row r="153" spans="1:13" x14ac:dyDescent="0.25">
      <c r="A153" s="2">
        <v>46230</v>
      </c>
      <c r="B153" s="1" t="str">
        <f ca="1">IF(Información1[[#This Row],[Fecha]]='Ajuste de fechas'!$A$2,"Día actual","Día anterior")</f>
        <v>Día actual</v>
      </c>
      <c r="C153" s="3" t="s">
        <v>28</v>
      </c>
      <c r="D153" t="s">
        <v>79</v>
      </c>
      <c r="E153" s="3" t="s">
        <v>299</v>
      </c>
      <c r="F153" s="3" t="s">
        <v>26</v>
      </c>
      <c r="G153" s="3" t="s">
        <v>239</v>
      </c>
      <c r="H153" s="3" t="s">
        <v>11</v>
      </c>
      <c r="I153" s="3" t="s">
        <v>7</v>
      </c>
      <c r="J153" s="3" t="s">
        <v>39</v>
      </c>
      <c r="K153" s="3" t="s">
        <v>80</v>
      </c>
      <c r="L153" s="3" t="s">
        <v>40</v>
      </c>
      <c r="M153">
        <v>1</v>
      </c>
    </row>
    <row r="154" spans="1:13" x14ac:dyDescent="0.25">
      <c r="A154" s="2">
        <v>46230</v>
      </c>
      <c r="B154" s="1" t="str">
        <f ca="1">IF(Información1[[#This Row],[Fecha]]='Ajuste de fechas'!$A$2,"Día actual","Día anterior")</f>
        <v>Día actual</v>
      </c>
      <c r="C154" s="3" t="s">
        <v>50</v>
      </c>
      <c r="D154" t="s">
        <v>55</v>
      </c>
      <c r="E154" s="3" t="s">
        <v>300</v>
      </c>
      <c r="F154" s="3" t="s">
        <v>77</v>
      </c>
      <c r="G154" s="3" t="s">
        <v>301</v>
      </c>
      <c r="H154" s="3" t="s">
        <v>11</v>
      </c>
      <c r="I154" s="3" t="s">
        <v>7</v>
      </c>
      <c r="J154" s="3" t="s">
        <v>39</v>
      </c>
      <c r="K154" s="3" t="s">
        <v>9</v>
      </c>
      <c r="L154" s="3" t="s">
        <v>41</v>
      </c>
      <c r="M154">
        <v>1</v>
      </c>
    </row>
    <row r="155" spans="1:13" x14ac:dyDescent="0.25">
      <c r="A155" s="2">
        <v>46230</v>
      </c>
      <c r="B155" s="1" t="str">
        <f ca="1">IF(Información1[[#This Row],[Fecha]]='Ajuste de fechas'!$A$2,"Día actual","Día anterior")</f>
        <v>Día actual</v>
      </c>
      <c r="C155" s="3" t="s">
        <v>50</v>
      </c>
      <c r="D155" t="s">
        <v>55</v>
      </c>
      <c r="E155" s="3" t="s">
        <v>302</v>
      </c>
      <c r="F155" s="3" t="s">
        <v>19</v>
      </c>
      <c r="G155" s="3" t="s">
        <v>303</v>
      </c>
      <c r="H155" s="3" t="s">
        <v>11</v>
      </c>
      <c r="I155" s="3" t="s">
        <v>7</v>
      </c>
      <c r="J155" s="3" t="s">
        <v>43</v>
      </c>
      <c r="K155" s="3" t="s">
        <v>51</v>
      </c>
      <c r="L155" s="3" t="s">
        <v>40</v>
      </c>
      <c r="M155">
        <v>1</v>
      </c>
    </row>
    <row r="156" spans="1:13" x14ac:dyDescent="0.25">
      <c r="A156" s="2">
        <v>46230</v>
      </c>
      <c r="B156" s="1" t="str">
        <f ca="1">IF(Información1[[#This Row],[Fecha]]='Ajuste de fechas'!$A$2,"Día actual","Día anterior")</f>
        <v>Día actual</v>
      </c>
      <c r="C156" s="3" t="s">
        <v>50</v>
      </c>
      <c r="D156" t="s">
        <v>55</v>
      </c>
      <c r="E156" s="3" t="s">
        <v>304</v>
      </c>
      <c r="F156" s="3" t="s">
        <v>22</v>
      </c>
      <c r="G156" s="3" t="s">
        <v>305</v>
      </c>
      <c r="H156" s="3" t="s">
        <v>11</v>
      </c>
      <c r="I156" s="3" t="s">
        <v>7</v>
      </c>
      <c r="J156" s="3" t="s">
        <v>44</v>
      </c>
      <c r="K156" s="3" t="s">
        <v>51</v>
      </c>
      <c r="L156" s="3" t="s">
        <v>40</v>
      </c>
      <c r="M156">
        <v>1</v>
      </c>
    </row>
    <row r="157" spans="1:13" x14ac:dyDescent="0.25">
      <c r="A157" s="2">
        <v>46230</v>
      </c>
      <c r="B157" s="1" t="str">
        <f ca="1">IF(Información1[[#This Row],[Fecha]]='Ajuste de fechas'!$A$2,"Día actual","Día anterior")</f>
        <v>Día actual</v>
      </c>
      <c r="C157" s="3" t="s">
        <v>50</v>
      </c>
      <c r="D157" t="s">
        <v>55</v>
      </c>
      <c r="E157" s="3" t="s">
        <v>306</v>
      </c>
      <c r="F157" s="3" t="s">
        <v>19</v>
      </c>
      <c r="G157" s="3" t="s">
        <v>98</v>
      </c>
      <c r="H157" s="3" t="s">
        <v>11</v>
      </c>
      <c r="I157" s="3" t="s">
        <v>7</v>
      </c>
      <c r="J157" s="3" t="s">
        <v>43</v>
      </c>
      <c r="K157" s="3" t="s">
        <v>51</v>
      </c>
      <c r="L157" s="3" t="s">
        <v>40</v>
      </c>
      <c r="M157">
        <v>1</v>
      </c>
    </row>
    <row r="158" spans="1:13" x14ac:dyDescent="0.25">
      <c r="A158" s="2">
        <v>46230</v>
      </c>
      <c r="B158" s="1" t="str">
        <f ca="1">IF(Información1[[#This Row],[Fecha]]='Ajuste de fechas'!$A$2,"Día actual","Día anterior")</f>
        <v>Día actual</v>
      </c>
      <c r="C158" s="3" t="s">
        <v>50</v>
      </c>
      <c r="D158" t="s">
        <v>55</v>
      </c>
      <c r="E158" s="3" t="s">
        <v>307</v>
      </c>
      <c r="F158" s="3" t="s">
        <v>21</v>
      </c>
      <c r="G158" s="3" t="s">
        <v>308</v>
      </c>
      <c r="H158" s="3" t="s">
        <v>11</v>
      </c>
      <c r="I158" s="3" t="s">
        <v>7</v>
      </c>
      <c r="J158" s="3" t="s">
        <v>39</v>
      </c>
      <c r="K158" s="3" t="s">
        <v>75</v>
      </c>
      <c r="L158" s="3" t="s">
        <v>42</v>
      </c>
      <c r="M158">
        <v>1</v>
      </c>
    </row>
    <row r="159" spans="1:13" x14ac:dyDescent="0.25">
      <c r="A159" s="2">
        <v>46230</v>
      </c>
      <c r="B159" s="1" t="str">
        <f ca="1">IF(Información1[[#This Row],[Fecha]]='Ajuste de fechas'!$A$2,"Día actual","Día anterior")</f>
        <v>Día actual</v>
      </c>
      <c r="C159" s="3" t="s">
        <v>50</v>
      </c>
      <c r="D159" t="s">
        <v>55</v>
      </c>
      <c r="E159" s="3" t="s">
        <v>220</v>
      </c>
      <c r="F159" s="3" t="s">
        <v>21</v>
      </c>
      <c r="G159" s="3" t="s">
        <v>221</v>
      </c>
      <c r="H159" s="3" t="s">
        <v>11</v>
      </c>
      <c r="I159" s="3" t="s">
        <v>7</v>
      </c>
      <c r="J159" s="3" t="s">
        <v>39</v>
      </c>
      <c r="K159" s="3" t="s">
        <v>51</v>
      </c>
      <c r="L159" s="3" t="s">
        <v>42</v>
      </c>
      <c r="M159">
        <v>1</v>
      </c>
    </row>
    <row r="160" spans="1:13" x14ac:dyDescent="0.25">
      <c r="A160" s="2">
        <v>46230</v>
      </c>
      <c r="B160" s="1" t="str">
        <f ca="1">IF(Información1[[#This Row],[Fecha]]='Ajuste de fechas'!$A$2,"Día actual","Día anterior")</f>
        <v>Día actual</v>
      </c>
      <c r="C160" s="3" t="s">
        <v>63</v>
      </c>
      <c r="D160" t="s">
        <v>64</v>
      </c>
      <c r="E160" s="3" t="s">
        <v>284</v>
      </c>
      <c r="F160" s="3" t="s">
        <v>93</v>
      </c>
      <c r="G160" s="3" t="s">
        <v>285</v>
      </c>
      <c r="H160" s="3" t="s">
        <v>11</v>
      </c>
      <c r="I160" s="3" t="s">
        <v>7</v>
      </c>
      <c r="J160" s="3" t="s">
        <v>39</v>
      </c>
      <c r="K160" s="3" t="s">
        <v>65</v>
      </c>
      <c r="L160" s="3" t="s">
        <v>42</v>
      </c>
      <c r="M160">
        <v>1</v>
      </c>
    </row>
    <row r="161" spans="1:13" x14ac:dyDescent="0.25">
      <c r="A161" s="2">
        <v>46230</v>
      </c>
      <c r="B161" s="1" t="str">
        <f ca="1">IF(Información1[[#This Row],[Fecha]]='Ajuste de fechas'!$A$2,"Día actual","Día anterior")</f>
        <v>Día actual</v>
      </c>
      <c r="C161" s="3" t="s">
        <v>63</v>
      </c>
      <c r="D161" t="s">
        <v>64</v>
      </c>
      <c r="E161" s="3" t="s">
        <v>106</v>
      </c>
      <c r="F161" s="3" t="s">
        <v>103</v>
      </c>
      <c r="G161" s="3" t="s">
        <v>104</v>
      </c>
      <c r="H161" s="3" t="s">
        <v>11</v>
      </c>
      <c r="I161" s="3" t="s">
        <v>7</v>
      </c>
      <c r="J161" s="3" t="s">
        <v>39</v>
      </c>
      <c r="K161" s="3" t="s">
        <v>65</v>
      </c>
      <c r="L161" s="3" t="s">
        <v>42</v>
      </c>
      <c r="M161">
        <v>1</v>
      </c>
    </row>
    <row r="162" spans="1:13" x14ac:dyDescent="0.25">
      <c r="A162" s="2">
        <v>46230</v>
      </c>
      <c r="B162" s="1" t="str">
        <f ca="1">IF(Información1[[#This Row],[Fecha]]='Ajuste de fechas'!$A$2,"Día actual","Día anterior")</f>
        <v>Día actual</v>
      </c>
      <c r="C162" s="3" t="s">
        <v>63</v>
      </c>
      <c r="D162" t="s">
        <v>64</v>
      </c>
      <c r="E162" s="3" t="s">
        <v>257</v>
      </c>
      <c r="F162" s="3" t="s">
        <v>23</v>
      </c>
      <c r="G162" s="3" t="s">
        <v>176</v>
      </c>
      <c r="H162" s="3" t="s">
        <v>11</v>
      </c>
      <c r="I162" s="3" t="s">
        <v>7</v>
      </c>
      <c r="J162" s="3" t="s">
        <v>39</v>
      </c>
      <c r="K162" s="3" t="s">
        <v>65</v>
      </c>
      <c r="L162" s="3" t="s">
        <v>42</v>
      </c>
      <c r="M162">
        <v>1</v>
      </c>
    </row>
    <row r="163" spans="1:13" x14ac:dyDescent="0.25">
      <c r="A163" s="2">
        <v>46230</v>
      </c>
      <c r="B163" s="1" t="str">
        <f ca="1">IF(Información1[[#This Row],[Fecha]]='Ajuste de fechas'!$A$2,"Día actual","Día anterior")</f>
        <v>Día actual</v>
      </c>
      <c r="C163" s="3" t="s">
        <v>63</v>
      </c>
      <c r="D163" t="s">
        <v>64</v>
      </c>
      <c r="E163" s="3" t="s">
        <v>211</v>
      </c>
      <c r="F163" s="3" t="s">
        <v>23</v>
      </c>
      <c r="G163" s="3" t="s">
        <v>212</v>
      </c>
      <c r="H163" s="3" t="s">
        <v>11</v>
      </c>
      <c r="I163" s="3" t="s">
        <v>7</v>
      </c>
      <c r="J163" s="3" t="s">
        <v>39</v>
      </c>
      <c r="K163" s="3" t="s">
        <v>65</v>
      </c>
      <c r="L163" s="3" t="s">
        <v>42</v>
      </c>
      <c r="M163">
        <v>1</v>
      </c>
    </row>
    <row r="164" spans="1:13" x14ac:dyDescent="0.25">
      <c r="A164" s="2">
        <v>46230</v>
      </c>
      <c r="B164" s="1" t="str">
        <f ca="1">IF(Información1[[#This Row],[Fecha]]='Ajuste de fechas'!$A$2,"Día actual","Día anterior")</f>
        <v>Día actual</v>
      </c>
      <c r="C164" s="3" t="s">
        <v>63</v>
      </c>
      <c r="D164" t="s">
        <v>64</v>
      </c>
      <c r="E164" s="3" t="s">
        <v>309</v>
      </c>
      <c r="F164" s="3" t="s">
        <v>23</v>
      </c>
      <c r="G164" s="3" t="s">
        <v>310</v>
      </c>
      <c r="H164" s="3" t="s">
        <v>11</v>
      </c>
      <c r="I164" s="3" t="s">
        <v>7</v>
      </c>
      <c r="J164" s="3" t="s">
        <v>39</v>
      </c>
      <c r="K164" s="3" t="s">
        <v>65</v>
      </c>
      <c r="L164" s="3" t="s">
        <v>42</v>
      </c>
      <c r="M164">
        <v>1</v>
      </c>
    </row>
    <row r="165" spans="1:13" x14ac:dyDescent="0.25">
      <c r="A165" s="2">
        <v>46230</v>
      </c>
      <c r="B165" s="1" t="str">
        <f ca="1">IF(Información1[[#This Row],[Fecha]]='Ajuste de fechas'!$A$2,"Día actual","Día anterior")</f>
        <v>Día actual</v>
      </c>
      <c r="C165" s="3" t="s">
        <v>63</v>
      </c>
      <c r="D165" t="s">
        <v>64</v>
      </c>
      <c r="E165" s="3" t="s">
        <v>206</v>
      </c>
      <c r="F165" s="3" t="s">
        <v>23</v>
      </c>
      <c r="G165" s="3" t="s">
        <v>176</v>
      </c>
      <c r="H165" s="3" t="s">
        <v>11</v>
      </c>
      <c r="I165" s="3" t="s">
        <v>7</v>
      </c>
      <c r="J165" s="3" t="s">
        <v>39</v>
      </c>
      <c r="K165" s="3" t="s">
        <v>65</v>
      </c>
      <c r="L165" s="3" t="s">
        <v>42</v>
      </c>
      <c r="M165">
        <v>1</v>
      </c>
    </row>
    <row r="166" spans="1:13" x14ac:dyDescent="0.25">
      <c r="A166" s="2">
        <v>46230</v>
      </c>
      <c r="B166" s="1" t="str">
        <f ca="1">IF(Información1[[#This Row],[Fecha]]='Ajuste de fechas'!$A$2,"Día actual","Día anterior")</f>
        <v>Día actual</v>
      </c>
      <c r="C166" s="3" t="s">
        <v>63</v>
      </c>
      <c r="D166" t="s">
        <v>64</v>
      </c>
      <c r="E166" s="3" t="s">
        <v>210</v>
      </c>
      <c r="F166" s="3" t="s">
        <v>48</v>
      </c>
      <c r="G166" s="3" t="s">
        <v>176</v>
      </c>
      <c r="H166" s="3" t="s">
        <v>11</v>
      </c>
      <c r="I166" s="3" t="s">
        <v>7</v>
      </c>
      <c r="J166" s="3" t="s">
        <v>39</v>
      </c>
      <c r="K166" s="3" t="s">
        <v>65</v>
      </c>
      <c r="L166" s="3" t="s">
        <v>42</v>
      </c>
      <c r="M166">
        <v>1</v>
      </c>
    </row>
    <row r="167" spans="1:13" x14ac:dyDescent="0.25">
      <c r="A167" s="2">
        <v>46230</v>
      </c>
      <c r="B167" s="1" t="str">
        <f ca="1">IF(Información1[[#This Row],[Fecha]]='Ajuste de fechas'!$A$2,"Día actual","Día anterior")</f>
        <v>Día actual</v>
      </c>
      <c r="C167" s="3" t="s">
        <v>63</v>
      </c>
      <c r="D167" t="s">
        <v>64</v>
      </c>
      <c r="E167" s="3" t="s">
        <v>311</v>
      </c>
      <c r="F167" s="3" t="s">
        <v>31</v>
      </c>
      <c r="G167" s="3" t="s">
        <v>122</v>
      </c>
      <c r="H167" s="3" t="s">
        <v>11</v>
      </c>
      <c r="I167" s="3" t="s">
        <v>7</v>
      </c>
      <c r="J167" s="3" t="s">
        <v>39</v>
      </c>
      <c r="K167" s="3" t="s">
        <v>65</v>
      </c>
      <c r="L167" s="3" t="s">
        <v>42</v>
      </c>
      <c r="M167">
        <v>1</v>
      </c>
    </row>
    <row r="168" spans="1:13" x14ac:dyDescent="0.25">
      <c r="A168" s="2">
        <v>46230</v>
      </c>
      <c r="B168" s="1" t="str">
        <f ca="1">IF(Información1[[#This Row],[Fecha]]='Ajuste de fechas'!$A$2,"Día actual","Día anterior")</f>
        <v>Día actual</v>
      </c>
      <c r="C168" s="3" t="s">
        <v>63</v>
      </c>
      <c r="D168" t="s">
        <v>64</v>
      </c>
      <c r="E168" s="3" t="s">
        <v>312</v>
      </c>
      <c r="F168" s="3" t="s">
        <v>15</v>
      </c>
      <c r="G168" s="3" t="s">
        <v>105</v>
      </c>
      <c r="H168" s="3" t="s">
        <v>11</v>
      </c>
      <c r="I168" s="3" t="s">
        <v>7</v>
      </c>
      <c r="J168" s="3" t="s">
        <v>39</v>
      </c>
      <c r="K168" s="3" t="s">
        <v>65</v>
      </c>
      <c r="L168" s="3" t="s">
        <v>42</v>
      </c>
      <c r="M168">
        <v>1</v>
      </c>
    </row>
    <row r="169" spans="1:13" x14ac:dyDescent="0.25">
      <c r="A169" s="2">
        <v>46230</v>
      </c>
      <c r="B169" s="1" t="str">
        <f ca="1">IF(Información1[[#This Row],[Fecha]]='Ajuste de fechas'!$A$2,"Día actual","Día anterior")</f>
        <v>Día actual</v>
      </c>
      <c r="C169" s="3" t="s">
        <v>63</v>
      </c>
      <c r="D169" t="s">
        <v>64</v>
      </c>
      <c r="E169" s="3" t="s">
        <v>238</v>
      </c>
      <c r="F169" s="3" t="s">
        <v>26</v>
      </c>
      <c r="G169" s="3" t="s">
        <v>239</v>
      </c>
      <c r="H169" s="3" t="s">
        <v>11</v>
      </c>
      <c r="I169" s="3" t="s">
        <v>7</v>
      </c>
      <c r="J169" s="3" t="s">
        <v>39</v>
      </c>
      <c r="K169" s="3" t="s">
        <v>65</v>
      </c>
      <c r="L169" s="3" t="s">
        <v>42</v>
      </c>
      <c r="M169">
        <v>1</v>
      </c>
    </row>
    <row r="170" spans="1:13" x14ac:dyDescent="0.25">
      <c r="A170" s="2">
        <v>46230</v>
      </c>
      <c r="B170" s="1" t="str">
        <f ca="1">IF(Información1[[#This Row],[Fecha]]='Ajuste de fechas'!$A$2,"Día actual","Día anterior")</f>
        <v>Día actual</v>
      </c>
      <c r="C170" s="3" t="s">
        <v>50</v>
      </c>
      <c r="D170" t="s">
        <v>52</v>
      </c>
      <c r="E170" s="3" t="s">
        <v>313</v>
      </c>
      <c r="F170" s="3" t="s">
        <v>19</v>
      </c>
      <c r="G170" s="3" t="s">
        <v>98</v>
      </c>
      <c r="H170" s="3" t="s">
        <v>11</v>
      </c>
      <c r="I170" s="3" t="s">
        <v>7</v>
      </c>
      <c r="J170" s="3" t="s">
        <v>43</v>
      </c>
      <c r="K170" s="3" t="s">
        <v>51</v>
      </c>
      <c r="L170" s="3" t="s">
        <v>40</v>
      </c>
      <c r="M170">
        <v>1</v>
      </c>
    </row>
    <row r="171" spans="1:13" x14ac:dyDescent="0.25">
      <c r="A171" s="2">
        <v>46230</v>
      </c>
      <c r="B171" s="1" t="str">
        <f ca="1">IF(Información1[[#This Row],[Fecha]]='Ajuste de fechas'!$A$2,"Día actual","Día anterior")</f>
        <v>Día actual</v>
      </c>
      <c r="C171" s="3" t="s">
        <v>50</v>
      </c>
      <c r="D171" t="s">
        <v>52</v>
      </c>
      <c r="E171" s="3" t="s">
        <v>314</v>
      </c>
      <c r="F171" s="3" t="s">
        <v>19</v>
      </c>
      <c r="G171" s="3" t="s">
        <v>315</v>
      </c>
      <c r="H171" s="3" t="s">
        <v>11</v>
      </c>
      <c r="I171" s="3" t="s">
        <v>25</v>
      </c>
      <c r="J171" s="3" t="s">
        <v>43</v>
      </c>
      <c r="K171" s="3" t="s">
        <v>51</v>
      </c>
      <c r="L171" s="3" t="s">
        <v>40</v>
      </c>
      <c r="M171">
        <v>1</v>
      </c>
    </row>
    <row r="172" spans="1:13" x14ac:dyDescent="0.25">
      <c r="A172" s="2">
        <v>46230</v>
      </c>
      <c r="B172" s="1" t="str">
        <f ca="1">IF(Información1[[#This Row],[Fecha]]='Ajuste de fechas'!$A$2,"Día actual","Día anterior")</f>
        <v>Día actual</v>
      </c>
      <c r="C172" s="3" t="s">
        <v>50</v>
      </c>
      <c r="D172" t="s">
        <v>52</v>
      </c>
      <c r="E172" s="3" t="s">
        <v>316</v>
      </c>
      <c r="F172" s="3" t="s">
        <v>17</v>
      </c>
      <c r="G172" s="3" t="s">
        <v>283</v>
      </c>
      <c r="H172" s="3" t="s">
        <v>11</v>
      </c>
      <c r="I172" s="3" t="s">
        <v>7</v>
      </c>
      <c r="J172" s="3" t="s">
        <v>39</v>
      </c>
      <c r="K172" s="3" t="s">
        <v>49</v>
      </c>
      <c r="L172" s="3" t="s">
        <v>40</v>
      </c>
      <c r="M172">
        <v>1</v>
      </c>
    </row>
    <row r="173" spans="1:13" x14ac:dyDescent="0.25">
      <c r="A173" s="2">
        <v>46230</v>
      </c>
      <c r="B173" s="1" t="str">
        <f ca="1">IF(Información1[[#This Row],[Fecha]]='Ajuste de fechas'!$A$2,"Día actual","Día anterior")</f>
        <v>Día actual</v>
      </c>
      <c r="C173" s="3" t="s">
        <v>50</v>
      </c>
      <c r="D173" t="s">
        <v>52</v>
      </c>
      <c r="E173" s="3" t="s">
        <v>317</v>
      </c>
      <c r="F173" s="3" t="s">
        <v>318</v>
      </c>
      <c r="G173" s="3" t="s">
        <v>283</v>
      </c>
      <c r="H173" s="3" t="s">
        <v>11</v>
      </c>
      <c r="I173" s="3" t="s">
        <v>12</v>
      </c>
      <c r="J173" s="3" t="s">
        <v>39</v>
      </c>
      <c r="K173" s="3" t="s">
        <v>49</v>
      </c>
      <c r="L173" s="3" t="s">
        <v>40</v>
      </c>
      <c r="M173">
        <v>1</v>
      </c>
    </row>
    <row r="174" spans="1:13" x14ac:dyDescent="0.25">
      <c r="A174" s="2">
        <v>46230</v>
      </c>
      <c r="B174" s="1" t="str">
        <f ca="1">IF(Información1[[#This Row],[Fecha]]='Ajuste de fechas'!$A$2,"Día actual","Día anterior")</f>
        <v>Día actual</v>
      </c>
      <c r="C174" s="3" t="s">
        <v>50</v>
      </c>
      <c r="D174" t="s">
        <v>52</v>
      </c>
      <c r="E174" s="3" t="s">
        <v>319</v>
      </c>
      <c r="F174" s="3" t="s">
        <v>320</v>
      </c>
      <c r="G174" s="3" t="s">
        <v>283</v>
      </c>
      <c r="H174" s="3" t="s">
        <v>11</v>
      </c>
      <c r="I174" s="3" t="s">
        <v>7</v>
      </c>
      <c r="J174" s="3" t="s">
        <v>39</v>
      </c>
      <c r="K174" s="3" t="s">
        <v>49</v>
      </c>
      <c r="L174" s="3" t="s">
        <v>40</v>
      </c>
      <c r="M174">
        <v>1</v>
      </c>
    </row>
    <row r="175" spans="1:13" x14ac:dyDescent="0.25">
      <c r="A175" s="2">
        <v>46230</v>
      </c>
      <c r="B175" s="1" t="str">
        <f ca="1">IF(Información1[[#This Row],[Fecha]]='Ajuste de fechas'!$A$2,"Día actual","Día anterior")</f>
        <v>Día actual</v>
      </c>
      <c r="C175" s="3" t="s">
        <v>50</v>
      </c>
      <c r="D175" t="s">
        <v>52</v>
      </c>
      <c r="E175" s="3" t="s">
        <v>321</v>
      </c>
      <c r="F175" s="3" t="s">
        <v>318</v>
      </c>
      <c r="G175" s="3" t="s">
        <v>283</v>
      </c>
      <c r="H175" s="3" t="s">
        <v>11</v>
      </c>
      <c r="I175" s="3" t="s">
        <v>7</v>
      </c>
      <c r="J175" s="3" t="s">
        <v>39</v>
      </c>
      <c r="K175" s="3" t="s">
        <v>49</v>
      </c>
      <c r="L175" s="3" t="s">
        <v>40</v>
      </c>
      <c r="M175">
        <v>1</v>
      </c>
    </row>
    <row r="176" spans="1:13" x14ac:dyDescent="0.25">
      <c r="A176" s="2">
        <v>46230</v>
      </c>
      <c r="B176" s="1" t="str">
        <f ca="1">IF(Información1[[#This Row],[Fecha]]='Ajuste de fechas'!$A$2,"Día actual","Día anterior")</f>
        <v>Día actual</v>
      </c>
      <c r="C176" s="3" t="s">
        <v>50</v>
      </c>
      <c r="D176" t="s">
        <v>52</v>
      </c>
      <c r="E176" s="3" t="s">
        <v>322</v>
      </c>
      <c r="F176" s="3" t="s">
        <v>318</v>
      </c>
      <c r="G176" s="3" t="s">
        <v>283</v>
      </c>
      <c r="H176" s="3" t="s">
        <v>11</v>
      </c>
      <c r="I176" s="3" t="s">
        <v>7</v>
      </c>
      <c r="J176" s="3" t="s">
        <v>39</v>
      </c>
      <c r="K176" s="3" t="s">
        <v>49</v>
      </c>
      <c r="L176" s="3" t="s">
        <v>40</v>
      </c>
      <c r="M176">
        <v>1</v>
      </c>
    </row>
    <row r="177" spans="1:13" x14ac:dyDescent="0.25">
      <c r="A177" s="2">
        <v>46230</v>
      </c>
      <c r="B177" s="1" t="str">
        <f ca="1">IF(Información1[[#This Row],[Fecha]]='Ajuste de fechas'!$A$2,"Día actual","Día anterior")</f>
        <v>Día actual</v>
      </c>
      <c r="C177" s="3" t="s">
        <v>50</v>
      </c>
      <c r="D177" t="s">
        <v>52</v>
      </c>
      <c r="E177" s="3" t="s">
        <v>323</v>
      </c>
      <c r="F177" s="3" t="s">
        <v>318</v>
      </c>
      <c r="G177" s="3" t="s">
        <v>324</v>
      </c>
      <c r="H177" s="3" t="s">
        <v>11</v>
      </c>
      <c r="I177" s="3" t="s">
        <v>7</v>
      </c>
      <c r="J177" s="3" t="s">
        <v>39</v>
      </c>
      <c r="K177" s="3" t="s">
        <v>49</v>
      </c>
      <c r="L177" s="3" t="s">
        <v>42</v>
      </c>
      <c r="M177">
        <v>1</v>
      </c>
    </row>
    <row r="178" spans="1:13" x14ac:dyDescent="0.25">
      <c r="A178" s="2">
        <v>46230</v>
      </c>
      <c r="B178" s="1" t="str">
        <f ca="1">IF(Información1[[#This Row],[Fecha]]='Ajuste de fechas'!$A$2,"Día actual","Día anterior")</f>
        <v>Día actual</v>
      </c>
      <c r="C178" s="3" t="s">
        <v>50</v>
      </c>
      <c r="D178" t="s">
        <v>52</v>
      </c>
      <c r="E178" s="3" t="s">
        <v>325</v>
      </c>
      <c r="F178" s="3" t="s">
        <v>21</v>
      </c>
      <c r="G178" s="3" t="s">
        <v>326</v>
      </c>
      <c r="H178" s="3" t="s">
        <v>11</v>
      </c>
      <c r="I178" s="3" t="s">
        <v>12</v>
      </c>
      <c r="J178" s="3" t="s">
        <v>39</v>
      </c>
      <c r="K178" s="3" t="s">
        <v>49</v>
      </c>
      <c r="L178" s="3" t="s">
        <v>40</v>
      </c>
      <c r="M17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46230</v>
      </c>
      <c r="B2" s="2">
        <f ca="1">A2-1</f>
        <v>46229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2026-07-27T23:23:00Z</dcterms:modified>
</cp:coreProperties>
</file>