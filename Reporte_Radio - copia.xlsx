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A1736A67-F52D-4A77-9E97-204FF53763F0}"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29" i="2"/>
  <c r="B41" i="2"/>
  <c r="B44" i="2"/>
  <c r="B47" i="2"/>
  <c r="B50" i="2"/>
  <c r="B53" i="2"/>
  <c r="B56" i="2"/>
  <c r="B16" i="2"/>
  <c r="B17" i="2"/>
  <c r="B18" i="2"/>
  <c r="B19" i="2"/>
  <c r="B20" i="2"/>
  <c r="B21" i="2"/>
  <c r="B22" i="2"/>
  <c r="B23" i="2"/>
  <c r="B24" i="2"/>
  <c r="B25" i="2"/>
  <c r="B26" i="2"/>
  <c r="B27" i="2"/>
  <c r="B28" i="2"/>
  <c r="B30" i="2"/>
  <c r="B42" i="2"/>
  <c r="B45" i="2"/>
  <c r="B48" i="2"/>
  <c r="B51" i="2"/>
  <c r="B54" i="2"/>
  <c r="B57" i="2"/>
  <c r="B31" i="2"/>
  <c r="B32" i="2"/>
  <c r="B33" i="2"/>
  <c r="B34" i="2"/>
  <c r="B35" i="2"/>
  <c r="B36" i="2"/>
  <c r="B37" i="2"/>
  <c r="B38" i="2"/>
  <c r="B39" i="2"/>
  <c r="B40" i="2"/>
  <c r="B43" i="2"/>
  <c r="B46" i="2"/>
  <c r="B49" i="2"/>
  <c r="B52" i="2"/>
  <c r="B55" i="2"/>
  <c r="B5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<sst xmlns="http://schemas.openxmlformats.org/spreadsheetml/2006/main" count="585" uniqueCount="166">
  <si>
    <t>Fecha</t>
  </si>
  <si>
    <t>Titular</t>
  </si>
  <si>
    <t>Dependencia</t>
  </si>
  <si>
    <t>Canal</t>
  </si>
  <si>
    <t>Tema</t>
  </si>
  <si>
    <t>Estatus</t>
  </si>
  <si>
    <t>Informativa</t>
  </si>
  <si>
    <t>Positiva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</si>
  <si>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</si>
  <si>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</si>
  <si>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</si>
  <si>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</si>
  <si>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</si>
  <si>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</si>
  <si>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</si>
  <si>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</si>
  <si>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</si>
  <si>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</si>
  <si>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</si>
  <si>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</si>
  <si>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</si>
  <si>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</si>
  <si>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</si>
  <si>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</si>
  <si>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</si>
  <si>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</si>
  <si>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</si>
  <si>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</si>
  <si>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</si>
  <si>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</si>
  <si>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</si>
  <si>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</si>
  <si>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</si>
  <si>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</si>
  <si>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</si>
  <si>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</si>
  <si>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</si>
  <si>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</si>
  <si>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</si>
  <si>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</si>
  <si>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TV LOCAL</t>
  </si>
  <si>
    <t>Aldo Falcón</t>
  </si>
  <si>
    <t>Andrés Torres</t>
  </si>
  <si>
    <t>Ultra 102.9 FM</t>
  </si>
  <si>
    <t>Ultra Noticias1</t>
  </si>
  <si>
    <t>Daniel Martínez</t>
  </si>
  <si>
    <t>SSPH</t>
  </si>
  <si>
    <t>Radiodifusoras</t>
  </si>
  <si>
    <t>Comparecencias</t>
  </si>
  <si>
    <t>Saderh</t>
  </si>
  <si>
    <t>Vacunación</t>
  </si>
  <si>
    <t>Izza Hernández</t>
  </si>
  <si>
    <t>Ayuntamiento</t>
  </si>
  <si>
    <t>Alcaldías</t>
  </si>
  <si>
    <t>Otros</t>
  </si>
  <si>
    <t>Presidencia</t>
  </si>
  <si>
    <t>Presidencia de la República</t>
  </si>
  <si>
    <t>Gobernador</t>
  </si>
  <si>
    <t>Alerta Meteorológica</t>
  </si>
  <si>
    <t>Reforma a contrataciones municipales</t>
  </si>
  <si>
    <t>Radio Lobo 96.7 FM</t>
  </si>
  <si>
    <t>Enlace Noticias</t>
  </si>
  <si>
    <t>Gina Lorenzo</t>
  </si>
  <si>
    <t>Apps de transporte</t>
  </si>
  <si>
    <t>Testamento</t>
  </si>
  <si>
    <t>Apoyo a personas con discapacidad</t>
  </si>
  <si>
    <t>Oficialía Mayor</t>
  </si>
  <si>
    <t>Reunión con Empresarios</t>
  </si>
  <si>
    <t>Reunión Con Empresarios</t>
  </si>
  <si>
    <t>Xantolo</t>
  </si>
  <si>
    <t>Una pipa de petróleos mexicanos de Pemex volcó la mañana de este jueves sobre la carretera Pachuca-Ciudad Sahagún, de acuerdo con personal de bomberos voluntarios del estado. Dicho percance se presentó a la altura del kilómetro 41, donde esta pipa que transportaba 20,000 litros de diésel volcó. Por dicho hecho, para evitar algún incidente, la carretera fue cerrada en parcialidad para realizar también el traslado del combustible a otra unidad.</t>
  </si>
  <si>
    <t>Accidente De Pipa</t>
  </si>
  <si>
    <t>Andrés Torres: Oye, ¿qué tal este la dirección general de radio y televisión de algo que insiste en quitarnos el programa, en quitarnos nuestras redes sociales, en quitarnos de la programación? Si supiera que el gobernador del estado Hidalgo es suscriptor de Las Voces Radio y todas las mañanas por ahí así de las 5 de la mañana estamos ya en contacto enviándole información, intercambiando pues por supuesto conceptos y claro que junto con otros muchos cientos de seguidores de Las Voces todas las mañanas nos informan, nos dan a conocer cuál es el estado del clima, cuál es el estado de tránsito.</t>
  </si>
  <si>
    <t>Acoso laboral</t>
  </si>
  <si>
    <t>Ayer cerraron la carretera Metztitlán- Eloxochitlán a la altura de la comunidad de El Cerrito, debido a que el agua de la laguna ya inundó esta carretera.</t>
  </si>
  <si>
    <t>Afectaciones Por Lluvias</t>
  </si>
  <si>
    <t>La Subsecretaría de Protección Civil y Gestión de Riesgos informa a la población que, para este 23 de octubre de 2026, de acuerdo con el aviso meteorológico del 589 del pronóstico meteorológico general del Servicio Meteorológico Nacional, se pronostican chubascos de lluvia puntuales a fuertes de 25 a 50 mm, principalmente en las regiones norte y este del estado de Hidalgo. Asimismo, se pronostican temperaturas de 0 a 5 °C con vientos de 10 a 20 km/h con rachas de 30 a 50 km/h.</t>
  </si>
  <si>
    <t>La Dirección General de Inclusión para las Personas con Discapacidad de Tulancingo ha consolidado 16 proyectos productivos durante este año, mediante apoyos municipales y donaciones de empresarios, con el objetivo de impulsar el autoempleo y fortalecer los ingresos de personas con discapacidad y sus cuidadores. La directora del área, Diana Esmeralda Peña Canales, informó que los apoyos se otorgan en especie, hasta por 5 mil pesos a fondo perdido, para iniciar o fortalecer negocios de tejido, masoterapia, venta de dulces, antojitos mexicanos, helados, blancos y talleres de costura, entre otros. La meta para este año es alcanzar 24 proyectos en desarrollo, por lo que la Jefatura de Inclusión Laboral y Proyectos Productivos mantiene abierta la recepción de propuestas. Las personas interesadas también pueden recibir orientación y capacitación para definir una idea de negocio y evaluar su viabilidad. Como parte de esta estrategia, durante el año se han impartido al menos 15 capacitaciones en el Parque Recreativo El Caracol, principalmente sobre elaboración de alimentos, dirigidas a personas con discapacidad y sus cuidadores. La oferta continuará los días 27, 28 y 29 de octubre con un taller gratuito de cartonería de catrinas. Tanto la capacitación como los materiales serán sin costo para los participantes.</t>
  </si>
  <si>
    <t>En Omitlán Protección civil de municipio, retiró un árbol de aproximadamente 30 metros de alto que cayó debido al reblandecimiento de la tierra a causa de las lluvias. No hay personas lesionadas.</t>
  </si>
  <si>
    <t>Atención afectaciones por lluvias</t>
  </si>
  <si>
    <t>Vía telefónica el reporte de Bombero y Protección Civil con Abner Yáñez informa de las diversas emergencias reportadas por la ciudadanía y que fueron atendidas.</t>
  </si>
  <si>
    <t>Auxilio a la ciudadanía</t>
  </si>
  <si>
    <t>Abner Yáñez</t>
  </si>
  <si>
    <t>Participación</t>
  </si>
  <si>
    <t>Diversas organizaciones de autotransporte de carga en México convocaron a un paro nacional para el lunes 26 de octubre a partir de las 08:00 horas, en protesta por la inseguridad en las carreteras, las presuntas extorsiones de autoridades y los cambios en los estímulos fiscales del paquete económico 2027. La protesta es impulsada por agrupaciones como la CANACAR, AMOTAC, FEMATRAC e INDECO, cuyos representantes señalan que el incremento de costos operativos, los robos y los riesgos en las rutas afectan la competitividad del sector, provocando que varias empresas prefieran cerrar. El paro afectará importantes vías de comunicación como las carreteras México-Puebla, México-Querétaro y México-Pachuca.</t>
  </si>
  <si>
    <t>Bloqueo transportistas</t>
  </si>
  <si>
    <t>Irving Sánchez</t>
  </si>
  <si>
    <t>El dirigente estatal de Movimiento Regeneración Nacional en Hidalgo, Marco Antonio Rico Mercado, dio una conferencia de prensa tras cerrar el registro de aspirantes a coordinadores municipales de defensa de la soberanía y la 4T. Expresó que registrarse no significa ser un candidato confirmado. Mencionó que en algunos municipios hay más aspirantes que habitantes, lo que es un tema llamativo. En Pachuca, el alcalde Jorge Reyes Hernández se inscribió para buscar la reelección, permitida por la Constitución. Sin embargo, Rico aclaró que su registro no implica que ya esté designado para esta reelección. Se espera que el proceso continúe con revisiones y encuestas, si se llevan a cabo. Alrededor de finales de enero y mediados de febrero, se conocerán más detalles sobre las candidaturas en Pachuca y en los otros 83 municipios de Hidalgo, donde se analizará la popularidad de los aspirantes.</t>
  </si>
  <si>
    <t>Morena</t>
  </si>
  <si>
    <t>Candidaturas</t>
  </si>
  <si>
    <t>Partidos</t>
  </si>
  <si>
    <t>Locutor Irving Sánchez da lectura a comentario de radioescucha que reporta el estado crítico de la entre Santiago Tulantepec y Tulancingo, abarcando desde el crucero de Genisa hasta después de Medias Tierras. Los reportes señalan que la ruta se encuentra en peores condiciones que un camino rural, con numerosos baches y hoyos incrementados por las recientes lluvias. A pesar de las afectaciones diarias para quienes transitan por la zona, los inconformes denuncian que las autoridades no han hecho nada para solucionar este problema que lleva años deteriorándose.</t>
  </si>
  <si>
    <t>Sipdus</t>
  </si>
  <si>
    <t>Carretera En Mal Estado</t>
  </si>
  <si>
    <t>El Instituto Municipal para la Cultura de Pachuca dio a conocer la cartelera de exposiciones artísticas programadas a partir de este 23 de octubre en la Casa de Cultura, ubicada en la calle de Arista No. 108, colonia Centro. Entre las muestras presentadas se encuentran Colores que construyen (a cargo de alumnos del profesor Armando Chávez), Inquisición y Muerte y El camino a nuestro altar. Asimismo, se anunció para el próximo domingo la realización de la octava edición del evento deportivo y cultural El Umbral, Cultura Pachuca Social Run, el cual consistirá en una caminata recreativa y respetuosa entre tumbas centenarias en el Panteón Municipal de Pachuca, guiada por el cronista Hugo David Pérez Ángeles.</t>
  </si>
  <si>
    <t>Cartelera cultural</t>
  </si>
  <si>
    <t>Daniel Martínez sobre el retraso en la construcción del Centro de Acopio Lechero de Tulancingo comentó: Ahora sí que ahí a la espera, esperemos que la gestión de los recursos no termine siendo como... Le voy a pedir a la Secretaría de Salud que revise el asunto de la calidad de la leche en la región y bolas, don Cuco. Que la Secretaría de Salud le responde. Ya la estamos revisando. ¿Cuál petición? A ver si hay gestión al respecto. ¿O qué se hace con el terreno? ¿O si existe la certeza legal del terreno?</t>
  </si>
  <si>
    <t>Centro de Acopio Lechero</t>
  </si>
  <si>
    <t>Más de seis años han pasado desde el inicio de la construcción del Centro de Acopio Lechero del Valle de Tulancingo, y no existe por lo menos en este momento, indicio alguno de retomar y finalizar su construcción y equipamiento. Durante la comparecencia de Napoleón González Pérez, titular de la Secretaría de Agricultura y Desarrollo Rural de Hidalgo (Saderh) ante el Congreso del Estado de Hidalgo, fue cuestionado sobre el tema por el diputado local por Tulancingo, Arturo Gómez Canales. El funcionario respondió ante los legisladores locales que el proyecto corresponde al Gobierno Federal, asegurando que está considerado retomar la obra, junto con el Centro de Acopio Lechero de Tizayuca, el cual también están detenidos los trabajos de construcción y equipamiento. Señaló que para seguir adelante con ambos proyectos, se requiere de presupuesto por aproximadamente 80 millones de pesos. A finales de julio de 2020 fue iniciada la obra en un predio de mil 676.64 metros cuadrados, ubicado en la localidad de San Nicolás el Chico, en Tulancingo. El proyecto está a cargo del gobierno federal a través de Seguridad Alimentaria Mexicana (Segalmex), por medio de su filial Liconsa. Durante la ceremonia de colocación de la primera piedra, se aseguró que la inversión total sería de aproximadamente 12 millones de pesos. De dicha inversión, seis millones serían para la construcción de las instalaciones y los seis millones restantes, en equipamiento. Durante la ceremonia de inicio de construcción, se informó que el espacio tendría capacidad para recibir hasta 30 mil litros de leche diariamente, garantizando a más de 450 productores en la región recibir un precio de garantía adecuado por el alimento. Para el proyecto, el Municipio de Tulancingo aportó el terreno, el gobierno de Hidalgo se encargó de la construcción del inmueble, y el equipamiento especializado correspondía al entonces organismo federal Segalmex. Pero las instalaciones están abandonadas desde hace por lo menos 4 años, incluso siendo ya saqueadas y vandalizadas; testimonios de vecinos en la zona señalan que incluso personas se quedan a pernoctar en el interior. En visita de trabajo realizada en el Valle de Tulancingo a finales del mes de julio de este año, González Pérez recordó que en la inversión considerada para concretar ambos centros de acopio lechero, se deben considerar varios puntos. “No es nada más tener la instalación, es el laboratorio, los tanques, todo el equipamiento, además de los accesos”. En una visita posterior a la misma región realizada el pasado mes de septiembre, el funcionario estatal insistió que siguen las gestiones para contar con recursos que permitan finalizar la construcción y equipamiento de ambos espacios, en Tizayuca y Tulancingo. Enfatizó que junto con dichas gestiones, se revisan detalles legales; en el caso de Tulancingo, por ejemplo, la propiedad del terreno, para tener la certeza de aplicar los eventuales recursos públicos en forma adecuada.</t>
  </si>
  <si>
    <t>Centro LIBRE contribuye a la preservación de la lengua Hñähñü</t>
  </si>
  <si>
    <t>Centros LIBRE</t>
  </si>
  <si>
    <t>SSPH desarticula punto de narcomenudeo en Tolcayuca y asegura a una mujer reincidente</t>
  </si>
  <si>
    <t>Combate Al Narcomenudeo</t>
  </si>
  <si>
    <t>En un hecho histórico para el Poder Legislativo de Hidalgo, el oficial mayor Edgar Orlando Ángeles Pérez compareció por primera vez ante las y los diputados de la Sexagésima Sexta Legislatura, como parte de la glosa del informe del gobernador Julio Menchaca Salazar. Durante su comparecencia, el funcionario expuso los avances en materia de transparencia y modernización, señalando las condiciones críticas en las que recibieron la administración —con documentación inconsistente, infraestructura obsoleta y bienes sin control—. Informó que de enero a septiembre de este año se han adjudicado 313 contratos por más de 2,558 millones de pesos (el 97% mediante licitación pública nacional), y destacó la aplicación de penalizaciones y rescisiones que evitaron un daño a las finanzas públicas superior a los 74 millones de pesos. Finalmente, resaltó las acciones de diagnóstico y regularización del patrimonio inmobiliario del estado para garantizar el uso responsable de los recursos públicos.</t>
  </si>
  <si>
    <t>Oficialía Mayor rinde cuentas sobre el correcto cumplimiento del gasto público</t>
  </si>
  <si>
    <t>La Procuraduría General de Justicia del Estado de Hidalgo contempla fortalecer su estructura para poder atender de manera específica los casos de extorsión mediante la creación de la fiscalía especializada, que podría comenzar sus funciones en el 2027. Por su parte, Francisco Ángel Fernández Hasbun, quien es encargado del despacho de la Procuraduría, explicó que actualmente este tipo de investigaciones son canalizadas a la Unidad de Atención al Secuestro. Sin embargo, se busca conformar un grupo especializado que pueda permitir ampliar las capacidades de investigación y atención de estos delitos. La nueva área estaría integrada por aproximadamente 50 personas, esto como parte de un proceso. La Procuraduría estará realizando una revisión de los recursos humanos, materiales y operativos también con los que cuenta, además de preparar al personal ministerial que estaría participando en esta fiscalía. El anuncio se realizó durante la comparecencia de Fernández Hasbun ante el Congreso de Hidalgo, esto como parte de la revisión del cuarto informe de gobierno estatal. Durante el encuentro con legisladores, también se dio a conocer un avance en la investigación por el homicidio del estudiante del Mexe y de acuerdo con el encargado de la Procuraduría, las autoridades judiciales concedieron tres órdenes de aprehensión relacionadas con este homicidio calificado de José Antonio Salgado Aparicio, alumno de la Escuela Normal Rural Luis Villarreal. El estudiante fue encontrado, recordemos, sin vida el pasado 7 de septiembre de 2026. La Procuraduría confirmó la obtención de las tres órdenes; aunque no se informó como tal si hasta el momento habían sido ejecutadas ni si se dieron a conocer tampoco algunos detalles sobre las personas señaladas dentro de esta investigación.</t>
  </si>
  <si>
    <t>Las rondas de comparecencias sobre el cuarto informe del gobernador Julio Menchaca Salazar ya concluyeron en la 66 Legislatura del Congreso del Estado. Orlando Ángeles, el oficial mayor del gobierno estatal, fue el último en presentarse ante los diputados locales. Esta es la primera vez en la historia que un oficial mayor comparece en este contexto. Durante su intervención, habló sobre el uso de los recursos públicos y confirmó que el 99% de los contratos en la administración de Menchaca se otorgaron mediante licitaciones públicas. Se discutieron 313 contratos entre enero y septiembre, y el oficial mencionó que se impusieron penalizaciones a 35 contratos y se rescindieron seis por incumplimiento, con un valor total de 68 millones de pesos. Se destaca que esta comparecencia fue una de las más informativas de toda la serie, lo que permitió a los diputados conocer más sobre el desempeño de la oficialía en la administración de Julio Menchaca. También se resaltó que se han recuperado aproximadamente 500 inmuebles que estaban abandonados, lo que ha reducido costos para el gobierno del estado. Además, se mencionó que el porcentaje de licitaciones públicas ha aumentado del 66% al 99%, lo que significa que ya no se realizan a puerta cerrada, como ocurría antes. El oficial mayor explicó que existen diferentes mecanismos para asignar obras, como licitaciones públicas y directas, y que la mayoría de las asignaciones actuales se realizan a través de convocatorias y concursos abiertos.</t>
  </si>
  <si>
    <t>SEPH realiza el concurso de oratoria “Mi palabra es hoy mi voz y mi fortaleza 2026”</t>
  </si>
  <si>
    <t>Concurso De Oratoria</t>
  </si>
  <si>
    <t>Menchaca fortalece cooperación hacendaria con la Unión Europea.</t>
  </si>
  <si>
    <t>Cooperación internacional</t>
  </si>
  <si>
    <t>El gobernador Julio Menchaca Salazar sostuvo una reunión con Stefan Agne, ministro consejero y jefe de cooperación de la Delegación de la Unión Europea en México, y con Raúl Carrillo Ruiz, coordinador de proyectos de la Unión Europea ( EU4Equity), con quienes dialogó sobre nuevas oportunidades de colaboración en beneficio del estado. En el encuentro también participó la secretaria de Hacienda, María Esther Ramírez Vargas, donde analizaron mecanismos de trabajo conjunto e intercambio de experiencias en el mercado del modelo hacendario estatal para la cohesión social, orientado a vincular la modernización de las finanzas públicas con las prioridades para el desarrollo en Hidalgo. Esta reunión forma parte de los esfuerzos que la actual administración de Hidalgo realiza para establecer vínculos estratégicos con organismos internacionales, aprovechar las buenas prácticas y avanzar hacia una gestión más eficiente capaz de traducir el uso responsable de los recursos públicos en resultados positivos para la población. Ayer, el gobernador de nuestro estado recibió ahí en sus oficinas a representantes de la Unión Europea, a este señor que se llama Stefan Agne y a Raúl Carrillo Ruiz, ellos representantes de la Unión Europea. El tema: los dineros, los negocios.</t>
  </si>
  <si>
    <t>El tradicional Tianguis de Día de Muertos regresará a la calle Libertad a partir del martes 27 de octubre, con la participación de alrededor de 140 comerciantes que ofrecerán productos de temporada y contribuirán al fortalecimiento de la economía local. Con cerca de tres décadas de historia, esta vendimia representa una oportunidad para que comerciantes y productores generen ingresos, al tiempo que las familias encuentran artículos propios de estas fechas a precios accesibles. Las actividades comerciales se realizarán los días 27 y 28 de octubre, así como el 30 y 31 del mismo mes y el 1 de noviembre, en un horario de 7:00 a 20:00 horas. Se estima que durante la temporada acudan alrededor de 5 mil personas, con mayor afluencia los días 30 y 31 de octubre, así como el 1 de noviembre, fechas en las que se espera una importante actividad comercial. El secretario de Servicios Municipales, Juan Alberto Santuario Elías, y Samuel Cruz Flores destacaron la relevancia de este espacio para fortalecer la economía de las familias, facilitar el acceso a mercancías a precios accesibles y mantener activa la actividad comercial en el centro de la ciudad. La participación será predominantemente de comerciantes de Tulancingo, mientras que aproximadamente el 10 por ciento provendrá de otros puntos de la región. Para garantizar el desarrollo ordenado de la vendimia, se atenderán los lineamientos sanitarios y de Protección Civil. Además, las áreas de Movilidad y Transporte brindarán apoyo para contribuir a la circulación vehicular en la zona. Por su parte, la Dirección de Mercados y la mesa directiva del tianguis permanecerán atentas a posibles incidentes relacionados con el pesaje de los productos y la atención al público.</t>
  </si>
  <si>
    <t>Día De Muertos</t>
  </si>
  <si>
    <t>Este jueves 22 de octubre se inauguró la primera Expo Mortuoria de Hidalgo (EXPOMORT-H) en el Centro Cultural Ricardo Garibay, en Tulancingo, con el objetivo de reunir a profesionales, empresas y prestadores de servicios del sector funerario. La ceremonia de apertura se realizó alrededor de las 11:30 horas y contó con la presencia del director de Educación, Juan Refugio Santillán; la licenciada Emma San Agustín; representantes de empresas funerarias y organizadores del evento. La exposición, organizada por la Universidad Multidisciplinaria en la Investigación (UMI), integra la cuarta edición de “El Arte de Vivir de la Muerte”, iniciativa que busca generar conciencia sobre la importancia de la previsión funeraria desde una perspectiva cultural, social y profesional. Las actividades se llevan a cabo en el Centro Cultural Ricardo Garibay y están abiertas al público hasta las 17:00 horas de este jueves.</t>
  </si>
  <si>
    <t>Evento Cultural</t>
  </si>
  <si>
    <t>En entrevista en cabina, la ingeniera Minerva Rosales Gayoso, secretaria de Fomento Económico de Tulancingo, y Tiara Zambrano, auxiliar de la Dirección de Turismo, presentaron los pormenores de la 12ª edición de la tradicional Feria del Mole en la localidad de Santana Huilapan. Las funcionarias destacaron que el evento busca preservar la riqueza culinaria y las tradiciones de la comunidad mediante el tradicional concurso de elaboración de mole, el cual este año implementará una dinámica basada en la documentación en video del proceso de preparación en casa para facilitar la participación. Asimismo, la festividad —programada para el 2 de noviembre a partir de las 12:00 horas en el arcotecho de Santana— contará con una convocatoria abierta para la venta de alimentos, exposición de artesanías y la presentación estelar de un espectáculo musical en vivo inspirado en la obra "Coco", con mariachi y ballet folclórico, con el propósito de atraer visitantes y detonar la economía local.</t>
  </si>
  <si>
    <t>Festival Gastronómico</t>
  </si>
  <si>
    <t>En cabina Minerva Rosales Gayosso, titular de la Secretaría municipal de Fomento Económico de Tulancingo y Kiara Zambr ano, del área de Turismo informaron que la Feria Internacional Gastronómica fue un evento con mucho éxito. Por otra parte, informaron que el 2 de noviembre se realizará la Feria del Mole en Santa Ana Hueytlalpan a partir de las 12 del día. Habrá música en vivo, ballet folklórico y otras actividades.</t>
  </si>
  <si>
    <t>UTEC e ICATHI fortalecen la vinculación para la capacitación laboral y desarrollo profesional</t>
  </si>
  <si>
    <t>Firma De Convenio</t>
  </si>
  <si>
    <t>Vía telefónica Roberto Rico tras los cambios en la Modalidad 40 del Instituto Mexicano del Seguro Social (IMSS), Roberto Rico explicó las repercusiones para los trabajadores que aún no forman parte de este esquema y que deseaban incrementar su salario de cotización para recibir una pensión mayor. Las nuevas disposiciones limitan la posibilidad de hacer aportaciones con un salario más alto que el del último empleo formal, lo que afecta a quienes buscaban mejorar su pensión según la Ley del Seguro Social de 1973. Explicó que la regulación de la Modalidad 40 se hizo tras detectar posibles fraudes relacionados con pensiones altas. Señaló que algunas personas lograron obtener pensiones que no les correspondían gracias a esquemas irregulares. Esto llevó al gobierno federal a analizar y modificar las condiciones para acceder a este esquema de cotización, con el fin de asegurar recursos suficientes para el pago de pensiones y evitar abusos. Precisó que estos cambios no afectan a quienes ya reciben una pensión, ya que tienen un derecho adquirido. Sin embargo, advirtió que las restricciones modificarán los planes de aquellos que aún no se han incorporado a la Modalidad 40 y que planificaban aumentar sus aportaciones en los últimos años de trabajo. Probablemente se promuevan amparos contra este cambio.</t>
  </si>
  <si>
    <t>Jubilaciones</t>
  </si>
  <si>
    <t>Una persona falleció en la Autopista Arco Norte, luego de que una pipa volcara y provocara afectaciones al tránsito en dirección a Querétaro, a la altura del municipio de Atitalaquia. De acuerdo con información de Protección Civil y Bomberos, el primer incidente ocurrió en el kilómetro 94+400, en el tramo de bajada de Apaxco hacia el municipio mencionado. En ese sitio, una pipa volcó y presentó fisuras en varios puntos de su estructura, tras impactarse lateralmente del lado izquierdo, lo que ocasionó el derrame del diésel que transportaba sobre la zanja central de la autopista. Debido al congestionamiento vehicular generado por este percance, un camión tipo Torton y una camioneta Nissan que se encontraban detenidos por el tráfico fueron impactados por un tráiler. En este accidente en particular, el copiloto de la camioneta perdió la vida al quedar prensado al interior de la unidad. Personal de Bomberos y Protección Civil acudió al lugar para realizar labores de atención a la emergencia, control y prevención de riesgos, en coordinación con las autoridades correspondientes. Cabe destacar que la zona fue acordonada por elementos de Guardia Nacional, División Carreteras, en tanto se notificó lo sucedido a personal de la Procuraduría General de Justicia del Estado de Hidalgo para las investigaciones correspondientes y el posterior retiro del cuerpo por parte del Servicio Médico Forense.</t>
  </si>
  <si>
    <t>Levantamiento de cuerpo</t>
  </si>
  <si>
    <t>El gobierno municipal de Cuautepec Hinojosa, encabezado por el presidente Jorge Hernández Araus, inauguró la obra de pavimentación en la calle 5 de Mayo, ubicada en la comunidad de Tepantitla. El proyecto requirió una inversión de $3,807,391 pesos y beneficia directamente a 60 personas, además de impactar de forma indirecta a 18,835 habitantes. Los trabajos abarcaron la aplicación de 2,421.18 m² de concreto hidráulico, la construcción de guarniciones y banquetas, la renivelación de seis pozos de visita y la colocación de una placa informativa. Las autoridades destacaron que la obra se logró gracias a la participación ciudadana y al trabajo coordinado con la administración local.</t>
  </si>
  <si>
    <t>Pavimentación</t>
  </si>
  <si>
    <t>Seguimos fuera del aire allá en el 91.1 de frecuencia modulada La Voz de la Sierra Gorda, la mala noticia es que no solamente seguimos fuera del aire, sino que ni el área administrativa ni el área de ingeniería Radio y Televisión de Hidalgo mueve un dedo para tratar de solucionar este tema. Desafortunadamente la Dirección de Radio no cuenta con recursos técnicos ni mucho menos con recursos administrativos y económicos para solucionar el tema de la transmisión. Nosotros ya hicimos lo que nos correspondía, hicimos el llamado a las autoridades correspondientes para que nos ayuden a solucionar este problema. Mientras tanto, bueno, pues yo les pido que sigamos en redes sociales, estas que tanto nos quieren quitar para que podamos estar en comunicación allá en Zimapán, en Jacala, en por supuesto Pisaflores, Chapulhuacán, en la Misión, Pacula.</t>
  </si>
  <si>
    <t>Se ha confirmado que el alcalde de Pachuca, Jorge Reyes buscará la reelección</t>
  </si>
  <si>
    <t>Reelección</t>
  </si>
  <si>
    <t>Por mayoría de votos en contra, la Asamblea Municipal de Acaxochitlán rechazó la reforma para que alcaldesas y alcaldes del Estado de Hidalgo puedan celebrar contratos y convenios sin la revisión y aprobación previa de sus respectivos cuerpos edilicios. Se trata de la reforma a la fracción XV del artículo 141 de la Constitución de Hidalgo, cuyo proyecto fue aprobado por mayoría de integrantes del Congreso estatal, el pasado 6 de octubre. Diputados locales que defendieron la propuesta, señalaron que el objetivo de esta es agilizar la administración municipal, y facilitar el cumplimiento de sus responsabilidades frente a la ciudadanía. Se puntualizó en el momento de la discusión en el Congreso local que los compromisos de deuda que excedan el periodo de gobierno deberán seguir contando con la aprobación de dos terceras partes del ayuntamiento. En la sesión del Ayuntamiento de Acaxochitlán realizada el pasado miércoles 21 de octubre, cinco asambleístas votaron a favor de la reforma aprobada por el Congreso del Estado de Hidalgo, y ocho en contra. Además de Acaxochitlán, los municipios de Alfajayucan, San Salvador, Tezontepec de Aldama, Atitalaquia y Huasca de Ocampo también han votado en contra de la reforma al artículo 141 de la Constitución estatal. En el caso de Tula de Allende, el caso será revisado por el Congreso estatal, pues se registraron nueve votos a favor de la modificación a la Constitución estatal de Hidalgo, ocho en contra y dos abstenciones. Regidores de dicho municipio señalaron que la aprobación requería al menos 10 votos a favor. Hasta el momento, las Asambleas Municipales de Pachuca, Mineral de la Reforma, Zempoala, Juárez Hidalgo y Yahualica han votado a favor de la modificación constitucional. Para que esta pueda ser publicada en el Periódico Oficial del Estado de Hidalgo y entre en vigor, se requiere el aval de la mitad más uno del total de las Asambleas Municipales; es decir, de por lo menos 43 de los 84 municipios de la entidad. Asambleístas de por lo menos 60 municipios de la entidad se han mostrado en contra de la reforma al artículo 141 de la Constitución de Hidalgo, señalando que resta facultades a los cuerpos edilicios respecto a la revisión de los contratos y convenios que pretendan establecer los respectivos gobiernos municipales.</t>
  </si>
  <si>
    <t>Convoca Julio Menchaca a sector empresarial a generar prosperidad compartida en todo el país.</t>
  </si>
  <si>
    <t>El gobernador Julio Menchaca Salazar comenta: participé en la Asamblea Nacional de Concanaco Servytur, donde tuve la oportunidad de conversar con el sector empresarial sobre Hidalgo, es una potencia en marcha y su ubicación estratégica, su crecimiento industrial, disposición de colaboración, atraer nuevas inversiones y oportunidades para la familia. La oportunidad de conversar. Ayer el gobernador estuvo en este evento de la Cámara de Canaco Servytur, la Cámara Nacional de Comercio, Servicios, y bueno, los temas empresariales son fundamentales.</t>
  </si>
  <si>
    <t>Entrevista en cabina la Licenciada Maricela Marín Jonguitud, titular de la Notaría número 1: Habló sobre la importancia de la cultura del testamento y la resolución de mitos comunes en torno a este trámite, explicó que al realizar un testamento se emite obligatoriamente un aviso en el Registro Nacional de Avisos de Testamento a través del Archivo General de Notarías, lo que otorga validez jurídica en todo el país. Asimismo, recomendó revisar el documento ante cambios significativos en la vida personal (como la adquisición de bienes, divorcios o el nacimiento de hijos) y desmintió la idea de que confiar en la buena relación familiar exima de la necesidad de un testamento, recordando que la intervención de terceros o la falta de claridad frecuentemente generan conflictos. Aunque octubre es considerado el mes del testamento, la notaria aclaró que la asesoría previa es gratuita y puede realizarse en cualquier época del año para planificar adecuadamente o elegir otras figuras jurídicas según la voluntad del testador. Las oficinas de la notaría se encuentran ubicadas en el Pasaje Cuautepec, local número 3, en el centro (a espaldas de Banamex).</t>
  </si>
  <si>
    <t>La Secretaría de Salud inició ya la campaña de vacunación invernal en todas las clínicas, hospitales, centros de salud de nuestro estado, en las clínicas, hospitales, centros de salud públicos. Hay vacunas para la influenza estacional y también para el COVID. Acuda junto con su familia, acuda, por favor, a estos centros para que sean vacunados, principalmente los niños menores de 5 años, también los adultos mayores, las personas que tengan enfermedades crónico-degenerativas. Es muy importante que estén bien inmunizados en esta temporada invernal que ya se acerca y que se adelanta, como todos los años.</t>
  </si>
  <si>
    <t>Durante la conferencia matutina del Gobierno del Estado de Hidalgo, la secretaria de Hacienda, Esther Ramírez Vargas, presentó los detalles sobre la visión del presupuesto 2027 para la entidad. Destacó que se mantendrá una recaudación eficiente para financiar más obras y mejores servicios públicos, y mencionó los trabajos recientes de modernización catastral en colaboración con los municipios. Asimismo, informó sobre su encuentro con representantes de la Unión Europea.</t>
  </si>
  <si>
    <t>Hacienda</t>
  </si>
  <si>
    <t>Aclaración en Mañanera</t>
  </si>
  <si>
    <t>Durante la conferencia matutina, la secretaria de Movilidad y Transporte en el estado de Hidalgo, Lizbeth Robles Gutiérrez, informó que se ha formalizado una denuncia ante la Procuraduría General de Justicia del Estado de Hidalgo en contra de la empresa Uber, debido a que la legislación local no permite la operación de plataformas digitales para el traslado de personas. La funcionaria detalló que el Poder Ejecutivo presentó la querella a través de la Coordinación General Jurídica. Asimismo, aclaró que no existe una comunicación formal con dicha compañía y señaló que, aunque otras plataformas han buscado acercarse a la Secretaría (SEMOT), estas no han acreditado su personalidad jurídica o solicitan información a distancia sin certeza sobre la identidad de sus representantes.</t>
  </si>
  <si>
    <t>SSPH desmantela dos puntos de narcomenudeo y detiene a ocho personas en Hidalgo</t>
  </si>
  <si>
    <t>Durante entrevista en cabina, la licenciada Viviana Pedraza Oropeza, representante del Instituto Nacional Electoral (INE) en el distrito 4 con cabecera en Tulancingo, dio a conocer los detalles sobre el funcionamiento y los horarios de los módulos de atención ciudadana para la semana. La funcionaria detalló la ubicación del módulo fijo en Tulancingo (ubicado en Avenida del Maestro 202, colonia Los Pinos) y especificó los itinerarios de los dos módulos móviles que recorren los municipios del distrito, abarcando demarcaciones como Cuautepec, Acatlán y la región de la sierra Otomí-Tepehua (incluyendo Huehuetla y San Bartolo Tutotepec). Asimismo, recordó a la ciudadanía los trámites disponibles (inscripción, actualización de datos y cambio de domicilio), la documentación requerida (acta de nacimiento, comprobante de domicilio reciente, identificación oficial y CURP), y enfatizó que los jóvenes que cumplirán la mayoría de edad antes del 6 de junio de 2027 ya pueden tramitar su credencial. Finalmente, recordó que continúan abiertas las convocatorias para participar como observadores electorales (con registro hasta el 10 de mayo de 2027) y para aspirar a cargos de consejeros electorales distritales (con registro hasta el 31 de octubre).</t>
  </si>
  <si>
    <t>Credencialización</t>
  </si>
  <si>
    <t>El municipio de Tulancingo de Bravo, Hidalgo, ha preparado su tradicional Desfile de Catrinas y la actividad de repartición de dulces como parte de los eventos estelares para la Fiesta de los Muertos 2026. Las actividades principales se realizarán en el centro de la ciudad de la siguiente manera: Desfile Nocturno de Catrinas y Catrines: Se llevará a cabo el viernes 30 de octubre a las 19:00 horas. El contingente iniciará su recorrido en la calle Libertad (en la zona de La Empedrada) y concluirá en el Jardín La Floresta, seguido de un concurso de disfraces al finalizar la caminata; La recolección y entrega de dulces se tiene programada para el sábado 31 de octubre a partir de las 17:00 horas en el Centro de Tulancingo. Adicionalmente, la agenda cultural del municipio incluye una muestra de altares desde el 28 de octubre, caminatas nocturnas en el Panteón Municipal San Miguel y exhibiciones de catrinas monumentales.</t>
  </si>
  <si>
    <t>Entrevista en cabina María Guadalupe Rodríguez Uribe, secretaria de Educación, Cultura y Juventud, y a la doctora Erika Gamalieli López Montoya, directora de Sanidad de Tulancingo. Las funcionarias presentaron el programa de actividades para las festividades de Día de Muertos 2026, el cual incluye el encendido del altar monumental en el panteón de San Miguel, recorridos de leyendas, un altar dedicado a los seres sintientes (mascotas) en la Floresta, el concurso de disfraces "¡Qué perro miedo! El último susto", la muestra de altares y un gran desfile de catrinas con carros alegóricos monumentales. Asimismo, se destacó la realización de la Feria del Mole el próximo 2 de noviembre en Santa Ana Hueytlalpan.</t>
  </si>
  <si>
    <t>Ernestina Godoy y Julio Menchaca inauguran los Módulos de Atención Social ¡Sí Confío! de la FGR</t>
  </si>
  <si>
    <t>Entrega de instalaciones</t>
  </si>
  <si>
    <t>Estratégica coordinación con la Federación fortalecerá la seguridad pública en Hidalgo</t>
  </si>
  <si>
    <t>FASP</t>
  </si>
  <si>
    <t>El Ayuntamiento reforzará la difusión de las reglas para colocar anuncios y publicidad en el Centro Histórico, con especial atención al quiosco del jardín La Floresta. La normativa vigente contempla multas, suspensión y retiro de anuncios, así como la revocación de autorizaciones en caso de incumplimiento. Guadalupe Rodríguez Uribe, secretaria de Cultura, Educación, Deporte y Juventud, llamó a comerciantes, prestadores de servicios, organizadores de eventos y ciudadanía a cuidar los espacios públicos. Señaló que la promoción turística del municipio debe acompañarse de acciones para conservar su imagen urbana. La funcionaria explicó que las disposiciones clasifican los anuncios según su duración, forma de colocación, sistema de fijación y finalidad. También establecen criterios sobre diseño y contenido permitido, por lo que la instalación de publicidad debe ajustarse a estos lineamientos. El marco aplicable es el Reglamento de Anuncios del Municipio de Tulancingo de Bravo, expedido mediante el Decreto Municipal número 44 y publicado en el Periódico Oficial de Hidalgo el 25 de julio de 2016. Las medidas por incumplimiento están previstas en sus artículos 68 al 73, de acuerdo con la información municipal. Rodríguez Uribe añadió que preservar una ciudad limpia y ordenada forma parte de las acciones impulsadas por la presidenta municipal, Lorena García Cázares, para fortalecer la presencia de Tulancingo como destino turístico.</t>
  </si>
  <si>
    <t>Imagen Urbana</t>
  </si>
  <si>
    <t>Premia SEPH el talento estudiantil en el 4.º Concurso de Canto “De mi Voz al Canto”</t>
  </si>
  <si>
    <t>Justa Académica</t>
  </si>
  <si>
    <t>Durante la conferencia matutina semanal, la secretaria de Movilidad y Transporte, Lyzbeth Robles Gutiérrez, anunció el lanzamiento de un operativo de inspección vehicular extraordinaria enfocado exclusivamente en la verificación de pólizas de seguro de las unidades de transporte público convencional. La funcionaria destacó que esta revisión es de carácter obligatorio y opera de forma paralela a las inspecciones anuales ordinarias. Asimismo, advirtió de manera enérgica a los concesionarios y conductores sobre la trascendencia de contar con un seguro amplio que cumpla con los requisitos estipulados en los artículos 107 y 108 de la ley local (incluyendo coberturas de responsabilidad civil y gastos médicos). Robles Gutiérrez subrayó que la falta de una póliza vigente no solo amerita sanciones económicas o administrativas, sino que puede derivar directamente en la revocación de la concesión. Las revisiones se llevarán a cabo en las instalaciones del Sistema de Transporte Convencional de Hidalgo, oficinas itinerantes, unidades móviles y a través de operativos en campo implementados por la Dirección de Vigilancia y Supervisión. Por último, se abordó brevemente el marco legal que regula la transportación de personas mediante aplicaciones móviles en el estado.</t>
  </si>
  <si>
    <t>Mañanera de Hidalgo</t>
  </si>
  <si>
    <t>La titular de la Secretaría del Bienestar, Leticia Ramírez, anunció el calendario de pagos correspondiente al último bimestre de 2026, noviembre-diciembre, mediante el cual las personas beneficiarias de las pensiones y programas sociales recibirán sus apoyos económicos a partir del martes 3 de noviembre y hasta el viernes 27 de ese mes. De acuerdo con la información proporcionada, la dispersión de los recursos se realizará de manera escalonada, conforme a la primera letra del apellido de las personas derechohabientes, con el propósito de organizar la entrega de los apoyos a través del Banco del Bienestar. En el marco de la conferencia mañanera de la presidenta de México, Claudia Sheinbaum Pardo, se dio a conocer que el calendario comenzaría el martes 3 de noviembre con las personas cuyo primer apellido inicia con la letra A, mientras que el miércoles 4 corresponderá a quienes tienen la letra B. La distribución continuaría durante las siguientes semanas hasta concluir el viernes 27 de noviembre, fecha prevista para los beneficiarios cuyos apellidos comienzan con las letras W, X, Y y Z. Cabe mencionar que este depósito corresponde al sexto y último bimestre del año, por lo que representaría el último pago ordinario de 2026 para las personas inscritas en los programas contemplados en la dispersión.</t>
  </si>
  <si>
    <t>Programas Del Bienestar</t>
  </si>
  <si>
    <t>La titular de la Secretaría del Bienestar, Leticia Ramírez, anunció el calendario de pagos correspondiente al último bimestre de 2026, noviembre-diciembre, mediante el cual las personas beneficiarias de las pensiones y programas sociales recibirán sus apoyos económicos a partir del martes 3 de noviembre y hasta el viernes 27 de ese mes. De acuerdo con la información proporcionada, la dispersión de los recursos se realizará de manera escalonada, conforme a la primera letra del apellido de las personas derechohabientes, con el propósito de organizar la entrega de los apoyos a través del Banco del Bienestar. En el marco de la conferencia mañanera de la presidenta de México, Claudia Sheinbaum Pardo, se dio a conocer que el calendario comenzaría el martes 3 de noviembre con las personas cuyo primer apellido inicia con la letra A, mientras que el miércoles 4 corresponderá a quienes tienen la letra B. La distribución continuaría durante las siguientes semanas hasta concluir el viernes 27 de noviembre, fecha prevista para los beneficiarios cuyos apellidos comienzan con las letras W, X, Y y Z. Cabe mencionar que este depósito corresponde al sexto y último bimestre del año, por lo que representaría el último pago ordinario de 2026 para las personas inscritas en los programas contemplados en la dispersión</t>
  </si>
  <si>
    <t>El presidente municipal de Ixmiquilpan, Emanuel Hernández Pascual, informó esta mañana en conferencia de prensa que la Procuraduría Municipal de Protección de Niñas, Niños y Adolescentes atendió su primer caso de gran magnitud, relacionado con la muerte de un niño de dos años, quien presuntamente fue víctima de violencia en el municipio de Santiago de Anaya. El alcalde aclaró que los hechos no ocurrieron en Ixmiquilpan; sin embargo, el caso llegó a las autoridades municipales debido a que el menor fue ingresado al Hospital Regional del Valle del Mezquital, ubicado en Taxhadó, donde se tuvo conocimiento de las circunstancias que motivaron la intervención de las instancias correspondientes. De acuerdo con la información del caso, las agresiones ocurrieron el pasado 17 de octubre en la localidad de El Jagüey, en el municipio de Santiago de Anaya; sin embargo, el niño falleció el viernes 23 de octubre, presuntamente a consecuencia de las lesiones que presentaba. Hernández Pascual señaló que las autoridades municipales brindaron atención y mantuvieron coordinación con la Procuraduría General de Justicia del Estado de Hidalgo (PGJEH) para dar seguimiento al caso y colaborar en las acciones encaminadas a esclarecer los hechos y llevar ante la justicia a los probables responsables, identificados como los padres del menor. De acuerdo con la información oficial, los presuntos Miguel Ángel N. y Mirari Matzin N. fueron presentados ante un juez de control y vinculados a proceso por los delitos de homicidio doloso calificado agravado, violación equiparada agravada y violencia familiar equiparada agravada. En su mensaje, el presidente municipal lamentó los hechos y llamó a la población a cuidar y proteger a los niños y niñas. Además, insistió en que uno de los principales factores dentro de los hogares que sufren violencia tiene que ver con el consumo de sustancias tóxicas, que predisponen a este tipo de comportamientos.</t>
  </si>
  <si>
    <t>Protección del menor</t>
  </si>
  <si>
    <t>La Secretaría de Gobernación (Segob) hizo un llamado a los integrantes de la Cámara Nacional del Autotransporte de Carga (Canacar) a evitar bloqueos carreteros que afectan directamente a miles de familias que necesitan trasladarse a sus trabajos, escuelas y hogares, además de interrumpir el transporte de mercancías, el abastecimiento de productos y las actividades comerciales e industriales. Las demandas de un sector no deben traducirse en afectaciones a la vida cotidiana de la población, afirmó la dependencia. La Segob mantiene abiertos los canales de diálogo para atender sus planteamientos sin perjudicar a la ciudadanía.</t>
  </si>
  <si>
    <t>Protesta Transportistas</t>
  </si>
  <si>
    <t>La Secretaría de Gobernación (Segob) informa que, con corte a las 09:30 horas, se registran movilizaciones de transportistas en 19 entidades federativas, con 38 puntos de manifestación, 691 vehículos y 858 personas. Las entidades con mayor número de puntos son Veracruz, con ocho; Estado de México, con seis; y Nuevo León y Tlaxcala, con tres cada una. Por número de participantes destacan Guanajuato, Veracruz y Tabasco. Hasta el momento se reporta un bloqueo total en Taxco, Tlaxcala, así como cierres parciales en otros puntos de Tlaxcala y Veracruz. El Gobierno de México mantiene abiertos los canales de diálogo con las organizaciones transportistas para atender sus planteamientos mediante las instancias competentes, privilegiando la construcción de acuerdos y evitando mayores afectaciones a la ciudadanía y a la industria de la transformación.</t>
  </si>
  <si>
    <t>Locutor Irving Sánchez da lectura a comentario de radioescucha que reporta irregularidades y deficiencias en el servicio de transporte colectivo de la ruta que va de Tulancingo hacia Acatlán y Almoloya, cuya base se encuentra en Morelos. De acuerdo con el reporte, las unidades no brindan un servicio de calidad, ya que dejan pasajeros varados con frecuencia y señaló que el pasado viernes, a partir de las 4:00 horas, se quedaron sin servicio. Ante esta situación, solicitó que se envíe el reporte a las autoridades o áreas correspondientes para su atención.</t>
  </si>
  <si>
    <t>Queja transporte público</t>
  </si>
  <si>
    <t>Durante la conferencia de prensa matutina del Gobierno del Estado de Hidalgo, se presentaron actividades culturales relacionadas con las festividades tradicionales del Xantolo, destacando la participación de agrupaciones musicales y representantes de municipios como Atlapexco, Huejutla, San Felipe Orizatlán, Calnali y Tlahuelilpan, con el fin de enaltecer las tradiciones de la Huasteca Hidalguense.</t>
  </si>
  <si>
    <t>OCSAD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</si>
</sst>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58" tableType="queryTable" totalsRowShown="0">
  <autoFilter ref="A1:M58"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58"/>
  <sheetViews>
    <sheetView tabSelected="1" workbookViewId="0">
      <selection activeCell="E8" sqref="E8"/>
    </sheetView>
  </sheetViews>
  <sheetFormatPr baseColWidth="10" defaultRowHeight="15" x14ac:dyDescent="0.25"/>
  <cols>
    <col min="1" max="1" width="8.5703125" bestFit="1" customWidth="1"/>
    <col min="2" max="2" width="11.42578125" bestFit="1" customWidth="1"/>
    <col min="3" max="3" width="18" bestFit="1" customWidth="1"/>
    <col min="4" max="4" width="15.140625" bestFit="1" customWidth="1"/>
    <col min="5" max="5" width="81.140625" bestFit="1" customWidth="1"/>
    <col min="6" max="6" width="15.28515625" bestFit="1" customWidth="1"/>
    <col min="7" max="7" width="35.7109375" bestFit="1" customWidth="1"/>
    <col min="8" max="8" width="12.42578125"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11</v>
      </c>
      <c r="C1" t="s">
        <v>12</v>
      </c>
      <c r="D1" t="s">
        <v>13</v>
      </c>
      <c r="E1" t="s">
        <v>1</v>
      </c>
      <c r="F1" t="s">
        <v>2</v>
      </c>
      <c r="G1" t="s">
        <v>4</v>
      </c>
      <c r="H1" t="s">
        <v>3</v>
      </c>
      <c r="I1" t="s">
        <v>5</v>
      </c>
      <c r="J1" t="s">
        <v>14</v>
      </c>
      <c r="K1" t="s">
        <v>15</v>
      </c>
      <c r="L1" t="s">
        <v>16</v>
      </c>
      <c r="M1" t="s">
        <v>21</v>
      </c>
    </row>
    <row r="2" spans="1:13" x14ac:dyDescent="0.25">
      <c r="A2" s="2">
        <v>46318</v>
      </c>
      <c r="B2" s="1" t="str">
        <f ca="1">IF(Información1[[#This Row],[Fecha]]='Ajuste de fechas'!$A$2,"Día actual","Día anterior")</f>
        <v>Día anterior</v>
      </c>
      <c r="C2" t="s">
        <v>38</v>
      </c>
      <c r="D2" t="s">
        <v>39</v>
      </c>
      <c r="E2" t="s">
        <v>70</v>
      </c>
      <c r="F2" t="s">
        <v>54</v>
      </c>
      <c r="G2" t="s">
        <v>71</v>
      </c>
      <c r="H2" t="s">
        <v>40</v>
      </c>
      <c r="I2" t="s">
        <v>6</v>
      </c>
      <c r="J2" t="s">
        <v>54</v>
      </c>
      <c r="K2" t="s">
        <v>41</v>
      </c>
      <c r="L2" t="s">
        <v>18</v>
      </c>
      <c r="M2">
        <v>1</v>
      </c>
    </row>
    <row r="3" spans="1:13" x14ac:dyDescent="0.25">
      <c r="A3" s="2">
        <v>46318</v>
      </c>
      <c r="B3" s="1" t="str">
        <f ca="1">IF(Información1[[#This Row],[Fecha]]='Ajuste de fechas'!$A$2,"Día actual","Día anterior")</f>
        <v>Día anterior</v>
      </c>
      <c r="C3" t="s">
        <v>38</v>
      </c>
      <c r="D3" t="s">
        <v>39</v>
      </c>
      <c r="E3" t="s">
        <v>72</v>
      </c>
      <c r="F3" t="s">
        <v>25</v>
      </c>
      <c r="G3" t="s">
        <v>73</v>
      </c>
      <c r="H3" t="s">
        <v>40</v>
      </c>
      <c r="I3" t="s">
        <v>10</v>
      </c>
      <c r="J3" t="s">
        <v>17</v>
      </c>
      <c r="K3" t="s">
        <v>42</v>
      </c>
      <c r="L3" t="s">
        <v>18</v>
      </c>
      <c r="M3">
        <v>1</v>
      </c>
    </row>
    <row r="4" spans="1:13" x14ac:dyDescent="0.25">
      <c r="A4" s="2">
        <v>46318</v>
      </c>
      <c r="B4" s="1" t="str">
        <f ca="1">IF(Información1[[#This Row],[Fecha]]='Ajuste de fechas'!$A$2,"Día actual","Día anterior")</f>
        <v>Día anterior</v>
      </c>
      <c r="C4" t="s">
        <v>38</v>
      </c>
      <c r="D4" t="s">
        <v>39</v>
      </c>
      <c r="E4" t="s">
        <v>74</v>
      </c>
      <c r="F4" t="s">
        <v>52</v>
      </c>
      <c r="G4" t="s">
        <v>75</v>
      </c>
      <c r="H4" t="s">
        <v>40</v>
      </c>
      <c r="I4" t="s">
        <v>6</v>
      </c>
      <c r="J4" t="s">
        <v>53</v>
      </c>
      <c r="K4" t="s">
        <v>42</v>
      </c>
      <c r="L4" t="s">
        <v>18</v>
      </c>
      <c r="M4">
        <v>1</v>
      </c>
    </row>
    <row r="5" spans="1:13" x14ac:dyDescent="0.25">
      <c r="A5" s="2">
        <v>46318</v>
      </c>
      <c r="B5" s="1" t="str">
        <f ca="1">IF(Información1[[#This Row],[Fecha]]='Ajuste de fechas'!$A$2,"Día actual","Día anterior")</f>
        <v>Día anterior</v>
      </c>
      <c r="C5" t="s">
        <v>38</v>
      </c>
      <c r="D5" t="s">
        <v>39</v>
      </c>
      <c r="E5" t="s">
        <v>76</v>
      </c>
      <c r="F5" t="s">
        <v>25</v>
      </c>
      <c r="G5" t="s">
        <v>58</v>
      </c>
      <c r="H5" t="s">
        <v>40</v>
      </c>
      <c r="I5" t="s">
        <v>6</v>
      </c>
      <c r="J5" t="s">
        <v>17</v>
      </c>
      <c r="K5" t="s">
        <v>41</v>
      </c>
      <c r="L5" t="s">
        <v>18</v>
      </c>
      <c r="M5">
        <v>1</v>
      </c>
    </row>
    <row r="6" spans="1:13" x14ac:dyDescent="0.25">
      <c r="A6" s="2">
        <v>46318</v>
      </c>
      <c r="B6" s="1" t="str">
        <f ca="1">IF(Información1[[#This Row],[Fecha]]='Ajuste de fechas'!$A$2,"Día actual","Día anterior")</f>
        <v>Día anterior</v>
      </c>
      <c r="C6" t="s">
        <v>43</v>
      </c>
      <c r="D6" t="s">
        <v>44</v>
      </c>
      <c r="E6" t="s">
        <v>77</v>
      </c>
      <c r="F6" t="s">
        <v>52</v>
      </c>
      <c r="G6" t="s">
        <v>65</v>
      </c>
      <c r="H6" t="s">
        <v>27</v>
      </c>
      <c r="I6" t="s">
        <v>6</v>
      </c>
      <c r="J6" t="s">
        <v>53</v>
      </c>
      <c r="K6" t="s">
        <v>51</v>
      </c>
      <c r="L6" t="s">
        <v>18</v>
      </c>
      <c r="M6">
        <v>1</v>
      </c>
    </row>
    <row r="7" spans="1:13" x14ac:dyDescent="0.25">
      <c r="A7" s="2">
        <v>46318</v>
      </c>
      <c r="B7" s="1" t="str">
        <f ca="1">IF(Información1[[#This Row],[Fecha]]='Ajuste de fechas'!$A$2,"Día actual","Día anterior")</f>
        <v>Día anterior</v>
      </c>
      <c r="C7" t="s">
        <v>38</v>
      </c>
      <c r="D7" t="s">
        <v>39</v>
      </c>
      <c r="E7" t="s">
        <v>78</v>
      </c>
      <c r="F7" t="s">
        <v>52</v>
      </c>
      <c r="G7" t="s">
        <v>79</v>
      </c>
      <c r="H7" t="s">
        <v>40</v>
      </c>
      <c r="I7" t="s">
        <v>6</v>
      </c>
      <c r="J7" t="s">
        <v>53</v>
      </c>
      <c r="K7" t="s">
        <v>42</v>
      </c>
      <c r="L7" t="s">
        <v>18</v>
      </c>
      <c r="M7">
        <v>1</v>
      </c>
    </row>
    <row r="8" spans="1:13" x14ac:dyDescent="0.25">
      <c r="A8" s="2">
        <v>46318</v>
      </c>
      <c r="B8" s="1" t="str">
        <f ca="1">IF(Información1[[#This Row],[Fecha]]='Ajuste de fechas'!$A$2,"Día actual","Día anterior")</f>
        <v>Día anterior</v>
      </c>
      <c r="C8" t="s">
        <v>43</v>
      </c>
      <c r="D8" t="s">
        <v>44</v>
      </c>
      <c r="E8" t="s">
        <v>80</v>
      </c>
      <c r="F8" t="s">
        <v>52</v>
      </c>
      <c r="G8" t="s">
        <v>81</v>
      </c>
      <c r="H8" t="s">
        <v>27</v>
      </c>
      <c r="I8" t="s">
        <v>6</v>
      </c>
      <c r="J8" t="s">
        <v>53</v>
      </c>
      <c r="K8" t="s">
        <v>82</v>
      </c>
      <c r="L8" t="s">
        <v>83</v>
      </c>
      <c r="M8">
        <v>1</v>
      </c>
    </row>
    <row r="9" spans="1:13" x14ac:dyDescent="0.25">
      <c r="A9" s="2">
        <v>46318</v>
      </c>
      <c r="B9" s="1" t="str">
        <f ca="1">IF(Información1[[#This Row],[Fecha]]='Ajuste de fechas'!$A$2,"Día actual","Día anterior")</f>
        <v>Día anterior</v>
      </c>
      <c r="C9" t="s">
        <v>28</v>
      </c>
      <c r="D9" t="s">
        <v>33</v>
      </c>
      <c r="E9" t="s">
        <v>84</v>
      </c>
      <c r="F9" t="s">
        <v>55</v>
      </c>
      <c r="G9" t="s">
        <v>85</v>
      </c>
      <c r="H9" t="s">
        <v>27</v>
      </c>
      <c r="I9" t="s">
        <v>10</v>
      </c>
      <c r="J9" t="s">
        <v>56</v>
      </c>
      <c r="K9" t="s">
        <v>86</v>
      </c>
      <c r="L9" t="s">
        <v>18</v>
      </c>
      <c r="M9">
        <v>1</v>
      </c>
    </row>
    <row r="10" spans="1:13" x14ac:dyDescent="0.25">
      <c r="A10" s="2">
        <v>46318</v>
      </c>
      <c r="B10" s="1" t="str">
        <f ca="1">IF(Información1[[#This Row],[Fecha]]='Ajuste de fechas'!$A$2,"Día actual","Día anterior")</f>
        <v>Día anterior</v>
      </c>
      <c r="C10" t="s">
        <v>43</v>
      </c>
      <c r="D10" t="s">
        <v>44</v>
      </c>
      <c r="E10" t="s">
        <v>87</v>
      </c>
      <c r="F10" t="s">
        <v>88</v>
      </c>
      <c r="G10" t="s">
        <v>89</v>
      </c>
      <c r="H10" t="s">
        <v>27</v>
      </c>
      <c r="I10" t="s">
        <v>6</v>
      </c>
      <c r="J10" t="s">
        <v>90</v>
      </c>
      <c r="K10" t="s">
        <v>45</v>
      </c>
      <c r="L10" t="s">
        <v>18</v>
      </c>
      <c r="M10">
        <v>1</v>
      </c>
    </row>
    <row r="11" spans="1:13" x14ac:dyDescent="0.25">
      <c r="A11" s="2">
        <v>46318</v>
      </c>
      <c r="B11" s="1" t="str">
        <f ca="1">IF(Información1[[#This Row],[Fecha]]='Ajuste de fechas'!$A$2,"Día actual","Día anterior")</f>
        <v>Día anterior</v>
      </c>
      <c r="C11" t="s">
        <v>28</v>
      </c>
      <c r="D11" t="s">
        <v>33</v>
      </c>
      <c r="E11" t="s">
        <v>91</v>
      </c>
      <c r="F11" t="s">
        <v>92</v>
      </c>
      <c r="G11" t="s">
        <v>93</v>
      </c>
      <c r="H11" t="s">
        <v>27</v>
      </c>
      <c r="I11" t="s">
        <v>10</v>
      </c>
      <c r="J11" t="s">
        <v>17</v>
      </c>
      <c r="K11" t="s">
        <v>34</v>
      </c>
      <c r="L11" t="s">
        <v>19</v>
      </c>
      <c r="M11">
        <v>1</v>
      </c>
    </row>
    <row r="12" spans="1:13" x14ac:dyDescent="0.25">
      <c r="A12" s="2">
        <v>46318</v>
      </c>
      <c r="B12" s="1" t="str">
        <f ca="1">IF(Información1[[#This Row],[Fecha]]='Ajuste de fechas'!$A$2,"Día actual","Día anterior")</f>
        <v>Día anterior</v>
      </c>
      <c r="C12" t="s">
        <v>28</v>
      </c>
      <c r="D12" t="s">
        <v>29</v>
      </c>
      <c r="E12" t="s">
        <v>94</v>
      </c>
      <c r="F12" t="s">
        <v>52</v>
      </c>
      <c r="G12" t="s">
        <v>95</v>
      </c>
      <c r="H12" t="s">
        <v>27</v>
      </c>
      <c r="I12" t="s">
        <v>6</v>
      </c>
      <c r="J12" t="s">
        <v>53</v>
      </c>
      <c r="K12" t="s">
        <v>31</v>
      </c>
      <c r="L12" t="s">
        <v>18</v>
      </c>
      <c r="M12">
        <v>1</v>
      </c>
    </row>
    <row r="13" spans="1:13" x14ac:dyDescent="0.25">
      <c r="A13" s="2">
        <v>46318</v>
      </c>
      <c r="B13" s="1" t="str">
        <f ca="1">IF(Información1[[#This Row],[Fecha]]='Ajuste de fechas'!$A$2,"Día actual","Día anterior")</f>
        <v>Día anterior</v>
      </c>
      <c r="C13" t="s">
        <v>43</v>
      </c>
      <c r="D13" t="s">
        <v>44</v>
      </c>
      <c r="E13" t="s">
        <v>96</v>
      </c>
      <c r="F13" t="s">
        <v>49</v>
      </c>
      <c r="G13" t="s">
        <v>97</v>
      </c>
      <c r="H13" t="s">
        <v>27</v>
      </c>
      <c r="I13" t="s">
        <v>10</v>
      </c>
      <c r="J13" t="s">
        <v>17</v>
      </c>
      <c r="K13" t="s">
        <v>45</v>
      </c>
      <c r="L13" t="s">
        <v>19</v>
      </c>
      <c r="M13">
        <v>1</v>
      </c>
    </row>
    <row r="14" spans="1:13" x14ac:dyDescent="0.25">
      <c r="A14" s="2">
        <v>46318</v>
      </c>
      <c r="B14" s="1" t="str">
        <f ca="1">IF(Información1[[#This Row],[Fecha]]='Ajuste de fechas'!$A$2,"Día actual","Día anterior")</f>
        <v>Día anterior</v>
      </c>
      <c r="C14" t="s">
        <v>43</v>
      </c>
      <c r="D14" t="s">
        <v>44</v>
      </c>
      <c r="E14" t="s">
        <v>98</v>
      </c>
      <c r="F14" t="s">
        <v>49</v>
      </c>
      <c r="G14" t="s">
        <v>97</v>
      </c>
      <c r="H14" t="s">
        <v>27</v>
      </c>
      <c r="I14" t="s">
        <v>10</v>
      </c>
      <c r="J14" t="s">
        <v>17</v>
      </c>
      <c r="K14" t="s">
        <v>45</v>
      </c>
      <c r="L14" t="s">
        <v>18</v>
      </c>
      <c r="M14">
        <v>1</v>
      </c>
    </row>
    <row r="15" spans="1:13" x14ac:dyDescent="0.25">
      <c r="A15" s="2">
        <v>46318</v>
      </c>
      <c r="B15" s="1" t="str">
        <f ca="1">IF(Información1[[#This Row],[Fecha]]='Ajuste de fechas'!$A$2,"Día actual","Día anterior")</f>
        <v>Día anterior</v>
      </c>
      <c r="C15" t="s">
        <v>35</v>
      </c>
      <c r="D15" t="s">
        <v>36</v>
      </c>
      <c r="E15" t="s">
        <v>99</v>
      </c>
      <c r="F15" t="s">
        <v>25</v>
      </c>
      <c r="G15" t="s">
        <v>100</v>
      </c>
      <c r="H15" t="s">
        <v>27</v>
      </c>
      <c r="I15" t="s">
        <v>6</v>
      </c>
      <c r="J15" t="s">
        <v>17</v>
      </c>
      <c r="K15" t="s">
        <v>37</v>
      </c>
      <c r="L15" t="s">
        <v>20</v>
      </c>
      <c r="M15">
        <v>1</v>
      </c>
    </row>
    <row r="16" spans="1:13" x14ac:dyDescent="0.25">
      <c r="A16" s="2">
        <v>46318</v>
      </c>
      <c r="B16" s="1" t="str">
        <f ca="1">IF(Información1[[#This Row],[Fecha]]='Ajuste de fechas'!$A$2,"Día actual","Día anterior")</f>
        <v>Día anterior</v>
      </c>
      <c r="C16" t="s">
        <v>43</v>
      </c>
      <c r="D16" t="s">
        <v>44</v>
      </c>
      <c r="E16" t="s">
        <v>101</v>
      </c>
      <c r="F16" t="s">
        <v>46</v>
      </c>
      <c r="G16" t="s">
        <v>102</v>
      </c>
      <c r="H16" t="s">
        <v>27</v>
      </c>
      <c r="I16" t="s">
        <v>6</v>
      </c>
      <c r="J16" t="s">
        <v>17</v>
      </c>
      <c r="K16" t="s">
        <v>51</v>
      </c>
      <c r="L16" t="s">
        <v>20</v>
      </c>
      <c r="M16">
        <v>1</v>
      </c>
    </row>
    <row r="17" spans="1:13" x14ac:dyDescent="0.25">
      <c r="A17" s="2">
        <v>46318</v>
      </c>
      <c r="B17" s="1" t="str">
        <f ca="1">IF(Información1[[#This Row],[Fecha]]='Ajuste de fechas'!$A$2,"Día actual","Día anterior")</f>
        <v>Día anterior</v>
      </c>
      <c r="C17" t="s">
        <v>35</v>
      </c>
      <c r="D17" t="s">
        <v>36</v>
      </c>
      <c r="E17" t="s">
        <v>103</v>
      </c>
      <c r="F17" t="s">
        <v>66</v>
      </c>
      <c r="G17" t="s">
        <v>48</v>
      </c>
      <c r="H17" t="s">
        <v>27</v>
      </c>
      <c r="I17" t="s">
        <v>6</v>
      </c>
      <c r="J17" t="s">
        <v>17</v>
      </c>
      <c r="K17" t="s">
        <v>37</v>
      </c>
      <c r="L17" t="s">
        <v>18</v>
      </c>
      <c r="M17">
        <v>1</v>
      </c>
    </row>
    <row r="18" spans="1:13" x14ac:dyDescent="0.25">
      <c r="A18" s="2">
        <v>46318</v>
      </c>
      <c r="B18" s="1" t="str">
        <f ca="1">IF(Información1[[#This Row],[Fecha]]='Ajuste de fechas'!$A$2,"Día actual","Día anterior")</f>
        <v>Día anterior</v>
      </c>
      <c r="C18" t="s">
        <v>28</v>
      </c>
      <c r="D18" t="s">
        <v>29</v>
      </c>
      <c r="E18" t="s">
        <v>104</v>
      </c>
      <c r="F18" t="s">
        <v>66</v>
      </c>
      <c r="G18" t="s">
        <v>48</v>
      </c>
      <c r="H18" t="s">
        <v>27</v>
      </c>
      <c r="I18" t="s">
        <v>6</v>
      </c>
      <c r="J18" t="s">
        <v>17</v>
      </c>
      <c r="K18" t="s">
        <v>31</v>
      </c>
      <c r="L18" t="s">
        <v>20</v>
      </c>
      <c r="M18">
        <v>1</v>
      </c>
    </row>
    <row r="19" spans="1:13" x14ac:dyDescent="0.25">
      <c r="A19" s="2">
        <v>46318</v>
      </c>
      <c r="B19" s="1" t="str">
        <f ca="1">IF(Información1[[#This Row],[Fecha]]='Ajuste de fechas'!$A$2,"Día actual","Día anterior")</f>
        <v>Día anterior</v>
      </c>
      <c r="C19" t="s">
        <v>43</v>
      </c>
      <c r="D19" t="s">
        <v>44</v>
      </c>
      <c r="E19" t="s">
        <v>105</v>
      </c>
      <c r="F19" t="s">
        <v>32</v>
      </c>
      <c r="G19" t="s">
        <v>48</v>
      </c>
      <c r="H19" t="s">
        <v>27</v>
      </c>
      <c r="I19" t="s">
        <v>6</v>
      </c>
      <c r="J19" t="s">
        <v>17</v>
      </c>
      <c r="K19" t="s">
        <v>51</v>
      </c>
      <c r="L19" t="s">
        <v>18</v>
      </c>
      <c r="M19">
        <v>1</v>
      </c>
    </row>
    <row r="20" spans="1:13" x14ac:dyDescent="0.25">
      <c r="A20" s="2">
        <v>46318</v>
      </c>
      <c r="B20" s="1" t="str">
        <f ca="1">IF(Información1[[#This Row],[Fecha]]='Ajuste de fechas'!$A$2,"Día actual","Día anterior")</f>
        <v>Día anterior</v>
      </c>
      <c r="C20" t="s">
        <v>38</v>
      </c>
      <c r="D20" t="s">
        <v>39</v>
      </c>
      <c r="E20" t="s">
        <v>106</v>
      </c>
      <c r="F20" t="s">
        <v>66</v>
      </c>
      <c r="G20" t="s">
        <v>48</v>
      </c>
      <c r="H20" t="s">
        <v>40</v>
      </c>
      <c r="I20" t="s">
        <v>7</v>
      </c>
      <c r="J20" t="s">
        <v>17</v>
      </c>
      <c r="K20" t="s">
        <v>42</v>
      </c>
      <c r="L20" t="s">
        <v>18</v>
      </c>
      <c r="M20">
        <v>1</v>
      </c>
    </row>
    <row r="21" spans="1:13" x14ac:dyDescent="0.25">
      <c r="A21" s="2">
        <v>46318</v>
      </c>
      <c r="B21" s="1" t="str">
        <f ca="1">IF(Información1[[#This Row],[Fecha]]='Ajuste de fechas'!$A$2,"Día actual","Día anterior")</f>
        <v>Día anterior</v>
      </c>
      <c r="C21" t="s">
        <v>43</v>
      </c>
      <c r="D21" t="s">
        <v>44</v>
      </c>
      <c r="E21" t="s">
        <v>107</v>
      </c>
      <c r="F21" t="s">
        <v>9</v>
      </c>
      <c r="G21" t="s">
        <v>108</v>
      </c>
      <c r="H21" t="s">
        <v>27</v>
      </c>
      <c r="I21" t="s">
        <v>6</v>
      </c>
      <c r="J21" t="s">
        <v>17</v>
      </c>
      <c r="K21" t="s">
        <v>45</v>
      </c>
      <c r="L21" t="s">
        <v>20</v>
      </c>
      <c r="M21">
        <v>1</v>
      </c>
    </row>
    <row r="22" spans="1:13" x14ac:dyDescent="0.25">
      <c r="A22" s="2">
        <v>46318</v>
      </c>
      <c r="B22" s="1" t="str">
        <f ca="1">IF(Información1[[#This Row],[Fecha]]='Ajuste de fechas'!$A$2,"Día actual","Día anterior")</f>
        <v>Día anterior</v>
      </c>
      <c r="C22" t="s">
        <v>28</v>
      </c>
      <c r="D22" t="s">
        <v>29</v>
      </c>
      <c r="E22" t="s">
        <v>109</v>
      </c>
      <c r="F22" t="s">
        <v>57</v>
      </c>
      <c r="G22" t="s">
        <v>110</v>
      </c>
      <c r="H22" t="s">
        <v>27</v>
      </c>
      <c r="I22" t="s">
        <v>6</v>
      </c>
      <c r="J22" t="s">
        <v>17</v>
      </c>
      <c r="K22" t="s">
        <v>31</v>
      </c>
      <c r="L22" t="s">
        <v>20</v>
      </c>
      <c r="M22">
        <v>1</v>
      </c>
    </row>
    <row r="23" spans="1:13" x14ac:dyDescent="0.25">
      <c r="A23" s="2">
        <v>46318</v>
      </c>
      <c r="B23" s="1" t="str">
        <f ca="1">IF(Información1[[#This Row],[Fecha]]='Ajuste de fechas'!$A$2,"Día actual","Día anterior")</f>
        <v>Día anterior</v>
      </c>
      <c r="C23" t="s">
        <v>38</v>
      </c>
      <c r="D23" t="s">
        <v>39</v>
      </c>
      <c r="E23" t="s">
        <v>111</v>
      </c>
      <c r="F23" t="s">
        <v>57</v>
      </c>
      <c r="G23" t="s">
        <v>110</v>
      </c>
      <c r="H23" t="s">
        <v>40</v>
      </c>
      <c r="I23" t="s">
        <v>6</v>
      </c>
      <c r="J23" t="s">
        <v>17</v>
      </c>
      <c r="K23" t="s">
        <v>42</v>
      </c>
      <c r="L23" t="s">
        <v>18</v>
      </c>
      <c r="M23">
        <v>1</v>
      </c>
    </row>
    <row r="24" spans="1:13" x14ac:dyDescent="0.25">
      <c r="A24" s="2">
        <v>46318</v>
      </c>
      <c r="B24" s="1" t="str">
        <f ca="1">IF(Información1[[#This Row],[Fecha]]='Ajuste de fechas'!$A$2,"Día actual","Día anterior")</f>
        <v>Día anterior</v>
      </c>
      <c r="C24" t="s">
        <v>28</v>
      </c>
      <c r="D24" t="s">
        <v>33</v>
      </c>
      <c r="E24" t="s">
        <v>112</v>
      </c>
      <c r="F24" t="s">
        <v>52</v>
      </c>
      <c r="G24" t="s">
        <v>113</v>
      </c>
      <c r="H24" t="s">
        <v>27</v>
      </c>
      <c r="I24" t="s">
        <v>6</v>
      </c>
      <c r="J24" t="s">
        <v>53</v>
      </c>
      <c r="K24" t="s">
        <v>86</v>
      </c>
      <c r="L24" t="s">
        <v>18</v>
      </c>
      <c r="M24">
        <v>1</v>
      </c>
    </row>
    <row r="25" spans="1:13" x14ac:dyDescent="0.25">
      <c r="A25" s="2">
        <v>46318</v>
      </c>
      <c r="B25" s="1" t="str">
        <f ca="1">IF(Información1[[#This Row],[Fecha]]='Ajuste de fechas'!$A$2,"Día actual","Día anterior")</f>
        <v>Día anterior</v>
      </c>
      <c r="C25" t="s">
        <v>43</v>
      </c>
      <c r="D25" t="s">
        <v>44</v>
      </c>
      <c r="E25" t="s">
        <v>114</v>
      </c>
      <c r="F25" t="s">
        <v>52</v>
      </c>
      <c r="G25" t="s">
        <v>115</v>
      </c>
      <c r="H25" t="s">
        <v>27</v>
      </c>
      <c r="I25" t="s">
        <v>6</v>
      </c>
      <c r="J25" t="s">
        <v>53</v>
      </c>
      <c r="K25" t="s">
        <v>51</v>
      </c>
      <c r="L25" t="s">
        <v>18</v>
      </c>
      <c r="M25">
        <v>1</v>
      </c>
    </row>
    <row r="26" spans="1:13" x14ac:dyDescent="0.25">
      <c r="A26" s="2">
        <v>46318</v>
      </c>
      <c r="B26" s="1" t="str">
        <f ca="1">IF(Información1[[#This Row],[Fecha]]='Ajuste de fechas'!$A$2,"Día actual","Día anterior")</f>
        <v>Día anterior</v>
      </c>
      <c r="C26" t="s">
        <v>28</v>
      </c>
      <c r="D26" t="s">
        <v>29</v>
      </c>
      <c r="E26" t="s">
        <v>116</v>
      </c>
      <c r="F26" t="s">
        <v>52</v>
      </c>
      <c r="G26" t="s">
        <v>117</v>
      </c>
      <c r="H26" t="s">
        <v>27</v>
      </c>
      <c r="I26" t="s">
        <v>6</v>
      </c>
      <c r="J26" t="s">
        <v>53</v>
      </c>
      <c r="K26" t="s">
        <v>30</v>
      </c>
      <c r="L26" t="s">
        <v>24</v>
      </c>
      <c r="M26">
        <v>1</v>
      </c>
    </row>
    <row r="27" spans="1:13" x14ac:dyDescent="0.25">
      <c r="A27" s="2">
        <v>46318</v>
      </c>
      <c r="B27" s="1" t="str">
        <f ca="1">IF(Información1[[#This Row],[Fecha]]='Ajuste de fechas'!$A$2,"Día actual","Día anterior")</f>
        <v>Día anterior</v>
      </c>
      <c r="C27" t="s">
        <v>43</v>
      </c>
      <c r="D27" t="s">
        <v>44</v>
      </c>
      <c r="E27" t="s">
        <v>118</v>
      </c>
      <c r="F27" t="s">
        <v>52</v>
      </c>
      <c r="G27" t="s">
        <v>117</v>
      </c>
      <c r="H27" t="s">
        <v>27</v>
      </c>
      <c r="I27" t="s">
        <v>6</v>
      </c>
      <c r="J27" t="s">
        <v>53</v>
      </c>
      <c r="K27" t="s">
        <v>45</v>
      </c>
      <c r="L27" t="s">
        <v>24</v>
      </c>
      <c r="M27">
        <v>1</v>
      </c>
    </row>
    <row r="28" spans="1:13" x14ac:dyDescent="0.25">
      <c r="A28" s="2">
        <v>46318</v>
      </c>
      <c r="B28" s="1" t="str">
        <f ca="1">IF(Información1[[#This Row],[Fecha]]='Ajuste de fechas'!$A$2,"Día actual","Día anterior")</f>
        <v>Día anterior</v>
      </c>
      <c r="C28" t="s">
        <v>28</v>
      </c>
      <c r="D28" t="s">
        <v>33</v>
      </c>
      <c r="E28" t="s">
        <v>119</v>
      </c>
      <c r="F28" t="s">
        <v>9</v>
      </c>
      <c r="G28" t="s">
        <v>120</v>
      </c>
      <c r="H28" t="s">
        <v>27</v>
      </c>
      <c r="I28" t="s">
        <v>6</v>
      </c>
      <c r="J28" t="s">
        <v>17</v>
      </c>
      <c r="K28" t="s">
        <v>30</v>
      </c>
      <c r="L28" t="s">
        <v>20</v>
      </c>
      <c r="M28">
        <v>1</v>
      </c>
    </row>
    <row r="29" spans="1:13" x14ac:dyDescent="0.25">
      <c r="A29" s="2">
        <v>46318</v>
      </c>
      <c r="B29" s="1" t="str">
        <f ca="1">IF(Información1[[#This Row],[Fecha]]='Ajuste de fechas'!$A$2,"Día actual","Día anterior")</f>
        <v>Día anterior</v>
      </c>
      <c r="C29" t="s">
        <v>43</v>
      </c>
      <c r="D29" t="s">
        <v>44</v>
      </c>
      <c r="E29" t="s">
        <v>121</v>
      </c>
      <c r="F29" t="s">
        <v>55</v>
      </c>
      <c r="G29" t="s">
        <v>122</v>
      </c>
      <c r="H29" t="s">
        <v>27</v>
      </c>
      <c r="I29" t="s">
        <v>6</v>
      </c>
      <c r="J29" t="s">
        <v>56</v>
      </c>
      <c r="K29" t="s">
        <v>45</v>
      </c>
      <c r="L29" t="s">
        <v>24</v>
      </c>
      <c r="M29">
        <v>1</v>
      </c>
    </row>
    <row r="30" spans="1:13" x14ac:dyDescent="0.25">
      <c r="A30" s="2">
        <v>46318</v>
      </c>
      <c r="B30" s="1" t="str">
        <f ca="1">IF(Información1[[#This Row],[Fecha]]='Ajuste de fechas'!$A$2,"Día actual","Día anterior")</f>
        <v>Día anterior</v>
      </c>
      <c r="C30" t="s">
        <v>43</v>
      </c>
      <c r="D30" t="s">
        <v>44</v>
      </c>
      <c r="E30" t="s">
        <v>123</v>
      </c>
      <c r="F30" t="s">
        <v>32</v>
      </c>
      <c r="G30" t="s">
        <v>124</v>
      </c>
      <c r="H30" t="s">
        <v>27</v>
      </c>
      <c r="I30" t="s">
        <v>6</v>
      </c>
      <c r="J30" t="s">
        <v>17</v>
      </c>
      <c r="K30" t="s">
        <v>51</v>
      </c>
      <c r="L30" t="s">
        <v>18</v>
      </c>
      <c r="M30">
        <v>1</v>
      </c>
    </row>
    <row r="31" spans="1:13" x14ac:dyDescent="0.25">
      <c r="A31" s="2">
        <v>46318</v>
      </c>
      <c r="B31" s="1" t="str">
        <f ca="1">IF(Información1[[#This Row],[Fecha]]='Ajuste de fechas'!$A$2,"Día actual","Día anterior")</f>
        <v>Día anterior</v>
      </c>
      <c r="C31" t="s">
        <v>28</v>
      </c>
      <c r="D31" t="s">
        <v>33</v>
      </c>
      <c r="E31" t="s">
        <v>125</v>
      </c>
      <c r="F31" t="s">
        <v>52</v>
      </c>
      <c r="G31" t="s">
        <v>126</v>
      </c>
      <c r="H31" t="s">
        <v>27</v>
      </c>
      <c r="I31" t="s">
        <v>6</v>
      </c>
      <c r="J31" t="s">
        <v>53</v>
      </c>
      <c r="K31" t="s">
        <v>30</v>
      </c>
      <c r="L31" t="s">
        <v>18</v>
      </c>
      <c r="M31">
        <v>1</v>
      </c>
    </row>
    <row r="32" spans="1:13" x14ac:dyDescent="0.25">
      <c r="A32" s="2">
        <v>46318</v>
      </c>
      <c r="B32" s="1" t="str">
        <f ca="1">IF(Información1[[#This Row],[Fecha]]='Ajuste de fechas'!$A$2,"Día actual","Día anterior")</f>
        <v>Día anterior</v>
      </c>
      <c r="C32" t="s">
        <v>38</v>
      </c>
      <c r="D32" t="s">
        <v>39</v>
      </c>
      <c r="E32" t="s">
        <v>127</v>
      </c>
      <c r="F32" t="s">
        <v>25</v>
      </c>
      <c r="G32" t="s">
        <v>47</v>
      </c>
      <c r="H32" t="s">
        <v>40</v>
      </c>
      <c r="I32" t="s">
        <v>10</v>
      </c>
      <c r="J32" t="s">
        <v>17</v>
      </c>
      <c r="K32" t="s">
        <v>42</v>
      </c>
      <c r="L32" t="s">
        <v>19</v>
      </c>
      <c r="M32">
        <v>1</v>
      </c>
    </row>
    <row r="33" spans="1:13" x14ac:dyDescent="0.25">
      <c r="A33" s="2">
        <v>46318</v>
      </c>
      <c r="B33" s="1" t="str">
        <f ca="1">IF(Información1[[#This Row],[Fecha]]='Ajuste de fechas'!$A$2,"Día actual","Día anterior")</f>
        <v>Día anterior</v>
      </c>
      <c r="C33" t="s">
        <v>38</v>
      </c>
      <c r="D33" t="s">
        <v>39</v>
      </c>
      <c r="E33" t="s">
        <v>128</v>
      </c>
      <c r="F33" t="s">
        <v>52</v>
      </c>
      <c r="G33" t="s">
        <v>129</v>
      </c>
      <c r="H33" t="s">
        <v>40</v>
      </c>
      <c r="I33" t="s">
        <v>6</v>
      </c>
      <c r="J33" t="s">
        <v>53</v>
      </c>
      <c r="K33" t="s">
        <v>42</v>
      </c>
      <c r="L33" t="s">
        <v>18</v>
      </c>
      <c r="M33">
        <v>1</v>
      </c>
    </row>
    <row r="34" spans="1:13" x14ac:dyDescent="0.25">
      <c r="A34" s="2">
        <v>46318</v>
      </c>
      <c r="B34" s="1" t="str">
        <f ca="1">IF(Información1[[#This Row],[Fecha]]='Ajuste de fechas'!$A$2,"Día actual","Día anterior")</f>
        <v>Día anterior</v>
      </c>
      <c r="C34" t="s">
        <v>43</v>
      </c>
      <c r="D34" t="s">
        <v>44</v>
      </c>
      <c r="E34" t="s">
        <v>130</v>
      </c>
      <c r="F34" t="s">
        <v>52</v>
      </c>
      <c r="G34" t="s">
        <v>59</v>
      </c>
      <c r="H34" t="s">
        <v>27</v>
      </c>
      <c r="I34" t="s">
        <v>6</v>
      </c>
      <c r="J34" t="s">
        <v>53</v>
      </c>
      <c r="K34" t="s">
        <v>51</v>
      </c>
      <c r="L34" t="s">
        <v>18</v>
      </c>
      <c r="M34">
        <v>1</v>
      </c>
    </row>
    <row r="35" spans="1:13" x14ac:dyDescent="0.25">
      <c r="A35" s="2">
        <v>46318</v>
      </c>
      <c r="B35" s="1" t="str">
        <f ca="1">IF(Información1[[#This Row],[Fecha]]='Ajuste de fechas'!$A$2,"Día actual","Día anterior")</f>
        <v>Día anterior</v>
      </c>
      <c r="C35" t="s">
        <v>35</v>
      </c>
      <c r="D35" t="s">
        <v>36</v>
      </c>
      <c r="E35" t="s">
        <v>131</v>
      </c>
      <c r="F35" t="s">
        <v>57</v>
      </c>
      <c r="G35" t="s">
        <v>68</v>
      </c>
      <c r="H35" t="s">
        <v>27</v>
      </c>
      <c r="I35" t="s">
        <v>7</v>
      </c>
      <c r="J35" t="s">
        <v>17</v>
      </c>
      <c r="K35" t="s">
        <v>37</v>
      </c>
      <c r="L35" t="s">
        <v>20</v>
      </c>
      <c r="M35">
        <v>1</v>
      </c>
    </row>
    <row r="36" spans="1:13" x14ac:dyDescent="0.25">
      <c r="A36" s="2">
        <v>46318</v>
      </c>
      <c r="B36" s="1" t="str">
        <f ca="1">IF(Información1[[#This Row],[Fecha]]='Ajuste de fechas'!$A$2,"Día actual","Día anterior")</f>
        <v>Día anterior</v>
      </c>
      <c r="C36" t="s">
        <v>28</v>
      </c>
      <c r="D36" t="s">
        <v>29</v>
      </c>
      <c r="E36" t="s">
        <v>131</v>
      </c>
      <c r="F36" t="s">
        <v>57</v>
      </c>
      <c r="G36" t="s">
        <v>68</v>
      </c>
      <c r="H36" t="s">
        <v>27</v>
      </c>
      <c r="I36" t="s">
        <v>6</v>
      </c>
      <c r="J36" t="s">
        <v>17</v>
      </c>
      <c r="K36" t="s">
        <v>31</v>
      </c>
      <c r="L36" t="s">
        <v>20</v>
      </c>
      <c r="M36">
        <v>1</v>
      </c>
    </row>
    <row r="37" spans="1:13" x14ac:dyDescent="0.25">
      <c r="A37" s="2">
        <v>46318</v>
      </c>
      <c r="B37" s="1" t="str">
        <f ca="1">IF(Información1[[#This Row],[Fecha]]='Ajuste de fechas'!$A$2,"Día actual","Día anterior")</f>
        <v>Día anterior</v>
      </c>
      <c r="C37" t="s">
        <v>38</v>
      </c>
      <c r="D37" t="s">
        <v>39</v>
      </c>
      <c r="E37" t="s">
        <v>132</v>
      </c>
      <c r="F37" t="s">
        <v>57</v>
      </c>
      <c r="G37" t="s">
        <v>67</v>
      </c>
      <c r="H37" t="s">
        <v>40</v>
      </c>
      <c r="I37" t="s">
        <v>6</v>
      </c>
      <c r="J37" t="s">
        <v>17</v>
      </c>
      <c r="K37" t="s">
        <v>42</v>
      </c>
      <c r="L37" t="s">
        <v>18</v>
      </c>
      <c r="M37">
        <v>1</v>
      </c>
    </row>
    <row r="38" spans="1:13" x14ac:dyDescent="0.25">
      <c r="A38" s="2">
        <v>46318</v>
      </c>
      <c r="B38" s="1" t="str">
        <f ca="1">IF(Información1[[#This Row],[Fecha]]='Ajuste de fechas'!$A$2,"Día actual","Día anterior")</f>
        <v>Día anterior</v>
      </c>
      <c r="C38" t="s">
        <v>28</v>
      </c>
      <c r="D38" t="s">
        <v>33</v>
      </c>
      <c r="E38" t="s">
        <v>133</v>
      </c>
      <c r="F38" t="s">
        <v>54</v>
      </c>
      <c r="G38" t="s">
        <v>64</v>
      </c>
      <c r="H38" t="s">
        <v>27</v>
      </c>
      <c r="I38" t="s">
        <v>6</v>
      </c>
      <c r="J38" t="s">
        <v>54</v>
      </c>
      <c r="K38" t="s">
        <v>30</v>
      </c>
      <c r="L38" t="s">
        <v>24</v>
      </c>
      <c r="M38">
        <v>1</v>
      </c>
    </row>
    <row r="39" spans="1:13" x14ac:dyDescent="0.25">
      <c r="A39" s="2">
        <v>46318</v>
      </c>
      <c r="B39" s="1" t="str">
        <f ca="1">IF(Información1[[#This Row],[Fecha]]='Ajuste de fechas'!$A$2,"Día actual","Día anterior")</f>
        <v>Día anterior</v>
      </c>
      <c r="C39" t="s">
        <v>38</v>
      </c>
      <c r="D39" t="s">
        <v>39</v>
      </c>
      <c r="E39" t="s">
        <v>134</v>
      </c>
      <c r="F39" t="s">
        <v>26</v>
      </c>
      <c r="G39" t="s">
        <v>50</v>
      </c>
      <c r="H39" t="s">
        <v>40</v>
      </c>
      <c r="I39" t="s">
        <v>6</v>
      </c>
      <c r="J39" t="s">
        <v>17</v>
      </c>
      <c r="K39" t="s">
        <v>42</v>
      </c>
      <c r="L39" t="s">
        <v>18</v>
      </c>
      <c r="M39">
        <v>1</v>
      </c>
    </row>
    <row r="40" spans="1:13" x14ac:dyDescent="0.25">
      <c r="A40" s="2">
        <v>46321</v>
      </c>
      <c r="B40" s="1" t="str">
        <f ca="1">IF(Información1[[#This Row],[Fecha]]='Ajuste de fechas'!$A$2,"Día actual","Día anterior")</f>
        <v>Día actual</v>
      </c>
      <c r="C40" t="s">
        <v>28</v>
      </c>
      <c r="D40" t="s">
        <v>29</v>
      </c>
      <c r="E40" t="s">
        <v>135</v>
      </c>
      <c r="F40" t="s">
        <v>136</v>
      </c>
      <c r="G40" t="s">
        <v>137</v>
      </c>
      <c r="H40" t="s">
        <v>27</v>
      </c>
      <c r="I40" t="s">
        <v>6</v>
      </c>
      <c r="J40" t="s">
        <v>17</v>
      </c>
      <c r="K40" t="s">
        <v>31</v>
      </c>
      <c r="L40" t="s">
        <v>18</v>
      </c>
      <c r="M40">
        <v>1</v>
      </c>
    </row>
    <row r="41" spans="1:13" x14ac:dyDescent="0.25">
      <c r="A41" s="2">
        <v>46321</v>
      </c>
      <c r="B41" s="1" t="str">
        <f ca="1">IF(Información1[[#This Row],[Fecha]]='Ajuste de fechas'!$A$2,"Día actual","Día anterior")</f>
        <v>Día actual</v>
      </c>
      <c r="C41" t="s">
        <v>28</v>
      </c>
      <c r="D41" t="s">
        <v>33</v>
      </c>
      <c r="E41" t="s">
        <v>138</v>
      </c>
      <c r="F41" t="s">
        <v>8</v>
      </c>
      <c r="G41" t="s">
        <v>63</v>
      </c>
      <c r="H41" t="s">
        <v>27</v>
      </c>
      <c r="I41" t="s">
        <v>6</v>
      </c>
      <c r="J41" t="s">
        <v>17</v>
      </c>
      <c r="K41" t="s">
        <v>30</v>
      </c>
      <c r="L41" t="s">
        <v>18</v>
      </c>
      <c r="M41">
        <v>1</v>
      </c>
    </row>
    <row r="42" spans="1:13" x14ac:dyDescent="0.25">
      <c r="A42" s="2">
        <v>46321</v>
      </c>
      <c r="B42" s="1" t="str">
        <f ca="1">IF(Información1[[#This Row],[Fecha]]='Ajuste de fechas'!$A$2,"Día actual","Día anterior")</f>
        <v>Día actual</v>
      </c>
      <c r="C42" t="s">
        <v>35</v>
      </c>
      <c r="D42" t="s">
        <v>36</v>
      </c>
      <c r="E42" t="s">
        <v>139</v>
      </c>
      <c r="F42" t="s">
        <v>46</v>
      </c>
      <c r="G42" t="s">
        <v>102</v>
      </c>
      <c r="H42" t="s">
        <v>27</v>
      </c>
      <c r="I42" t="s">
        <v>6</v>
      </c>
      <c r="J42" t="s">
        <v>17</v>
      </c>
      <c r="K42" t="s">
        <v>37</v>
      </c>
      <c r="L42" t="s">
        <v>20</v>
      </c>
      <c r="M42">
        <v>1</v>
      </c>
    </row>
    <row r="43" spans="1:13" x14ac:dyDescent="0.25">
      <c r="A43" s="2">
        <v>46321</v>
      </c>
      <c r="B43" s="1" t="str">
        <f ca="1">IF(Información1[[#This Row],[Fecha]]='Ajuste de fechas'!$A$2,"Día actual","Día anterior")</f>
        <v>Día actual</v>
      </c>
      <c r="C43" t="s">
        <v>28</v>
      </c>
      <c r="D43" t="s">
        <v>29</v>
      </c>
      <c r="E43" t="s">
        <v>140</v>
      </c>
      <c r="F43" t="s">
        <v>54</v>
      </c>
      <c r="G43" t="s">
        <v>141</v>
      </c>
      <c r="H43" t="s">
        <v>27</v>
      </c>
      <c r="I43" t="s">
        <v>6</v>
      </c>
      <c r="J43" t="s">
        <v>54</v>
      </c>
      <c r="K43" t="s">
        <v>30</v>
      </c>
      <c r="L43" t="s">
        <v>24</v>
      </c>
      <c r="M43">
        <v>1</v>
      </c>
    </row>
    <row r="44" spans="1:13" x14ac:dyDescent="0.25">
      <c r="A44" s="2">
        <v>46321</v>
      </c>
      <c r="B44" s="1" t="str">
        <f ca="1">IF(Información1[[#This Row],[Fecha]]='Ajuste de fechas'!$A$2,"Día actual","Día anterior")</f>
        <v>Día actual</v>
      </c>
      <c r="C44" t="s">
        <v>28</v>
      </c>
      <c r="D44" t="s">
        <v>33</v>
      </c>
      <c r="E44" t="s">
        <v>142</v>
      </c>
      <c r="F44" t="s">
        <v>52</v>
      </c>
      <c r="G44" t="s">
        <v>113</v>
      </c>
      <c r="H44" t="s">
        <v>27</v>
      </c>
      <c r="I44" t="s">
        <v>6</v>
      </c>
      <c r="J44" t="s">
        <v>53</v>
      </c>
      <c r="K44" t="s">
        <v>30</v>
      </c>
      <c r="L44" t="s">
        <v>18</v>
      </c>
      <c r="M44">
        <v>1</v>
      </c>
    </row>
    <row r="45" spans="1:13" x14ac:dyDescent="0.25">
      <c r="A45" s="2">
        <v>46321</v>
      </c>
      <c r="B45" s="1" t="str">
        <f ca="1">IF(Información1[[#This Row],[Fecha]]='Ajuste de fechas'!$A$2,"Día actual","Día anterior")</f>
        <v>Día actual</v>
      </c>
      <c r="C45" t="s">
        <v>28</v>
      </c>
      <c r="D45" t="s">
        <v>29</v>
      </c>
      <c r="E45" t="s">
        <v>143</v>
      </c>
      <c r="F45" t="s">
        <v>52</v>
      </c>
      <c r="G45" t="s">
        <v>113</v>
      </c>
      <c r="H45" t="s">
        <v>27</v>
      </c>
      <c r="I45" t="s">
        <v>6</v>
      </c>
      <c r="J45" t="s">
        <v>53</v>
      </c>
      <c r="K45" t="s">
        <v>30</v>
      </c>
      <c r="L45" t="s">
        <v>24</v>
      </c>
      <c r="M45">
        <v>1</v>
      </c>
    </row>
    <row r="46" spans="1:13" x14ac:dyDescent="0.25">
      <c r="A46" s="2">
        <v>46321</v>
      </c>
      <c r="B46" s="1" t="str">
        <f ca="1">IF(Información1[[#This Row],[Fecha]]='Ajuste de fechas'!$A$2,"Día actual","Día anterior")</f>
        <v>Día actual</v>
      </c>
      <c r="C46" t="s">
        <v>60</v>
      </c>
      <c r="D46" t="s">
        <v>61</v>
      </c>
      <c r="E46" t="s">
        <v>144</v>
      </c>
      <c r="F46" t="s">
        <v>57</v>
      </c>
      <c r="G46" t="s">
        <v>145</v>
      </c>
      <c r="H46" t="s">
        <v>27</v>
      </c>
      <c r="I46" t="s">
        <v>6</v>
      </c>
      <c r="J46" t="s">
        <v>17</v>
      </c>
      <c r="K46" t="s">
        <v>62</v>
      </c>
      <c r="L46" t="s">
        <v>20</v>
      </c>
      <c r="M46">
        <v>1</v>
      </c>
    </row>
    <row r="47" spans="1:13" x14ac:dyDescent="0.25">
      <c r="A47" s="2">
        <v>46321</v>
      </c>
      <c r="B47" s="1" t="str">
        <f ca="1">IF(Información1[[#This Row],[Fecha]]='Ajuste de fechas'!$A$2,"Día actual","Día anterior")</f>
        <v>Día actual</v>
      </c>
      <c r="C47" t="s">
        <v>35</v>
      </c>
      <c r="D47" t="s">
        <v>36</v>
      </c>
      <c r="E47" t="s">
        <v>144</v>
      </c>
      <c r="F47" t="s">
        <v>57</v>
      </c>
      <c r="G47" t="s">
        <v>145</v>
      </c>
      <c r="H47" t="s">
        <v>27</v>
      </c>
      <c r="I47" t="s">
        <v>6</v>
      </c>
      <c r="J47" t="s">
        <v>17</v>
      </c>
      <c r="K47" t="s">
        <v>37</v>
      </c>
      <c r="L47" t="s">
        <v>20</v>
      </c>
      <c r="M47">
        <v>1</v>
      </c>
    </row>
    <row r="48" spans="1:13" x14ac:dyDescent="0.25">
      <c r="A48" s="2">
        <v>46321</v>
      </c>
      <c r="B48" s="1" t="str">
        <f ca="1">IF(Información1[[#This Row],[Fecha]]='Ajuste de fechas'!$A$2,"Día actual","Día anterior")</f>
        <v>Día actual</v>
      </c>
      <c r="C48" t="s">
        <v>35</v>
      </c>
      <c r="D48" t="s">
        <v>36</v>
      </c>
      <c r="E48" t="s">
        <v>146</v>
      </c>
      <c r="F48" t="s">
        <v>25</v>
      </c>
      <c r="G48" t="s">
        <v>147</v>
      </c>
      <c r="H48" t="s">
        <v>27</v>
      </c>
      <c r="I48" t="s">
        <v>6</v>
      </c>
      <c r="J48" t="s">
        <v>17</v>
      </c>
      <c r="K48" t="s">
        <v>37</v>
      </c>
      <c r="L48" t="s">
        <v>20</v>
      </c>
      <c r="M48">
        <v>1</v>
      </c>
    </row>
    <row r="49" spans="1:13" x14ac:dyDescent="0.25">
      <c r="A49" s="2">
        <v>46321</v>
      </c>
      <c r="B49" s="1" t="str">
        <f ca="1">IF(Información1[[#This Row],[Fecha]]='Ajuste de fechas'!$A$2,"Día actual","Día anterior")</f>
        <v>Día actual</v>
      </c>
      <c r="C49" t="s">
        <v>28</v>
      </c>
      <c r="D49" t="s">
        <v>33</v>
      </c>
      <c r="E49" t="s">
        <v>148</v>
      </c>
      <c r="F49" t="s">
        <v>52</v>
      </c>
      <c r="G49" t="s">
        <v>149</v>
      </c>
      <c r="H49" t="s">
        <v>27</v>
      </c>
      <c r="I49" t="s">
        <v>6</v>
      </c>
      <c r="J49" t="s">
        <v>53</v>
      </c>
      <c r="K49" t="s">
        <v>86</v>
      </c>
      <c r="L49" t="s">
        <v>18</v>
      </c>
      <c r="M49">
        <v>1</v>
      </c>
    </row>
    <row r="50" spans="1:13" x14ac:dyDescent="0.25">
      <c r="A50" s="2">
        <v>46321</v>
      </c>
      <c r="B50" s="1" t="str">
        <f ca="1">IF(Información1[[#This Row],[Fecha]]='Ajuste de fechas'!$A$2,"Día actual","Día anterior")</f>
        <v>Día actual</v>
      </c>
      <c r="C50" t="s">
        <v>28</v>
      </c>
      <c r="D50" t="s">
        <v>33</v>
      </c>
      <c r="E50" t="s">
        <v>150</v>
      </c>
      <c r="F50" t="s">
        <v>9</v>
      </c>
      <c r="G50" t="s">
        <v>151</v>
      </c>
      <c r="H50" t="s">
        <v>27</v>
      </c>
      <c r="I50" t="s">
        <v>6</v>
      </c>
      <c r="J50" t="s">
        <v>17</v>
      </c>
      <c r="K50" t="s">
        <v>30</v>
      </c>
      <c r="L50" t="s">
        <v>20</v>
      </c>
      <c r="M50">
        <v>1</v>
      </c>
    </row>
    <row r="51" spans="1:13" x14ac:dyDescent="0.25">
      <c r="A51" s="2">
        <v>46321</v>
      </c>
      <c r="B51" s="1" t="str">
        <f ca="1">IF(Información1[[#This Row],[Fecha]]='Ajuste de fechas'!$A$2,"Día actual","Día anterior")</f>
        <v>Día actual</v>
      </c>
      <c r="C51" t="s">
        <v>28</v>
      </c>
      <c r="D51" t="s">
        <v>29</v>
      </c>
      <c r="E51" t="s">
        <v>152</v>
      </c>
      <c r="F51" t="s">
        <v>8</v>
      </c>
      <c r="G51" t="s">
        <v>153</v>
      </c>
      <c r="H51" t="s">
        <v>27</v>
      </c>
      <c r="I51" t="s">
        <v>6</v>
      </c>
      <c r="J51" t="s">
        <v>17</v>
      </c>
      <c r="K51" t="s">
        <v>31</v>
      </c>
      <c r="L51" t="s">
        <v>18</v>
      </c>
      <c r="M51">
        <v>1</v>
      </c>
    </row>
    <row r="52" spans="1:13" x14ac:dyDescent="0.25">
      <c r="A52" s="2">
        <v>46321</v>
      </c>
      <c r="B52" s="1" t="str">
        <f ca="1">IF(Información1[[#This Row],[Fecha]]='Ajuste de fechas'!$A$2,"Día actual","Día anterior")</f>
        <v>Día actual</v>
      </c>
      <c r="C52" t="s">
        <v>28</v>
      </c>
      <c r="D52" t="s">
        <v>33</v>
      </c>
      <c r="E52" t="s">
        <v>154</v>
      </c>
      <c r="F52" t="s">
        <v>55</v>
      </c>
      <c r="G52" t="s">
        <v>155</v>
      </c>
      <c r="H52" t="s">
        <v>27</v>
      </c>
      <c r="I52" t="s">
        <v>6</v>
      </c>
      <c r="J52" t="s">
        <v>56</v>
      </c>
      <c r="K52" t="s">
        <v>30</v>
      </c>
      <c r="L52" t="s">
        <v>18</v>
      </c>
      <c r="M52">
        <v>1</v>
      </c>
    </row>
    <row r="53" spans="1:13" x14ac:dyDescent="0.25">
      <c r="A53" s="2">
        <v>46321</v>
      </c>
      <c r="B53" s="1" t="str">
        <f ca="1">IF(Información1[[#This Row],[Fecha]]='Ajuste de fechas'!$A$2,"Día actual","Día anterior")</f>
        <v>Día actual</v>
      </c>
      <c r="C53" t="s">
        <v>35</v>
      </c>
      <c r="D53" t="s">
        <v>36</v>
      </c>
      <c r="E53" t="s">
        <v>156</v>
      </c>
      <c r="F53" t="s">
        <v>55</v>
      </c>
      <c r="G53" t="s">
        <v>155</v>
      </c>
      <c r="H53" t="s">
        <v>27</v>
      </c>
      <c r="I53" t="s">
        <v>6</v>
      </c>
      <c r="J53" t="s">
        <v>56</v>
      </c>
      <c r="K53" t="s">
        <v>37</v>
      </c>
      <c r="L53" t="s">
        <v>18</v>
      </c>
      <c r="M53">
        <v>1</v>
      </c>
    </row>
    <row r="54" spans="1:13" x14ac:dyDescent="0.25">
      <c r="A54" s="2">
        <v>46321</v>
      </c>
      <c r="B54" s="1" t="str">
        <f ca="1">IF(Información1[[#This Row],[Fecha]]='Ajuste de fechas'!$A$2,"Día actual","Día anterior")</f>
        <v>Día actual</v>
      </c>
      <c r="C54" t="s">
        <v>35</v>
      </c>
      <c r="D54" t="s">
        <v>36</v>
      </c>
      <c r="E54" t="s">
        <v>157</v>
      </c>
      <c r="F54" t="s">
        <v>52</v>
      </c>
      <c r="G54" t="s">
        <v>158</v>
      </c>
      <c r="H54" t="s">
        <v>27</v>
      </c>
      <c r="I54" t="s">
        <v>6</v>
      </c>
      <c r="J54" t="s">
        <v>53</v>
      </c>
      <c r="K54" t="s">
        <v>37</v>
      </c>
      <c r="L54" t="s">
        <v>18</v>
      </c>
      <c r="M54">
        <v>1</v>
      </c>
    </row>
    <row r="55" spans="1:13" x14ac:dyDescent="0.25">
      <c r="A55" s="2">
        <v>46321</v>
      </c>
      <c r="B55" s="1" t="str">
        <f ca="1">IF(Información1[[#This Row],[Fecha]]='Ajuste de fechas'!$A$2,"Día actual","Día anterior")</f>
        <v>Día actual</v>
      </c>
      <c r="C55" t="s">
        <v>28</v>
      </c>
      <c r="D55" t="s">
        <v>33</v>
      </c>
      <c r="E55" t="s">
        <v>159</v>
      </c>
      <c r="F55" t="s">
        <v>55</v>
      </c>
      <c r="G55" t="s">
        <v>160</v>
      </c>
      <c r="H55" t="s">
        <v>27</v>
      </c>
      <c r="I55" t="s">
        <v>6</v>
      </c>
      <c r="J55" t="s">
        <v>56</v>
      </c>
      <c r="K55" t="s">
        <v>30</v>
      </c>
      <c r="L55" t="s">
        <v>18</v>
      </c>
      <c r="M55">
        <v>1</v>
      </c>
    </row>
    <row r="56" spans="1:13" x14ac:dyDescent="0.25">
      <c r="A56" s="2">
        <v>46321</v>
      </c>
      <c r="B56" s="1" t="str">
        <f ca="1">IF(Información1[[#This Row],[Fecha]]='Ajuste de fechas'!$A$2,"Día actual","Día anterior")</f>
        <v>Día actual</v>
      </c>
      <c r="C56" t="s">
        <v>35</v>
      </c>
      <c r="D56" t="s">
        <v>36</v>
      </c>
      <c r="E56" t="s">
        <v>161</v>
      </c>
      <c r="F56" t="s">
        <v>55</v>
      </c>
      <c r="G56" t="s">
        <v>160</v>
      </c>
      <c r="H56" t="s">
        <v>27</v>
      </c>
      <c r="I56" t="s">
        <v>6</v>
      </c>
      <c r="J56" t="s">
        <v>56</v>
      </c>
      <c r="K56" t="s">
        <v>37</v>
      </c>
      <c r="L56" t="s">
        <v>18</v>
      </c>
      <c r="M56">
        <v>1</v>
      </c>
    </row>
    <row r="57" spans="1:13" x14ac:dyDescent="0.25">
      <c r="A57" s="2">
        <v>46321</v>
      </c>
      <c r="B57" s="1" t="str">
        <f ca="1">IF(Información1[[#This Row],[Fecha]]='Ajuste de fechas'!$A$2,"Día actual","Día anterior")</f>
        <v>Día actual</v>
      </c>
      <c r="C57" t="s">
        <v>28</v>
      </c>
      <c r="D57" t="s">
        <v>33</v>
      </c>
      <c r="E57" t="s">
        <v>162</v>
      </c>
      <c r="F57" t="s">
        <v>8</v>
      </c>
      <c r="G57" t="s">
        <v>163</v>
      </c>
      <c r="H57" t="s">
        <v>27</v>
      </c>
      <c r="I57" t="s">
        <v>10</v>
      </c>
      <c r="J57" t="s">
        <v>17</v>
      </c>
      <c r="K57" t="s">
        <v>34</v>
      </c>
      <c r="L57" t="s">
        <v>19</v>
      </c>
      <c r="M57">
        <v>1</v>
      </c>
    </row>
    <row r="58" spans="1:13" x14ac:dyDescent="0.25">
      <c r="A58" s="2">
        <v>46321</v>
      </c>
      <c r="B58" s="1" t="str">
        <f ca="1">IF(Información1[[#This Row],[Fecha]]='Ajuste de fechas'!$A$2,"Día actual","Día anterior")</f>
        <v>Día actual</v>
      </c>
      <c r="C58" t="s">
        <v>28</v>
      </c>
      <c r="D58" t="s">
        <v>29</v>
      </c>
      <c r="E58" t="s">
        <v>164</v>
      </c>
      <c r="F58" t="s">
        <v>165</v>
      </c>
      <c r="G58" t="s">
        <v>69</v>
      </c>
      <c r="H58" t="s">
        <v>27</v>
      </c>
      <c r="I58" t="s">
        <v>6</v>
      </c>
      <c r="J58" t="s">
        <v>17</v>
      </c>
      <c r="K58" t="s">
        <v>31</v>
      </c>
      <c r="L58" t="s">
        <v>18</v>
      </c>
      <c r="M5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22</v>
      </c>
      <c r="B1" t="s">
        <v>23</v>
      </c>
    </row>
    <row r="2" spans="1:2" x14ac:dyDescent="0.25">
      <c r="A2" s="2">
        <f ca="1">TODAY()</f>
        <v>46321</v>
      </c>
      <c r="B2" s="2">
        <f ca="1">A2-1</f>
        <v>46320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2026-10-26T22:11:05Z</dcterms:modified>
</cp:coreProperties>
</file>