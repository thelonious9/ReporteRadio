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F031CCD4-8D9D-48B5-9B25-E79A3CCC4829}"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111" i="2"/>
  <c r="B139" i="2"/>
  <c r="B142" i="2"/>
  <c r="B144" i="2"/>
  <c r="B147" i="2"/>
  <c r="B150" i="2"/>
  <c r="B154" i="2"/>
  <c r="B157" i="2"/>
  <c r="B159" i="2"/>
  <c r="B162" i="2"/>
  <c r="B165" i="2"/>
  <c r="B168" i="2"/>
  <c r="B171" i="2"/>
  <c r="B174" i="2"/>
  <c r="B74" i="2"/>
  <c r="B46" i="2"/>
  <c r="B47" i="2"/>
  <c r="B48" i="2"/>
  <c r="B49" i="2"/>
  <c r="B50" i="2"/>
  <c r="B51" i="2"/>
  <c r="B52"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38" i="2"/>
  <c r="B141" i="2"/>
  <c r="B145" i="2"/>
  <c r="B149" i="2"/>
  <c r="B152" i="2"/>
  <c r="B155" i="2"/>
  <c r="B158" i="2"/>
  <c r="B161" i="2"/>
  <c r="B164" i="2"/>
  <c r="B167" i="2"/>
  <c r="B170" i="2"/>
  <c r="B173" i="2"/>
  <c r="B176" i="2"/>
  <c r="B112" i="2"/>
  <c r="B113" i="2"/>
  <c r="B114" i="2"/>
  <c r="B53" i="2"/>
  <c r="B54" i="2"/>
  <c r="B55" i="2"/>
  <c r="B56" i="2"/>
  <c r="B57" i="2"/>
  <c r="B58" i="2"/>
  <c r="B59" i="2"/>
  <c r="B60" i="2"/>
  <c r="B61" i="2"/>
  <c r="B62" i="2"/>
  <c r="B63" i="2"/>
  <c r="B64" i="2"/>
  <c r="B65" i="2"/>
  <c r="B66" i="2"/>
  <c r="B67" i="2"/>
  <c r="B68" i="2"/>
  <c r="B69" i="2"/>
  <c r="B70" i="2"/>
  <c r="B115" i="2"/>
  <c r="B116" i="2"/>
  <c r="B117" i="2"/>
  <c r="B118" i="2"/>
  <c r="B119" i="2"/>
  <c r="B120" i="2"/>
  <c r="B121" i="2"/>
  <c r="B122" i="2"/>
  <c r="B123" i="2"/>
  <c r="B124" i="2"/>
  <c r="B125" i="2"/>
  <c r="B126" i="2"/>
  <c r="B127" i="2"/>
  <c r="B128" i="2"/>
  <c r="B129" i="2"/>
  <c r="B130" i="2"/>
  <c r="B131" i="2"/>
  <c r="B132" i="2"/>
  <c r="B133" i="2"/>
  <c r="B134" i="2"/>
  <c r="B71" i="2"/>
  <c r="B72" i="2"/>
  <c r="B73" i="2"/>
  <c r="B135" i="2"/>
  <c r="B136" i="2"/>
  <c r="B137" i="2"/>
  <c r="B140" i="2"/>
  <c r="B143" i="2"/>
  <c r="B146" i="2"/>
  <c r="B148" i="2"/>
  <c r="B151" i="2"/>
  <c r="B153" i="2"/>
  <c r="B156" i="2"/>
  <c r="B160" i="2"/>
  <c r="B163" i="2"/>
  <c r="B166" i="2"/>
  <c r="B169" i="2"/>
  <c r="B172" i="2"/>
  <c r="B175" i="2"/>
  <c r="B177"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<sst xmlns="http://schemas.openxmlformats.org/spreadsheetml/2006/main" count="1774" uniqueCount="332">
  <si>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</si>
  <si>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</si>
  <si>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</si>
  <si>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</si>
  <si>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</si>
  <si>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</si>
  <si>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</si>
  <si>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</si>
  <si>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</si>
  <si>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</si>
  <si>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</si>
  <si>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</si>
  <si>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</si>
  <si>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</si>
  <si>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</si>
  <si>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</si>
  <si>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</si>
  <si>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</si>
  <si>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</si>
  <si>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</si>
  <si>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</si>
  <si>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</si>
  <si>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</si>
  <si>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</si>
  <si>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</si>
  <si>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</si>
  <si>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</si>
  <si>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</si>
  <si>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</si>
  <si>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Rodolfo López</t>
  </si>
  <si>
    <t>Enfoque Regional Meridiano</t>
  </si>
  <si>
    <t>Enfoque Regional Matutino</t>
  </si>
  <si>
    <t>TV local</t>
  </si>
  <si>
    <t>Auxilio a la ciudadanía</t>
  </si>
  <si>
    <t>Canal del Pueblo</t>
  </si>
  <si>
    <t>Vocales Radio</t>
  </si>
  <si>
    <t>Planeación</t>
  </si>
  <si>
    <t>Ultra 102.9 FM</t>
  </si>
  <si>
    <t>Ultra Noticias1</t>
  </si>
  <si>
    <t>Daniel Martínez</t>
  </si>
  <si>
    <t>Atención Ciudadana</t>
  </si>
  <si>
    <t>Jesús González</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</si>
  <si>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</si>
  <si>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</si>
  <si>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</si>
  <si>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</si>
  <si>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</si>
  <si>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</si>
  <si>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</si>
  <si>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</si>
  <si>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</si>
  <si>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</si>
  <si>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</si>
  <si>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</si>
  <si>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</si>
  <si>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</si>
  <si>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</si>
  <si>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</si>
  <si>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Radiodifusoras</t>
  </si>
  <si>
    <t>La Poderosa Tuxpan 93.1 FM</t>
  </si>
  <si>
    <t>NN Nuestras Noticias Zona Norte</t>
  </si>
  <si>
    <t>Liz Argüelles</t>
  </si>
  <si>
    <t>Abasto De Agua</t>
  </si>
  <si>
    <t>PGJEH</t>
  </si>
  <si>
    <t>Semarnath</t>
  </si>
  <si>
    <t>Combate Al Huachicol</t>
  </si>
  <si>
    <t>SSH</t>
  </si>
  <si>
    <t>Radio Lobo 96.7 FM</t>
  </si>
  <si>
    <t>Enlace Noticias</t>
  </si>
  <si>
    <t>Gina Lorenzo</t>
  </si>
  <si>
    <t>Homicidios</t>
  </si>
  <si>
    <t>Ataque Armado</t>
  </si>
  <si>
    <t>Plan Nacional De Vivienda</t>
  </si>
  <si>
    <t>Vía telefónica el reporte de Bombero y Protección Civil con Abner Yáñez informa de las diversas emergencias reportadas por la ciudadanía y que fueron atendidas.</t>
  </si>
  <si>
    <t>Milton Cortés</t>
  </si>
  <si>
    <t>Día del maestro</t>
  </si>
  <si>
    <t>TV Cable hidalguense Canal 6</t>
  </si>
  <si>
    <t>Contigo Noticias</t>
  </si>
  <si>
    <t>Juan Carlos Santamaria</t>
  </si>
  <si>
    <t>Detención</t>
  </si>
  <si>
    <t>NQ 90.1 FM</t>
  </si>
  <si>
    <t>Enlace Hidalgo2</t>
  </si>
  <si>
    <t>Jesús Riveros</t>
  </si>
  <si>
    <t>Ke Buena 106.7 FM</t>
  </si>
  <si>
    <t>Noticias 106.7</t>
  </si>
  <si>
    <t>Localización de cuerpo</t>
  </si>
  <si>
    <t>David Cárdenas</t>
  </si>
  <si>
    <t>Enlace Hidalgo1</t>
  </si>
  <si>
    <t>Partidos</t>
  </si>
  <si>
    <t>Entrega de infraestructura escolar</t>
  </si>
  <si>
    <t>Ejecuciones</t>
  </si>
  <si>
    <t>Tauromaquia</t>
  </si>
  <si>
    <t>Mesas de acercamiento</t>
  </si>
  <si>
    <t>Nacionales Conade</t>
  </si>
  <si>
    <t>Mundial De Futbol</t>
  </si>
  <si>
    <t>Levantamiento De Cuerpo</t>
  </si>
  <si>
    <t>Morena</t>
  </si>
  <si>
    <t>Bienestar</t>
  </si>
  <si>
    <t>Alerta Meteorológica</t>
  </si>
  <si>
    <t>OCSAD</t>
  </si>
  <si>
    <t>Aspirantes</t>
  </si>
  <si>
    <t>Sucesión gubernamental</t>
  </si>
  <si>
    <t>Saderh</t>
  </si>
  <si>
    <t>Gusano barrenador</t>
  </si>
  <si>
    <t>Fuga De Agua</t>
  </si>
  <si>
    <t>CDHEH</t>
  </si>
  <si>
    <t>Radioescucha: así como subieron el pasaje, así deberían de tratar a la gente con respeto. Hay unos choferes groseros y que llevan sobrecupo de gente parada hasta de 6 personas. Ejemplo de este es en la ruta de Puerto Lobo</t>
  </si>
  <si>
    <t>Quejas transporte público</t>
  </si>
  <si>
    <t>UPLAPH supervisa obras prioritarias para las familias de la región de Tula</t>
  </si>
  <si>
    <t>Supervisión de obra</t>
  </si>
  <si>
    <t>La senadora Simey Olvera Bautista, consideró que por ser mujer ha sido víctima de violencia digital, luego de citar una frase de Benito Juárez durante una sesión de la Cámara Alta realizada esta semana. En dicha sesión, citó “el derecho al respeto ajeno es la paz”; la frase completa, con el texto atribuido a quien fuera Presidente de México durante el siglo XIX, es “Entre los individuos, como entre las naciones, el respeto al derecho ajeno es la paz”. Ello durante su participación en la sesión, al momento de referirse a la intervención de otros países dentro de México. Señaló que el error de fraseo ha sido compartido de forma masiva en redes sociales, lo que ha generado críticas y burlas, sin embargo consideró que por ser mujer, las descalificaciones han sido más intensas. “Un error lo comete cualquiera, pero un hombre lo comete y dicen que es humano, pero una mujer (es atacada) ahorita incluso dicen que si no soy capaz, que porque estoy en la tribuna, se han burlado y eso pues sí tiene una connotación machista”, señaló. Aunque reconoció que se le ha criticado, señaló que se deben señalar tanto los errores como los logros, aunque esta situación “no debe pasar a mayores”.</t>
  </si>
  <si>
    <t>Violencia Política De Género</t>
  </si>
  <si>
    <t>Dos accidentes se registraron sobre la carretera México-Pachuca, en el mismo punto, justo en los límites de los municipios de Tolcayuca y Zapotlán de Juárez. En el kilómetro 66 de la vía carretera, la madrugada del sábado 16 de mayo, una camioneta de carga Ford se impactó contra un señalamiento vial que divide el puente de San Javier, con registro de dos personas lesionadas, así como daños importantes a la unidad citada. Personal de Protección Civil de Zapotlán de Juárez atendieron la situación, brindando atención a las personas lesionadas en el accidente.</t>
  </si>
  <si>
    <t>Una persona perdió la vida y otra más resultó con lesiones de gravedad durante un accidente automovilístico registrado la mañana de este sábado sobre la carretera Alfajayucan–Ixmiquilpan, a la altura de las inmediaciones de Santa María Xigui.</t>
  </si>
  <si>
    <t>Debido a un intercambio de disparos con arma de fuego, al menos una oficial municipal de Actopan y tres presuntos delincuentes resultaron heridos con arma de fuego al ser trasladados ante autoridades ministeriales el pasado sábado en Actopan. Durante la intervención, uno de los detenidos sacó de entre sus prendas un arma de fuego, exigió que lo liberar y posteriormente hirió a la mujer policía. en respuesta a la agresión otro uniformado repelió el ataque lesionando a los presuntos responsables.</t>
  </si>
  <si>
    <t>Agresión A Policía</t>
  </si>
  <si>
    <t>Una unidad del transporte público de Tlaxcoapan atropelló a una mujer, quien tras el impacto falleció en el lugar. De acuerdo con los testigos, los hechos ocurrieron entre las calles 16 de Septiembre y Revolución, en la cabecera municipal, cuando una camioneta del transporte público de la ruta La Loma-Atitalaquia-El Refugio, iba a exceso de velocidad y no alcanzó a frenar. Los cuerpos de emergencia arribaron rápidamente al lugar, pero la mujer ya no contaba con signos vitales por lo que se acordonó la zona y se informó a la Procuraduría General de Justicia del Estado de Hidalgo para llevar a cabo las diligencias de ley.</t>
  </si>
  <si>
    <t>Accidente transporte público</t>
  </si>
  <si>
    <t>Un hombre fue localizado sin vida al interior de una vivienda ubicada en la comunidad de Tultengo, dentro del municipio de Tepeapulco, la mañana del viernes 15 de mayo. Una mujer, al parecer ex pareja sentimental del ahora fallecido, salió de la vivienda, pero al escuchar sonido de detonaciones por arma de fuego, decidió regresar. Tras ingresar y ver al hombre lesionado, la mujer solicitó apoyo a la policía local, acudiendo los elementos en compañía de paramédicos de la Cruz Roja local. Después de confirmarse el fallecimiento, elementos policiacos acordonaron el domicilio para permitir que personal de la Procuraduría General de Justicia del Estado de Hidalgo iniciaras las primeras investigaciones relacionadas con el caso.</t>
  </si>
  <si>
    <t>Este domingo, pobladores de Tezontepec de Aldama localizaron un cuerpo en avanzado estado de descomposición en una parcela de la comunidad de Cerro del Tezontle. Ciudadanos alertaron sobre olores fétidos provenientes de una zona ubicada entre las compuertas 5 y 6 del canal G5. Los primeros reportes de aviso se emitieron a las 8:48 horas a través del número de emergencias. Tras el reporte, elementos de Seguridad Pública acudieron al sitio para verificar la situación, confirmando la localización del cuerpo en el área señalada, por lo que el hecho fue notificado a personal ministerial de la Procuraduría General de Justicia del Estado de Hidalgo (PGJEH).</t>
  </si>
  <si>
    <t>Sin conocerse los motivos, dos sujetos agredieron con arma de fuego a un hombre, quien posteriormente perdió la vida por la gravedad de las heridas que recibió en el ataque. La situación se registró la tarde del viernes 15 de mayo sobre la avenida Los Pinos, correspondiente a la localidad de San Miguel La Higa, dentro del municipio de Mineral de la Reforma. Testimonios señalan que la víctima, de 73 años de edad, se encontraba en la vialidad citada cuando fue atacado a disparos; los agresores huyeron de inmediato, en tanto que vecinos de la zona solicitaban apoyo de la corporación policiaca. Paramédicos de la Cruz Roja local también acudieron, en su caso, para atender al hombre lesionado; tras revisión corporal, confirmaron que ya no contaba con signos vitales. Se implementó operativo para la búsqueda y eventual localización de los agresores, de quienes se reporta huyeron a bordo de un vehículo tipo sedán color azul. Hasta el momento no se reporta detención alguna relacionada con el ataque; en tanto, el sitio fue acordonado para el inicio de investigaciones por parte de la Procuraduría General de Justicia del Estado de Hidalgo.</t>
  </si>
  <si>
    <t>SSPH desmantela almacén de hidrocarburo robado en Singuilucan</t>
  </si>
  <si>
    <t>Un grupo de motociclistas que presuntamente participarían en un evento de “arrancones”, se dispersó al momento que llegaron elementos policiacos y de tránsito para realizar operativo para evitar ducha actividad. El operativo se llevó a cabo en el fraccionamiento Héroes de Tizayuca, atendiendo un reporte ciudadano que señalaba la intención de llevar a cabo el evento señalado sobre la Avenida Océano Pacífico. La intervención fue encabezada por la Secretaría de Seguridad Ciudadana de Tizayuca, en coordinación con la Subsecretaría de Operación Policial de la Jefatura Regional Pachuca y la Dirección de Tránsito y Vialidad. Al llegar al punto señalado, las corporaciones localizaron alrededor de 30 motocicletas y aproximadamente 50 personas reunidas sobre la vialidad. Tras notar la presencia de las patrullas, varios de los asistentes comenzaron a dispersarse, mientras que otro grupo ingresó a un comercio ubicado en la misma zona, donde se ofrecían alimentos y bebidas. Inspectores de la Dirección municipal de Reglamentos en Tizayuca acudieron a revisar las instalaciones del negocio, confirmando que no contaba con los requisitos legales para operar, por lo que fue clausurado.</t>
  </si>
  <si>
    <t>Operativo policiaco</t>
  </si>
  <si>
    <t>Daniel Martínez luego de dar a conocer el boletín: Docentes fortalecen avances educativos en Hidalgo: SEPH, comenta que hay dos temas pendientes para que se una educación constructiva: una es la falta de internet como en la Sierra Otomí Tepehua y la Sierra Alta y la revisión de las instalaciones de los planteles educativos en servicios tan básicos como los sanitarios y ya ni le digo de los salones. No les quiero echar a perder la panchanga, pero veamos cómo está también la realidad.</t>
  </si>
  <si>
    <t>Infraestructura escolar</t>
  </si>
  <si>
    <t>Cuatro casos de gusano barrenador en el Estado de Hidalgo se han registrado, de los cuales dos se mantienen activos y en los dos restantes ya existe recuperación de las personas. De acuerdo a datos de la Secretaría de Salud en Hidalgo, dos de los casos se registraron en el municipio de Tenango de Doria en personas de 57 y 77 años de edad. En Tlaxcoapan y Tlanchinol se ubican los otros dos casos, en personas de 79 y 73 años de edad, respectivamente. Tras conocerse de los casos, se otorgó la atención correspondiente, realizando monitoreo para una adecuada evolución de las personas que fueron detectadas con gusano barrenador. También se han registrado casos al respecto en animales de compañía así como en situación de calle, sobre todo en perros, con un total de 28 casos activos. De estos, tres se ubicaron en Cuautepec; mientras que en Acaxochitlán, Epazoyucan y Mineral de la Reforma se han atendido dos en cada uno de estos últimos municipios, en tanto que se ha detectado un caso en otras demarcaciones dentro del Estado de Hidalgo.</t>
  </si>
  <si>
    <t>Tras el registro de 554 casos de gusano barrenador registrados en el Estado de Hidalgo, este lunes 18 de mayo se instalará el comité estatal para prevenir casos y que se sigan extendiendo. El anuncio fue realizado por Napoleón González Pérez, titular de la Secretaría de Agricultura y Desarrollo Rural (Saderh), señalando que se han atendido los casos desde que se conoció el primero en la entidad. Por lo que señaló que desde ese momento comenzaron a desarrollarse labores conjuntas para atender la situación sanitaria en el ganado, de forma coordinada con el Servicio Nacional de Sanidad, Inocuidad y Calidad Agroalimentaria (Senasica), así como el Comité de Sanidad Pecuaria y los gobiernos municipales donde se han reportado casos de gusano barrenador. El estado de Hidalgo acumula 554 casos de gusano barrenador desde noviembre de 2024 hasta el corte del 15 de mayo de 2026, de los cuales 120 permanecen activos. El primero caso de la plaga del gusano barrenador en la entidad se registró en febrero de 2026 y hasta el 6 de abril, sumaban 229 acumulados, principalmente en bovinos; sin embargo, la cantidad se duplicó, según datos proporcionados por el titular de la Saderh. “El dato más importante no es únicamente el número de casos detectados, sino cuántos se han podido atender y sanar; aproximadamente entre el 66 y 67 por ciento de los animales afectados ya se recuperaron”, dijo. Para atender la plaga, se formalizará la creación del comité señalado, conformado por autoridades federales y de tres secretarías de Hidalgo: la Saderh para los animales ganaderos y de producción; la Secretaría de Medio Ambiente para la fauna silvestre y la Secretaría de Salud para atender a personas. El anuncio de este comité se dio a conocer en la primera semana de abril, pero aún no se conforma de manera oficial, aunque González Pérez aseguró que ya existe trabajo de las autoridades involucradas.</t>
  </si>
  <si>
    <t>Cinco casos de golpe de calor se han registrado en días recientes en municipios del Valle del Mezquital, reportan gobiernos locales, así como instancias de atención a la salud. Las temperaturas pico en dicha región han llegado a los 38 grados, lo que sumado a condiciones en donde las personas se mantienen a la intemperie durante prolongados periodos de tiempo, da como resultado resentir los golpes de calor. Uno de los casos más complicados se presentó en el municipio de Ixmiquilpan, donde un elemento policiaco presentó un golpe de calor cuando se encontraba laborando. Al respecto, el gobierno municipal informó que el elemento fue visto recargado en una jardinera, por lo que fue grabado y posteriormente se difundió el video en redes sociales. “Lamentamos que la persona que grabó y difundió el video no haya intervenido para brindar apoyo o solicitar atención médica para auxiliar al compañero policía”, mencionó en un comunicado. En cuanto al estado de salud del elemento, se reporta como estable y por lo tanto sin peligro para su vida. Un golpe de calor es un aumento de temperatura del cuerpo por una exposición prolongada al sol o por practicar ejercicios de manera excesiva en ambientes calurosos.</t>
  </si>
  <si>
    <t>Golpe de calor</t>
  </si>
  <si>
    <t>El Congreso de Hidalgo debe tener una postura neutral respecto al debate público de la tauromaquia en el estado, para que pueda pronunciarse de manera objetiva y apegada a lo jurídico, además de no usar el tema como botín político, indicó la titular de la CDHEH, Ana Karen Parra Bonilla. Tras la polémica generada en la entidad por dos iniciativas, una que busca prohibir las corridas de toros en el estado y otra que pretende su declaración como patrimonio cultural, la presidenta de la Comisión de Derechos Humanos de Hidalgo (CDHEH) comentó que la institución ha sido respetuosa con los procedimientos del Congreso local. Adelantó que en próximos días el organismo albergará un foro de personas que se dedican al bienestar de los animales, y están abiertos a escuchar a todas las partes. Además que recolectarán toda la información necesaria para tener elementos y saber en qué momento y qué es lo que tenga que hacer la Comisión. Agregó que debe haber responsabilidad en el Poder Legislativo en ese tipo de situaciones para que no se vea un beneficio a favor de una fracción o de otra fracción, ya que es en beneficio de los seres sintientes y por ende de la comunidad. Hasta el momento, dijo, la Comisión de Legislación y Puntos Constitucionales no le ha requerido alguna opinión técnica, pero la CDHEH se pronunciará al respecto en el momento que tenga los elementos.</t>
  </si>
  <si>
    <t>Ninguno de los tres juicios de amparo presentados ante el Poder Judicial de la Federación (PJF) en contra de las corridas de toros en el Estado de Hidalgo, ninguno ha prosperado hasta el momento. Lo anterior fue informado en rueda de prensa por integrantes de Tauromaquia Mexicana Hidalgo, aclarando Aldo Rodríguez, representante legal de dicha organización, que en ninguno de los amparos se ha otorgado suspensión provisional o definitiva para impedir corridas de toros en la entidad. “La Ley de Bienestar Animal vigente en Hidalgo excluye explícitamente a la tauromaquia de las disposiciones relacionadas con maltrato animal; además no existe actualmente ninguna resolución de la Suprema Corte de Justicia de la Nación que declare ilegal la tauromaquia en México”, señaló. En la misma rueda de prensa, el torero Luis Gallardo informó que se iniciará un procedimiento administrativo ante la Contraloría estatal hacia Erika Ortigoza Vázquez, titular de la Comisión Estatal de Biodiversidad de Hidalgo.</t>
  </si>
  <si>
    <t>745 personas acudieron al registro de Vivienda del Bienestar convocado por Infonavit para la región Tulancingo, de las cuales, aproximadamente el 90 por ciento cumplen con los requisitos para asignación. El registro se llevó a cabo este domingo 17 de mayo en el centro de la ciudad; personal de la institución federal informó que el restante porcentaje fue asesorado para completar la documentación así como requisitos que les permita acceder a una de las viviendas de interés social que actualmente se construyen en la zona de Valle Verde, dentro del mismo municipio de Tulancingo. Las personas que cumplen con los requisitos y trámites quedarán en un listado de asignación, por lo que estarán a la espera de aviso por parte de Infonavit para tomar posesión de su casa, en fecha aún por determinar. Aunque la atención inició a las 9 de la mañana, desde la madrugada llegaron derechohabientes con seguridad social, buscando la inscripción en el programa Vivienda del Bienestar. El personal a cargo informó que acudieron alrededor de una decena de personas que no cuentan con Infonavit, buscando acceder al registro, pero precisamente al no ser empleados con seguridad social, no se les pudo dar la inscripción.</t>
  </si>
  <si>
    <t>Docentes fortalecen avances educativos en Hidalgo: SEPH</t>
  </si>
  <si>
    <t>Más de un centenar de solicitudes para la calibración de básculas, principalmente de negocios del primer cuadro de la ciudad, han sido gestionadas a través de la Oficina de Enlaces de Servicios Federales y Estatales de Tulancingo ante la ODECO Pachuca, con el objetivo de garantizar que los consumidores reciban productos justos y precisos. Este apoyo permite que los comerciantes realicen de manera personal la solicitud de verificación y ajuste de sus instrumentos de medición, en cumplimiento con la normativa oficial. Los negocios que completan este procedimiento reciben un holograma que avala la exactitud de sus mediciones y brinda mayor confianza a sus clientes. La verificación es obligatoria para quienes operan básculas y, gracias al enlace entre el municipio y la ODECO Pachuca, el trámite se realiza de manera segura ante instancias autorizadas, evitando posibles fraudes por parte de terceros.</t>
  </si>
  <si>
    <t>Supervisión de establecimiento</t>
  </si>
  <si>
    <t>El proyecto para la creación de un centro de convivencia social integrado al zoológico municipal “Nicolás Bravo”, al norte de la ciudad de Tulancingo, sigue adelante con algunas adecuaciones que se realizarán. Lo anterior es confirmado por Armando Pérez Alcibar, titular de la Secretaría municipal de Desarrollo Urbano, Obras Públicas y Medio Ambiente, tras versiones de inconformidad sobre el proyecto por parte de vecinos de la zona. Uno de los principales temas fue el supuesto cierre de un pasillo que conecta a las colonias Francisco I. Madero y Lindavista, desmintiendo el funcionario dicha versión. Señaló que se harán adecuaciones, siendo la principal el arreglo de una cuchilla en la zona peatonal para que sea más amplia y segura para circular, lo cual fue acordado en una reunión vecinal. En la misma reunión se aclaró que la cancha no será usada para ampliar el zoológico, pues en la parte de abajo existe una cisterna que se afectaría con la presencia de los animales. Esa zona será usada para la creación para un centro de convivencia social, que contará con una ludoteca, manualidades y foro ludoteca, un espacio para la elaboración de manualidades, un foro para espectáculos, entre otros atractivos y servicios.</t>
  </si>
  <si>
    <t>Zoológico</t>
  </si>
  <si>
    <t>Las localidades de Almoloya y Texcaltepec, dentro del municipio de Cuautepec de Hinojosa, fueron las más afectadas por las descargas pluviales registradas este domingo 17 de mayo. Una fuerte tromba acompañada de granizo, afectó varias viviendas de las localidades mencionadas; también se registraron afectaciones mayores en las instalaciones de un plantel de educación preescolar ubicado en la zona. Por lo que se determinó suspender clases presenciales en dicho espacio para prevenir algún incidente mayor que pudiera afectar a los integrantes de la comunidad educativa. Elementos de Bomberos y Protección Civil así como de la policía municipal iniciaron acciones de retiro del granizo, así como de limpieza general para liberar los caminos afectados. En próximas horas se realizará evaluación de infraestructura y viviendas afectadas, para establecer posibles medidas de atención y reparación. En Tulancingo, las afectaciones fueron sobre todo de nuevo en calles de las colonias Insurgentes y Vicente Guerrero, con anegamientos donde el agua de lluvia acumulada entre los 5 a 10 centímetros.</t>
  </si>
  <si>
    <t>Afectaciones Por Lluvias</t>
  </si>
  <si>
    <t>En cabina Alberto González y Andrés Torres hablan de que ya arrancó el proceso electoral interno de selección de candidatos de Morena en Hidalgo para la elección del 2027. Ya hay quienes están en campaña y se realizan hasta encuestas para analizar la reelección de Tatiana Tonatzin P. Ángeles Moreno como diputada federal; de Miguel Moreno Zamora a la curul local, y la peor de las tres preguntas en ese sentido, la de Imelda Cuellar a la presidencia municipal.</t>
  </si>
  <si>
    <t>Candidaturas</t>
  </si>
  <si>
    <t>Alberto González</t>
  </si>
  <si>
    <t>Radioescucha: el día sábado mi familia y yo a las 2:20 abordamos el Tuzobús en la estación de la Zona Plateada rumbo al centro de la ciudad y al tratar de subir el Tuzobús el puente que cruza Colosio, lo tuvo que hacer en 3 ocasiones, ya que no pudo en las dos primeras. Qué diría el director de este servicio si utiliza el equipo, pone en riesgo a su usuario. Para lograrlo tuvo que regresar en reversa y tomar vuelo para subir. Andrés torres dice que ya es urgente que entren las nuevas unidades.</t>
  </si>
  <si>
    <t>Deficiencias Tuzobús</t>
  </si>
  <si>
    <t>Radioescucha, Samperio Ortiz: toma uno el Tuzobús con tiempo para llegar al trabajo y se descompone a medio camino.</t>
  </si>
  <si>
    <t>La tarde de este domingo se presentó una riña en el fraccionamiento el Palmar de Pachuca, esto después de un encuentro deportivo. De acuerdo con un vídeo de redes sociales, se observa cómo hombre y mujeres participan en una trifulca.</t>
  </si>
  <si>
    <t>Riña</t>
  </si>
  <si>
    <t>Como parte de las acciones para reforzar la seguridad pública y prevenir conductas delictivas, el alcalde Jorge Reyes impulsa la instalación de un moderno sistema de videovigilancia urbana integrado por 64 postes y 256 cámaras distribuidas en puntos estratégicos de la capital. El proyecto contempla la colocación de equipos en vialidades principales, accesos de entrada y salida de la ciudad, zonas de alta afluencia y espacios identificados con necesidades de mayor monitoreo, con el objetivo de mejorar la capacidad de atención y respuesta ante situaciones de riesgo.</t>
  </si>
  <si>
    <t>Videovigilancia</t>
  </si>
  <si>
    <t>El secretario de Planeación, Miguel Ángel Tello realizó acciones de reforestación en el municipio de Tepeji del Río.</t>
  </si>
  <si>
    <t>Reforestación</t>
  </si>
  <si>
    <t>Gobierno de Hidalgo entrega obras educativas por más de 6 mdp en Huejutla</t>
  </si>
  <si>
    <t>Con el respaldo de más de 3 mil 400 asistentes, el Magisterio Hidalguense celebró el Día de la Maestra y del Maestro en la región Huasteca, en una jornada que destacó por el reconocimiento, la identidad gremial y el fortalecimiento de la unidad sindical de la Sección 15 del SNTE. El encuentro reunió a maestras, maestros y Personal de Apoyo y Asistencia a la Educación, quienes refrendaron su compromiso con la organización sindical y la defensa de los derechos laborales, consolidando a la Sección 15 como una representación cercana a sus agremiados y fortalecida por la participación de su base trabajadora. El evento fue encabezado por el secretario general de la Sección 15 del SNTE en Hidalgo, Mtro. Said Vargas Sáenz, acompañado por el titular del Instituto Hidalguense de Educación, Dr. Natividad Castrejón Valdez; el representante del Comité Ejecutivo Nacional del SNTE en Hidalgo, Mtro. Jesús Jaime Rochín Carrillo; además de autoridades municipales de Huejutla de Reyes y Jaltocán.</t>
  </si>
  <si>
    <t>CDHEH y Gobierno de Hidalgo impulsan jornada “Un gol contra la discriminación”. En el marco del 17 de mayo, Día Internacional contra la Homofobia, la Transfobia y la Bifobia, la Comisión de Derechos Humanos del Estado de Hidalgo (CDHEH), en coordinación con la Dirección de Diversidad Sexual del Gobierno del Estado de Hidalgo, llevaron a cabo la jornada “Un gol contra la discriminación”, una actividad orientada a promover espacios seguros, libres de violencia y discriminación para todas las personas. El evento reunió a personas activistas, juventudes, asociaciones civiles, colectivas y ciudadanía en general, quienes participaron en actividades recreativas, deportivas y de reflexión encaminadas a fortalecer la cultura del respeto, la igualdad y la no discriminación.</t>
  </si>
  <si>
    <t>Discriminación</t>
  </si>
  <si>
    <t>Andrés Torres informa que la señal del 1010 AM de El Vocero Huasteco está fuera del aire desde hace más de un mes y que "la inoperancia del área administrativa no les permite echar a andar la estación. No quieren, simplemente nos dicen que no. Esa es la respuesta reiterada: no, no y no. Entonces, qué puede uno hacer antes estas situaciones."</t>
  </si>
  <si>
    <t>“Reciclando Transformamos Hidalgo”: llamado a crear conciencia ciudadana sobre la disposición de residuos electrónicos.</t>
  </si>
  <si>
    <t>Campaña de reciclaje</t>
  </si>
  <si>
    <t>Reportar heridas y revisar al ganado, fundamentales para combatir al gusano barrenador.</t>
  </si>
  <si>
    <t>Participa Cobaeh en reunión nacional sobre educación media superior.</t>
  </si>
  <si>
    <t>Reunión Nacional</t>
  </si>
  <si>
    <t>Con entrega de aves de doble propósito gobierno de Hidalgo fortalece la economía de las mujeres rurales</t>
  </si>
  <si>
    <t>Apoyo Al Agro</t>
  </si>
  <si>
    <t>El titular de la Unidad de Planeación y Prospectiva de Hidalgo, Miguel Ángel Tello Vargas, realizó una gira de trabajo por la región de Tula con el fin de supervisar obras de infraestructura, participar en festejos conmemorativos por el Día de las Madres y anunciar próximos proyectos para la dependencia que encabeza. Durante su recorrido, el funcionario visitó el Parque Chamizal, ubicado en la colonia San Marcos de Tula de Allende, donde verificó los trabajos de protección sobre la margen derecha del río Tula y el resguardo de la zona. Más tarde, en Atotonilco de Tula, Tello Vargas acompañó a la alcaldesa Jocelyn Tovar en un evento por el Día de las Madres, marco en el cual reconoció el esfuerzo y la importancia fundamental de las mujeres en el desarrollo de las comunidades hidalguenses. Se espera que en las próximas horas el titular de la Unidad de Planeación y Prospectiva detalle las nuevas obras proyectadas para las distintas regiones de la entidad.</t>
  </si>
  <si>
    <t>Hidalgo invierte en espacios de atención de personas mayores en Huejutla , AUDIO APOYO</t>
  </si>
  <si>
    <t>Rehabilitación centro gerontológico</t>
  </si>
  <si>
    <t>La Secretaría de la Contraloría informó que, en lo que va del año 2026, más de 50 mil servidores públicos del Poder Ejecutivo de Hidalgo ya cumplieron con su declaración patrimonial. El contralor Álvaro Bardales detalló que entre el 1 y el 13 de mayo se registraron exactamente 50 mil 390 declaraciones, lo que representa un avance del 61.8% del total de los trabajadores obligados a realizar este trámite. Aunque aún quedan más de 29 mil declaraciones pendientes, 19 dependencias estatales ya alcanzaron el 100% de cumplimiento, destacando entre ellas Turismo, Desarrollo Económico y la Comisión Estatal de Agua y Alcantarillado. Asimismo, registran más del 90% de avance la Policía Industrial Bancaria, la Secretaría de Seguridad Pública y el Colegio de Bachilleres; mientras tanto, la Secretaría de Educación Pública reporta más de 20 mil declaraciones presentadas, equivalentes al 45.5% de su padrón.</t>
  </si>
  <si>
    <t>Contraloría</t>
  </si>
  <si>
    <t>Declaración patrimonial</t>
  </si>
  <si>
    <t>Reciclaje, eje de transformación en Hidalgo</t>
  </si>
  <si>
    <t>Cultura de reciclaje</t>
  </si>
  <si>
    <t>La Secretaría de Medio Ambiente y Recursos Naturales de Hidalgo desmintió versiones difundidas en redes sociales sobre un presunto derribo masivo de árboles en Avenida Fomento Minero en Pachuca Relacionado con la construcción de accesos Al nuevo edificio gubernamental. En comunicado emitido al respecto que solo se realizan recorridos de diagnóstico ambiental y fitosanitario al arbolado urbano.</t>
  </si>
  <si>
    <t>Complejo Gubernamental</t>
  </si>
  <si>
    <t>La Secretaría de Medio Ambiente y Recursos Naturales de Hidalgo informó que es falsa la información difundida en redes sociales respecto a un presente derribo masivo de árboles en la zona de Avenida Fomento Minero, derivado de la construcción de viabilidades o accesos al nuevo edificio gubernamental.</t>
  </si>
  <si>
    <t>Elementos de la Secretaría de Seguridad Pública de Hidalgo desmantelaron un presunto centro de almacenamiento de hidrocarburo robado en el municipio de Singilucan. Durante el operativo se decomisaron casi 6 mil litros de combustible distribuidos en 21 contenedores, dos camionetas tipo pick-up, así como 437 dosis de presunta marihuana y cristal. Todo lo asegurado quedó a disposición del Ministerio Público Federal.</t>
  </si>
  <si>
    <t>Casi seis mil litros de hidrocarburo, cientos de dosis de presunta droga y equipo especializado para el manejo ilegal de combustible fueron asegurados durante un operativo encabezado por la Secretaría de Seguridad Pública de Hidalgo (SSPH) en el municipio de Singuilucan, donde además fue desmantelado un presunto centro de almacenamiento de hidrocarburo robado, donde tenían lugar otras actividades delictivas.La acción operativa se realizó mediante trabajos coordinados entre la SSPH, la Procuraduría General de Justicia del Estado (PGJEH), la Secretaría de la Defensa Nacional (Sedena) y la Guardia Nacional (GN), ejecutando una acción de técnica de cateo que derivó en el aseguramiento de 5 mil 896 litros de hidrocarburo distribuidos en 21 contenedores de distintas capacidades, desde los 50 hasta los mil litros.Durante la intervención también fueron localizados 360 metros de manguera de alta presión, presuntamente utilizada para el trasiego de combustible, además de dos camionetas tipo pick up y 437 dosis de sustancias con características propias de la marihuana y del cristal.</t>
  </si>
  <si>
    <t>En el marco del día mundial del reciclaje La Secretaría de Medio Ambiente Y Recursos Naturales de Hidalgo anunció la campaña Reciclando, transformamos Hidalgo. Una jornada estatal de acopio de residuos electrónicos y electrodomésticos para evitar que estos aparatos terminen contaminando calles barrancas, cuerpos de agua y algunos otros sitios.</t>
  </si>
  <si>
    <t>Para conmemorar el Día Mundial de Reciclaje, del 18 al 22 de mayo, se estará llevando a cabo la campaña de acopio de residuos electrónicos y electrodomésticos en desuso en el Parque Ecológico Cubitos, en un horario de 9:30 a las 16:30. Con esta campaña, se busca reducir residuos contaminantes y cuidar el medio ambiente.</t>
  </si>
  <si>
    <t>Con entrega de aves de doble propósito gobierno de Hidalgo fortalece la economía de las mujeres rurales, AUDIO APOYO</t>
  </si>
  <si>
    <t>Vía telefónica Milton Cortés informa que el día de ayer la intensa lluvia y granizada ocasionó inundaciones y encharcamientos en los municipios de la zona metropolitana, por lo que se implementó un operativo. Asimismo, advierte que continuaran las lluvias, por lo que hay que tomar precauciones.</t>
  </si>
  <si>
    <t>Atención Afectaciones Por Lluvias</t>
  </si>
  <si>
    <t>Andrés Torres en respuesta a un radioescucha que se queja de la falta de transporte público después de las 8 de la noche, comenta que está complicadísimo el tema del transporte público en el estado y este es un tema que hoy en muchos medios de comunicación en su portadas cuestionan la falta de transporte colectivo después de las 8 de la noche en la capital hidalguense y esto se debe al tema del coso del pase contra el costo de los combustibles, pues no les es redituable prestar el servicio hasta tarde. Es un tema que ha sido denunciado y a ver qué dice al respecto las autoridades del transporte. Estamos esperando que ya entren en operación las nuevas unidades del Tuzobús, pues hacen falta.</t>
  </si>
  <si>
    <t>Falta de transporte</t>
  </si>
  <si>
    <t>Radioescucha señala que además de mejoras del ya odiado Tuzobús, también debe mejorarse el horario de las combis porque después de las 8 ya no hay transporte los domingos</t>
  </si>
  <si>
    <t>Vía telefónica Miguel Ángel Tello Vargas, titular de la Unidad de Planeación y Prospectiva, informó que ayer durante la conferencia semanal del gobierno de Hidalgo, se hizo el lanzamiento de la convocatoria del programa “Impulso Indígena”, un concurso de artesanía y diseño que busca fusionar el arte textil tradicional de las comunidades originarias de Hidalgo con el escenario internacional del mundial de futbol. El objetivo es diseñar una playera que represente a los pueblos originarios durante la celebración, para visibilizar y dignificar su trabajo, así como proyectar su cosmovisión ante el mundo. La convocatoria cierra el 6 de junio. Finalmente habló del programa de reforestación que realiza en todo el estado y con el que ya ha plantado alrededor de 20 mil árboles.</t>
  </si>
  <si>
    <t>Invitan a participar en el Primer Concurso de Ideas sobre Envejecimiento: “Vida plena en todas las etapas”</t>
  </si>
  <si>
    <t>Envejecimiento saludable</t>
  </si>
  <si>
    <t>En menos de 12 horas, cinco ejecutados fueron localizados en Singuilucan, Zempoala y Mixquiahuala. El primero de estos hechos se presentó en Mixquiahuala la madrugada de este lunes, dónde un grupo de personas arribó a un domicilio de la comunidad de Cañada y disparó contra dos sujetos, dejándolos sin vida. Horas más tarde, en Zempoala, se dio aviso sobre un hombre y una mujer con huellas de violencia e impactos de proyectil a orilla de la carretera México-Tuxpan. Asimismo, entre los límites de Epazoyucan y Singuilucan, un sujeto que presuntamente se dedicaba a la venta de vehículos, fue ejecutado. Durante estos hechos violentos en Actopan un sujeto le disparó a su mujer, esto después de tener una pelea. El hoy detenido tenía en su poder dos armas, las cuales presunta utilizó para arrebatarle la vida a su pareja. Por estas ejecuciones, hasta el cierre de la nota no se reportan personas detenidas.</t>
  </si>
  <si>
    <t>La Subsecretaría de Protección civil del Estado de Hidalgo, mantiene la alerta por el pronóstico de lluvias intensas para los próximos días. Hace un llamado a la población a evitar cruzar ríos, manejar con precaución, evitar ingresar a cuerpos de agua, no tirar basura. Ante las altas temperaturas mantenerse hidratado y a informarse a través de los canales oficiales.</t>
  </si>
  <si>
    <t>Hoy el gobernador Julio Menchaca estará con las Ruta de la Transformación en Tezontepec de Aldama.</t>
  </si>
  <si>
    <t>Ruta de la Transformación</t>
  </si>
  <si>
    <t>Andrés Torres comenta que ayer se originó una riña debido al intenso tráfico que se concentra en el semáforo que está entre y San Antonio el Desmonte y el bulevar Las Torres. Pide que mejor cierren la calle, que no haya salida ni del lado de Zempoala o Pachuca al bulevar Las Torres porque esto ocasiona muchos problemas de tráfico. "hasta que no pase algo, no van a hacer algo en ese bulevar, que diariamente ya es un caos". A ver si ya nos hacen caso, porque las cosas se están saliendo de control. A ver si se dan una vuelta por allá a las horas pico o cuando llueve. No aparece por ahí ninguna patrulla y corre uno el riesgo de que lo maten a trompadas.</t>
  </si>
  <si>
    <t>Natividad Castrejón encabeza entrega de 214 títulos profesionales en la UTMZ</t>
  </si>
  <si>
    <t>Titulación</t>
  </si>
  <si>
    <t>Said Vargas Sáenz, secretario general de la Sección 15 del SNTE en Hidalgo, acompañó el homenaje a maestras y maestros de la Organización III en Zimapán, reconociendo su labor y compromiso con la educación. Lo acompañó el secretario de Educación Pública de Hidalgo, Natividad Castrejón a quien agradeció acompañarlo en esta celebración a los docentes.</t>
  </si>
  <si>
    <t>Comité de Emergencias se mantiene activo ante pronóstico de lluvias: Julio Menchaca</t>
  </si>
  <si>
    <t>Reunión Gabinete De Seguridad</t>
  </si>
  <si>
    <t>Una intensa granizada afectó los municipios de Pachuca, Mineral de la Reforma, Actopan. Dicho fenómeno natural ocasionó daños en láminas y algunos vehículos, así como arbustos. Uno de los principales encharcamientos se presentó en el bulevar Minero de Pachuca, dónde el agua obstruye el paso de algunos vehículos, de igual forma en la Tulipanes de Mineral de la Reforma. Para Actopan la techumbre de cancha de básquetbol del CEDECOM, ubicada en la colonia La Floresta, colapsó. Por estos incidentes no se reportaron personas lesionadas, solo daños materiales.</t>
  </si>
  <si>
    <t>Andrés Torres dice que El Vocero Huasteco del 1010 AM, estación que inauguró el gobernador Julio Menchaca, sigue fuera del aire desde hace más de un mes porque el área administrativa no opera. Asimismo asegura que el área administrativa de Radio y Televisión le envió una carta, dónde le dicen que no pida diesel, que está prohibido que lo pida y que si se vuelve a ir al luz lo van a correr. "Imagínese lo que uno tiene que vivir aquí en Radio y Televisión de Hidalgo. No puede ser, me amenazaron con correrme si se va la luz, pero el transformador está descompuesto y no quieren pagar diesel para echar a andar las plantas de luz yo tengo la culpa. Así las cosas en el 1010 AM El Vocero Huasteco que es nuestra estación bilingüe, inaugurada hace 2 años y medio por el gobernador Julio Menchaca y de acuerdo al área administrativa e Radio y Televisión de Hidalgo nomás no va a funcionar porque no quiere, porque no hay dinero. Sí hay dinero para camionetas, sí hay dinero para sus viajes, para sus viáticos, para andarse paseando para eso sí tienen dinero; pero para lo trabajar, para lo que debe haber no hay. Uno es es el malo, uno es el corrupto, uno es el que tiene todos los defectos. El asunto es que sí sabemos de medos de comunicación, nosotros sí somos gente que ha trabajado en los medios y sabemos cómo funciona, no estamos inventando nada no queremos aplicar modelos con los que lucirnos y que en la vida real no funcionen. todo mundo lo sabemos y menos trabajando dentro del gobierno. Es bonito vivir en una nube allá muy lejos de la realidad", señaló.</t>
  </si>
  <si>
    <t>Hostigamiento Laboral</t>
  </si>
  <si>
    <t>Este lunes dio inicio el cuarto concurso de oratoria para la elección de la presidenta o presidente y del Ayuntamiento Infantil por un Día, en el auditorio Benito Juárez del Centro Cívico Social de Tulancingo, evento encabezado por la alcaldesa Lorena García Cázares. Durante la jornada inaugural, se abordaron temas relacionados con la inclusión, la no discriminación, los derechos humanos, la política en México, así como la importancia de la familia y los valores, demostrando creatividad, capacidad de análisis y compromiso social. Entre las escuelas participantes destacaron Jorge Berganza de la Torre, Instituto Cultural Bilingüe Tollancingo, Judith H. Rueda de Villagrán, Héroes de Chapultepec, Escudo Nacional y el Colegio Nueva Generación Pedro Latapí Sarre, así como estudiantes de Pablo López Venegas, compartieron sus propuestas y reflexiones desde el escenario.</t>
  </si>
  <si>
    <t>Concurso De Oratoria</t>
  </si>
  <si>
    <t>Gobierno de Hidalgo invita a participar en el Primer Concurso de Ideas sobre Envejecimiento: “Vida plena en todas las etapas”</t>
  </si>
  <si>
    <t>Concurso Nacional</t>
  </si>
  <si>
    <t>La Comisión Nacional del Agua (Conagua) informó que las presas de la región del Valle de México registran un almacenamiento global del 94 por ciento. Entre los embalses con mayor nivel se encuentran la presa Taxhimay, que supera el 100 por ciento de su capacidad, y la presa Requena, con 138.9 por ciento; sin embargo, la dependencia aclaró que esta última no representa riesgo para la población, debido a los ajustes normales de operación aplicados durante la temporada de lluvias. Asimismo, la presa Endhó reporta un 98.8 por ciento de almacenamiento, mientras que la Rojo Gómez se encuentra al 56.9 por ciento y la Vicente Aguirre al 29.6 por ciento.</t>
  </si>
  <si>
    <t>Disponibilidad de agua</t>
  </si>
  <si>
    <t>Un camión que transportaba peregrinos cayó al fondo de un barranco la noche de este lunes 18 de mayo en el municipio de Tepehuacán de Guerrero, en la Sierra de Hidalgo, dejando varios lesionados, de acuerdo con reportes de autoridades y cuerpos de emergencia. El accidente ocurrió poco antes de llegar al puente de Tenango, sobre el tramo carretero con dirección hacia la comunidad de Ahuatetla, en una zona de difícil acceso y complicada comunicación telefónica.</t>
  </si>
  <si>
    <t>Accidente autobús</t>
  </si>
  <si>
    <t>No hay intención de realizar para el derribo masivo de árboles en la avenida Fomento Minero, cercano al bulevar Felipe Ángeles, en Pachuca, aseguró Mónica Mixtega Trejo, titular de la Secretaría de Medio Ambiente y Recursos Naturales de Hidalgo (Semarnath). La aclaración fue ofrecida durante la conferencia de prensa semanal que realiza el Gobierno del Estado de Hidalgo, este lunes 18 de mayo, y luego de una manifestación llevada a cabo el pasado fin de semana, para protestar contra el supuesto derribo de árboles. La funcionaria explicó que las marcas colocadas en algunos de los árboles ubicados en la zona señalada, forman parte de trabajos técnicos de diagnóstico fitosanitario y valoración del arbolado urbano. “Hoy además del cambio climático y el estrés hídrico ha comenzado a afectar de manera importante en diferentes especies del arbolado urbano. Por ello el marcaje realizado en algunos árboles corresponde únicamente a una herramienta técnica para iniciar procesos de censo, ubicación y valoración fitosanitaria del arbolado urbano”, señaló la funcionaria. Buena parte de los árboles se ubican cercanos a las instalaciones del Centro de Atención y Servicios para el Pueblo. Mixtega Trejo comentó que gran parte del arbolado urbano en distintas vialidades de la capital hidalguense están integrados por especies introducidas en administraciones anteriores. Entre ellos, eucalipto, ficus, trueno, casuarina y algunas variedades de fresno, las cuales actualmente presentan diversos problemas asociados a las condiciones climáticas y urbanas.</t>
  </si>
  <si>
    <t>En cabina Guadalupe Rodríguez Uribe, titular de la Secretaría de Cultura, Educación, Deporte y Juventud de Tulancingo, invita a las madres de familia a acudir a los eventos que se están organizando en la Unidad Deportiva como parte de los festejos del Día de la Madre.</t>
  </si>
  <si>
    <t>Día de la madre</t>
  </si>
  <si>
    <t>La Fiscalía General de la República (FGR) obtuvo, a través de su Fiscalía Federal en el estado de Tlaxcala, sentencias condenatorias históricas por eventos de robo a transporte de carga ocurridos en la autopista Arco Norte.</t>
  </si>
  <si>
    <t>Sentencia</t>
  </si>
  <si>
    <t>Unidad Especial para la Investigación de Homicidio Doloso y Narcomenudeo obtuvo de la autoridad judicial sentencia de 48 años de prisión para responsable de homicidio calificado y lesiones calificadas agravadas</t>
  </si>
  <si>
    <t>Un hombre atacó a balazos a su expareja en Actopan; la joven murió más tarde en el hospital a causa de las lesiones; él fue detenido con dos armas de fuego. Una presunta riña de pareja terminó en tragedia en Actopan, luego de que una joven de 21 años fuera atacada con arma de fuego presuntamente por su expareja sentimental. De acuerdo con información preliminar, elementos de la Dirección de Seguridad Pública y Tránsito Municipal de Actopan acudieron al sitio tras recibir reportes vecinales sobre una discusión entre una pareja. Al arribar al lugar, los policías detuvieron a un hombre identificado como Erick N, de 33 años de edad, señalado de haber disparado contra la joven identificada como Dulce N, de 21 años. El hombre fue puesto a disposición del Ministerio Público, instancia que realizará las investigaciones correspondientes para determinar las circunstancias del caso y definir su situación legal.</t>
  </si>
  <si>
    <t>Feminicidio</t>
  </si>
  <si>
    <t>Una agresión armada registrada la noche de este domingo 17 de mayo, en Mixquiahuala dejó como saldo a dos hombres sin vida al interior de un domicilio ubicado sobre el camino Cañada–Juandhó. De acuerdo con los primeros reportes, cuerpos policiales y personal de Protección Civil acudieron al lugar tras recibir un llamado de emergencia. Sin embargo, al revisar a las víctimas confirmaron que ya no presentaban signos vitales. Tras los hechos, corporaciones de seguridad de Mixquiahuala y Tetepango desplegaron un operativo de búsqueda en la región para tratar de localizar a los presuntos responsables. Información preliminar señala que los agresores habrían escapado en motocicleta con dirección hacia la comunidad de Teñhé. De manera inicial, las autoridades investigan si el ataque podría estar relacionado con un posible ajuste de cuentas; no obstante, el móvil oficial será determinado conforme avancen las indagatorias correspondientes.</t>
  </si>
  <si>
    <t>Mediante cateos en Zempoala y Mineral de la Reforma, detiene PGJEH a tres personas en posesión de armas de fuego, cartuchos útiles y estupefacientes</t>
  </si>
  <si>
    <t>Combate Al Narcomenudeo</t>
  </si>
  <si>
    <t>SSPH refuerza labores en el Altiplano: caen 2 generadores de violencia de la región</t>
  </si>
  <si>
    <t>Combate a la delincuencia</t>
  </si>
  <si>
    <t>El Gobierno de México enviará al Congreso de la Unión una propuesta de reforma para posponer hasta 2028 la elección de jueces, magistradas y magistrados del Poder Judicial federal y de los estados, incluido Hidalgo, proceso que originalmente estaba previsto para 2027. Durante la conferencia matutina de este lunes, la titular de la Consejería Jurídica de la Presidencia, Luisa María Alcalde Luján, informó que la iniciativa cuenta con el respaldo de la presidenta Claudia Sheinbaum y busca evitar la carga operativa y presupuestal que implicaría realizar de manera simultánea las elecciones ordinarias y la renovación del Poder Judicial el próximo año. La propuesta contempla mover la jornada electoral del 6 de junio de 2027 al 4 de junio de 2028, tanto para los cargos judiciales federales como para los locales. Posteriormente, las elecciones continuarían realizándose de manera concurrente con otros procesos electorales. De aprobarse la reforma por el Congreso y los congresos estatales, en 2028 se renovarán cuatro magistraturas de la Sala Superior del Tribunal Electoral del Poder Judicial de la Federación, además de cientos de magistraturas y juzgados federales y locales en distintas entidades del país.</t>
  </si>
  <si>
    <t>Elección Judicial</t>
  </si>
  <si>
    <t>Integrantes de distintas organizaciones instalaron una mesa informativa en Plaza Independencia, en Pachuca, para convocar a un paro nacional los días 20, 21 y 22 de julio, como protesta contra la implementación de la CURP Biométrica en México. Durante esas fechas, proponen no acudir a trabajar, no consumir en tiendas, no realizar operaciones bancarias, no cargar gasolina y permanecer en casa como una forma de manifestación pacífica.</t>
  </si>
  <si>
    <t>CURP Biométrica</t>
  </si>
  <si>
    <t>En la comunidad de Venustiano Carranza en el municipio de Zempoala, fueron localizados dos cuerpos sin vida de un hombre y una mujer en terrenos de cultivo. De acuerdo con los primeros reportes ambas víctimas permanecen calidad de desconocidos y presentaban lesiones severas en la cabeza, además de visibles huellas de violencia. Información preliminar indicó que el hombre tendría aproximadamente 29 años y presentaba un golpe con exposición de masa encefálica. En el caso de la mujer, de alrededor de 25 años, las autoridades detectaron una lesión similar en el lado izquierdo de la cabeza. Los cuerpos fueron encontrados a unos 30 metros de la cinta asfáltica, entre parcelas de cultivo ubicadas a un costado de la vialidad. Tras el reporte, elementos de Protección Civil acudieron al sitio y confirmaron que ambas personas ya no contaban con signos vitales. Posteriormente, corporaciones de seguridad acordonaron la zona para permitir el desarrollo de las diligencias ministeriales. Personal pericial y agentes investigadores realizaron el levantamiento de indicios y el traslado de los cuerpos al Servicio Médico Forense.</t>
  </si>
  <si>
    <t>Con lesiones producidas con arma de fuego, fue localizado el cuerpo sin vida de un hombre, dentro de tierras de cultivo ubicadas dentro del municipio de Singuilucan. Al sitio arribaron elementos policiacos, así como de Protección Civil, confirmando estos últimos que la persona localizada ya no contaba con signos vitales. También acudieron familiares de la persona localizada sin vida, reconociéndole y señalando que se dedicaba a la venta de automóviles. Hasta el momento, no se han dado a conocer mayores detalles sobre cómo ocurrieron los hechos ni si la agresión se registró en el mismo punto donde fue localizado el cuerpo. Personal de la Procuraduría General de Justicia del Estado de Hidalgo inició la investigación respectiva al caso.</t>
  </si>
  <si>
    <t>Un adulto mayor perdió la vida tras ser atropellado sobre el libramiento Pitula-San Alejo, de la autopista México-Tuxpan, dentro del municipio de Tulancingo. La situación se registró durante la mañana del lunes 18 de mayo; aparentemente el hombre intentó cruzar la vialidad, cuando fue embestido por un vehículo automotor que en ese momento circulaba por la zona. Al sitio donde se registró el accidente acudieron elementos de Guardia Nacional división Caminos, localizando al conductor del vehículo compacto color azul, que habría realizado el impacto mortal. Posteriormente arribaron al sitio personal de la Procuraduría General de Justicia del Estado de Hidalgo para iniciar las investigaciones respectivas, y con ello iniciar las investigaciones relacionadas al caso.</t>
  </si>
  <si>
    <t>Conductor repele presuntos “montachoques” en el centro de Tulancingo. El conductor de una camioneta disparó contra los ocupantes de un vehículo, presuntamente "montachoques", quienes le estaban cerrando el paso para no permitirle circular. El incidente se registró la mañana del lunes 18 de mayo sobre avenida Juárez, en el centro de la ciudad de Tulancingo. El conductor de una camioneta Volkswagen color negro, con placas del Estado de Morelos y de modelo reciente, relató a elementos policiacos que los ocupantes de un automóvil Honda con placas del Estado de Guerrero le cerraban el paso para impedirle circular. Algunos de los ocupantes del automóvil bajaron para comenzar a reclamar al conductor de la camioneta; fue en ese momento cuando al sitio acudieron oficiales de la policía municipal, así como de Tránsito y Movilidad. Al notar que el automóvil Honda tenía huellas de accidente, los oficiales procedieron a revisarlo, encontrando a los ocupantes, una mujer y cuatro hombres, entre ellos uno con discapacidad, pero sin localizar ningún objeto o sustancia que pudiera ser sospechosa. Ante la presencia de los uniformados, ambas partes accedieron a llegar a un acuerdo repararorio; incluso los ocupantes del automóvil señalaron prisa para retirarse del lugar.</t>
  </si>
  <si>
    <t>Debido a que no se contaría con la liquidez suficiente, los integrantes de la Asamblea Municipal de Singuilucan rechazaron adquirir un crédito de Banobras por 3. 4 millones para la adquisición de vehículos y equipo para servicio público. Lo anterior ocurrió durante la décimo séptima sesión pública extraordinaria del Ayuntamiento, donde también se rechazó la propuesta para adquirir un crédito por un millón de pesos con el mismo objetivo de adquisición de vehículos de servicio, pero con alcance obviamente menor. En su intervención, la alcaldesa Yazmín Dávila López, recordó que durante la sesión extraordinaria número 15, celebrada el 23 de abril, el Ayuntamiento aprobó por mayoría, dar continuidad al trámite para obtener el financiamiento ante Banobras. Incluso la Comisión de Hacienda del Congreso del Estado de Hidalgo aprobó que el gobierno municipal de Singuilucan solicitara dicho financiamiento. Los recursos para los pagos serían cubiertos con recursos del Fondo General de Participaciones y del Fondo de Fomento Municipal. Pero de dicho fondo también es utilizado actualmente para el pago de créditos y adeudos fiscales heredados por la pasada administración; por ejemplo, en el caso del Impuesto Sobre la Renta, el adeudo es superior a los 14 millones de pesos. De acuerdo con estimaciones de Banobras, el municipio recibiría los 3.4 millones de pesos en julio de 2026, lo cual implicaría que el monto se dividiera en tres amortizaciones.</t>
  </si>
  <si>
    <t>Financiamiento</t>
  </si>
  <si>
    <t>Daniel Martínez le señala al área de Comunicación Social del ayuntamiento de Santiago Tulantepec que la comunicación no es un privilegio mi es algo que se le tenga que "pichicatear" a quien le caiga bien a ellos; que son el departamento de Comunicación Social o el "departamento buena onda" para organizar pachangas con barbacoa incluida, per no para generar información o ser el puente de la información que requiere la población. Ojalá que entiendan que su trabajo es de comunicación social para la sociedad y lo el departamento de la buena onda, aseveró.</t>
  </si>
  <si>
    <t>Comunicación gubernamental</t>
  </si>
  <si>
    <t>Daniel Martínez respeto a que el municipio de Santiago Tulantepec no se ha pronunciado por el posible cierre de la carretera Tulancingo- Santiago Tulantepec por parte de usuarios que se quejan de su mal estado dice que no es lo mismo organizar pachangas e invitar a ruedas de prensa con barbacoa incluida y cosas de ese tipo, que tener la decencia de contestar o dar un posicionamiento oficial sobre este tema, que tiene sin exagerar, prácticamente de pestañas paradas a quienes usan esa vía o a quienes viven por esa zona.</t>
  </si>
  <si>
    <t>A través de WhatsApp comenzó a circular un mensaje en el que se convoca a un presunto cierre de la carretera que conecta a Tulancingo con Santiago Tulantepec para este 19 de mayo, a la altura de Medias Tierras, debido al deterioro de la vialidad y la falta de respuesta de las autoridades. En el mensaje, los inconformes señalan que las autoridades municipales de Santiago Tulantepec y Tulancingo “no hacen nada” para reparar la carretera, además de acusar que tampoco existe información sobre el puente que presuntamente se construiría en el tramo de Genisa. “Ahora sí no la abriremos hasta que nos den una solución”, se lee en la cadena difundida en redes y aplicaciones de mensajería.Hasta el momento, ninguna autoridad ha confirmado oficialmente la movilización ni ha informado sobre algún diálogo con los posibles manifestantes. Sobre el tema, el gobierno municipal de Tulancingo señaló que la rehabilitación de esa zona corresponde a Santiago Tulantepec. En tanto, por parte del gobierno santiaguense no se ha emitido postura alguna respecto a las condiciones de la carretera o los mensajes difundidos a través de la mensajería instantánea. La carretera Tulancingo–Santiago presenta desde hace años severos daños y múltiples baches, situación que ha generado constantes reportes ciudadanos y afectaciones para automovilistas. Ante la falta de mantenimiento, vecinos han comenzado a rellenar algunos hoyos con tabique, tierra y otros materiales disponibles para disminuir riesgos y daños a vehículos. Habitantes recordaron que el año pasado el gobierno municipal de Santiago Tulantepec arrojó tierra y piedra en algunos tramos, aunque los trabajos provisionales duraron apenas unos días. Es un tramo estatal y al final debería haber una gestión compartida.</t>
  </si>
  <si>
    <t>Carretera En Mal Estado</t>
  </si>
  <si>
    <t>A través de WhatsApp comenzó a circular un mensaje en el que se convoca a un presunto cierre de la carretera que conecta a Tulancingo con Santiago Tulantepec para este 19 de mayo, a la altura de Medias Tierras, debido al deterioro de la vialidad y la falta de respuesta de las autoridades. En el mensaje, los inconformes señalan que las autoridades municipales de Santiago Tulantepec y Tulancingo “no hacen nada” para reparar la carretera, además de acusar que tampoco existe información sobre el puente que presuntamente se construiría en el tramo de Genisa. “Ahora sí no la abriremos hasta que nos den una solución”, se lee en la cadena difundida en redes y aplicaciones de mensajería. Hasta el momento, ninguna autoridad ha confirmado oficialmente la movilización ni ha informado sobre algún diálogo con los posibles manifestantes. Sobre el tema, el gobierno municipal de Tulancingo señaló que la rehabilitación de esa zona corresponde a Santiago Tulantepec. En tanto, por parte del gobierno santiaguense no se ha emitido postura alguna respecto a las condiciones de la carretera o los mensajes difundidos a través de la mensajería instantánea. La carretera Tulancingo–Santiago presenta desde hace años severos daños y múltiples baches, situación que ha generado constantes reportes ciudadanos y afectaciones para automovilistas. Ante la falta de mantenimiento, vecinos han comenzado a rellenar algunos hoyos con tabique, tierra y otros materiales disponibles para disminuir riesgos y daños a vehículos.</t>
  </si>
  <si>
    <t>Desde ayer por la mañana comenzó a difundirse un mensaje a través de WhatsApp, en donde se está invitando a pobladores o usuarios de la carretera Tulancingo- Santiago Tulantepec a manifestarse y bloquear esa vialidad por el mal estado en el que está y exigir a las autoridades su reparación. Hasta el momento no hay bloqueo alguno.</t>
  </si>
  <si>
    <t>Andrés Torres dice que El Vocero Huasteco del 1010 AM, estación que inauguró el gobernador Julio Menchaca, sigue fuera del aire desde hace más de un mes porque el área administrativa no opera. Asimismo, asegura que el área administrativa de Radio y Televisión le envió una carta, dónde le dicen que no pida diesel, que está prohibido que lo pida y que si se vuelve a ir la luz lo van a correr. "Imagínese lo que uno tiene que vivir aquí en Radio y Televisión de Hidalgo. No puede ser, me amenazaron con correrme si se va la luz, pero el transformador está descompuesto y no quieren pagar diesel para echar a andar las plantas de luz yo tengo la culpa. Así las cosas, en el 1010 AM El Vocero Huasteco que es nuestra estación bilingüe, inaugurada hace 2 años y medio por el gobernador Julio Menchaca y de acuerdo al área administrativa e Radio y Televisión de Hidalgo nomás no va a funcionar porque no quiere, porque no hay dinero. Sí hay dinero para camionetas, sí hay dinero para sus viajes, para sus viáticos, para andarse paseando para eso sí tienen dinero; pero para lo trabajar, para lo que debe haber no hay. Uno es el malo, uno es el corrupto, uno es el que tiene todos los defectos. El asunto es que sí sabemos de medos de comunicación, nosotros sí somos gente que ha trabajado en los medios y sabemos cómo funciona, no estamos inventando nada no queremos aplicar modelos con los que lucirnos y que en la vida real no funcionen. todo mundo lo sabemos y menos trabajando dentro del gobierno. Es bonito vivir en una nube allá muy lejos de la realidad", señaló.</t>
  </si>
  <si>
    <t>La delegación hidalguense continúa destacando en la Olimpiada Nacional CONADE 2026, luego de conquistar una medalla de oro y dos preseas de bronce en la disciplina de judo, que se desarrolla en Mérida, Yucatán. El judoka hidalguense Damián Alejandro López se proclama campeón nacional en la categoría sub 18 de los -60 kilogramos, subiendo a lo más alto del podio, tras una sobresaliente participación que le otorgó la medalla de oro para Hidalgo. Asimismo, las atletas Kelly Olivera Evangelista en la categoría -48 kilogramos y Romina Alcántara Córdoba en los -70 kilogramos, lograron quedarse con la medalla de bronce, consolidándose entre las mejores exponentes del país en sus respectivas divisiones.</t>
  </si>
  <si>
    <t>Participa Cobaeh en reunión nacional sobre educación media superior</t>
  </si>
  <si>
    <t>Más de 50 mil servidores públicos han cumplido con su declaración patrimonial en Hidalgo</t>
  </si>
  <si>
    <t>Un fuerte accidente se registró esta tarde sobre la carretera de lo que es Pachuca- Ixmiquilpan, a la altura de la localidad de Taxadho, donde una camioneta tipo van que estamos viendo en las imágenes, terminó impactada contra la parte trasera de un camión tipo rabón. De acuerdo con los primeros reportes, el conductor de la van circulaba por la zona cuando se frena el camión de carga. Este conductor de esta urban no respetaba la distancia, por lo que se impactó de manera brutal contra este camión. Tras el percance un masculino resultó lesionado y fue atendido por paramédicos quienes lo trasladaron a un hospital para recibir atención médica.</t>
  </si>
  <si>
    <t>Erick Iván Martínez</t>
  </si>
  <si>
    <t>La mañana de este día se generó movilización policiaca en la avenida Juárez en la zona centro de Tulancingo, luego de un reporte inicial sobre detonaciones que fueron algunos impactos que fueron tanto grabados en vía audio como se percataron algunos de los testigos. Sin embargo, autoridades aclararon que no se trató de una agresión con arma de fuego, sino, de la activación de un artefacto de gas pimienta durante un altercado entre el conductor de una camioneta particular y los tripulantes de un automóvil compacto. De acuerdo con la versión del afectado, los ocupantes de un vehículo color blanco habrían frenado de manera repentina, presuntamente con la intención de provocar un percance. Al intentar comunicarse con su aseguradora, señaló que fue agredido por lo que accionó el gas pimienta, elementos policiacos acudieron al sitio para atender al reporte y mediar entre los involucrados y tras un diálogo pues ambos conductores llegaron a un acuerdo.</t>
  </si>
  <si>
    <t>Montachoques</t>
  </si>
  <si>
    <t>Lo que inició como una jornada de tradición y convivencia durante la "Charlotada" en el municipio de Chapantongo, terminó generando comentarios entre asistentes y usuarios de redes sociales, luego de que una patrulla de la policía estatal y uno de sus elementos se vieran involucrados en el ambiente, en este ambiente de este evento. De acuerdo con lo observado por asistentes, la situación llamó la atención por tratarse de una actividad pública donde participantes y habitantes se vieron involucrados en este hecho. Como lo estamos viendo, bajan al oficial, primero mueven la patrulla, después bajan al oficial, se le monta a una persona y eso es lo que estamos viendo que le ocurría a un elemento de la policía estatal. Esto pareciera ser una broma, sin embargo, hasta el momento no se ha informado oficialmente si este hecho derivó en alguna sanción o reporte interno por parte de la corporación correspondiente. Este episodio abrió la conversación sobre el papel de las autoridades durante este estos eventos públicos.</t>
  </si>
  <si>
    <t>Fiesta patronal</t>
  </si>
  <si>
    <t>Como parte de las acciones para fortalecer la seguridad pública en Pachuca, el ayuntamiento encabezado por Jorge Reyes impulsa la instalación de un sistema de videovigilancia urbana integrado por 64 postes y 256 cámaras distribuidas en distintos puntos estratégicos de la capital hidalguense. El proyecto contempla la colocación de equipos en vialidades principales, accesos de entrada y salida de la ciudad, zonas de alta afluencia y espacios donde se ha identificado la necesidad de incrementar el monitoreo preventivo.</t>
  </si>
  <si>
    <t>Hidalgo invierte en espacios de atención de personas mayores en Huejutla</t>
  </si>
  <si>
    <t>Convoca gobierno de Hidalgo a participar en concurso artesanal, en el marco del mundial de futbol</t>
  </si>
  <si>
    <t>Por su parte el titular de la Secretaría de Desarrollo Agropecuario, Napoleón González Pérez, detalló que mientras entre 2017 y 2020 se destinaron poco más de 68 millones de pesos bajo el esquema kilo por kilo, en los últimos cuatro años se modificó la política social para otorgar subsidios del 100% y sin intermediarios. "A los cuatro años de entrega de semillas, mientras que en el periodo 2017 2020 se invirtieron 68 millones 761 mil 385 pesos bajo el esquema kilo por kilo, que solamente permitía que quienes tenían dinero, los grandes productores, pudieran verse beneficiados con estos programas. En los últimos 4 años se transformó la estrategia de apoyo a los productores, eliminando el intermediarismo para otorgar un subsidio del 100% hoy por indicaciones del gobernador Julio Menchaca no se pide un solo peso como inversión de las y los productores”…</t>
  </si>
  <si>
    <t>Impulso al agro</t>
  </si>
  <si>
    <t>En materia ambiental, la secretaria de medio ambiente y recursos naturales, Mónica Mixtega Trejo, informó sobre la identificación de 27 islas de calor urbano en Pachuca, zonas donde la temperatura es considerablemente más alta. “Pachuca forma parte del proyecto piloto de identificación y evaluación de acciones y proyectos estratégicos para la atención de las islas de calor urbanas en la megalópolis, donde se identificaron 27 zonas con este fenómeno. Entre las zonas prioritarias de atención se encuentran el área del estadio Hidalgo, galerías Pachuca y corredor zona militar Plaza Explanada, espacios conectados precisamente por el bulevar Felipe Ángeles.”</t>
  </si>
  <si>
    <t>Mitigación ambiental</t>
  </si>
  <si>
    <t>La titular de la Secretaría de Salud en Hidalgo, Vanessa Escalante Arroyo, alertó sobre la presencia del gusano barrenador, una enfermedad parasitaria transmitida por una mosca azulada que afecta tanto al ganado como a los seres humanos. Informó que hasta el momento en Hidalgo se tienen registrados siete casos confirmados en personas, dos mujeres y cinco hombres, principalmente relacionados con actividades cercanas al ganado. “El panorama epidemiológico que tenemos en estos momentos en el estado de Hidalgo ha tenido presentados dos casos en mujeres y cinco casos en hombres. Tenemos un caso en un grupo etario de los 55 a los 59. Otro en los 65 a los 69, 2 casos de 70 a 74, 2 casos de 75 a 79 y un caso de mayor de 85 años. Desde el primer momento en el que fuimos convocados por el Secretario Napoleón González, aquí presente, fuimos parte de la instalación de mesas de trabajo, a través de las cuales en estos momentos quiero decirles que hemos capacitado a más de 620 trabajadores de la salud de todas las instituciones prestadoras de servicios</t>
  </si>
  <si>
    <t>Monitoreo De Presas</t>
  </si>
  <si>
    <t>Entrevista vía telefónica Yazmín Dávila, presidenta municipal de Singuilucan - Habló sobre la mesas de acercamiento que se realizará en el munipio de Singuilucan el día de mañana, miércoles 20 de mayo y que será encabezada por el secretario de Gobierno. Guillermo Oliovares Reyna con cerca de 15 dependencias gubernamentales, con el objetivo de escuchar y resolver las inquitudes y problemáticas de la ciudadanía.</t>
  </si>
  <si>
    <t>Elementos de la Procuraduría General de Justicia del Estado de Hidalgo (PGJEH), informaron la detención de un adolescente de identidad reservada realizada por elementos de Seguridad Pública municipal , luego de lesionar con un machete a otra persona. De acuerdo a los primeros reportes, el probable responsable de 15 años es señalado por el delito de lesiones calificadas y fue detenido por la policía y remitido a la Fiscalía de Adolescentes de Pachuca.</t>
  </si>
  <si>
    <t>Este martes fue localizado el cuerpo sin vida de un hombre en un terreno baldío ubicado a un costado de la carretera México–Pachuca, a la altura de la colonia El Mirador, municipio de Zempoala. De acuerdo con el reporte emitido a los servicios de emergencia, el hallazgo ocurrió pasando el puente de Téllez, donde un informante alertó que una persona se encontraba tirada en la vía pública y aparentemente ya sin signos vitales, además de que el cadáver presentaba visibles huellas de quemaduras y estaba siendo devorado por perros. Tras el reporte, al sitio avanzaron elementos de la Subsecretaría de Operación Policial para verificar la situación y acordonar la zona en espera de las diligencias correspondientes por parte de personal ministerial y pericial. Hasta el momento la víctima permanece en calidad de desconocida y serán las autoridades quienes determinen las causas de muerte, así como la posible relación con hechos delictivos. La zona quedó bajo resguardo mientras se realizaban las labores de levantamiento del cuerpo e integración de la carpeta de investigación.</t>
  </si>
  <si>
    <t>Gobierno de Hidalgo invita a participar en el Primer Concurso de Ideas sobre Envejecimiento: “Vida plena en todas las etapas”.</t>
  </si>
  <si>
    <t>Unidad Especial para la Investigación de Homicidio Doloso y Narcomenudeo obtuvo de la autoridad judicial sentencia de 48 años de prisión para responsable de homicidio calificado y lesiones calificadas agravadas.</t>
  </si>
  <si>
    <t>SSPH refuerza labores en el Altiplano: caen 2 generadores de violencia de la región.</t>
  </si>
  <si>
    <t>Natividad Castrejón encabeza entrega de 214 títulos profesionales en la UTMZ.</t>
  </si>
  <si>
    <t>Entrevista vía telefónica Guillermo Huerta Menses, subsecretario de Ingresos de la Secretaría de Hacienda de Hidalgo - Refrendo vehicular: Habló sobre el periodo para realizar el pago del Refrendo Vehicular 2026 que concluye el 30 de junio de 2026. A partir del 1 de julio, la secretaría de Hacienda comenzará a aplicar el cobro conjunto de refrendo y tenencia, multas y/o recargos. Cabe destacar, que, al corte del día de ayer, se contaba con un registro de más de 277 mil vehículos regularizados, 44 mil vehículos más que el año pasado en la misma fecha, así como una recaudación superior a los 475 mdp, más o menos 100 mdp más que el año anterior, lo que se traduce en una respuesta positiva por parte de la ciudadanía en el cumplimiento de esta obligación. Recordó que Hidalgo es la única entidad que otorga beneficios por cumplir con esta obligación, además de que, los recursos que recauden serán aplicados en obras públicas, lo anterior, por instrucción del gobernador Julio Menchaca.</t>
  </si>
  <si>
    <t>Hacienda</t>
  </si>
  <si>
    <t>Refrendo Vehicular</t>
  </si>
  <si>
    <t>Entrevista pautada</t>
  </si>
  <si>
    <t>Hidalgo se consolida en el top 10 de las entidades más pacíficas de México: Índice de Paz 2026.</t>
  </si>
  <si>
    <t>Índice de paz</t>
  </si>
  <si>
    <t>Gobierno de Hidalgo busca precios justos para productores del campo y fortalecer la seguridad alimentaria. (AUDIO NGP).</t>
  </si>
  <si>
    <t>Convoca gobierno de Hidalgo a participar en concurso artesanal, en el marco del mundial de futbol.</t>
  </si>
  <si>
    <t>Reforestación y mitigación ambiental, prioridad para el desarrollo urbano de la entidad. (AUDIO MMT).</t>
  </si>
  <si>
    <t>Gobierno estatal mantiene coordinación permanente para proteger a población afectada por gusano barrenador. (AUDIO VEA).</t>
  </si>
  <si>
    <t>El rector de la Universidad Autónoma del Estado de Hidalgo (UAEH), Octavio Castillo Acosta, denunció un falso perfil en redes sociales que ofrecía apoyo económico. A través de redes sociales, el dirigente universitario mencionó que identificaron perfiles que han suplantado su identidad y enviado supuestos mensajes de apoyos económicos. De acuerdo con el responsable de la máxima casa de estudios, solo tiene su cuenta de Facebook verificada. Por ello llamó a la comunidad universitaria a evitar compartir información personal ni acceder a enlaces sospechosos. Así como compartir esa información entre estudiantes, docentes y administrativos de la casa de estudios. De la misma manera, recalcó que sigan las cuentas oficiales de la universidad para cualquier anuncio que dé a conocer la institución sobre cualquier situación que se presente en el contexto educativo.</t>
  </si>
  <si>
    <t>UAEH</t>
  </si>
  <si>
    <t>Suplantación de identidad</t>
  </si>
  <si>
    <t>La modernización del sistema de registro de predios y el trabajo impulsado por el gobierno de Tulancingo, encabezado por la presidenta municipal Lorena García Cázares, ha permitido incrementar el padrón catastral en 2 mil 303 cuentas, al pasar de 72 mil 950 a 75 mil 253 registros prediales, de septiembre de 2024 a la fecha. Este crecimiento representa no solo un avance administrativo, sino también un paso importante para fortalecer la recaudación municipal y canalizar mayores recursos hacia obras y acciones que contribuyan al bienestar de las familias tulancinguenses. La directora del Departamento de Catastro, Ana María Guzmán López, destacó que los predios urbanos registraron el mayor número de altas en el sistema, reflejando el dinamismo y la expansión ordenada de la ciudad. “Este aumento es vital para que el municipio pueda planear y ejecutar proyectos que beneficien directamente a nuestra comunidad”, afirmó. Durante este año, el sistema cartográfico de Tulancingo ha presentado importantes actualizaciones, entre ellas la modificación de superficies y valores catastrales, así como el registro de un promedio de 117 altas mensuales en distintos asentamientos del municipio. Para registrar un predio, se requiere acreditar la propiedad, presentar identificación oficial del propietario y realizar el pago correspondiente del impuesto predial, que puede incluir hasta cinco años anteriores más el ejercicio actual. A través de campañas de condonación de recargos impulsadas por la administración municipal, se fomenta que más propietarios regularicen su situación, logrando que actualmente seis de cada diez contribuyentes se encuentren al corriente en sus pagos. Asimismo, se prevé que durante este año continúen las estrategias para reducir aún más la cartera vencida y consolidar un padrón sólido, actualizado y confiable. Además del incremento en el padrón, el Departamento de Catastro brinda diversos servicios a la ciudadanía, entre ellos avalúos catastrales, constancias de no afectación de áreas verdes, constancias administrativas e impresión de croquis, fortaleciendo la transparencia y eficiencia en la atención municipal.</t>
  </si>
  <si>
    <t>Modernización catastral</t>
  </si>
  <si>
    <t>Una intensa lluvia acompañada de granizo se registró la tarde del pasado domingo 17 de mayo en el Valle de Tulancingo, no obstante, uno de los municipios más afectados fue Cuautepec, donde se registraron colapsos de techos en algunos domicilios, así como de un techo en el patio de un preescolar en la comunidad de Texcaltepec. El presidente municipal de Cuautepec de Hinojosa, Jorge Hernández Araus, realizó un recorrido por las colonias Tepantitla, Texcaltepec y Almoloya, con la finalidad de supervisar personalmente las afectaciones ocasionadas por las condiciones climatológicas. Durante la jornada de atención inmediata, autoridades municipales, en coordinación con la Dirección de Seguridad Pública, Tránsito y Vialidad Municipal, así como Protección Civil y Bomberos, realizaron la valoración preliminar de daños en al menos ocho viviendas y un preescolar, donde se reportaron inundaciones, filtraciones y afectaciones en techumbres de lámina. Entre los puntos afectados se encuentran domicilios ubicados en Avenida Progreso, en Tepantitla; calles Centenario, Belisario Domínguez y Jesús Valencia, además del preescolar “Lucas Alemán”, en Texcaltepec; así como viviendas localizadas en calles Puebla, 16 de Septiembre y Privada 16 de Septiembre, en la colonia Almoloya. Debido a las afectaciones registradas en el preescolar “Lucas Alemán”, se determinó la suspensión de actividades escolares para este lunes 18 de mayo, como medida preventiva y con el propósito de salvaguardar la integridad de alumnos, docentes y personal educativo. El alcalde Jorge Hernández Araus acudió personalmente a las zonas afectadas para escuchar de primera mano las necesidades de las familias damnificadas y constatar las condiciones en las que quedaron los hogares tras la fuerte tormenta e instruyó que este lunes 18 de mayo personal a su cargo lleve a cabo un censo en las colonias afectadas, con el objetivo de identificar y cuantificar los daños registrados, permitiendo establecer mecanismos de apoyo y atención directa para las personas afectadas. Las autoridades señalaron que las familias con mayores afectaciones fueron resguardadas temporalmente en domicilios de familiares, garantizando su seguridad mientras continúan las labores de evaluación y atención. El gobierno municipal reiteró que mantendrá el seguimiento permanente a esta situación y continuará trabajando de manera coordinada para brindar respaldo a las familias cuautepequenses afectadas.</t>
  </si>
  <si>
    <t>Entrevista vía telefónica Guillermo Huerta Menses, subsecretario de Ingresos de la Secretaría de Hacienda de Hidalgo - Refrendo vehicular: Habló sobre el periodo para realizar el pago del Refrendo Vehicular 2026 que concluye el 30 de junio de 2026. A partir del 1 de julio, la secretaría de Hacienda comenzará a aplicar el cobro conjunto de refrendo y tenencia, multas y/o recargos. Cabe destacar, que, al corte del día de ayer, se contaba con un registro de más de 277 mil vehículos regularizados, 44 mil vehículos más que el año pasado en la misma fecha, así como una recaudación superior a los 475 mdp, más o menos 100 mdp más que el año anterior, lo que se traduce en una respuesta positiva por parte de la ciudadanía en el cumplimiento de esta obligación.</t>
  </si>
  <si>
    <t>Enfermería, pilar humano y profesional del sistema de salud en Hidalgo.</t>
  </si>
  <si>
    <t>Día de la enfermera</t>
  </si>
  <si>
    <t>"NN Nuestras Noticias ""El Resumen"""</t>
  </si>
  <si>
    <t>Tomás Sosa</t>
  </si>
  <si>
    <t>Gobierno de Hidalgo entrega obras educativas por más de 6 mdp en Huejutla, AUDIO APOYO</t>
  </si>
  <si>
    <t>Un cuerpo sin vida fue localizado este martes en un terreno baldío ubicado a un costado de la carretera México-Pachuca, a la altura de la colonia El Mirador, en el municipio de Zempoala.De acuerdo con la información preliminar, el reporte fue realizado a los servicios de emergencia después de que una persona alertara sobre la presencia de un hombre tirado en la vía pública, pasando el puente de Téllez. Al acercarse al sitio, se informó que la víctima aparentemente ya no presentaba signos vitales y que el cuerpo tenía visibles huellas de quemaduras.</t>
  </si>
  <si>
    <t>Tula se convirtió en el Centro de Atención Arqueológica, tras el hallazgo de diversos contextos funerarios, incluidos cinco entierros semejantes a tumbas de tiro, descubiertos durante la excavación de un conjunto doméstico prehispánico, cercano a la comunidad de Ignacio Zaragoza, arqueólogos del Instituto Nacional de Antropología e Historia, el INAH, hablaron acerca del trabajo que realizan, AUDIO APOYO</t>
  </si>
  <si>
    <t>Vestigios Arqueológicos</t>
  </si>
  <si>
    <t>Finaliza la gira de trabajo del gobernador Julio Menchaca Salazar en el municipio de Tezontepec de Aldama; ya en estos momentos se encuentra en Mixquiahuala, y los compañeros de los medios de comunicación platicaron con él y habló sobre un tema muy importante. Informó que antes de su cuarto informe de gobierno, cuando la planta de la Cruz Azul en Tula ya trabaje de manera normal.</t>
  </si>
  <si>
    <t>Cruz Azul</t>
  </si>
  <si>
    <t>Anoche en una función premiere del documental “Azul celeste azul oscuro” de Carlos Batiz y Carlos Carrera, en Cinemex Plaza Artz Pedregal, en donde se exponen algunos de los episodios más complejos que enfrentó la cooperativa durante los treinta y dos años del mandato de Guillermo "Billy" Álvarez. La producción también aborda uno de los momentos más delicados en la historia de la Cruz Azul, recopila diversas acusaciones en contra el ex directivo quien fue detenido en 2025 por lavado de dinero, corrupción, extorsión, amenazas contra cooperativistas y el uso de empresas fantasma para el desvío de recursos. PRESENTAN TRÁILER AUDIO</t>
  </si>
  <si>
    <t>Integrantes de la Unión de Cebaderos del Altiplano de Hidalgo realizaron una manifestación en las instalaciones de Grupo Modelo, ubicadas en Apan, para exigir mejores condiciones en la compra de cebada y un precio justo para sus cosechas.La protesta inició alrededor de las 06:00 horas, cuando productores tomaron los accesos de la planta cervecera como medida de presión ante la inconformidad del sector agrícola.</t>
  </si>
  <si>
    <t>Cebaderos</t>
  </si>
  <si>
    <t>Hidalgo se consolida en el top 10 de las entidades más pacíficas de México: Índice de Paz 2026</t>
  </si>
  <si>
    <t>Convoca gobierno de Hidalgo a participar en concurso artesanal, en el marco del mundial de futbol, AUDIO APOYO</t>
  </si>
  <si>
    <t>El Hospital General de Zona de Tula de Allende, en Hidalgo, abrirá sus puertas de manera completa en octubre de 2026, con 298 camas disponibles y 36 especialidades médicas, anunció el director general del IMSS, Zoé Robledo Aburto. Este espacio forma parte del plan de expansión hospitalaria del gobierno federal, que busca garantizar atención de calidad desde el inicio de la administración de la presidenta Claudia Sheinbaum Pardo.</t>
  </si>
  <si>
    <t>Hospital Tula</t>
  </si>
  <si>
    <t>Hoy el gobernador Julio Menchaca Salazar estuvo en la región de Tula; informó que sigue la atención a los municipios para responder las necesidades de las familias en cada región de Hidalgo con las rutas de la transformación que hoy llegaron a Tezontepec de Aldama y Mixquiahuala, AUDIO APOYO JMS</t>
  </si>
  <si>
    <t>D</t>
  </si>
  <si>
    <t>No se encuentra</t>
  </si>
  <si>
    <t>Reportar heridas y revisar al ganado, fundamentales para combatir al gusano barrenador, AUDIO APOYO</t>
  </si>
  <si>
    <t>Radioescucha reporta que los semaforos de Revolución no funcionan</t>
  </si>
  <si>
    <t>Semaforización</t>
  </si>
  <si>
    <t>Radioescucha reporta que siguen sin arreglar los semáforos que están rumbo a Tulipanes por Chedraui, no funcionan</t>
  </si>
  <si>
    <t>Radioescucha Sr. Fidel pide al presidente de Pachuca, venga a ver la calle de Piracantos, esta horrible y si viene ponerle Likes</t>
  </si>
  <si>
    <t>Vialidad En Mal Estado</t>
  </si>
  <si>
    <t>Radioescucha reporta que en Bosques del Peñar están sus calles en pésimas condiciones y pide al ayuntamiento que apoye.</t>
  </si>
  <si>
    <t>Radioescucha reporta que los taxistas ya hicieron su base de taxis en la entrada del ISSSTE, y no dejan pasar a las personas discapacitadas</t>
  </si>
  <si>
    <t>Bases taxistas</t>
  </si>
  <si>
    <t>Radioescucha reporta que ayer algunos taxis no eran empáticos con la lluvia; con trabajos querían brindar el servicio y, si te lo daban, querían cobrar más de la tarifa indicada.</t>
  </si>
  <si>
    <t>Queja transporte público</t>
  </si>
  <si>
    <t>Radioescucha reporta que llevan 4 días sin agua en Bosques del Peñar</t>
  </si>
  <si>
    <t>Radioescucha reporta 4 coladeras destapadas en calle Campo de Tiro en San Antonio el Desmonte</t>
  </si>
  <si>
    <t>Alcantarillado</t>
  </si>
  <si>
    <t>Radioescucha reporta una coladera en mal estado en Rojo Gómez, por la Plaza Premier</t>
  </si>
  <si>
    <t>Radioescucha reporta fuga de agua en la Palma</t>
  </si>
  <si>
    <t>Radioescucha reporta falta de agua en Valle del Palmar</t>
  </si>
  <si>
    <t>Radioescucha reporta una zanja en Bosques del Peñal, ya que Caasim fue a arreglar y dejó la zanja.</t>
  </si>
  <si>
    <t>Zanjas Caasim</t>
  </si>
  <si>
    <t>Radioescucha pide al gobernador que los ayude a regularizar los pagos de las becas de la Transformación, ya que no les pagan a los alumnos del Tec de Pachuca.</t>
  </si>
  <si>
    <t>Becas Para La Transformación</t>
  </si>
  <si>
    <t>Participación semanal de Roberto Rico con el tema: Reforma Judicial. Comentó que la presidenta Claudia Sheinbaum Pardo enviará una iniciativa de reforma para modificar diversos aspectos de la elección judicial, entre ellos aplazar la jornada electoral prevista para 2027 hasta junio de 2028, homologar criterios de evaluación de candidaturas, reducir el número de aspirantes por cargo y simplificar el diseño de las boletas electorales. La propuesta fue presentada este 18 de mayo durante la conferencia matutina del Gobierno Federal por la consejera jurídica de la Presidencia, Luisa María Alcalde, quien sostuvo que la reforma que enviará el Ejecutivo al Congreso sobre la elección judicial busca establecer reglas más claras y no únicamente aplazar este ejercicio hasta 2028.</t>
  </si>
  <si>
    <t>Vía telefónica Guillermo Huerta Menses, subsecretario de Ingresos de la Secretaría de Hacienda de Hidalgo - Habla sobre refrendo vehicular 2026. Informó que ya estamos a un mes, 11 días de que concluya el programa de refrendo vehicular 2026, en donde toda la gente tiene que aprovechar para pagar y obtener los beneficios que otorga la Secretaría de Hacienda por el cumplimiento de esta obligación. Como el gobernador Julio Menchaca dijo, el 100% de los recursos que se recaudan por este programa son destinados a obras en los 84 municipios del Estado de Hidalgo; somos el único estado en la República que otorga beneficios por el pago de una obligación fiscal.</t>
  </si>
  <si>
    <t>La Conagua, a través de su Dirección Local Hidalgo, informó que las presas ubicadas en la región del Valle de México registran actualmente un almacenamiento global del 94 por ciento.De acuerdo con el informe semanal, la presa Taxhimay se encuentra al 100.1 por ciento de su capacidad, con 39.938 millones de metros cúbicos (Mm3) y un derrame de 0.580 metros cúbicos por segundo (m³/s).Por su parte, la presa Endhó registra un almacenamiento de 98.8 por ciento con 180.625 Mm3; la presa Rojo Gómez se ubica al 56.9 por ciento con 22.746 Mm3; mientras que la Vicente Aguirre reporta un 29.6 por ciento de capacidad con 5.274 Mm3.En tanto, la presa Requena alcanza el 138.9 por ciento de almacenamiento con 50.185 Mm3</t>
  </si>
  <si>
    <t>Como parte de las acciones para fortalecer la autonomía y el empoderamiento de las mujeres, la Secretaría de las Mujeres Pachuca llevó a cabo cuatro ediciones del taller de Mecánica Básica, logrando reunir a más de 200 participantes de distintas colonias de la capital hidalguense y municipios cercanos.El alcalde de Pachuca, Jorge Reyes, reconoció la amplia participación registrada en estas actividades y destacó la importancia de generar espacios que permitan a las mujeres adquirir conocimientos prácticos útiles para su vida diaria, fortaleciendo su independencia y confianza.Por su parte, la titular de la Secretaría de las Mujeres Pachuca, Carmen Rincón, señaló que estos talleres forman parte de una estrategia orientada a acercar herramientas y habilidades que contribuyan al desarrollo personal y la autonomía de las mujeres.</t>
  </si>
  <si>
    <t>Impulso a la mujer</t>
  </si>
  <si>
    <t>Ante la preocupación de vecinos de la avenida Fomento Minero por la tala de árboles para la construcción del Centro Administrativo y de Servicios para el Pueblo, Mónica Mixtega, titular de la Secretaría de Medio Ambiente y Recursos Naturales de Hidalgo, aclaró que no se tiene contemplado derribar árboles. Explicó que los árboles que tienen una marca se debe a un censo de valoración para detectar posibles afectaciones de plagas y otros daños, AUDIO APOYO</t>
  </si>
  <si>
    <t>Durante esta conferencia de prensa del gobierno de Hidalgola secretaria de salud Vanessa Escalante dio a conocer que hasta el momento hay siete casos confirmados de gusano barrenador en humanos, AUDIO APOYO</t>
  </si>
  <si>
    <t>Eulalio Larrieta agradece a Edith Balderas de la Secretaria de Educación Pública.</t>
  </si>
  <si>
    <t>Eulalio Larrieta agradece Paola García y Lic. Sarahi Pineda, por estar atentas a los mensajes de la ciudadanía y por atenderlos.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</si>
</sst>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77" tableType="queryTable" totalsRowShown="0">
  <autoFilter ref="A1:M177" xr:uid="{717AF3FA-E95C-4D17-A1C9-B8D7CBE34EF0}"/>
  <sortState xmlns:xlrd2="http://schemas.microsoft.com/office/spreadsheetml/2017/richdata2" ref="A2:M177">
    <sortCondition ref="A1:A177"/>
  </sortState>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77"/>
  <sheetViews>
    <sheetView tabSelected="1" workbookViewId="0">
      <selection activeCell="B1" sqref="B1"/>
    </sheetView>
  </sheetViews>
  <sheetFormatPr baseColWidth="10" defaultRowHeight="15" x14ac:dyDescent="0.25"/>
  <cols>
    <col min="1" max="1" width="8.5703125" bestFit="1" customWidth="1"/>
    <col min="2" max="2" width="11.42578125" bestFit="1" customWidth="1"/>
    <col min="3" max="3" width="27.28515625" bestFit="1" customWidth="1"/>
    <col min="4" max="4" width="35.5703125" bestFit="1" customWidth="1"/>
    <col min="5" max="5" width="81.140625" bestFit="1" customWidth="1"/>
    <col min="6" max="6" width="15.28515625" bestFit="1" customWidth="1"/>
    <col min="7" max="7" width="33"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42</v>
      </c>
      <c r="C1" t="s">
        <v>43</v>
      </c>
      <c r="D1" t="s">
        <v>44</v>
      </c>
      <c r="E1" t="s">
        <v>1</v>
      </c>
      <c r="F1" t="s">
        <v>2</v>
      </c>
      <c r="G1" t="s">
        <v>4</v>
      </c>
      <c r="H1" t="s">
        <v>3</v>
      </c>
      <c r="I1" t="s">
        <v>5</v>
      </c>
      <c r="J1" t="s">
        <v>45</v>
      </c>
      <c r="K1" t="s">
        <v>46</v>
      </c>
      <c r="L1" t="s">
        <v>47</v>
      </c>
      <c r="M1" t="s">
        <v>55</v>
      </c>
    </row>
    <row r="2" spans="1:13" x14ac:dyDescent="0.25">
      <c r="A2" s="2">
        <v>46160</v>
      </c>
      <c r="B2" s="1" t="str">
        <f ca="1">IF(Información1[[#This Row],[Fecha]]='Ajuste de fechas'!$A$2,"Día actual","Día anterior")</f>
        <v>Día anterior</v>
      </c>
      <c r="C2" s="3" t="s">
        <v>37</v>
      </c>
      <c r="D2" t="s">
        <v>38</v>
      </c>
      <c r="E2" s="3" t="s">
        <v>106</v>
      </c>
      <c r="F2" s="3" t="s">
        <v>17</v>
      </c>
      <c r="G2" s="3" t="s">
        <v>107</v>
      </c>
      <c r="H2" s="3" t="s">
        <v>11</v>
      </c>
      <c r="I2" s="3" t="s">
        <v>25</v>
      </c>
      <c r="J2" s="3" t="s">
        <v>48</v>
      </c>
      <c r="K2" s="3" t="s">
        <v>9</v>
      </c>
      <c r="L2" s="3" t="s">
        <v>50</v>
      </c>
      <c r="M2">
        <v>1</v>
      </c>
    </row>
    <row r="3" spans="1:13" x14ac:dyDescent="0.25">
      <c r="A3" s="2">
        <v>46160</v>
      </c>
      <c r="B3" s="1" t="str">
        <f ca="1">IF(Información1[[#This Row],[Fecha]]='Ajuste de fechas'!$A$2,"Día actual","Día anterior")</f>
        <v>Día anterior</v>
      </c>
      <c r="C3" s="3" t="s">
        <v>37</v>
      </c>
      <c r="D3" t="s">
        <v>38</v>
      </c>
      <c r="E3" s="3" t="s">
        <v>108</v>
      </c>
      <c r="F3" s="3" t="s">
        <v>36</v>
      </c>
      <c r="G3" s="3" t="s">
        <v>109</v>
      </c>
      <c r="H3" s="3" t="s">
        <v>11</v>
      </c>
      <c r="I3" s="3" t="s">
        <v>7</v>
      </c>
      <c r="J3" s="3" t="s">
        <v>48</v>
      </c>
      <c r="K3" s="3" t="s">
        <v>39</v>
      </c>
      <c r="L3" s="3" t="s">
        <v>51</v>
      </c>
      <c r="M3">
        <v>2</v>
      </c>
    </row>
    <row r="4" spans="1:13" x14ac:dyDescent="0.25">
      <c r="A4" s="2">
        <v>46160</v>
      </c>
      <c r="B4" s="1" t="str">
        <f ca="1">IF(Información1[[#This Row],[Fecha]]='Ajuste de fechas'!$A$2,"Día actual","Día anterior")</f>
        <v>Día anterior</v>
      </c>
      <c r="C4" s="3" t="s">
        <v>37</v>
      </c>
      <c r="D4" t="s">
        <v>38</v>
      </c>
      <c r="E4" s="3" t="s">
        <v>110</v>
      </c>
      <c r="F4" s="3" t="s">
        <v>100</v>
      </c>
      <c r="G4" s="3" t="s">
        <v>111</v>
      </c>
      <c r="H4" s="3" t="s">
        <v>11</v>
      </c>
      <c r="I4" s="3" t="s">
        <v>7</v>
      </c>
      <c r="J4" s="3" t="s">
        <v>101</v>
      </c>
      <c r="K4" s="3" t="s">
        <v>39</v>
      </c>
      <c r="L4" s="3" t="s">
        <v>49</v>
      </c>
      <c r="M4">
        <v>1</v>
      </c>
    </row>
    <row r="5" spans="1:13" x14ac:dyDescent="0.25">
      <c r="A5" s="2">
        <v>46160</v>
      </c>
      <c r="B5" s="1" t="str">
        <f ca="1">IF(Información1[[#This Row],[Fecha]]='Ajuste de fechas'!$A$2,"Día actual","Día anterior")</f>
        <v>Día anterior</v>
      </c>
      <c r="C5" s="3" t="s">
        <v>37</v>
      </c>
      <c r="D5" t="s">
        <v>38</v>
      </c>
      <c r="E5" s="3" t="s">
        <v>112</v>
      </c>
      <c r="F5" s="3" t="s">
        <v>19</v>
      </c>
      <c r="G5" s="3" t="s">
        <v>33</v>
      </c>
      <c r="H5" s="3" t="s">
        <v>11</v>
      </c>
      <c r="I5" s="3" t="s">
        <v>7</v>
      </c>
      <c r="J5" s="3" t="s">
        <v>52</v>
      </c>
      <c r="K5" s="3" t="s">
        <v>39</v>
      </c>
      <c r="L5" s="3" t="s">
        <v>49</v>
      </c>
      <c r="M5">
        <v>1</v>
      </c>
    </row>
    <row r="6" spans="1:13" x14ac:dyDescent="0.25">
      <c r="A6" s="2">
        <v>46160</v>
      </c>
      <c r="B6" s="1" t="str">
        <f ca="1">IF(Información1[[#This Row],[Fecha]]='Ajuste de fechas'!$A$2,"Día actual","Día anterior")</f>
        <v>Día anterior</v>
      </c>
      <c r="C6" s="3" t="s">
        <v>37</v>
      </c>
      <c r="D6" t="s">
        <v>38</v>
      </c>
      <c r="E6" s="3" t="s">
        <v>113</v>
      </c>
      <c r="F6" s="3" t="s">
        <v>19</v>
      </c>
      <c r="G6" s="3" t="s">
        <v>33</v>
      </c>
      <c r="H6" s="3" t="s">
        <v>11</v>
      </c>
      <c r="I6" s="3" t="s">
        <v>7</v>
      </c>
      <c r="J6" s="3" t="s">
        <v>52</v>
      </c>
      <c r="K6" s="3" t="s">
        <v>39</v>
      </c>
      <c r="L6" s="3" t="s">
        <v>49</v>
      </c>
      <c r="M6">
        <v>1</v>
      </c>
    </row>
    <row r="7" spans="1:13" x14ac:dyDescent="0.25">
      <c r="A7" s="2">
        <v>46160</v>
      </c>
      <c r="B7" s="1" t="str">
        <f ca="1">IF(Información1[[#This Row],[Fecha]]='Ajuste de fechas'!$A$2,"Día actual","Día anterior")</f>
        <v>Día anterior</v>
      </c>
      <c r="C7" s="3" t="s">
        <v>37</v>
      </c>
      <c r="D7" t="s">
        <v>38</v>
      </c>
      <c r="E7" s="3" t="s">
        <v>114</v>
      </c>
      <c r="F7" s="3" t="s">
        <v>19</v>
      </c>
      <c r="G7" s="3" t="s">
        <v>115</v>
      </c>
      <c r="H7" s="3" t="s">
        <v>11</v>
      </c>
      <c r="I7" s="3" t="s">
        <v>7</v>
      </c>
      <c r="J7" s="3" t="s">
        <v>52</v>
      </c>
      <c r="K7" s="3" t="s">
        <v>39</v>
      </c>
      <c r="L7" s="3" t="s">
        <v>49</v>
      </c>
      <c r="M7">
        <v>1</v>
      </c>
    </row>
    <row r="8" spans="1:13" x14ac:dyDescent="0.25">
      <c r="A8" s="2">
        <v>46160</v>
      </c>
      <c r="B8" s="1" t="str">
        <f ca="1">IF(Información1[[#This Row],[Fecha]]='Ajuste de fechas'!$A$2,"Día actual","Día anterior")</f>
        <v>Día anterior</v>
      </c>
      <c r="C8" s="3" t="s">
        <v>37</v>
      </c>
      <c r="D8" t="s">
        <v>38</v>
      </c>
      <c r="E8" s="3" t="s">
        <v>116</v>
      </c>
      <c r="F8" s="3" t="s">
        <v>63</v>
      </c>
      <c r="G8" s="3" t="s">
        <v>117</v>
      </c>
      <c r="H8" s="3" t="s">
        <v>11</v>
      </c>
      <c r="I8" s="3" t="s">
        <v>7</v>
      </c>
      <c r="J8" s="3" t="s">
        <v>48</v>
      </c>
      <c r="K8" s="3" t="s">
        <v>39</v>
      </c>
      <c r="L8" s="3" t="s">
        <v>49</v>
      </c>
      <c r="M8">
        <v>1</v>
      </c>
    </row>
    <row r="9" spans="1:13" x14ac:dyDescent="0.25">
      <c r="A9" s="2">
        <v>46160</v>
      </c>
      <c r="B9" s="1" t="str">
        <f ca="1">IF(Información1[[#This Row],[Fecha]]='Ajuste de fechas'!$A$2,"Día actual","Día anterior")</f>
        <v>Día anterior</v>
      </c>
      <c r="C9" s="3" t="s">
        <v>37</v>
      </c>
      <c r="D9" t="s">
        <v>38</v>
      </c>
      <c r="E9" s="3" t="s">
        <v>118</v>
      </c>
      <c r="F9" s="3" t="s">
        <v>63</v>
      </c>
      <c r="G9" s="3" t="s">
        <v>85</v>
      </c>
      <c r="H9" s="3" t="s">
        <v>11</v>
      </c>
      <c r="I9" s="3" t="s">
        <v>7</v>
      </c>
      <c r="J9" s="3" t="s">
        <v>48</v>
      </c>
      <c r="K9" s="3" t="s">
        <v>39</v>
      </c>
      <c r="L9" s="3" t="s">
        <v>49</v>
      </c>
      <c r="M9">
        <v>1</v>
      </c>
    </row>
    <row r="10" spans="1:13" x14ac:dyDescent="0.25">
      <c r="A10" s="2">
        <v>46160</v>
      </c>
      <c r="B10" s="1" t="str">
        <f ca="1">IF(Información1[[#This Row],[Fecha]]='Ajuste de fechas'!$A$2,"Día actual","Día anterior")</f>
        <v>Día anterior</v>
      </c>
      <c r="C10" s="3" t="s">
        <v>37</v>
      </c>
      <c r="D10" t="s">
        <v>38</v>
      </c>
      <c r="E10" s="3" t="s">
        <v>119</v>
      </c>
      <c r="F10" s="3" t="s">
        <v>63</v>
      </c>
      <c r="G10" s="3" t="s">
        <v>85</v>
      </c>
      <c r="H10" s="3" t="s">
        <v>11</v>
      </c>
      <c r="I10" s="3" t="s">
        <v>7</v>
      </c>
      <c r="J10" s="3" t="s">
        <v>48</v>
      </c>
      <c r="K10" s="3" t="s">
        <v>39</v>
      </c>
      <c r="L10" s="3" t="s">
        <v>49</v>
      </c>
      <c r="M10">
        <v>1</v>
      </c>
    </row>
    <row r="11" spans="1:13" x14ac:dyDescent="0.25">
      <c r="A11" s="2">
        <v>46160</v>
      </c>
      <c r="B11" s="1" t="str">
        <f ca="1">IF(Información1[[#This Row],[Fecha]]='Ajuste de fechas'!$A$2,"Día actual","Día anterior")</f>
        <v>Día anterior</v>
      </c>
      <c r="C11" s="3" t="s">
        <v>37</v>
      </c>
      <c r="D11" t="s">
        <v>38</v>
      </c>
      <c r="E11" s="3" t="s">
        <v>120</v>
      </c>
      <c r="F11" s="3" t="s">
        <v>63</v>
      </c>
      <c r="G11" s="3" t="s">
        <v>90</v>
      </c>
      <c r="H11" s="3" t="s">
        <v>11</v>
      </c>
      <c r="I11" s="3" t="s">
        <v>25</v>
      </c>
      <c r="J11" s="3" t="s">
        <v>48</v>
      </c>
      <c r="K11" s="3" t="s">
        <v>39</v>
      </c>
      <c r="L11" s="3" t="s">
        <v>49</v>
      </c>
      <c r="M11">
        <v>1</v>
      </c>
    </row>
    <row r="12" spans="1:13" x14ac:dyDescent="0.25">
      <c r="A12" s="2">
        <v>46160</v>
      </c>
      <c r="B12" s="1" t="str">
        <f ca="1">IF(Información1[[#This Row],[Fecha]]='Ajuste de fechas'!$A$2,"Día actual","Día anterior")</f>
        <v>Día anterior</v>
      </c>
      <c r="C12" s="3" t="s">
        <v>37</v>
      </c>
      <c r="D12" t="s">
        <v>38</v>
      </c>
      <c r="E12" s="3" t="s">
        <v>121</v>
      </c>
      <c r="F12" s="3" t="s">
        <v>23</v>
      </c>
      <c r="G12" s="3" t="s">
        <v>65</v>
      </c>
      <c r="H12" s="3" t="s">
        <v>11</v>
      </c>
      <c r="I12" s="3" t="s">
        <v>7</v>
      </c>
      <c r="J12" s="3" t="s">
        <v>48</v>
      </c>
      <c r="K12" s="3" t="s">
        <v>39</v>
      </c>
      <c r="L12" s="3" t="s">
        <v>51</v>
      </c>
      <c r="M12">
        <v>2</v>
      </c>
    </row>
    <row r="13" spans="1:13" x14ac:dyDescent="0.25">
      <c r="A13" s="2">
        <v>46160</v>
      </c>
      <c r="B13" s="1" t="str">
        <f ca="1">IF(Información1[[#This Row],[Fecha]]='Ajuste de fechas'!$A$2,"Día actual","Día anterior")</f>
        <v>Día anterior</v>
      </c>
      <c r="C13" s="3" t="s">
        <v>37</v>
      </c>
      <c r="D13" t="s">
        <v>38</v>
      </c>
      <c r="E13" s="3" t="s">
        <v>122</v>
      </c>
      <c r="F13" s="3" t="s">
        <v>19</v>
      </c>
      <c r="G13" s="3" t="s">
        <v>123</v>
      </c>
      <c r="H13" s="3" t="s">
        <v>11</v>
      </c>
      <c r="I13" s="3" t="s">
        <v>7</v>
      </c>
      <c r="J13" s="3" t="s">
        <v>52</v>
      </c>
      <c r="K13" s="3" t="s">
        <v>39</v>
      </c>
      <c r="L13" s="3" t="s">
        <v>49</v>
      </c>
      <c r="M13">
        <v>1</v>
      </c>
    </row>
    <row r="14" spans="1:13" x14ac:dyDescent="0.25">
      <c r="A14" s="2">
        <v>46160</v>
      </c>
      <c r="B14" s="1" t="str">
        <f ca="1">IF(Información1[[#This Row],[Fecha]]='Ajuste de fechas'!$A$2,"Día actual","Día anterior")</f>
        <v>Día anterior</v>
      </c>
      <c r="C14" s="3" t="s">
        <v>37</v>
      </c>
      <c r="D14" t="s">
        <v>38</v>
      </c>
      <c r="E14" s="3" t="s">
        <v>124</v>
      </c>
      <c r="F14" s="3" t="s">
        <v>21</v>
      </c>
      <c r="G14" s="3" t="s">
        <v>125</v>
      </c>
      <c r="H14" s="3" t="s">
        <v>11</v>
      </c>
      <c r="I14" s="3" t="s">
        <v>25</v>
      </c>
      <c r="J14" s="3" t="s">
        <v>48</v>
      </c>
      <c r="K14" s="3" t="s">
        <v>39</v>
      </c>
      <c r="L14" s="3" t="s">
        <v>50</v>
      </c>
      <c r="M14">
        <v>2</v>
      </c>
    </row>
    <row r="15" spans="1:13" x14ac:dyDescent="0.25">
      <c r="A15" s="2">
        <v>46160</v>
      </c>
      <c r="B15" s="1" t="str">
        <f ca="1">IF(Información1[[#This Row],[Fecha]]='Ajuste de fechas'!$A$2,"Día actual","Día anterior")</f>
        <v>Día anterior</v>
      </c>
      <c r="C15" s="3" t="s">
        <v>37</v>
      </c>
      <c r="D15" t="s">
        <v>38</v>
      </c>
      <c r="E15" s="3" t="s">
        <v>126</v>
      </c>
      <c r="F15" s="3" t="s">
        <v>66</v>
      </c>
      <c r="G15" s="3" t="s">
        <v>103</v>
      </c>
      <c r="H15" s="3" t="s">
        <v>11</v>
      </c>
      <c r="I15" s="3" t="s">
        <v>7</v>
      </c>
      <c r="J15" s="3" t="s">
        <v>48</v>
      </c>
      <c r="K15" s="3" t="s">
        <v>39</v>
      </c>
      <c r="L15" s="3" t="s">
        <v>49</v>
      </c>
      <c r="M15">
        <v>1</v>
      </c>
    </row>
    <row r="16" spans="1:13" x14ac:dyDescent="0.25">
      <c r="A16" s="2">
        <v>46160</v>
      </c>
      <c r="B16" s="1" t="str">
        <f ca="1">IF(Información1[[#This Row],[Fecha]]='Ajuste de fechas'!$A$2,"Día actual","Día anterior")</f>
        <v>Día anterior</v>
      </c>
      <c r="C16" s="3" t="s">
        <v>37</v>
      </c>
      <c r="D16" t="s">
        <v>38</v>
      </c>
      <c r="E16" s="3" t="s">
        <v>127</v>
      </c>
      <c r="F16" s="3" t="s">
        <v>102</v>
      </c>
      <c r="G16" s="3" t="s">
        <v>103</v>
      </c>
      <c r="H16" s="3" t="s">
        <v>11</v>
      </c>
      <c r="I16" s="3" t="s">
        <v>7</v>
      </c>
      <c r="J16" s="3" t="s">
        <v>48</v>
      </c>
      <c r="K16" s="3" t="s">
        <v>39</v>
      </c>
      <c r="L16" s="3" t="s">
        <v>49</v>
      </c>
      <c r="M16">
        <v>1</v>
      </c>
    </row>
    <row r="17" spans="1:13" x14ac:dyDescent="0.25">
      <c r="A17" s="2">
        <v>46160</v>
      </c>
      <c r="B17" s="1" t="str">
        <f ca="1">IF(Información1[[#This Row],[Fecha]]='Ajuste de fechas'!$A$2,"Día actual","Día anterior")</f>
        <v>Día anterior</v>
      </c>
      <c r="C17" s="3" t="s">
        <v>37</v>
      </c>
      <c r="D17" t="s">
        <v>38</v>
      </c>
      <c r="E17" s="3" t="s">
        <v>128</v>
      </c>
      <c r="F17" s="3" t="s">
        <v>19</v>
      </c>
      <c r="G17" s="3" t="s">
        <v>129</v>
      </c>
      <c r="H17" s="3" t="s">
        <v>11</v>
      </c>
      <c r="I17" s="3" t="s">
        <v>7</v>
      </c>
      <c r="J17" s="3" t="s">
        <v>52</v>
      </c>
      <c r="K17" s="3" t="s">
        <v>39</v>
      </c>
      <c r="L17" s="3" t="s">
        <v>49</v>
      </c>
      <c r="M17">
        <v>1</v>
      </c>
    </row>
    <row r="18" spans="1:13" x14ac:dyDescent="0.25">
      <c r="A18" s="2">
        <v>46160</v>
      </c>
      <c r="B18" s="1" t="str">
        <f ca="1">IF(Información1[[#This Row],[Fecha]]='Ajuste de fechas'!$A$2,"Día actual","Día anterior")</f>
        <v>Día anterior</v>
      </c>
      <c r="C18" s="3" t="s">
        <v>37</v>
      </c>
      <c r="D18" t="s">
        <v>38</v>
      </c>
      <c r="E18" s="3" t="s">
        <v>130</v>
      </c>
      <c r="F18" s="3" t="s">
        <v>105</v>
      </c>
      <c r="G18" s="3" t="s">
        <v>91</v>
      </c>
      <c r="H18" s="3" t="s">
        <v>11</v>
      </c>
      <c r="I18" s="3" t="s">
        <v>7</v>
      </c>
      <c r="J18" s="3" t="s">
        <v>24</v>
      </c>
      <c r="K18" s="3" t="s">
        <v>39</v>
      </c>
      <c r="L18" s="3" t="s">
        <v>49</v>
      </c>
      <c r="M18">
        <v>1</v>
      </c>
    </row>
    <row r="19" spans="1:13" x14ac:dyDescent="0.25">
      <c r="A19" s="2">
        <v>46160</v>
      </c>
      <c r="B19" s="1" t="str">
        <f ca="1">IF(Información1[[#This Row],[Fecha]]='Ajuste de fechas'!$A$2,"Día actual","Día anterior")</f>
        <v>Día anterior</v>
      </c>
      <c r="C19" s="3" t="s">
        <v>37</v>
      </c>
      <c r="D19" t="s">
        <v>38</v>
      </c>
      <c r="E19" s="3" t="s">
        <v>131</v>
      </c>
      <c r="F19" s="3" t="s">
        <v>24</v>
      </c>
      <c r="G19" s="3" t="s">
        <v>91</v>
      </c>
      <c r="H19" s="3" t="s">
        <v>11</v>
      </c>
      <c r="I19" s="3" t="s">
        <v>7</v>
      </c>
      <c r="J19" s="3" t="s">
        <v>24</v>
      </c>
      <c r="K19" s="3" t="s">
        <v>39</v>
      </c>
      <c r="L19" s="3" t="s">
        <v>49</v>
      </c>
      <c r="M19">
        <v>1</v>
      </c>
    </row>
    <row r="20" spans="1:13" x14ac:dyDescent="0.25">
      <c r="A20" s="2">
        <v>46160</v>
      </c>
      <c r="B20" s="1" t="str">
        <f ca="1">IF(Información1[[#This Row],[Fecha]]='Ajuste de fechas'!$A$2,"Día actual","Día anterior")</f>
        <v>Día anterior</v>
      </c>
      <c r="C20" s="3" t="s">
        <v>37</v>
      </c>
      <c r="D20" t="s">
        <v>38</v>
      </c>
      <c r="E20" s="3" t="s">
        <v>132</v>
      </c>
      <c r="F20" s="3" t="s">
        <v>22</v>
      </c>
      <c r="G20" s="3" t="s">
        <v>72</v>
      </c>
      <c r="H20" s="3" t="s">
        <v>11</v>
      </c>
      <c r="I20" s="3" t="s">
        <v>7</v>
      </c>
      <c r="J20" s="3" t="s">
        <v>53</v>
      </c>
      <c r="K20" s="3" t="s">
        <v>39</v>
      </c>
      <c r="L20" s="3" t="s">
        <v>49</v>
      </c>
      <c r="M20">
        <v>1</v>
      </c>
    </row>
    <row r="21" spans="1:13" x14ac:dyDescent="0.25">
      <c r="A21" s="2">
        <v>46160</v>
      </c>
      <c r="B21" s="1" t="str">
        <f ca="1">IF(Información1[[#This Row],[Fecha]]='Ajuste de fechas'!$A$2,"Día actual","Día anterior")</f>
        <v>Día anterior</v>
      </c>
      <c r="C21" s="3" t="s">
        <v>37</v>
      </c>
      <c r="D21" t="s">
        <v>38</v>
      </c>
      <c r="E21" s="3" t="s">
        <v>73</v>
      </c>
      <c r="F21" s="3" t="s">
        <v>19</v>
      </c>
      <c r="G21" s="3" t="s">
        <v>33</v>
      </c>
      <c r="H21" s="3" t="s">
        <v>11</v>
      </c>
      <c r="I21" s="3" t="s">
        <v>7</v>
      </c>
      <c r="J21" s="3" t="s">
        <v>52</v>
      </c>
      <c r="K21" s="3" t="s">
        <v>39</v>
      </c>
      <c r="L21" s="3" t="s">
        <v>49</v>
      </c>
      <c r="M21">
        <v>1</v>
      </c>
    </row>
    <row r="22" spans="1:13" x14ac:dyDescent="0.25">
      <c r="A22" s="2">
        <v>46160</v>
      </c>
      <c r="B22" s="1" t="str">
        <f ca="1">IF(Información1[[#This Row],[Fecha]]='Ajuste de fechas'!$A$2,"Día actual","Día anterior")</f>
        <v>Día anterior</v>
      </c>
      <c r="C22" s="3" t="s">
        <v>37</v>
      </c>
      <c r="D22" t="s">
        <v>38</v>
      </c>
      <c r="E22" s="3" t="s">
        <v>133</v>
      </c>
      <c r="F22" s="3" t="s">
        <v>21</v>
      </c>
      <c r="G22" s="3" t="s">
        <v>75</v>
      </c>
      <c r="H22" s="3" t="s">
        <v>11</v>
      </c>
      <c r="I22" s="3" t="s">
        <v>7</v>
      </c>
      <c r="J22" s="3" t="s">
        <v>48</v>
      </c>
      <c r="K22" s="3" t="s">
        <v>39</v>
      </c>
      <c r="L22" s="3" t="s">
        <v>51</v>
      </c>
      <c r="M22">
        <v>2</v>
      </c>
    </row>
    <row r="23" spans="1:13" x14ac:dyDescent="0.25">
      <c r="A23" s="2">
        <v>46160</v>
      </c>
      <c r="B23" s="1" t="str">
        <f ca="1">IF(Información1[[#This Row],[Fecha]]='Ajuste de fechas'!$A$2,"Día actual","Día anterior")</f>
        <v>Día anterior</v>
      </c>
      <c r="C23" s="3" t="s">
        <v>37</v>
      </c>
      <c r="D23" t="s">
        <v>38</v>
      </c>
      <c r="E23" s="3" t="s">
        <v>134</v>
      </c>
      <c r="F23" s="3" t="s">
        <v>22</v>
      </c>
      <c r="G23" s="3" t="s">
        <v>135</v>
      </c>
      <c r="H23" s="3" t="s">
        <v>11</v>
      </c>
      <c r="I23" s="3" t="s">
        <v>7</v>
      </c>
      <c r="J23" s="3" t="s">
        <v>53</v>
      </c>
      <c r="K23" s="3" t="s">
        <v>39</v>
      </c>
      <c r="L23" s="3" t="s">
        <v>49</v>
      </c>
      <c r="M23">
        <v>1</v>
      </c>
    </row>
    <row r="24" spans="1:13" x14ac:dyDescent="0.25">
      <c r="A24" s="2">
        <v>46160</v>
      </c>
      <c r="B24" s="1" t="str">
        <f ca="1">IF(Información1[[#This Row],[Fecha]]='Ajuste de fechas'!$A$2,"Día actual","Día anterior")</f>
        <v>Día anterior</v>
      </c>
      <c r="C24" s="3" t="s">
        <v>37</v>
      </c>
      <c r="D24" t="s">
        <v>38</v>
      </c>
      <c r="E24" s="3" t="s">
        <v>136</v>
      </c>
      <c r="F24" s="3" t="s">
        <v>19</v>
      </c>
      <c r="G24" s="3" t="s">
        <v>137</v>
      </c>
      <c r="H24" s="3" t="s">
        <v>11</v>
      </c>
      <c r="I24" s="3" t="s">
        <v>7</v>
      </c>
      <c r="J24" s="3" t="s">
        <v>52</v>
      </c>
      <c r="K24" s="3" t="s">
        <v>39</v>
      </c>
      <c r="L24" s="3" t="s">
        <v>49</v>
      </c>
      <c r="M24">
        <v>1</v>
      </c>
    </row>
    <row r="25" spans="1:13" x14ac:dyDescent="0.25">
      <c r="A25" s="2">
        <v>46160</v>
      </c>
      <c r="B25" s="1" t="str">
        <f ca="1">IF(Información1[[#This Row],[Fecha]]='Ajuste de fechas'!$A$2,"Día actual","Día anterior")</f>
        <v>Día anterior</v>
      </c>
      <c r="C25" s="3" t="s">
        <v>37</v>
      </c>
      <c r="D25" t="s">
        <v>38</v>
      </c>
      <c r="E25" s="3" t="s">
        <v>138</v>
      </c>
      <c r="F25" s="3" t="s">
        <v>19</v>
      </c>
      <c r="G25" s="3" t="s">
        <v>139</v>
      </c>
      <c r="H25" s="3" t="s">
        <v>11</v>
      </c>
      <c r="I25" s="3" t="s">
        <v>7</v>
      </c>
      <c r="J25" s="3" t="s">
        <v>52</v>
      </c>
      <c r="K25" s="3" t="s">
        <v>39</v>
      </c>
      <c r="L25" s="3" t="s">
        <v>49</v>
      </c>
      <c r="M25">
        <v>1</v>
      </c>
    </row>
    <row r="26" spans="1:13" x14ac:dyDescent="0.25">
      <c r="A26" s="2">
        <v>46160</v>
      </c>
      <c r="B26" s="1" t="str">
        <f ca="1">IF(Información1[[#This Row],[Fecha]]='Ajuste de fechas'!$A$2,"Día actual","Día anterior")</f>
        <v>Día anterior</v>
      </c>
      <c r="C26" s="3" t="s">
        <v>34</v>
      </c>
      <c r="D26" t="s">
        <v>35</v>
      </c>
      <c r="E26" s="3" t="s">
        <v>140</v>
      </c>
      <c r="F26" s="3" t="s">
        <v>96</v>
      </c>
      <c r="G26" s="3" t="s">
        <v>141</v>
      </c>
      <c r="H26" s="3" t="s">
        <v>32</v>
      </c>
      <c r="I26" s="3" t="s">
        <v>7</v>
      </c>
      <c r="J26" s="3" t="s">
        <v>88</v>
      </c>
      <c r="K26" s="3" t="s">
        <v>142</v>
      </c>
      <c r="L26" s="3" t="s">
        <v>50</v>
      </c>
      <c r="M26">
        <v>1</v>
      </c>
    </row>
    <row r="27" spans="1:13" x14ac:dyDescent="0.25">
      <c r="A27" s="2">
        <v>46160</v>
      </c>
      <c r="B27" s="1" t="str">
        <f ca="1">IF(Información1[[#This Row],[Fecha]]='Ajuste de fechas'!$A$2,"Día actual","Día anterior")</f>
        <v>Día anterior</v>
      </c>
      <c r="C27" s="3" t="s">
        <v>34</v>
      </c>
      <c r="D27" t="s">
        <v>35</v>
      </c>
      <c r="E27" s="3" t="s">
        <v>143</v>
      </c>
      <c r="F27" s="3" t="s">
        <v>17</v>
      </c>
      <c r="G27" s="3" t="s">
        <v>144</v>
      </c>
      <c r="H27" s="3" t="s">
        <v>32</v>
      </c>
      <c r="I27" s="3" t="s">
        <v>25</v>
      </c>
      <c r="J27" s="3" t="s">
        <v>48</v>
      </c>
      <c r="K27" s="3" t="s">
        <v>9</v>
      </c>
      <c r="L27" s="3" t="s">
        <v>50</v>
      </c>
      <c r="M27">
        <v>1</v>
      </c>
    </row>
    <row r="28" spans="1:13" x14ac:dyDescent="0.25">
      <c r="A28" s="2">
        <v>46160</v>
      </c>
      <c r="B28" s="1" t="str">
        <f ca="1">IF(Información1[[#This Row],[Fecha]]='Ajuste de fechas'!$A$2,"Día actual","Día anterior")</f>
        <v>Día anterior</v>
      </c>
      <c r="C28" s="3" t="s">
        <v>34</v>
      </c>
      <c r="D28" t="s">
        <v>35</v>
      </c>
      <c r="E28" s="3" t="s">
        <v>145</v>
      </c>
      <c r="F28" s="3" t="s">
        <v>17</v>
      </c>
      <c r="G28" s="3" t="s">
        <v>144</v>
      </c>
      <c r="H28" s="3" t="s">
        <v>32</v>
      </c>
      <c r="I28" s="3" t="s">
        <v>25</v>
      </c>
      <c r="J28" s="3" t="s">
        <v>48</v>
      </c>
      <c r="K28" s="3" t="s">
        <v>9</v>
      </c>
      <c r="L28" s="3" t="s">
        <v>50</v>
      </c>
      <c r="M28">
        <v>1</v>
      </c>
    </row>
    <row r="29" spans="1:13" x14ac:dyDescent="0.25">
      <c r="A29" s="2">
        <v>46160</v>
      </c>
      <c r="B29" s="1" t="str">
        <f ca="1">IF(Información1[[#This Row],[Fecha]]='Ajuste de fechas'!$A$2,"Día actual","Día anterior")</f>
        <v>Día anterior</v>
      </c>
      <c r="C29" s="3" t="s">
        <v>34</v>
      </c>
      <c r="D29" t="s">
        <v>35</v>
      </c>
      <c r="E29" s="3" t="s">
        <v>146</v>
      </c>
      <c r="F29" s="3" t="s">
        <v>19</v>
      </c>
      <c r="G29" s="3" t="s">
        <v>147</v>
      </c>
      <c r="H29" s="3" t="s">
        <v>32</v>
      </c>
      <c r="I29" s="3" t="s">
        <v>7</v>
      </c>
      <c r="J29" s="3" t="s">
        <v>52</v>
      </c>
      <c r="K29" s="3" t="s">
        <v>27</v>
      </c>
      <c r="L29" s="3" t="s">
        <v>49</v>
      </c>
      <c r="M29">
        <v>1</v>
      </c>
    </row>
    <row r="30" spans="1:13" x14ac:dyDescent="0.25">
      <c r="A30" s="2">
        <v>46160</v>
      </c>
      <c r="B30" s="1" t="str">
        <f ca="1">IF(Información1[[#This Row],[Fecha]]='Ajuste de fechas'!$A$2,"Día actual","Día anterior")</f>
        <v>Día anterior</v>
      </c>
      <c r="C30" s="3" t="s">
        <v>34</v>
      </c>
      <c r="D30" t="s">
        <v>35</v>
      </c>
      <c r="E30" s="3" t="s">
        <v>148</v>
      </c>
      <c r="F30" s="3" t="s">
        <v>19</v>
      </c>
      <c r="G30" s="3" t="s">
        <v>149</v>
      </c>
      <c r="H30" s="3" t="s">
        <v>32</v>
      </c>
      <c r="I30" s="3" t="s">
        <v>7</v>
      </c>
      <c r="J30" s="3" t="s">
        <v>52</v>
      </c>
      <c r="K30" s="3" t="s">
        <v>27</v>
      </c>
      <c r="L30" s="3" t="s">
        <v>49</v>
      </c>
      <c r="M30">
        <v>1</v>
      </c>
    </row>
    <row r="31" spans="1:13" x14ac:dyDescent="0.25">
      <c r="A31" s="2">
        <v>46160</v>
      </c>
      <c r="B31" s="1" t="str">
        <f ca="1">IF(Información1[[#This Row],[Fecha]]='Ajuste de fechas'!$A$2,"Día actual","Día anterior")</f>
        <v>Día anterior</v>
      </c>
      <c r="C31" s="3" t="s">
        <v>34</v>
      </c>
      <c r="D31" t="s">
        <v>35</v>
      </c>
      <c r="E31" s="3" t="s">
        <v>121</v>
      </c>
      <c r="F31" s="3" t="s">
        <v>23</v>
      </c>
      <c r="G31" s="3" t="s">
        <v>65</v>
      </c>
      <c r="H31" s="3" t="s">
        <v>32</v>
      </c>
      <c r="I31" s="3" t="s">
        <v>7</v>
      </c>
      <c r="J31" s="3" t="s">
        <v>48</v>
      </c>
      <c r="K31" s="3" t="s">
        <v>27</v>
      </c>
      <c r="L31" s="3" t="s">
        <v>51</v>
      </c>
      <c r="M31">
        <v>1</v>
      </c>
    </row>
    <row r="32" spans="1:13" x14ac:dyDescent="0.25">
      <c r="A32" s="2">
        <v>46160</v>
      </c>
      <c r="B32" s="1" t="str">
        <f ca="1">IF(Información1[[#This Row],[Fecha]]='Ajuste de fechas'!$A$2,"Día actual","Día anterior")</f>
        <v>Día anterior</v>
      </c>
      <c r="C32" s="3" t="s">
        <v>34</v>
      </c>
      <c r="D32" t="s">
        <v>35</v>
      </c>
      <c r="E32" s="3" t="s">
        <v>150</v>
      </c>
      <c r="F32" s="3" t="s">
        <v>36</v>
      </c>
      <c r="G32" s="3" t="s">
        <v>151</v>
      </c>
      <c r="H32" s="3" t="s">
        <v>32</v>
      </c>
      <c r="I32" s="3" t="s">
        <v>7</v>
      </c>
      <c r="J32" s="3" t="s">
        <v>48</v>
      </c>
      <c r="K32" s="3" t="s">
        <v>27</v>
      </c>
      <c r="L32" s="3" t="s">
        <v>49</v>
      </c>
      <c r="M32">
        <v>1</v>
      </c>
    </row>
    <row r="33" spans="1:13" x14ac:dyDescent="0.25">
      <c r="A33" s="2">
        <v>46160</v>
      </c>
      <c r="B33" s="1" t="str">
        <f ca="1">IF(Información1[[#This Row],[Fecha]]='Ajuste de fechas'!$A$2,"Día actual","Día anterior")</f>
        <v>Día anterior</v>
      </c>
      <c r="C33" s="3" t="s">
        <v>34</v>
      </c>
      <c r="D33" t="s">
        <v>35</v>
      </c>
      <c r="E33" s="3" t="s">
        <v>152</v>
      </c>
      <c r="F33" s="3" t="s">
        <v>21</v>
      </c>
      <c r="G33" s="3" t="s">
        <v>89</v>
      </c>
      <c r="H33" s="3" t="s">
        <v>32</v>
      </c>
      <c r="I33" s="3" t="s">
        <v>7</v>
      </c>
      <c r="J33" s="3" t="s">
        <v>48</v>
      </c>
      <c r="K33" s="3" t="s">
        <v>27</v>
      </c>
      <c r="L33" s="3" t="s">
        <v>51</v>
      </c>
      <c r="M33">
        <v>1</v>
      </c>
    </row>
    <row r="34" spans="1:13" x14ac:dyDescent="0.25">
      <c r="A34" s="2">
        <v>46160</v>
      </c>
      <c r="B34" s="1" t="str">
        <f ca="1">IF(Información1[[#This Row],[Fecha]]='Ajuste de fechas'!$A$2,"Día actual","Día anterior")</f>
        <v>Día anterior</v>
      </c>
      <c r="C34" s="3" t="s">
        <v>34</v>
      </c>
      <c r="D34" t="s">
        <v>35</v>
      </c>
      <c r="E34" s="3" t="s">
        <v>153</v>
      </c>
      <c r="F34" s="3" t="s">
        <v>21</v>
      </c>
      <c r="G34" s="3" t="s">
        <v>75</v>
      </c>
      <c r="H34" s="3" t="s">
        <v>32</v>
      </c>
      <c r="I34" s="3" t="s">
        <v>7</v>
      </c>
      <c r="J34" s="3" t="s">
        <v>48</v>
      </c>
      <c r="K34" s="3" t="s">
        <v>27</v>
      </c>
      <c r="L34" s="3" t="s">
        <v>49</v>
      </c>
      <c r="M34">
        <v>1</v>
      </c>
    </row>
    <row r="35" spans="1:13" x14ac:dyDescent="0.25">
      <c r="A35" s="2">
        <v>46160</v>
      </c>
      <c r="B35" s="1" t="str">
        <f ca="1">IF(Información1[[#This Row],[Fecha]]='Ajuste de fechas'!$A$2,"Día actual","Día anterior")</f>
        <v>Día anterior</v>
      </c>
      <c r="C35" s="3" t="s">
        <v>34</v>
      </c>
      <c r="D35" t="s">
        <v>35</v>
      </c>
      <c r="E35" s="3" t="s">
        <v>154</v>
      </c>
      <c r="F35" s="3" t="s">
        <v>105</v>
      </c>
      <c r="G35" s="3" t="s">
        <v>155</v>
      </c>
      <c r="H35" s="3" t="s">
        <v>32</v>
      </c>
      <c r="I35" s="3" t="s">
        <v>7</v>
      </c>
      <c r="J35" s="3" t="s">
        <v>24</v>
      </c>
      <c r="K35" s="3" t="s">
        <v>27</v>
      </c>
      <c r="L35" s="3" t="s">
        <v>49</v>
      </c>
      <c r="M35">
        <v>1</v>
      </c>
    </row>
    <row r="36" spans="1:13" x14ac:dyDescent="0.25">
      <c r="A36" s="2">
        <v>46160</v>
      </c>
      <c r="B36" s="1" t="str">
        <f ca="1">IF(Información1[[#This Row],[Fecha]]='Ajuste de fechas'!$A$2,"Día actual","Día anterior")</f>
        <v>Día anterior</v>
      </c>
      <c r="C36" s="3" t="s">
        <v>34</v>
      </c>
      <c r="D36" t="s">
        <v>35</v>
      </c>
      <c r="E36" s="3" t="s">
        <v>156</v>
      </c>
      <c r="F36" s="3" t="s">
        <v>15</v>
      </c>
      <c r="G36" s="3" t="s">
        <v>58</v>
      </c>
      <c r="H36" s="3" t="s">
        <v>32</v>
      </c>
      <c r="I36" s="3" t="s">
        <v>25</v>
      </c>
      <c r="J36" s="3" t="s">
        <v>48</v>
      </c>
      <c r="K36" s="3" t="s">
        <v>27</v>
      </c>
      <c r="L36" s="3" t="s">
        <v>50</v>
      </c>
      <c r="M36">
        <v>1</v>
      </c>
    </row>
    <row r="37" spans="1:13" x14ac:dyDescent="0.25">
      <c r="A37" s="2">
        <v>46160</v>
      </c>
      <c r="B37" s="1" t="str">
        <f ca="1">IF(Información1[[#This Row],[Fecha]]='Ajuste de fechas'!$A$2,"Día actual","Día anterior")</f>
        <v>Día anterior</v>
      </c>
      <c r="C37" s="3" t="s">
        <v>83</v>
      </c>
      <c r="D37" t="s">
        <v>84</v>
      </c>
      <c r="E37" s="3" t="s">
        <v>121</v>
      </c>
      <c r="F37" s="3" t="s">
        <v>23</v>
      </c>
      <c r="G37" s="3" t="s">
        <v>65</v>
      </c>
      <c r="H37" s="3" t="s">
        <v>11</v>
      </c>
      <c r="I37" s="3" t="s">
        <v>7</v>
      </c>
      <c r="J37" s="3" t="s">
        <v>48</v>
      </c>
      <c r="K37" s="3" t="s">
        <v>86</v>
      </c>
      <c r="L37" s="3" t="s">
        <v>51</v>
      </c>
      <c r="M37">
        <v>1</v>
      </c>
    </row>
    <row r="38" spans="1:13" x14ac:dyDescent="0.25">
      <c r="A38" s="2">
        <v>46160</v>
      </c>
      <c r="B38" s="1" t="str">
        <f ca="1">IF(Información1[[#This Row],[Fecha]]='Ajuste de fechas'!$A$2,"Día actual","Día anterior")</f>
        <v>Día anterior</v>
      </c>
      <c r="C38" s="3" t="s">
        <v>83</v>
      </c>
      <c r="D38" t="s">
        <v>84</v>
      </c>
      <c r="E38" s="3" t="s">
        <v>157</v>
      </c>
      <c r="F38" s="3" t="s">
        <v>64</v>
      </c>
      <c r="G38" s="3" t="s">
        <v>158</v>
      </c>
      <c r="H38" s="3" t="s">
        <v>11</v>
      </c>
      <c r="I38" s="3" t="s">
        <v>7</v>
      </c>
      <c r="J38" s="3" t="s">
        <v>48</v>
      </c>
      <c r="K38" s="3" t="s">
        <v>86</v>
      </c>
      <c r="L38" s="3" t="s">
        <v>51</v>
      </c>
      <c r="M38">
        <v>1</v>
      </c>
    </row>
    <row r="39" spans="1:13" x14ac:dyDescent="0.25">
      <c r="A39" s="2">
        <v>46160</v>
      </c>
      <c r="B39" s="1" t="str">
        <f ca="1">IF(Información1[[#This Row],[Fecha]]='Ajuste de fechas'!$A$2,"Día actual","Día anterior")</f>
        <v>Día anterior</v>
      </c>
      <c r="C39" s="3" t="s">
        <v>83</v>
      </c>
      <c r="D39" t="s">
        <v>84</v>
      </c>
      <c r="E39" s="3" t="s">
        <v>159</v>
      </c>
      <c r="F39" s="3" t="s">
        <v>99</v>
      </c>
      <c r="G39" s="3" t="s">
        <v>103</v>
      </c>
      <c r="H39" s="3" t="s">
        <v>11</v>
      </c>
      <c r="I39" s="3" t="s">
        <v>7</v>
      </c>
      <c r="J39" s="3" t="s">
        <v>48</v>
      </c>
      <c r="K39" s="3" t="s">
        <v>86</v>
      </c>
      <c r="L39" s="3" t="s">
        <v>51</v>
      </c>
      <c r="M39">
        <v>1</v>
      </c>
    </row>
    <row r="40" spans="1:13" x14ac:dyDescent="0.25">
      <c r="A40" s="2">
        <v>46160</v>
      </c>
      <c r="B40" s="1" t="str">
        <f ca="1">IF(Información1[[#This Row],[Fecha]]='Ajuste de fechas'!$A$2,"Día actual","Día anterior")</f>
        <v>Día anterior</v>
      </c>
      <c r="C40" s="3" t="s">
        <v>83</v>
      </c>
      <c r="D40" t="s">
        <v>84</v>
      </c>
      <c r="E40" s="3" t="s">
        <v>160</v>
      </c>
      <c r="F40" s="3" t="s">
        <v>21</v>
      </c>
      <c r="G40" s="3" t="s">
        <v>161</v>
      </c>
      <c r="H40" s="3" t="s">
        <v>11</v>
      </c>
      <c r="I40" s="3" t="s">
        <v>7</v>
      </c>
      <c r="J40" s="3" t="s">
        <v>48</v>
      </c>
      <c r="K40" s="3" t="s">
        <v>86</v>
      </c>
      <c r="L40" s="3" t="s">
        <v>51</v>
      </c>
      <c r="M40">
        <v>1</v>
      </c>
    </row>
    <row r="41" spans="1:13" x14ac:dyDescent="0.25">
      <c r="A41" s="2">
        <v>46160</v>
      </c>
      <c r="B41" s="1" t="str">
        <f ca="1">IF(Información1[[#This Row],[Fecha]]='Ajuste de fechas'!$A$2,"Día actual","Día anterior")</f>
        <v>Día anterior</v>
      </c>
      <c r="C41" s="3" t="s">
        <v>83</v>
      </c>
      <c r="D41" t="s">
        <v>84</v>
      </c>
      <c r="E41" s="3" t="s">
        <v>162</v>
      </c>
      <c r="F41" s="3" t="s">
        <v>102</v>
      </c>
      <c r="G41" s="3" t="s">
        <v>163</v>
      </c>
      <c r="H41" s="3" t="s">
        <v>11</v>
      </c>
      <c r="I41" s="3" t="s">
        <v>7</v>
      </c>
      <c r="J41" s="3" t="s">
        <v>48</v>
      </c>
      <c r="K41" s="3" t="s">
        <v>86</v>
      </c>
      <c r="L41" s="3" t="s">
        <v>51</v>
      </c>
      <c r="M41">
        <v>1</v>
      </c>
    </row>
    <row r="42" spans="1:13" x14ac:dyDescent="0.25">
      <c r="A42" s="2">
        <v>46160</v>
      </c>
      <c r="B42" s="1" t="str">
        <f ca="1">IF(Información1[[#This Row],[Fecha]]='Ajuste de fechas'!$A$2,"Día actual","Día anterior")</f>
        <v>Día anterior</v>
      </c>
      <c r="C42" s="3" t="s">
        <v>28</v>
      </c>
      <c r="D42" t="s">
        <v>31</v>
      </c>
      <c r="E42" s="3" t="s">
        <v>164</v>
      </c>
      <c r="F42" s="3" t="s">
        <v>36</v>
      </c>
      <c r="G42" s="3" t="s">
        <v>109</v>
      </c>
      <c r="H42" s="3" t="s">
        <v>11</v>
      </c>
      <c r="I42" s="3" t="s">
        <v>7</v>
      </c>
      <c r="J42" s="3" t="s">
        <v>48</v>
      </c>
      <c r="K42" s="3" t="s">
        <v>29</v>
      </c>
      <c r="L42" s="3" t="s">
        <v>49</v>
      </c>
      <c r="M42">
        <v>2</v>
      </c>
    </row>
    <row r="43" spans="1:13" x14ac:dyDescent="0.25">
      <c r="A43" s="2">
        <v>46160</v>
      </c>
      <c r="B43" s="1" t="str">
        <f ca="1">IF(Información1[[#This Row],[Fecha]]='Ajuste de fechas'!$A$2,"Día actual","Día anterior")</f>
        <v>Día anterior</v>
      </c>
      <c r="C43" s="3" t="s">
        <v>59</v>
      </c>
      <c r="D43" t="s">
        <v>60</v>
      </c>
      <c r="E43" s="3" t="s">
        <v>165</v>
      </c>
      <c r="F43" s="3" t="s">
        <v>97</v>
      </c>
      <c r="G43" s="3" t="s">
        <v>166</v>
      </c>
      <c r="H43" s="3" t="s">
        <v>11</v>
      </c>
      <c r="I43" s="3" t="s">
        <v>7</v>
      </c>
      <c r="J43" s="3" t="s">
        <v>48</v>
      </c>
      <c r="K43" s="3" t="s">
        <v>61</v>
      </c>
      <c r="L43" s="3" t="s">
        <v>51</v>
      </c>
      <c r="M43">
        <v>2</v>
      </c>
    </row>
    <row r="44" spans="1:13" x14ac:dyDescent="0.25">
      <c r="A44" s="2">
        <v>46160</v>
      </c>
      <c r="B44" s="1" t="str">
        <f ca="1">IF(Información1[[#This Row],[Fecha]]='Ajuste de fechas'!$A$2,"Día actual","Día anterior")</f>
        <v>Día anterior</v>
      </c>
      <c r="C44" s="3" t="s">
        <v>28</v>
      </c>
      <c r="D44" t="s">
        <v>31</v>
      </c>
      <c r="E44" s="3" t="s">
        <v>167</v>
      </c>
      <c r="F44" s="3" t="s">
        <v>168</v>
      </c>
      <c r="G44" s="3" t="s">
        <v>169</v>
      </c>
      <c r="H44" s="3" t="s">
        <v>11</v>
      </c>
      <c r="I44" s="3" t="s">
        <v>7</v>
      </c>
      <c r="J44" s="3" t="s">
        <v>48</v>
      </c>
      <c r="K44" s="3" t="s">
        <v>29</v>
      </c>
      <c r="L44" s="3" t="s">
        <v>49</v>
      </c>
      <c r="M44">
        <v>2</v>
      </c>
    </row>
    <row r="45" spans="1:13" x14ac:dyDescent="0.25">
      <c r="A45" s="2">
        <v>46160</v>
      </c>
      <c r="B45" s="1" t="str">
        <f ca="1">IF(Información1[[#This Row],[Fecha]]='Ajuste de fechas'!$A$2,"Día actual","Día anterior")</f>
        <v>Día anterior</v>
      </c>
      <c r="C45" s="3" t="s">
        <v>59</v>
      </c>
      <c r="D45" t="s">
        <v>60</v>
      </c>
      <c r="E45" s="3" t="s">
        <v>170</v>
      </c>
      <c r="F45" s="3" t="s">
        <v>99</v>
      </c>
      <c r="G45" s="3" t="s">
        <v>171</v>
      </c>
      <c r="H45" s="3" t="s">
        <v>11</v>
      </c>
      <c r="I45" s="3" t="s">
        <v>7</v>
      </c>
      <c r="J45" s="3" t="s">
        <v>48</v>
      </c>
      <c r="K45" s="3" t="s">
        <v>61</v>
      </c>
      <c r="L45" s="3" t="s">
        <v>51</v>
      </c>
      <c r="M45">
        <v>2</v>
      </c>
    </row>
    <row r="46" spans="1:13" x14ac:dyDescent="0.25">
      <c r="A46" s="2">
        <v>46160</v>
      </c>
      <c r="B46" s="1" t="str">
        <f ca="1">IF(Información1[[#This Row],[Fecha]]='Ajuste de fechas'!$A$2,"Día actual","Día anterior")</f>
        <v>Día anterior</v>
      </c>
      <c r="C46" s="3" t="s">
        <v>28</v>
      </c>
      <c r="D46" t="s">
        <v>31</v>
      </c>
      <c r="E46" s="3" t="s">
        <v>172</v>
      </c>
      <c r="F46" s="3" t="s">
        <v>64</v>
      </c>
      <c r="G46" s="3" t="s">
        <v>173</v>
      </c>
      <c r="H46" s="3" t="s">
        <v>11</v>
      </c>
      <c r="I46" s="3" t="s">
        <v>7</v>
      </c>
      <c r="J46" s="3" t="s">
        <v>48</v>
      </c>
      <c r="K46" s="3" t="s">
        <v>29</v>
      </c>
      <c r="L46" s="3" t="s">
        <v>49</v>
      </c>
      <c r="M46">
        <v>2</v>
      </c>
    </row>
    <row r="47" spans="1:13" x14ac:dyDescent="0.25">
      <c r="A47" s="2">
        <v>46160</v>
      </c>
      <c r="B47" s="1" t="str">
        <f ca="1">IF(Información1[[#This Row],[Fecha]]='Ajuste de fechas'!$A$2,"Día actual","Día anterior")</f>
        <v>Día anterior</v>
      </c>
      <c r="C47" s="3" t="s">
        <v>8</v>
      </c>
      <c r="D47" t="s">
        <v>10</v>
      </c>
      <c r="E47" s="3" t="s">
        <v>174</v>
      </c>
      <c r="F47" s="3" t="s">
        <v>64</v>
      </c>
      <c r="G47" s="3" t="s">
        <v>173</v>
      </c>
      <c r="H47" s="3" t="s">
        <v>11</v>
      </c>
      <c r="I47" s="3" t="s">
        <v>7</v>
      </c>
      <c r="J47" s="3" t="s">
        <v>48</v>
      </c>
      <c r="K47" s="3" t="s">
        <v>14</v>
      </c>
      <c r="L47" s="3" t="s">
        <v>49</v>
      </c>
      <c r="M47">
        <v>2</v>
      </c>
    </row>
    <row r="48" spans="1:13" x14ac:dyDescent="0.25">
      <c r="A48" s="2">
        <v>46160</v>
      </c>
      <c r="B48" s="1" t="str">
        <f ca="1">IF(Información1[[#This Row],[Fecha]]='Ajuste de fechas'!$A$2,"Día actual","Día anterior")</f>
        <v>Día anterior</v>
      </c>
      <c r="C48" s="3" t="s">
        <v>28</v>
      </c>
      <c r="D48" t="s">
        <v>31</v>
      </c>
      <c r="E48" s="3" t="s">
        <v>175</v>
      </c>
      <c r="F48" s="3" t="s">
        <v>23</v>
      </c>
      <c r="G48" s="3" t="s">
        <v>65</v>
      </c>
      <c r="H48" s="3" t="s">
        <v>11</v>
      </c>
      <c r="I48" s="3" t="s">
        <v>7</v>
      </c>
      <c r="J48" s="3" t="s">
        <v>48</v>
      </c>
      <c r="K48" s="3" t="s">
        <v>29</v>
      </c>
      <c r="L48" s="3" t="s">
        <v>49</v>
      </c>
      <c r="M48">
        <v>2</v>
      </c>
    </row>
    <row r="49" spans="1:13" x14ac:dyDescent="0.25">
      <c r="A49" s="2">
        <v>46160</v>
      </c>
      <c r="B49" s="1" t="str">
        <f ca="1">IF(Información1[[#This Row],[Fecha]]='Ajuste de fechas'!$A$2,"Día actual","Día anterior")</f>
        <v>Día anterior</v>
      </c>
      <c r="C49" s="3" t="s">
        <v>8</v>
      </c>
      <c r="D49" t="s">
        <v>10</v>
      </c>
      <c r="E49" s="3" t="s">
        <v>176</v>
      </c>
      <c r="F49" s="3" t="s">
        <v>23</v>
      </c>
      <c r="G49" s="3" t="s">
        <v>65</v>
      </c>
      <c r="H49" s="3" t="s">
        <v>11</v>
      </c>
      <c r="I49" s="3" t="s">
        <v>7</v>
      </c>
      <c r="J49" s="3" t="s">
        <v>48</v>
      </c>
      <c r="K49" s="3" t="s">
        <v>14</v>
      </c>
      <c r="L49" s="3" t="s">
        <v>49</v>
      </c>
      <c r="M49">
        <v>2</v>
      </c>
    </row>
    <row r="50" spans="1:13" x14ac:dyDescent="0.25">
      <c r="A50" s="2">
        <v>46160</v>
      </c>
      <c r="B50" s="1" t="str">
        <f ca="1">IF(Información1[[#This Row],[Fecha]]='Ajuste de fechas'!$A$2,"Día actual","Día anterior")</f>
        <v>Día anterior</v>
      </c>
      <c r="C50" s="3" t="s">
        <v>28</v>
      </c>
      <c r="D50" t="s">
        <v>31</v>
      </c>
      <c r="E50" s="3" t="s">
        <v>177</v>
      </c>
      <c r="F50" s="3" t="s">
        <v>64</v>
      </c>
      <c r="G50" s="3" t="s">
        <v>158</v>
      </c>
      <c r="H50" s="3" t="s">
        <v>11</v>
      </c>
      <c r="I50" s="3" t="s">
        <v>7</v>
      </c>
      <c r="J50" s="3" t="s">
        <v>48</v>
      </c>
      <c r="K50" s="3" t="s">
        <v>29</v>
      </c>
      <c r="L50" s="3" t="s">
        <v>49</v>
      </c>
      <c r="M50">
        <v>2</v>
      </c>
    </row>
    <row r="51" spans="1:13" x14ac:dyDescent="0.25">
      <c r="A51" s="2">
        <v>46160</v>
      </c>
      <c r="B51" s="1" t="str">
        <f ca="1">IF(Información1[[#This Row],[Fecha]]='Ajuste de fechas'!$A$2,"Día actual","Día anterior")</f>
        <v>Día anterior</v>
      </c>
      <c r="C51" s="3" t="s">
        <v>8</v>
      </c>
      <c r="D51" t="s">
        <v>10</v>
      </c>
      <c r="E51" s="3" t="s">
        <v>178</v>
      </c>
      <c r="F51" s="3" t="s">
        <v>64</v>
      </c>
      <c r="G51" s="3" t="s">
        <v>158</v>
      </c>
      <c r="H51" s="3" t="s">
        <v>11</v>
      </c>
      <c r="I51" s="3" t="s">
        <v>7</v>
      </c>
      <c r="J51" s="3" t="s">
        <v>48</v>
      </c>
      <c r="K51" s="3" t="s">
        <v>14</v>
      </c>
      <c r="L51" s="3" t="s">
        <v>49</v>
      </c>
      <c r="M51">
        <v>2</v>
      </c>
    </row>
    <row r="52" spans="1:13" x14ac:dyDescent="0.25">
      <c r="A52" s="2">
        <v>46160</v>
      </c>
      <c r="B52" s="1" t="str">
        <f ca="1">IF(Información1[[#This Row],[Fecha]]='Ajuste de fechas'!$A$2,"Día actual","Día anterior")</f>
        <v>Día anterior</v>
      </c>
      <c r="C52" s="3" t="s">
        <v>59</v>
      </c>
      <c r="D52" t="s">
        <v>60</v>
      </c>
      <c r="E52" s="3" t="s">
        <v>179</v>
      </c>
      <c r="F52" s="3" t="s">
        <v>102</v>
      </c>
      <c r="G52" s="3" t="s">
        <v>163</v>
      </c>
      <c r="H52" s="3" t="s">
        <v>11</v>
      </c>
      <c r="I52" s="3" t="s">
        <v>7</v>
      </c>
      <c r="J52" s="3" t="s">
        <v>48</v>
      </c>
      <c r="K52" s="3" t="s">
        <v>61</v>
      </c>
      <c r="L52" s="3" t="s">
        <v>51</v>
      </c>
      <c r="M52">
        <v>2</v>
      </c>
    </row>
    <row r="53" spans="1:13" x14ac:dyDescent="0.25">
      <c r="A53" s="2">
        <v>46160</v>
      </c>
      <c r="B53" s="1" t="str">
        <f ca="1">IF(Información1[[#This Row],[Fecha]]='Ajuste de fechas'!$A$2,"Día actual","Día anterior")</f>
        <v>Día anterior</v>
      </c>
      <c r="C53" s="3" t="s">
        <v>76</v>
      </c>
      <c r="D53" t="s">
        <v>77</v>
      </c>
      <c r="E53" s="3" t="s">
        <v>240</v>
      </c>
      <c r="F53" s="3" t="s">
        <v>21</v>
      </c>
      <c r="G53" s="3" t="s">
        <v>93</v>
      </c>
      <c r="H53" s="3" t="s">
        <v>32</v>
      </c>
      <c r="I53" s="3" t="s">
        <v>7</v>
      </c>
      <c r="J53" s="3" t="s">
        <v>48</v>
      </c>
      <c r="K53" s="3" t="s">
        <v>78</v>
      </c>
      <c r="L53" s="3" t="s">
        <v>49</v>
      </c>
      <c r="M53">
        <v>1</v>
      </c>
    </row>
    <row r="54" spans="1:13" x14ac:dyDescent="0.25">
      <c r="A54" s="2">
        <v>46160</v>
      </c>
      <c r="B54" s="1" t="str">
        <f ca="1">IF(Información1[[#This Row],[Fecha]]='Ajuste de fechas'!$A$2,"Día actual","Día anterior")</f>
        <v>Día anterior</v>
      </c>
      <c r="C54" s="3" t="s">
        <v>76</v>
      </c>
      <c r="D54" t="s">
        <v>77</v>
      </c>
      <c r="E54" s="3" t="s">
        <v>121</v>
      </c>
      <c r="F54" s="3" t="s">
        <v>23</v>
      </c>
      <c r="G54" s="3" t="s">
        <v>65</v>
      </c>
      <c r="H54" s="3" t="s">
        <v>32</v>
      </c>
      <c r="I54" s="3" t="s">
        <v>7</v>
      </c>
      <c r="J54" s="3" t="s">
        <v>48</v>
      </c>
      <c r="K54" s="3" t="s">
        <v>78</v>
      </c>
      <c r="L54" s="3" t="s">
        <v>51</v>
      </c>
      <c r="M54">
        <v>1</v>
      </c>
    </row>
    <row r="55" spans="1:13" x14ac:dyDescent="0.25">
      <c r="A55" s="2">
        <v>46160</v>
      </c>
      <c r="B55" s="1" t="str">
        <f ca="1">IF(Información1[[#This Row],[Fecha]]='Ajuste de fechas'!$A$2,"Día actual","Día anterior")</f>
        <v>Día anterior</v>
      </c>
      <c r="C55" s="3" t="s">
        <v>76</v>
      </c>
      <c r="D55" t="s">
        <v>77</v>
      </c>
      <c r="E55" s="3" t="s">
        <v>241</v>
      </c>
      <c r="F55" s="3" t="s">
        <v>21</v>
      </c>
      <c r="G55" s="3" t="s">
        <v>161</v>
      </c>
      <c r="H55" s="3" t="s">
        <v>32</v>
      </c>
      <c r="I55" s="3" t="s">
        <v>7</v>
      </c>
      <c r="J55" s="3" t="s">
        <v>48</v>
      </c>
      <c r="K55" s="3" t="s">
        <v>78</v>
      </c>
      <c r="L55" s="3" t="s">
        <v>51</v>
      </c>
      <c r="M55">
        <v>1</v>
      </c>
    </row>
    <row r="56" spans="1:13" x14ac:dyDescent="0.25">
      <c r="A56" s="2">
        <v>46160</v>
      </c>
      <c r="B56" s="1" t="str">
        <f ca="1">IF(Información1[[#This Row],[Fecha]]='Ajuste de fechas'!$A$2,"Día actual","Día anterior")</f>
        <v>Día anterior</v>
      </c>
      <c r="C56" s="3" t="s">
        <v>76</v>
      </c>
      <c r="D56" t="s">
        <v>77</v>
      </c>
      <c r="E56" s="3" t="s">
        <v>162</v>
      </c>
      <c r="F56" s="3" t="s">
        <v>102</v>
      </c>
      <c r="G56" s="3" t="s">
        <v>163</v>
      </c>
      <c r="H56" s="3" t="s">
        <v>32</v>
      </c>
      <c r="I56" s="3" t="s">
        <v>7</v>
      </c>
      <c r="J56" s="3" t="s">
        <v>48</v>
      </c>
      <c r="K56" s="3" t="s">
        <v>78</v>
      </c>
      <c r="L56" s="3" t="s">
        <v>51</v>
      </c>
      <c r="M56">
        <v>1</v>
      </c>
    </row>
    <row r="57" spans="1:13" x14ac:dyDescent="0.25">
      <c r="A57" s="2">
        <v>46160</v>
      </c>
      <c r="B57" s="1" t="str">
        <f ca="1">IF(Información1[[#This Row],[Fecha]]='Ajuste de fechas'!$A$2,"Día actual","Día anterior")</f>
        <v>Día anterior</v>
      </c>
      <c r="C57" s="3" t="s">
        <v>76</v>
      </c>
      <c r="D57" t="s">
        <v>77</v>
      </c>
      <c r="E57" s="3" t="s">
        <v>170</v>
      </c>
      <c r="F57" s="3" t="s">
        <v>99</v>
      </c>
      <c r="G57" s="3" t="s">
        <v>158</v>
      </c>
      <c r="H57" s="3" t="s">
        <v>32</v>
      </c>
      <c r="I57" s="3" t="s">
        <v>7</v>
      </c>
      <c r="J57" s="3" t="s">
        <v>48</v>
      </c>
      <c r="K57" s="3" t="s">
        <v>78</v>
      </c>
      <c r="L57" s="3" t="s">
        <v>51</v>
      </c>
      <c r="M57">
        <v>1</v>
      </c>
    </row>
    <row r="58" spans="1:13" x14ac:dyDescent="0.25">
      <c r="A58" s="2">
        <v>46160</v>
      </c>
      <c r="B58" s="1" t="str">
        <f ca="1">IF(Información1[[#This Row],[Fecha]]='Ajuste de fechas'!$A$2,"Día actual","Día anterior")</f>
        <v>Día anterior</v>
      </c>
      <c r="C58" s="3" t="s">
        <v>76</v>
      </c>
      <c r="D58" t="s">
        <v>77</v>
      </c>
      <c r="E58" s="3" t="s">
        <v>242</v>
      </c>
      <c r="F58" s="3" t="s">
        <v>168</v>
      </c>
      <c r="G58" s="3" t="s">
        <v>169</v>
      </c>
      <c r="H58" s="3" t="s">
        <v>32</v>
      </c>
      <c r="I58" s="3" t="s">
        <v>7</v>
      </c>
      <c r="J58" s="3" t="s">
        <v>48</v>
      </c>
      <c r="K58" s="3" t="s">
        <v>78</v>
      </c>
      <c r="L58" s="3" t="s">
        <v>51</v>
      </c>
      <c r="M58">
        <v>1</v>
      </c>
    </row>
    <row r="59" spans="1:13" x14ac:dyDescent="0.25">
      <c r="A59" s="2">
        <v>46160</v>
      </c>
      <c r="B59" s="1" t="str">
        <f ca="1">IF(Información1[[#This Row],[Fecha]]='Ajuste de fechas'!$A$2,"Día actual","Día anterior")</f>
        <v>Día anterior</v>
      </c>
      <c r="C59" s="3" t="s">
        <v>76</v>
      </c>
      <c r="D59" t="s">
        <v>77</v>
      </c>
      <c r="E59" s="3" t="s">
        <v>243</v>
      </c>
      <c r="F59" s="3" t="s">
        <v>17</v>
      </c>
      <c r="G59" s="3" t="s">
        <v>117</v>
      </c>
      <c r="H59" s="3" t="s">
        <v>32</v>
      </c>
      <c r="I59" s="3" t="s">
        <v>25</v>
      </c>
      <c r="J59" s="3" t="s">
        <v>48</v>
      </c>
      <c r="K59" s="3" t="s">
        <v>244</v>
      </c>
      <c r="L59" s="3" t="s">
        <v>49</v>
      </c>
      <c r="M59">
        <v>1</v>
      </c>
    </row>
    <row r="60" spans="1:13" x14ac:dyDescent="0.25">
      <c r="A60" s="2">
        <v>46160</v>
      </c>
      <c r="B60" s="1" t="str">
        <f ca="1">IF(Información1[[#This Row],[Fecha]]='Ajuste de fechas'!$A$2,"Día actual","Día anterior")</f>
        <v>Día anterior</v>
      </c>
      <c r="C60" s="3" t="s">
        <v>76</v>
      </c>
      <c r="D60" t="s">
        <v>77</v>
      </c>
      <c r="E60" s="3" t="s">
        <v>245</v>
      </c>
      <c r="F60" s="3" t="s">
        <v>19</v>
      </c>
      <c r="G60" s="3" t="s">
        <v>246</v>
      </c>
      <c r="H60" s="3" t="s">
        <v>32</v>
      </c>
      <c r="I60" s="3" t="s">
        <v>7</v>
      </c>
      <c r="J60" s="3" t="s">
        <v>52</v>
      </c>
      <c r="K60" s="3" t="s">
        <v>244</v>
      </c>
      <c r="L60" s="3" t="s">
        <v>49</v>
      </c>
      <c r="M60">
        <v>1</v>
      </c>
    </row>
    <row r="61" spans="1:13" x14ac:dyDescent="0.25">
      <c r="A61" s="2">
        <v>46160</v>
      </c>
      <c r="B61" s="1" t="str">
        <f ca="1">IF(Información1[[#This Row],[Fecha]]='Ajuste de fechas'!$A$2,"Día actual","Día anterior")</f>
        <v>Día anterior</v>
      </c>
      <c r="C61" s="3" t="s">
        <v>76</v>
      </c>
      <c r="D61" t="s">
        <v>77</v>
      </c>
      <c r="E61" s="3" t="s">
        <v>146</v>
      </c>
      <c r="F61" s="3" t="s">
        <v>19</v>
      </c>
      <c r="G61" s="3" t="s">
        <v>147</v>
      </c>
      <c r="H61" s="3" t="s">
        <v>32</v>
      </c>
      <c r="I61" s="3" t="s">
        <v>7</v>
      </c>
      <c r="J61" s="3" t="s">
        <v>52</v>
      </c>
      <c r="K61" s="3" t="s">
        <v>244</v>
      </c>
      <c r="L61" s="3" t="s">
        <v>49</v>
      </c>
      <c r="M61">
        <v>1</v>
      </c>
    </row>
    <row r="62" spans="1:13" x14ac:dyDescent="0.25">
      <c r="A62" s="2">
        <v>46160</v>
      </c>
      <c r="B62" s="1" t="str">
        <f ca="1">IF(Información1[[#This Row],[Fecha]]='Ajuste de fechas'!$A$2,"Día actual","Día anterior")</f>
        <v>Día anterior</v>
      </c>
      <c r="C62" s="3" t="s">
        <v>76</v>
      </c>
      <c r="D62" t="s">
        <v>77</v>
      </c>
      <c r="E62" s="3" t="s">
        <v>247</v>
      </c>
      <c r="F62" s="3" t="s">
        <v>19</v>
      </c>
      <c r="G62" s="3" t="s">
        <v>248</v>
      </c>
      <c r="H62" s="3" t="s">
        <v>32</v>
      </c>
      <c r="I62" s="3" t="s">
        <v>7</v>
      </c>
      <c r="J62" s="3" t="s">
        <v>52</v>
      </c>
      <c r="K62" s="3" t="s">
        <v>244</v>
      </c>
      <c r="L62" s="3" t="s">
        <v>49</v>
      </c>
      <c r="M62">
        <v>1</v>
      </c>
    </row>
    <row r="63" spans="1:13" x14ac:dyDescent="0.25">
      <c r="A63" s="2">
        <v>46160</v>
      </c>
      <c r="B63" s="1" t="str">
        <f ca="1">IF(Información1[[#This Row],[Fecha]]='Ajuste de fechas'!$A$2,"Día actual","Día anterior")</f>
        <v>Día anterior</v>
      </c>
      <c r="C63" s="3" t="s">
        <v>76</v>
      </c>
      <c r="D63" t="s">
        <v>77</v>
      </c>
      <c r="E63" s="3" t="s">
        <v>157</v>
      </c>
      <c r="F63" s="3" t="s">
        <v>64</v>
      </c>
      <c r="G63" s="3" t="s">
        <v>158</v>
      </c>
      <c r="H63" s="3" t="s">
        <v>32</v>
      </c>
      <c r="I63" s="3" t="s">
        <v>7</v>
      </c>
      <c r="J63" s="3" t="s">
        <v>48</v>
      </c>
      <c r="K63" s="3" t="s">
        <v>78</v>
      </c>
      <c r="L63" s="3" t="s">
        <v>51</v>
      </c>
      <c r="M63">
        <v>1</v>
      </c>
    </row>
    <row r="64" spans="1:13" x14ac:dyDescent="0.25">
      <c r="A64" s="2">
        <v>46160</v>
      </c>
      <c r="B64" s="1" t="str">
        <f ca="1">IF(Información1[[#This Row],[Fecha]]='Ajuste de fechas'!$A$2,"Día actual","Día anterior")</f>
        <v>Día anterior</v>
      </c>
      <c r="C64" s="3" t="s">
        <v>76</v>
      </c>
      <c r="D64" t="s">
        <v>77</v>
      </c>
      <c r="E64" s="3" t="s">
        <v>249</v>
      </c>
      <c r="F64" s="3" t="s">
        <v>19</v>
      </c>
      <c r="G64" s="3" t="s">
        <v>149</v>
      </c>
      <c r="H64" s="3" t="s">
        <v>32</v>
      </c>
      <c r="I64" s="3" t="s">
        <v>7</v>
      </c>
      <c r="J64" s="3" t="s">
        <v>52</v>
      </c>
      <c r="K64" s="3" t="s">
        <v>78</v>
      </c>
      <c r="L64" s="3" t="s">
        <v>49</v>
      </c>
      <c r="M64">
        <v>1</v>
      </c>
    </row>
    <row r="65" spans="1:13" x14ac:dyDescent="0.25">
      <c r="A65" s="2">
        <v>46160</v>
      </c>
      <c r="B65" s="1" t="str">
        <f ca="1">IF(Información1[[#This Row],[Fecha]]='Ajuste de fechas'!$A$2,"Día actual","Día anterior")</f>
        <v>Día anterior</v>
      </c>
      <c r="C65" s="3" t="s">
        <v>76</v>
      </c>
      <c r="D65" t="s">
        <v>77</v>
      </c>
      <c r="E65" s="3" t="s">
        <v>152</v>
      </c>
      <c r="F65" s="3" t="s">
        <v>21</v>
      </c>
      <c r="G65" s="3" t="s">
        <v>89</v>
      </c>
      <c r="H65" s="3" t="s">
        <v>32</v>
      </c>
      <c r="I65" s="3" t="s">
        <v>7</v>
      </c>
      <c r="J65" s="3" t="s">
        <v>48</v>
      </c>
      <c r="K65" s="3" t="s">
        <v>78</v>
      </c>
      <c r="L65" s="3" t="s">
        <v>51</v>
      </c>
      <c r="M65">
        <v>1</v>
      </c>
    </row>
    <row r="66" spans="1:13" x14ac:dyDescent="0.25">
      <c r="A66" s="2">
        <v>46160</v>
      </c>
      <c r="B66" s="1" t="str">
        <f ca="1">IF(Información1[[#This Row],[Fecha]]='Ajuste de fechas'!$A$2,"Día actual","Día anterior")</f>
        <v>Día anterior</v>
      </c>
      <c r="C66" s="3" t="s">
        <v>76</v>
      </c>
      <c r="D66" t="s">
        <v>77</v>
      </c>
      <c r="E66" s="3" t="s">
        <v>250</v>
      </c>
      <c r="F66" s="3" t="s">
        <v>97</v>
      </c>
      <c r="G66" s="3" t="s">
        <v>166</v>
      </c>
      <c r="H66" s="3" t="s">
        <v>32</v>
      </c>
      <c r="I66" s="3" t="s">
        <v>7</v>
      </c>
      <c r="J66" s="3" t="s">
        <v>48</v>
      </c>
      <c r="K66" s="3" t="s">
        <v>78</v>
      </c>
      <c r="L66" s="3" t="s">
        <v>51</v>
      </c>
      <c r="M66">
        <v>1</v>
      </c>
    </row>
    <row r="67" spans="1:13" x14ac:dyDescent="0.25">
      <c r="A67" s="2">
        <v>46160</v>
      </c>
      <c r="B67" s="1" t="str">
        <f ca="1">IF(Información1[[#This Row],[Fecha]]='Ajuste de fechas'!$A$2,"Día actual","Día anterior")</f>
        <v>Día anterior</v>
      </c>
      <c r="C67" s="3" t="s">
        <v>76</v>
      </c>
      <c r="D67" t="s">
        <v>77</v>
      </c>
      <c r="E67" s="3" t="s">
        <v>251</v>
      </c>
      <c r="F67" s="3" t="s">
        <v>36</v>
      </c>
      <c r="G67" s="3" t="s">
        <v>94</v>
      </c>
      <c r="H67" s="3" t="s">
        <v>32</v>
      </c>
      <c r="I67" s="3" t="s">
        <v>7</v>
      </c>
      <c r="J67" s="3" t="s">
        <v>48</v>
      </c>
      <c r="K67" s="3" t="s">
        <v>78</v>
      </c>
      <c r="L67" s="3" t="s">
        <v>51</v>
      </c>
      <c r="M67">
        <v>1</v>
      </c>
    </row>
    <row r="68" spans="1:13" x14ac:dyDescent="0.25">
      <c r="A68" s="2">
        <v>46160</v>
      </c>
      <c r="B68" s="1" t="str">
        <f ca="1">IF(Información1[[#This Row],[Fecha]]='Ajuste de fechas'!$A$2,"Día actual","Día anterior")</f>
        <v>Día anterior</v>
      </c>
      <c r="C68" s="3" t="s">
        <v>76</v>
      </c>
      <c r="D68" t="s">
        <v>77</v>
      </c>
      <c r="E68" s="3" t="s">
        <v>252</v>
      </c>
      <c r="F68" s="3" t="s">
        <v>99</v>
      </c>
      <c r="G68" s="3" t="s">
        <v>253</v>
      </c>
      <c r="H68" s="3" t="s">
        <v>32</v>
      </c>
      <c r="I68" s="3" t="s">
        <v>7</v>
      </c>
      <c r="J68" s="3" t="s">
        <v>48</v>
      </c>
      <c r="K68" s="3" t="s">
        <v>78</v>
      </c>
      <c r="L68" s="3" t="s">
        <v>49</v>
      </c>
      <c r="M68">
        <v>1</v>
      </c>
    </row>
    <row r="69" spans="1:13" x14ac:dyDescent="0.25">
      <c r="A69" s="2">
        <v>46160</v>
      </c>
      <c r="B69" s="1" t="str">
        <f ca="1">IF(Información1[[#This Row],[Fecha]]='Ajuste de fechas'!$A$2,"Día actual","Día anterior")</f>
        <v>Día anterior</v>
      </c>
      <c r="C69" s="3" t="s">
        <v>76</v>
      </c>
      <c r="D69" t="s">
        <v>77</v>
      </c>
      <c r="E69" s="3" t="s">
        <v>254</v>
      </c>
      <c r="F69" s="3" t="s">
        <v>99</v>
      </c>
      <c r="G69" s="3" t="s">
        <v>255</v>
      </c>
      <c r="H69" s="3" t="s">
        <v>32</v>
      </c>
      <c r="I69" s="3" t="s">
        <v>7</v>
      </c>
      <c r="J69" s="3" t="s">
        <v>48</v>
      </c>
      <c r="K69" s="3" t="s">
        <v>78</v>
      </c>
      <c r="L69" s="3" t="s">
        <v>49</v>
      </c>
      <c r="M69">
        <v>1</v>
      </c>
    </row>
    <row r="70" spans="1:13" x14ac:dyDescent="0.25">
      <c r="A70" s="2">
        <v>46160</v>
      </c>
      <c r="B70" s="1" t="str">
        <f ca="1">IF(Información1[[#This Row],[Fecha]]='Ajuste de fechas'!$A$2,"Día actual","Día anterior")</f>
        <v>Día anterior</v>
      </c>
      <c r="C70" s="3" t="s">
        <v>76</v>
      </c>
      <c r="D70" t="s">
        <v>77</v>
      </c>
      <c r="E70" s="3" t="s">
        <v>256</v>
      </c>
      <c r="F70" s="3" t="s">
        <v>99</v>
      </c>
      <c r="G70" s="3" t="s">
        <v>103</v>
      </c>
      <c r="H70" s="3" t="s">
        <v>32</v>
      </c>
      <c r="I70" s="3" t="s">
        <v>7</v>
      </c>
      <c r="J70" s="3" t="s">
        <v>48</v>
      </c>
      <c r="K70" s="3" t="s">
        <v>78</v>
      </c>
      <c r="L70" s="3" t="s">
        <v>49</v>
      </c>
      <c r="M70">
        <v>1</v>
      </c>
    </row>
    <row r="71" spans="1:13" x14ac:dyDescent="0.25">
      <c r="A71" s="2">
        <v>46160</v>
      </c>
      <c r="B71" s="1" t="str">
        <f ca="1">IF(Información1[[#This Row],[Fecha]]='Ajuste de fechas'!$A$2,"Día actual","Día anterior")</f>
        <v>Día anterior</v>
      </c>
      <c r="C71" s="3" t="s">
        <v>59</v>
      </c>
      <c r="D71" t="s">
        <v>284</v>
      </c>
      <c r="E71" s="3" t="s">
        <v>250</v>
      </c>
      <c r="F71" s="3" t="s">
        <v>97</v>
      </c>
      <c r="G71" s="3" t="s">
        <v>166</v>
      </c>
      <c r="H71" s="3" t="s">
        <v>11</v>
      </c>
      <c r="I71" s="3" t="s">
        <v>7</v>
      </c>
      <c r="J71" s="3" t="s">
        <v>48</v>
      </c>
      <c r="K71" s="3" t="s">
        <v>285</v>
      </c>
      <c r="L71" s="3" t="s">
        <v>51</v>
      </c>
      <c r="M71">
        <v>1</v>
      </c>
    </row>
    <row r="72" spans="1:13" x14ac:dyDescent="0.25">
      <c r="A72" s="2">
        <v>46160</v>
      </c>
      <c r="B72" s="1" t="str">
        <f ca="1">IF(Información1[[#This Row],[Fecha]]='Ajuste de fechas'!$A$2,"Día actual","Día anterior")</f>
        <v>Día anterior</v>
      </c>
      <c r="C72" s="3" t="s">
        <v>59</v>
      </c>
      <c r="D72" t="s">
        <v>284</v>
      </c>
      <c r="E72" s="3" t="s">
        <v>157</v>
      </c>
      <c r="F72" s="3" t="s">
        <v>64</v>
      </c>
      <c r="G72" s="3" t="s">
        <v>158</v>
      </c>
      <c r="H72" s="3" t="s">
        <v>11</v>
      </c>
      <c r="I72" s="3" t="s">
        <v>7</v>
      </c>
      <c r="J72" s="3" t="s">
        <v>48</v>
      </c>
      <c r="K72" s="3" t="s">
        <v>285</v>
      </c>
      <c r="L72" s="3" t="s">
        <v>51</v>
      </c>
      <c r="M72">
        <v>1</v>
      </c>
    </row>
    <row r="73" spans="1:13" x14ac:dyDescent="0.25">
      <c r="A73" s="2">
        <v>46160</v>
      </c>
      <c r="B73" s="1" t="str">
        <f ca="1">IF(Información1[[#This Row],[Fecha]]='Ajuste de fechas'!$A$2,"Día actual","Día anterior")</f>
        <v>Día anterior</v>
      </c>
      <c r="C73" s="3" t="s">
        <v>59</v>
      </c>
      <c r="D73" t="s">
        <v>284</v>
      </c>
      <c r="E73" s="3" t="s">
        <v>286</v>
      </c>
      <c r="F73" s="3" t="s">
        <v>21</v>
      </c>
      <c r="G73" s="3" t="s">
        <v>89</v>
      </c>
      <c r="H73" s="3" t="s">
        <v>11</v>
      </c>
      <c r="I73" s="3" t="s">
        <v>7</v>
      </c>
      <c r="J73" s="3" t="s">
        <v>48</v>
      </c>
      <c r="K73" s="3" t="s">
        <v>285</v>
      </c>
      <c r="L73" s="3" t="s">
        <v>51</v>
      </c>
      <c r="M73">
        <v>1</v>
      </c>
    </row>
    <row r="74" spans="1:13" x14ac:dyDescent="0.25">
      <c r="A74" s="2">
        <v>46160</v>
      </c>
      <c r="B74" s="1" t="str">
        <f ca="1">IF(Información1[[#This Row],[Fecha]]='Ajuste de fechas'!$A$2,"Día actual","Día anterior")</f>
        <v>Día anterior</v>
      </c>
      <c r="C74" s="3" t="s">
        <v>67</v>
      </c>
      <c r="D74" t="s">
        <v>68</v>
      </c>
      <c r="E74" s="3" t="s">
        <v>157</v>
      </c>
      <c r="F74" s="3" t="s">
        <v>64</v>
      </c>
      <c r="G74" s="3" t="s">
        <v>158</v>
      </c>
      <c r="H74" s="3" t="s">
        <v>11</v>
      </c>
      <c r="I74" s="3" t="s">
        <v>7</v>
      </c>
      <c r="J74" s="3" t="s">
        <v>48</v>
      </c>
      <c r="K74" s="3" t="s">
        <v>69</v>
      </c>
      <c r="L74" s="3" t="s">
        <v>51</v>
      </c>
      <c r="M74">
        <v>1</v>
      </c>
    </row>
    <row r="75" spans="1:13" x14ac:dyDescent="0.25">
      <c r="A75" s="2">
        <v>46161</v>
      </c>
      <c r="B75" s="1" t="str">
        <f ca="1">IF(Información1[[#This Row],[Fecha]]='Ajuste de fechas'!$A$2,"Día actual","Día anterior")</f>
        <v>Día actual</v>
      </c>
      <c r="C75" s="3" t="s">
        <v>34</v>
      </c>
      <c r="D75" t="s">
        <v>35</v>
      </c>
      <c r="E75" s="3" t="s">
        <v>180</v>
      </c>
      <c r="F75" s="3" t="s">
        <v>24</v>
      </c>
      <c r="G75" s="3" t="s">
        <v>181</v>
      </c>
      <c r="H75" s="3" t="s">
        <v>32</v>
      </c>
      <c r="I75" s="3" t="s">
        <v>7</v>
      </c>
      <c r="J75" s="3" t="s">
        <v>24</v>
      </c>
      <c r="K75" s="3" t="s">
        <v>74</v>
      </c>
      <c r="L75" s="3" t="s">
        <v>49</v>
      </c>
      <c r="M75">
        <v>3</v>
      </c>
    </row>
    <row r="76" spans="1:13" x14ac:dyDescent="0.25">
      <c r="A76" s="2">
        <v>46161</v>
      </c>
      <c r="B76" s="1" t="str">
        <f ca="1">IF(Información1[[#This Row],[Fecha]]='Ajuste de fechas'!$A$2,"Día actual","Día anterior")</f>
        <v>Día actual</v>
      </c>
      <c r="C76" s="3" t="s">
        <v>34</v>
      </c>
      <c r="D76" t="s">
        <v>35</v>
      </c>
      <c r="E76" s="3" t="s">
        <v>182</v>
      </c>
      <c r="F76" s="3" t="s">
        <v>17</v>
      </c>
      <c r="G76" s="3" t="s">
        <v>183</v>
      </c>
      <c r="H76" s="3" t="s">
        <v>32</v>
      </c>
      <c r="I76" s="3" t="s">
        <v>25</v>
      </c>
      <c r="J76" s="3" t="s">
        <v>48</v>
      </c>
      <c r="K76" s="3" t="s">
        <v>27</v>
      </c>
      <c r="L76" s="3" t="s">
        <v>50</v>
      </c>
      <c r="M76">
        <v>3</v>
      </c>
    </row>
    <row r="77" spans="1:13" x14ac:dyDescent="0.25">
      <c r="A77" s="2">
        <v>46161</v>
      </c>
      <c r="B77" s="1" t="str">
        <f ca="1">IF(Información1[[#This Row],[Fecha]]='Ajuste de fechas'!$A$2,"Día actual","Día anterior")</f>
        <v>Día actual</v>
      </c>
      <c r="C77" s="3" t="s">
        <v>34</v>
      </c>
      <c r="D77" t="s">
        <v>35</v>
      </c>
      <c r="E77" s="3" t="s">
        <v>184</v>
      </c>
      <c r="F77" s="3" t="s">
        <v>17</v>
      </c>
      <c r="G77" s="3" t="s">
        <v>183</v>
      </c>
      <c r="H77" s="3" t="s">
        <v>32</v>
      </c>
      <c r="I77" s="3" t="s">
        <v>25</v>
      </c>
      <c r="J77" s="3" t="s">
        <v>48</v>
      </c>
      <c r="K77" s="3" t="s">
        <v>9</v>
      </c>
      <c r="L77" s="3" t="s">
        <v>50</v>
      </c>
      <c r="M77">
        <v>3</v>
      </c>
    </row>
    <row r="78" spans="1:13" x14ac:dyDescent="0.25">
      <c r="A78" s="2">
        <v>46161</v>
      </c>
      <c r="B78" s="1" t="str">
        <f ca="1">IF(Información1[[#This Row],[Fecha]]='Ajuste de fechas'!$A$2,"Día actual","Día anterior")</f>
        <v>Día actual</v>
      </c>
      <c r="C78" s="3" t="s">
        <v>34</v>
      </c>
      <c r="D78" t="s">
        <v>35</v>
      </c>
      <c r="E78" s="3" t="s">
        <v>185</v>
      </c>
      <c r="F78" s="3" t="s">
        <v>36</v>
      </c>
      <c r="G78" s="3" t="s">
        <v>94</v>
      </c>
      <c r="H78" s="3" t="s">
        <v>32</v>
      </c>
      <c r="I78" s="3" t="s">
        <v>7</v>
      </c>
      <c r="J78" s="3" t="s">
        <v>48</v>
      </c>
      <c r="K78" s="3" t="s">
        <v>27</v>
      </c>
      <c r="L78" s="3" t="s">
        <v>54</v>
      </c>
      <c r="M78">
        <v>3</v>
      </c>
    </row>
    <row r="79" spans="1:13" x14ac:dyDescent="0.25">
      <c r="A79" s="2">
        <v>46161</v>
      </c>
      <c r="B79" s="1" t="str">
        <f ca="1">IF(Información1[[#This Row],[Fecha]]='Ajuste de fechas'!$A$2,"Día actual","Día anterior")</f>
        <v>Día actual</v>
      </c>
      <c r="C79" s="3" t="s">
        <v>34</v>
      </c>
      <c r="D79" t="s">
        <v>35</v>
      </c>
      <c r="E79" s="3" t="s">
        <v>186</v>
      </c>
      <c r="F79" s="3" t="s">
        <v>15</v>
      </c>
      <c r="G79" s="3" t="s">
        <v>187</v>
      </c>
      <c r="H79" s="3" t="s">
        <v>32</v>
      </c>
      <c r="I79" s="3" t="s">
        <v>7</v>
      </c>
      <c r="J79" s="3" t="s">
        <v>48</v>
      </c>
      <c r="K79" s="3" t="s">
        <v>27</v>
      </c>
      <c r="L79" s="3" t="s">
        <v>51</v>
      </c>
      <c r="M79">
        <v>3</v>
      </c>
    </row>
    <row r="80" spans="1:13" x14ac:dyDescent="0.25">
      <c r="A80" s="2">
        <v>46161</v>
      </c>
      <c r="B80" s="1" t="str">
        <f ca="1">IF(Información1[[#This Row],[Fecha]]='Ajuste de fechas'!$A$2,"Día actual","Día anterior")</f>
        <v>Día actual</v>
      </c>
      <c r="C80" s="3" t="s">
        <v>34</v>
      </c>
      <c r="D80" t="s">
        <v>35</v>
      </c>
      <c r="E80" s="3" t="s">
        <v>188</v>
      </c>
      <c r="F80" s="3" t="s">
        <v>63</v>
      </c>
      <c r="G80" s="3" t="s">
        <v>90</v>
      </c>
      <c r="H80" s="3" t="s">
        <v>32</v>
      </c>
      <c r="I80" s="3" t="s">
        <v>25</v>
      </c>
      <c r="J80" s="3" t="s">
        <v>48</v>
      </c>
      <c r="K80" s="3" t="s">
        <v>27</v>
      </c>
      <c r="L80" s="3" t="s">
        <v>49</v>
      </c>
      <c r="M80">
        <v>3</v>
      </c>
    </row>
    <row r="81" spans="1:13" x14ac:dyDescent="0.25">
      <c r="A81" s="2">
        <v>46161</v>
      </c>
      <c r="B81" s="1" t="str">
        <f ca="1">IF(Información1[[#This Row],[Fecha]]='Ajuste de fechas'!$A$2,"Día actual","Día anterior")</f>
        <v>Día actual</v>
      </c>
      <c r="C81" s="3" t="s">
        <v>34</v>
      </c>
      <c r="D81" t="s">
        <v>35</v>
      </c>
      <c r="E81" s="3" t="s">
        <v>189</v>
      </c>
      <c r="F81" s="3" t="s">
        <v>15</v>
      </c>
      <c r="G81" s="3" t="s">
        <v>98</v>
      </c>
      <c r="H81" s="3" t="s">
        <v>32</v>
      </c>
      <c r="I81" s="3" t="s">
        <v>7</v>
      </c>
      <c r="J81" s="3" t="s">
        <v>48</v>
      </c>
      <c r="K81" s="3" t="s">
        <v>27</v>
      </c>
      <c r="L81" s="3" t="s">
        <v>49</v>
      </c>
      <c r="M81">
        <v>3</v>
      </c>
    </row>
    <row r="82" spans="1:13" x14ac:dyDescent="0.25">
      <c r="A82" s="2">
        <v>46161</v>
      </c>
      <c r="B82" s="1" t="str">
        <f ca="1">IF(Información1[[#This Row],[Fecha]]='Ajuste de fechas'!$A$2,"Día actual","Día anterior")</f>
        <v>Día actual</v>
      </c>
      <c r="C82" s="3" t="s">
        <v>34</v>
      </c>
      <c r="D82" t="s">
        <v>35</v>
      </c>
      <c r="E82" s="3" t="s">
        <v>190</v>
      </c>
      <c r="F82" s="3" t="s">
        <v>26</v>
      </c>
      <c r="G82" s="3" t="s">
        <v>191</v>
      </c>
      <c r="H82" s="3" t="s">
        <v>32</v>
      </c>
      <c r="I82" s="3" t="s">
        <v>7</v>
      </c>
      <c r="J82" s="3" t="s">
        <v>48</v>
      </c>
      <c r="K82" s="3" t="s">
        <v>27</v>
      </c>
      <c r="L82" s="3" t="s">
        <v>49</v>
      </c>
      <c r="M82">
        <v>3</v>
      </c>
    </row>
    <row r="83" spans="1:13" x14ac:dyDescent="0.25">
      <c r="A83" s="2">
        <v>46161</v>
      </c>
      <c r="B83" s="1" t="str">
        <f ca="1">IF(Información1[[#This Row],[Fecha]]='Ajuste de fechas'!$A$2,"Día actual","Día anterior")</f>
        <v>Día actual</v>
      </c>
      <c r="C83" s="3" t="s">
        <v>34</v>
      </c>
      <c r="D83" t="s">
        <v>35</v>
      </c>
      <c r="E83" s="3" t="s">
        <v>192</v>
      </c>
      <c r="F83" s="3" t="s">
        <v>19</v>
      </c>
      <c r="G83" s="3" t="s">
        <v>147</v>
      </c>
      <c r="H83" s="3" t="s">
        <v>32</v>
      </c>
      <c r="I83" s="3" t="s">
        <v>25</v>
      </c>
      <c r="J83" s="3" t="s">
        <v>52</v>
      </c>
      <c r="K83" s="3" t="s">
        <v>27</v>
      </c>
      <c r="L83" s="3" t="s">
        <v>50</v>
      </c>
      <c r="M83">
        <v>3</v>
      </c>
    </row>
    <row r="84" spans="1:13" x14ac:dyDescent="0.25">
      <c r="A84" s="2">
        <v>46161</v>
      </c>
      <c r="B84" s="1" t="str">
        <f ca="1">IF(Información1[[#This Row],[Fecha]]='Ajuste de fechas'!$A$2,"Día actual","Día anterior")</f>
        <v>Día actual</v>
      </c>
      <c r="C84" s="3" t="s">
        <v>34</v>
      </c>
      <c r="D84" t="s">
        <v>35</v>
      </c>
      <c r="E84" s="3" t="s">
        <v>193</v>
      </c>
      <c r="F84" s="3" t="s">
        <v>21</v>
      </c>
      <c r="G84" s="3" t="s">
        <v>194</v>
      </c>
      <c r="H84" s="3" t="s">
        <v>32</v>
      </c>
      <c r="I84" s="3" t="s">
        <v>7</v>
      </c>
      <c r="J84" s="3" t="s">
        <v>48</v>
      </c>
      <c r="K84" s="3" t="s">
        <v>27</v>
      </c>
      <c r="L84" s="3" t="s">
        <v>51</v>
      </c>
      <c r="M84">
        <v>3</v>
      </c>
    </row>
    <row r="85" spans="1:13" x14ac:dyDescent="0.25">
      <c r="A85" s="2">
        <v>46161</v>
      </c>
      <c r="B85" s="1" t="str">
        <f ca="1">IF(Información1[[#This Row],[Fecha]]='Ajuste de fechas'!$A$2,"Día actual","Día anterior")</f>
        <v>Día actual</v>
      </c>
      <c r="C85" s="3" t="s">
        <v>34</v>
      </c>
      <c r="D85" t="s">
        <v>35</v>
      </c>
      <c r="E85" s="3" t="s">
        <v>195</v>
      </c>
      <c r="F85" s="3" t="s">
        <v>21</v>
      </c>
      <c r="G85" s="3" t="s">
        <v>75</v>
      </c>
      <c r="H85" s="3" t="s">
        <v>32</v>
      </c>
      <c r="I85" s="3" t="s">
        <v>7</v>
      </c>
      <c r="J85" s="3" t="s">
        <v>48</v>
      </c>
      <c r="K85" s="3" t="s">
        <v>27</v>
      </c>
      <c r="L85" s="3" t="s">
        <v>49</v>
      </c>
      <c r="M85">
        <v>3</v>
      </c>
    </row>
    <row r="86" spans="1:13" x14ac:dyDescent="0.25">
      <c r="A86" s="2">
        <v>46161</v>
      </c>
      <c r="B86" s="1" t="str">
        <f ca="1">IF(Información1[[#This Row],[Fecha]]='Ajuste de fechas'!$A$2,"Día actual","Día anterior")</f>
        <v>Día actual</v>
      </c>
      <c r="C86" s="3" t="s">
        <v>34</v>
      </c>
      <c r="D86" t="s">
        <v>35</v>
      </c>
      <c r="E86" s="3" t="s">
        <v>196</v>
      </c>
      <c r="F86" s="3" t="s">
        <v>26</v>
      </c>
      <c r="G86" s="3" t="s">
        <v>197</v>
      </c>
      <c r="H86" s="3" t="s">
        <v>32</v>
      </c>
      <c r="I86" s="3" t="s">
        <v>7</v>
      </c>
      <c r="J86" s="3" t="s">
        <v>48</v>
      </c>
      <c r="K86" s="3" t="s">
        <v>27</v>
      </c>
      <c r="L86" s="3" t="s">
        <v>51</v>
      </c>
      <c r="M86">
        <v>3</v>
      </c>
    </row>
    <row r="87" spans="1:13" x14ac:dyDescent="0.25">
      <c r="A87" s="2">
        <v>46161</v>
      </c>
      <c r="B87" s="1" t="str">
        <f ca="1">IF(Información1[[#This Row],[Fecha]]='Ajuste de fechas'!$A$2,"Día actual","Día anterior")</f>
        <v>Día actual</v>
      </c>
      <c r="C87" s="3" t="s">
        <v>34</v>
      </c>
      <c r="D87" t="s">
        <v>35</v>
      </c>
      <c r="E87" s="3" t="s">
        <v>198</v>
      </c>
      <c r="F87" s="3" t="s">
        <v>24</v>
      </c>
      <c r="G87" s="3" t="s">
        <v>139</v>
      </c>
      <c r="H87" s="3" t="s">
        <v>32</v>
      </c>
      <c r="I87" s="3" t="s">
        <v>7</v>
      </c>
      <c r="J87" s="3" t="s">
        <v>24</v>
      </c>
      <c r="K87" s="3" t="s">
        <v>27</v>
      </c>
      <c r="L87" s="3" t="s">
        <v>49</v>
      </c>
      <c r="M87">
        <v>3</v>
      </c>
    </row>
    <row r="88" spans="1:13" x14ac:dyDescent="0.25">
      <c r="A88" s="2">
        <v>46161</v>
      </c>
      <c r="B88" s="1" t="str">
        <f ca="1">IF(Información1[[#This Row],[Fecha]]='Ajuste de fechas'!$A$2,"Día actual","Día anterior")</f>
        <v>Día actual</v>
      </c>
      <c r="C88" s="3" t="s">
        <v>34</v>
      </c>
      <c r="D88" t="s">
        <v>35</v>
      </c>
      <c r="E88" s="3" t="s">
        <v>199</v>
      </c>
      <c r="F88" s="3" t="s">
        <v>15</v>
      </c>
      <c r="G88" s="3" t="s">
        <v>200</v>
      </c>
      <c r="H88" s="3" t="s">
        <v>32</v>
      </c>
      <c r="I88" s="3" t="s">
        <v>25</v>
      </c>
      <c r="J88" s="3" t="s">
        <v>48</v>
      </c>
      <c r="K88" s="3" t="s">
        <v>27</v>
      </c>
      <c r="L88" s="3" t="s">
        <v>50</v>
      </c>
      <c r="M88">
        <v>1</v>
      </c>
    </row>
    <row r="89" spans="1:13" x14ac:dyDescent="0.25">
      <c r="A89" s="2">
        <v>46161</v>
      </c>
      <c r="B89" s="1" t="str">
        <f ca="1">IF(Información1[[#This Row],[Fecha]]='Ajuste de fechas'!$A$2,"Día actual","Día anterior")</f>
        <v>Día actual</v>
      </c>
      <c r="C89" s="3" t="s">
        <v>37</v>
      </c>
      <c r="D89" t="s">
        <v>38</v>
      </c>
      <c r="E89" s="3" t="s">
        <v>201</v>
      </c>
      <c r="F89" s="3" t="s">
        <v>19</v>
      </c>
      <c r="G89" s="3" t="s">
        <v>202</v>
      </c>
      <c r="H89" s="3" t="s">
        <v>11</v>
      </c>
      <c r="I89" s="3" t="s">
        <v>7</v>
      </c>
      <c r="J89" s="3" t="s">
        <v>52</v>
      </c>
      <c r="K89" s="3" t="s">
        <v>39</v>
      </c>
      <c r="L89" s="3" t="s">
        <v>49</v>
      </c>
      <c r="M89">
        <v>2</v>
      </c>
    </row>
    <row r="90" spans="1:13" x14ac:dyDescent="0.25">
      <c r="A90" s="2">
        <v>46161</v>
      </c>
      <c r="B90" s="1" t="str">
        <f ca="1">IF(Información1[[#This Row],[Fecha]]='Ajuste de fechas'!$A$2,"Día actual","Día anterior")</f>
        <v>Día actual</v>
      </c>
      <c r="C90" s="3" t="s">
        <v>37</v>
      </c>
      <c r="D90" t="s">
        <v>38</v>
      </c>
      <c r="E90" s="3" t="s">
        <v>203</v>
      </c>
      <c r="F90" s="3" t="s">
        <v>15</v>
      </c>
      <c r="G90" s="3" t="s">
        <v>204</v>
      </c>
      <c r="H90" s="3" t="s">
        <v>11</v>
      </c>
      <c r="I90" s="3" t="s">
        <v>7</v>
      </c>
      <c r="J90" s="3" t="s">
        <v>48</v>
      </c>
      <c r="K90" s="3" t="s">
        <v>39</v>
      </c>
      <c r="L90" s="3" t="s">
        <v>51</v>
      </c>
      <c r="M90">
        <v>2</v>
      </c>
    </row>
    <row r="91" spans="1:13" x14ac:dyDescent="0.25">
      <c r="A91" s="2">
        <v>46161</v>
      </c>
      <c r="B91" s="1" t="str">
        <f ca="1">IF(Información1[[#This Row],[Fecha]]='Ajuste de fechas'!$A$2,"Día actual","Día anterior")</f>
        <v>Día actual</v>
      </c>
      <c r="C91" s="3" t="s">
        <v>37</v>
      </c>
      <c r="D91" t="s">
        <v>38</v>
      </c>
      <c r="E91" s="3" t="s">
        <v>205</v>
      </c>
      <c r="F91" s="3" t="s">
        <v>22</v>
      </c>
      <c r="G91" s="3" t="s">
        <v>206</v>
      </c>
      <c r="H91" s="3" t="s">
        <v>11</v>
      </c>
      <c r="I91" s="3" t="s">
        <v>7</v>
      </c>
      <c r="J91" s="3" t="s">
        <v>53</v>
      </c>
      <c r="K91" s="3" t="s">
        <v>39</v>
      </c>
      <c r="L91" s="3" t="s">
        <v>49</v>
      </c>
      <c r="M91">
        <v>1</v>
      </c>
    </row>
    <row r="92" spans="1:13" x14ac:dyDescent="0.25">
      <c r="A92" s="2">
        <v>46161</v>
      </c>
      <c r="B92" s="1" t="str">
        <f ca="1">IF(Información1[[#This Row],[Fecha]]='Ajuste de fechas'!$A$2,"Día actual","Día anterior")</f>
        <v>Día actual</v>
      </c>
      <c r="C92" s="3" t="s">
        <v>37</v>
      </c>
      <c r="D92" t="s">
        <v>38</v>
      </c>
      <c r="E92" s="3" t="s">
        <v>207</v>
      </c>
      <c r="F92" s="3" t="s">
        <v>19</v>
      </c>
      <c r="G92" s="3" t="s">
        <v>208</v>
      </c>
      <c r="H92" s="3" t="s">
        <v>11</v>
      </c>
      <c r="I92" s="3" t="s">
        <v>7</v>
      </c>
      <c r="J92" s="3" t="s">
        <v>52</v>
      </c>
      <c r="K92" s="3" t="s">
        <v>39</v>
      </c>
      <c r="L92" s="3" t="s">
        <v>49</v>
      </c>
      <c r="M92">
        <v>2</v>
      </c>
    </row>
    <row r="93" spans="1:13" x14ac:dyDescent="0.25">
      <c r="A93" s="2">
        <v>46161</v>
      </c>
      <c r="B93" s="1" t="str">
        <f ca="1">IF(Información1[[#This Row],[Fecha]]='Ajuste de fechas'!$A$2,"Día actual","Día anterior")</f>
        <v>Día actual</v>
      </c>
      <c r="C93" s="3" t="s">
        <v>37</v>
      </c>
      <c r="D93" t="s">
        <v>38</v>
      </c>
      <c r="E93" s="3" t="s">
        <v>209</v>
      </c>
      <c r="F93" s="3" t="s">
        <v>64</v>
      </c>
      <c r="G93" s="3" t="s">
        <v>173</v>
      </c>
      <c r="H93" s="3" t="s">
        <v>11</v>
      </c>
      <c r="I93" s="3" t="s">
        <v>7</v>
      </c>
      <c r="J93" s="3" t="s">
        <v>48</v>
      </c>
      <c r="K93" s="3" t="s">
        <v>39</v>
      </c>
      <c r="L93" s="3" t="s">
        <v>49</v>
      </c>
      <c r="M93">
        <v>2</v>
      </c>
    </row>
    <row r="94" spans="1:13" x14ac:dyDescent="0.25">
      <c r="A94" s="2">
        <v>46161</v>
      </c>
      <c r="B94" s="1" t="str">
        <f ca="1">IF(Información1[[#This Row],[Fecha]]='Ajuste de fechas'!$A$2,"Día actual","Día anterior")</f>
        <v>Día actual</v>
      </c>
      <c r="C94" s="3" t="s">
        <v>37</v>
      </c>
      <c r="D94" t="s">
        <v>38</v>
      </c>
      <c r="E94" s="3" t="s">
        <v>210</v>
      </c>
      <c r="F94" s="3" t="s">
        <v>19</v>
      </c>
      <c r="G94" s="3" t="s">
        <v>211</v>
      </c>
      <c r="H94" s="3" t="s">
        <v>11</v>
      </c>
      <c r="I94" s="3" t="s">
        <v>7</v>
      </c>
      <c r="J94" s="3" t="s">
        <v>52</v>
      </c>
      <c r="K94" s="3" t="s">
        <v>39</v>
      </c>
      <c r="L94" s="3" t="s">
        <v>54</v>
      </c>
      <c r="M94">
        <v>2</v>
      </c>
    </row>
    <row r="95" spans="1:13" x14ac:dyDescent="0.25">
      <c r="A95" s="2">
        <v>46161</v>
      </c>
      <c r="B95" s="1" t="str">
        <f ca="1">IF(Información1[[#This Row],[Fecha]]='Ajuste de fechas'!$A$2,"Día actual","Día anterior")</f>
        <v>Día actual</v>
      </c>
      <c r="C95" s="3" t="s">
        <v>37</v>
      </c>
      <c r="D95" t="s">
        <v>38</v>
      </c>
      <c r="E95" s="3" t="s">
        <v>212</v>
      </c>
      <c r="F95" s="3" t="s">
        <v>22</v>
      </c>
      <c r="G95" s="3" t="s">
        <v>213</v>
      </c>
      <c r="H95" s="3" t="s">
        <v>11</v>
      </c>
      <c r="I95" s="3" t="s">
        <v>7</v>
      </c>
      <c r="J95" s="3" t="s">
        <v>53</v>
      </c>
      <c r="K95" s="3" t="s">
        <v>39</v>
      </c>
      <c r="L95" s="3" t="s">
        <v>49</v>
      </c>
      <c r="M95">
        <v>2</v>
      </c>
    </row>
    <row r="96" spans="1:13" x14ac:dyDescent="0.25">
      <c r="A96" s="2">
        <v>46161</v>
      </c>
      <c r="B96" s="1" t="str">
        <f ca="1">IF(Información1[[#This Row],[Fecha]]='Ajuste de fechas'!$A$2,"Día actual","Día anterior")</f>
        <v>Día actual</v>
      </c>
      <c r="C96" s="3" t="s">
        <v>37</v>
      </c>
      <c r="D96" t="s">
        <v>38</v>
      </c>
      <c r="E96" s="3" t="s">
        <v>214</v>
      </c>
      <c r="F96" s="3" t="s">
        <v>63</v>
      </c>
      <c r="G96" s="3" t="s">
        <v>213</v>
      </c>
      <c r="H96" s="3" t="s">
        <v>11</v>
      </c>
      <c r="I96" s="3" t="s">
        <v>7</v>
      </c>
      <c r="J96" s="3" t="s">
        <v>48</v>
      </c>
      <c r="K96" s="3" t="s">
        <v>39</v>
      </c>
      <c r="L96" s="3" t="s">
        <v>51</v>
      </c>
      <c r="M96">
        <v>2</v>
      </c>
    </row>
    <row r="97" spans="1:13" x14ac:dyDescent="0.25">
      <c r="A97" s="2">
        <v>46161</v>
      </c>
      <c r="B97" s="1" t="str">
        <f ca="1">IF(Información1[[#This Row],[Fecha]]='Ajuste de fechas'!$A$2,"Día actual","Día anterior")</f>
        <v>Día actual</v>
      </c>
      <c r="C97" s="3" t="s">
        <v>37</v>
      </c>
      <c r="D97" t="s">
        <v>38</v>
      </c>
      <c r="E97" s="3" t="s">
        <v>215</v>
      </c>
      <c r="F97" s="3" t="s">
        <v>63</v>
      </c>
      <c r="G97" s="3" t="s">
        <v>216</v>
      </c>
      <c r="H97" s="3" t="s">
        <v>11</v>
      </c>
      <c r="I97" s="3" t="s">
        <v>7</v>
      </c>
      <c r="J97" s="3" t="s">
        <v>48</v>
      </c>
      <c r="K97" s="3" t="s">
        <v>39</v>
      </c>
      <c r="L97" s="3" t="s">
        <v>49</v>
      </c>
      <c r="M97">
        <v>2</v>
      </c>
    </row>
    <row r="98" spans="1:13" x14ac:dyDescent="0.25">
      <c r="A98" s="2">
        <v>46161</v>
      </c>
      <c r="B98" s="1" t="str">
        <f ca="1">IF(Información1[[#This Row],[Fecha]]='Ajuste de fechas'!$A$2,"Día actual","Día anterior")</f>
        <v>Día actual</v>
      </c>
      <c r="C98" s="3" t="s">
        <v>37</v>
      </c>
      <c r="D98" t="s">
        <v>38</v>
      </c>
      <c r="E98" s="3" t="s">
        <v>217</v>
      </c>
      <c r="F98" s="3" t="s">
        <v>19</v>
      </c>
      <c r="G98" s="3" t="s">
        <v>71</v>
      </c>
      <c r="H98" s="3" t="s">
        <v>11</v>
      </c>
      <c r="I98" s="3" t="s">
        <v>25</v>
      </c>
      <c r="J98" s="3" t="s">
        <v>52</v>
      </c>
      <c r="K98" s="3" t="s">
        <v>39</v>
      </c>
      <c r="L98" s="3" t="s">
        <v>49</v>
      </c>
      <c r="M98">
        <v>2</v>
      </c>
    </row>
    <row r="99" spans="1:13" x14ac:dyDescent="0.25">
      <c r="A99" s="2">
        <v>46161</v>
      </c>
      <c r="B99" s="1" t="str">
        <f ca="1">IF(Información1[[#This Row],[Fecha]]='Ajuste de fechas'!$A$2,"Día actual","Día anterior")</f>
        <v>Día actual</v>
      </c>
      <c r="C99" s="3" t="s">
        <v>37</v>
      </c>
      <c r="D99" t="s">
        <v>38</v>
      </c>
      <c r="E99" s="3" t="s">
        <v>218</v>
      </c>
      <c r="F99" s="3" t="s">
        <v>63</v>
      </c>
      <c r="G99" s="3" t="s">
        <v>219</v>
      </c>
      <c r="H99" s="3" t="s">
        <v>11</v>
      </c>
      <c r="I99" s="3" t="s">
        <v>7</v>
      </c>
      <c r="J99" s="3" t="s">
        <v>48</v>
      </c>
      <c r="K99" s="3" t="s">
        <v>39</v>
      </c>
      <c r="L99" s="3" t="s">
        <v>51</v>
      </c>
      <c r="M99">
        <v>2</v>
      </c>
    </row>
    <row r="100" spans="1:13" x14ac:dyDescent="0.25">
      <c r="A100" s="2">
        <v>46161</v>
      </c>
      <c r="B100" s="1" t="str">
        <f ca="1">IF(Información1[[#This Row],[Fecha]]='Ajuste de fechas'!$A$2,"Día actual","Día anterior")</f>
        <v>Día actual</v>
      </c>
      <c r="C100" s="3" t="s">
        <v>37</v>
      </c>
      <c r="D100" t="s">
        <v>38</v>
      </c>
      <c r="E100" s="3" t="s">
        <v>220</v>
      </c>
      <c r="F100" s="3" t="s">
        <v>23</v>
      </c>
      <c r="G100" s="3" t="s">
        <v>221</v>
      </c>
      <c r="H100" s="3" t="s">
        <v>11</v>
      </c>
      <c r="I100" s="3" t="s">
        <v>7</v>
      </c>
      <c r="J100" s="3" t="s">
        <v>48</v>
      </c>
      <c r="K100" s="3" t="s">
        <v>39</v>
      </c>
      <c r="L100" s="3" t="s">
        <v>51</v>
      </c>
      <c r="M100">
        <v>2</v>
      </c>
    </row>
    <row r="101" spans="1:13" x14ac:dyDescent="0.25">
      <c r="A101" s="2">
        <v>46161</v>
      </c>
      <c r="B101" s="1" t="str">
        <f ca="1">IF(Información1[[#This Row],[Fecha]]='Ajuste de fechas'!$A$2,"Día actual","Día anterior")</f>
        <v>Día actual</v>
      </c>
      <c r="C101" s="3" t="s">
        <v>37</v>
      </c>
      <c r="D101" t="s">
        <v>38</v>
      </c>
      <c r="E101" s="3" t="s">
        <v>222</v>
      </c>
      <c r="F101" s="3" t="s">
        <v>22</v>
      </c>
      <c r="G101" s="3" t="s">
        <v>223</v>
      </c>
      <c r="H101" s="3" t="s">
        <v>11</v>
      </c>
      <c r="I101" s="3" t="s">
        <v>7</v>
      </c>
      <c r="J101" s="3" t="s">
        <v>53</v>
      </c>
      <c r="K101" s="3" t="s">
        <v>39</v>
      </c>
      <c r="L101" s="3" t="s">
        <v>49</v>
      </c>
      <c r="M101">
        <v>2</v>
      </c>
    </row>
    <row r="102" spans="1:13" x14ac:dyDescent="0.25">
      <c r="A102" s="2">
        <v>46161</v>
      </c>
      <c r="B102" s="1" t="str">
        <f ca="1">IF(Información1[[#This Row],[Fecha]]='Ajuste de fechas'!$A$2,"Día actual","Día anterior")</f>
        <v>Día actual</v>
      </c>
      <c r="C102" s="3" t="s">
        <v>37</v>
      </c>
      <c r="D102" t="s">
        <v>38</v>
      </c>
      <c r="E102" s="3" t="s">
        <v>224</v>
      </c>
      <c r="F102" s="3" t="s">
        <v>22</v>
      </c>
      <c r="G102" s="3" t="s">
        <v>225</v>
      </c>
      <c r="H102" s="3" t="s">
        <v>11</v>
      </c>
      <c r="I102" s="3" t="s">
        <v>25</v>
      </c>
      <c r="J102" s="3" t="s">
        <v>53</v>
      </c>
      <c r="K102" s="3" t="s">
        <v>39</v>
      </c>
      <c r="L102" s="3" t="s">
        <v>49</v>
      </c>
      <c r="M102">
        <v>2</v>
      </c>
    </row>
    <row r="103" spans="1:13" x14ac:dyDescent="0.25">
      <c r="A103" s="2">
        <v>46161</v>
      </c>
      <c r="B103" s="1" t="str">
        <f ca="1">IF(Información1[[#This Row],[Fecha]]='Ajuste de fechas'!$A$2,"Día actual","Día anterior")</f>
        <v>Día actual</v>
      </c>
      <c r="C103" s="3" t="s">
        <v>37</v>
      </c>
      <c r="D103" t="s">
        <v>38</v>
      </c>
      <c r="E103" s="3" t="s">
        <v>73</v>
      </c>
      <c r="F103" s="3" t="s">
        <v>19</v>
      </c>
      <c r="G103" s="3" t="s">
        <v>33</v>
      </c>
      <c r="H103" s="3" t="s">
        <v>11</v>
      </c>
      <c r="I103" s="3" t="s">
        <v>25</v>
      </c>
      <c r="J103" s="3" t="s">
        <v>52</v>
      </c>
      <c r="K103" s="3" t="s">
        <v>39</v>
      </c>
      <c r="L103" s="3" t="s">
        <v>49</v>
      </c>
      <c r="M103">
        <v>2</v>
      </c>
    </row>
    <row r="104" spans="1:13" x14ac:dyDescent="0.25">
      <c r="A104" s="2">
        <v>46161</v>
      </c>
      <c r="B104" s="1" t="str">
        <f ca="1">IF(Información1[[#This Row],[Fecha]]='Ajuste de fechas'!$A$2,"Día actual","Día anterior")</f>
        <v>Día actual</v>
      </c>
      <c r="C104" s="3" t="s">
        <v>37</v>
      </c>
      <c r="D104" t="s">
        <v>38</v>
      </c>
      <c r="E104" s="3" t="s">
        <v>226</v>
      </c>
      <c r="F104" s="3" t="s">
        <v>63</v>
      </c>
      <c r="G104" s="3" t="s">
        <v>90</v>
      </c>
      <c r="H104" s="3" t="s">
        <v>11</v>
      </c>
      <c r="I104" s="3" t="s">
        <v>25</v>
      </c>
      <c r="J104" s="3" t="s">
        <v>48</v>
      </c>
      <c r="K104" s="3" t="s">
        <v>39</v>
      </c>
      <c r="L104" s="3" t="s">
        <v>49</v>
      </c>
      <c r="M104">
        <v>2</v>
      </c>
    </row>
    <row r="105" spans="1:13" x14ac:dyDescent="0.25">
      <c r="A105" s="2">
        <v>46161</v>
      </c>
      <c r="B105" s="1" t="str">
        <f ca="1">IF(Información1[[#This Row],[Fecha]]='Ajuste de fechas'!$A$2,"Día actual","Día anterior")</f>
        <v>Día actual</v>
      </c>
      <c r="C105" s="3" t="s">
        <v>37</v>
      </c>
      <c r="D105" t="s">
        <v>38</v>
      </c>
      <c r="E105" s="3" t="s">
        <v>227</v>
      </c>
      <c r="F105" s="3" t="s">
        <v>63</v>
      </c>
      <c r="G105" s="3" t="s">
        <v>70</v>
      </c>
      <c r="H105" s="3" t="s">
        <v>11</v>
      </c>
      <c r="I105" s="3" t="s">
        <v>25</v>
      </c>
      <c r="J105" s="3" t="s">
        <v>48</v>
      </c>
      <c r="K105" s="3" t="s">
        <v>39</v>
      </c>
      <c r="L105" s="3" t="s">
        <v>49</v>
      </c>
      <c r="M105">
        <v>2</v>
      </c>
    </row>
    <row r="106" spans="1:13" x14ac:dyDescent="0.25">
      <c r="A106" s="2">
        <v>46161</v>
      </c>
      <c r="B106" s="1" t="str">
        <f ca="1">IF(Información1[[#This Row],[Fecha]]='Ajuste de fechas'!$A$2,"Día actual","Día anterior")</f>
        <v>Día actual</v>
      </c>
      <c r="C106" s="3" t="s">
        <v>37</v>
      </c>
      <c r="D106" t="s">
        <v>38</v>
      </c>
      <c r="E106" s="3" t="s">
        <v>228</v>
      </c>
      <c r="F106" s="3" t="s">
        <v>63</v>
      </c>
      <c r="G106" s="3" t="s">
        <v>95</v>
      </c>
      <c r="H106" s="3" t="s">
        <v>11</v>
      </c>
      <c r="I106" s="3" t="s">
        <v>7</v>
      </c>
      <c r="J106" s="3" t="s">
        <v>48</v>
      </c>
      <c r="K106" s="3" t="s">
        <v>39</v>
      </c>
      <c r="L106" s="3" t="s">
        <v>49</v>
      </c>
      <c r="M106">
        <v>2</v>
      </c>
    </row>
    <row r="107" spans="1:13" x14ac:dyDescent="0.25">
      <c r="A107" s="2">
        <v>46161</v>
      </c>
      <c r="B107" s="1" t="str">
        <f ca="1">IF(Información1[[#This Row],[Fecha]]='Ajuste de fechas'!$A$2,"Día actual","Día anterior")</f>
        <v>Día actual</v>
      </c>
      <c r="C107" s="3" t="s">
        <v>37</v>
      </c>
      <c r="D107" t="s">
        <v>38</v>
      </c>
      <c r="E107" s="3" t="s">
        <v>229</v>
      </c>
      <c r="F107" s="3" t="s">
        <v>19</v>
      </c>
      <c r="G107" s="3"/>
      <c r="H107" s="3" t="s">
        <v>11</v>
      </c>
      <c r="I107" s="3" t="s">
        <v>7</v>
      </c>
      <c r="J107" s="3" t="s">
        <v>52</v>
      </c>
      <c r="K107" s="3" t="s">
        <v>39</v>
      </c>
      <c r="L107" s="3" t="s">
        <v>49</v>
      </c>
      <c r="M107">
        <v>1</v>
      </c>
    </row>
    <row r="108" spans="1:13" x14ac:dyDescent="0.25">
      <c r="A108" s="2">
        <v>46161</v>
      </c>
      <c r="B108" s="1" t="str">
        <f ca="1">IF(Información1[[#This Row],[Fecha]]='Ajuste de fechas'!$A$2,"Día actual","Día anterior")</f>
        <v>Día actual</v>
      </c>
      <c r="C108" s="3" t="s">
        <v>37</v>
      </c>
      <c r="D108" t="s">
        <v>38</v>
      </c>
      <c r="E108" s="3" t="s">
        <v>230</v>
      </c>
      <c r="F108" s="3" t="s">
        <v>19</v>
      </c>
      <c r="G108" s="3" t="s">
        <v>231</v>
      </c>
      <c r="H108" s="3" t="s">
        <v>11</v>
      </c>
      <c r="I108" s="3" t="s">
        <v>7</v>
      </c>
      <c r="J108" s="3" t="s">
        <v>52</v>
      </c>
      <c r="K108" s="3" t="s">
        <v>39</v>
      </c>
      <c r="L108" s="3" t="s">
        <v>49</v>
      </c>
      <c r="M108">
        <v>2</v>
      </c>
    </row>
    <row r="109" spans="1:13" x14ac:dyDescent="0.25">
      <c r="A109" s="2">
        <v>46161</v>
      </c>
      <c r="B109" s="1" t="str">
        <f ca="1">IF(Información1[[#This Row],[Fecha]]='Ajuste de fechas'!$A$2,"Día actual","Día anterior")</f>
        <v>Día actual</v>
      </c>
      <c r="C109" s="3" t="s">
        <v>37</v>
      </c>
      <c r="D109" t="s">
        <v>38</v>
      </c>
      <c r="E109" s="3" t="s">
        <v>232</v>
      </c>
      <c r="F109" s="3" t="s">
        <v>19</v>
      </c>
      <c r="G109" s="3" t="s">
        <v>233</v>
      </c>
      <c r="H109" s="3" t="s">
        <v>11</v>
      </c>
      <c r="I109" s="3" t="s">
        <v>25</v>
      </c>
      <c r="J109" s="3" t="s">
        <v>52</v>
      </c>
      <c r="K109" s="3" t="s">
        <v>39</v>
      </c>
      <c r="L109" s="3" t="s">
        <v>50</v>
      </c>
      <c r="M109">
        <v>2</v>
      </c>
    </row>
    <row r="110" spans="1:13" x14ac:dyDescent="0.25">
      <c r="A110" s="2">
        <v>46161</v>
      </c>
      <c r="B110" s="1" t="str">
        <f ca="1">IF(Información1[[#This Row],[Fecha]]='Ajuste de fechas'!$A$2,"Día actual","Día anterior")</f>
        <v>Día actual</v>
      </c>
      <c r="C110" s="3" t="s">
        <v>37</v>
      </c>
      <c r="D110" t="s">
        <v>38</v>
      </c>
      <c r="E110" s="3" t="s">
        <v>234</v>
      </c>
      <c r="F110" s="3" t="s">
        <v>19</v>
      </c>
      <c r="G110" s="3" t="s">
        <v>233</v>
      </c>
      <c r="H110" s="3" t="s">
        <v>11</v>
      </c>
      <c r="I110" s="3" t="s">
        <v>25</v>
      </c>
      <c r="J110" s="3" t="s">
        <v>52</v>
      </c>
      <c r="K110" s="3" t="s">
        <v>39</v>
      </c>
      <c r="L110" s="3" t="s">
        <v>50</v>
      </c>
      <c r="M110">
        <v>2</v>
      </c>
    </row>
    <row r="111" spans="1:13" x14ac:dyDescent="0.25">
      <c r="A111" s="2">
        <v>46161</v>
      </c>
      <c r="B111" s="1" t="str">
        <f ca="1">IF(Información1[[#This Row],[Fecha]]='Ajuste de fechas'!$A$2,"Día actual","Día anterior")</f>
        <v>Día actual</v>
      </c>
      <c r="C111" s="3" t="s">
        <v>37</v>
      </c>
      <c r="D111" t="s">
        <v>38</v>
      </c>
      <c r="E111" s="3" t="s">
        <v>235</v>
      </c>
      <c r="F111" s="3" t="s">
        <v>19</v>
      </c>
      <c r="G111" s="3" t="s">
        <v>236</v>
      </c>
      <c r="H111" s="3" t="s">
        <v>11</v>
      </c>
      <c r="I111" s="3" t="s">
        <v>25</v>
      </c>
      <c r="J111" s="3" t="s">
        <v>52</v>
      </c>
      <c r="K111" s="3" t="s">
        <v>39</v>
      </c>
      <c r="L111" s="3" t="s">
        <v>49</v>
      </c>
      <c r="M111">
        <v>2</v>
      </c>
    </row>
    <row r="112" spans="1:13" x14ac:dyDescent="0.25">
      <c r="A112" s="2">
        <v>46161</v>
      </c>
      <c r="B112" s="1" t="str">
        <f ca="1">IF(Información1[[#This Row],[Fecha]]='Ajuste de fechas'!$A$2,"Día actual","Día anterior")</f>
        <v>Día actual</v>
      </c>
      <c r="C112" s="3" t="s">
        <v>37</v>
      </c>
      <c r="D112" t="s">
        <v>38</v>
      </c>
      <c r="E112" s="3" t="s">
        <v>237</v>
      </c>
      <c r="F112" s="3" t="s">
        <v>19</v>
      </c>
      <c r="G112" s="3" t="s">
        <v>236</v>
      </c>
      <c r="H112" s="3" t="s">
        <v>11</v>
      </c>
      <c r="I112" s="3" t="s">
        <v>7</v>
      </c>
      <c r="J112" s="3" t="s">
        <v>52</v>
      </c>
      <c r="K112" s="3" t="s">
        <v>39</v>
      </c>
      <c r="L112" s="3" t="s">
        <v>49</v>
      </c>
      <c r="M112">
        <v>2</v>
      </c>
    </row>
    <row r="113" spans="1:13" x14ac:dyDescent="0.25">
      <c r="A113" s="2">
        <v>46161</v>
      </c>
      <c r="B113" s="1" t="str">
        <f ca="1">IF(Información1[[#This Row],[Fecha]]='Ajuste de fechas'!$A$2,"Día actual","Día anterior")</f>
        <v>Día actual</v>
      </c>
      <c r="C113" s="3" t="s">
        <v>37</v>
      </c>
      <c r="D113" t="s">
        <v>38</v>
      </c>
      <c r="E113" s="3" t="s">
        <v>238</v>
      </c>
      <c r="F113" s="3" t="s">
        <v>19</v>
      </c>
      <c r="G113" s="3" t="s">
        <v>236</v>
      </c>
      <c r="H113" s="3" t="s">
        <v>11</v>
      </c>
      <c r="I113" s="3" t="s">
        <v>25</v>
      </c>
      <c r="J113" s="3" t="s">
        <v>52</v>
      </c>
      <c r="K113" s="3" t="s">
        <v>39</v>
      </c>
      <c r="L113" s="3" t="s">
        <v>49</v>
      </c>
      <c r="M113">
        <v>2</v>
      </c>
    </row>
    <row r="114" spans="1:13" x14ac:dyDescent="0.25">
      <c r="A114" s="2">
        <v>46161</v>
      </c>
      <c r="B114" s="1" t="str">
        <f ca="1">IF(Información1[[#This Row],[Fecha]]='Ajuste de fechas'!$A$2,"Día actual","Día anterior")</f>
        <v>Día actual</v>
      </c>
      <c r="C114" s="3" t="s">
        <v>34</v>
      </c>
      <c r="D114" t="s">
        <v>35</v>
      </c>
      <c r="E114" s="3" t="s">
        <v>239</v>
      </c>
      <c r="F114" s="3" t="s">
        <v>15</v>
      </c>
      <c r="G114" s="3" t="s">
        <v>200</v>
      </c>
      <c r="H114" s="3" t="s">
        <v>32</v>
      </c>
      <c r="I114" s="3" t="s">
        <v>25</v>
      </c>
      <c r="J114" s="3" t="s">
        <v>48</v>
      </c>
      <c r="K114" s="3" t="s">
        <v>27</v>
      </c>
      <c r="L114" s="3" t="s">
        <v>50</v>
      </c>
      <c r="M114">
        <v>2</v>
      </c>
    </row>
    <row r="115" spans="1:13" x14ac:dyDescent="0.25">
      <c r="A115" s="2">
        <v>46161</v>
      </c>
      <c r="B115" s="1" t="str">
        <f ca="1">IF(Información1[[#This Row],[Fecha]]='Ajuste de fechas'!$A$2,"Día actual","Día anterior")</f>
        <v>Día actual</v>
      </c>
      <c r="C115" s="3" t="s">
        <v>37</v>
      </c>
      <c r="D115" t="s">
        <v>38</v>
      </c>
      <c r="E115" s="3" t="s">
        <v>205</v>
      </c>
      <c r="F115" s="3" t="s">
        <v>22</v>
      </c>
      <c r="G115" s="3" t="s">
        <v>257</v>
      </c>
      <c r="H115" s="3" t="s">
        <v>11</v>
      </c>
      <c r="I115" s="3" t="s">
        <v>7</v>
      </c>
      <c r="J115" s="3" t="s">
        <v>53</v>
      </c>
      <c r="K115" s="3" t="s">
        <v>39</v>
      </c>
      <c r="L115" s="3" t="s">
        <v>49</v>
      </c>
      <c r="M115">
        <v>1</v>
      </c>
    </row>
    <row r="116" spans="1:13" x14ac:dyDescent="0.25">
      <c r="A116" s="2">
        <v>46161</v>
      </c>
      <c r="B116" s="1" t="str">
        <f ca="1">IF(Información1[[#This Row],[Fecha]]='Ajuste de fechas'!$A$2,"Día actual","Día anterior")</f>
        <v>Día actual</v>
      </c>
      <c r="C116" s="3" t="s">
        <v>37</v>
      </c>
      <c r="D116" t="s">
        <v>38</v>
      </c>
      <c r="E116" s="3" t="s">
        <v>229</v>
      </c>
      <c r="F116" s="3" t="s">
        <v>19</v>
      </c>
      <c r="G116" s="3" t="s">
        <v>246</v>
      </c>
      <c r="H116" s="3" t="s">
        <v>11</v>
      </c>
      <c r="I116" s="3" t="s">
        <v>7</v>
      </c>
      <c r="J116" s="3" t="s">
        <v>52</v>
      </c>
      <c r="K116" s="3" t="s">
        <v>39</v>
      </c>
      <c r="L116" s="3" t="s">
        <v>49</v>
      </c>
      <c r="M116">
        <v>1</v>
      </c>
    </row>
    <row r="117" spans="1:13" x14ac:dyDescent="0.25">
      <c r="A117" s="2">
        <v>46161</v>
      </c>
      <c r="B117" s="1" t="str">
        <f ca="1">IF(Información1[[#This Row],[Fecha]]='Ajuste de fechas'!$A$2,"Día actual","Día anterior")</f>
        <v>Día actual</v>
      </c>
      <c r="C117" s="3" t="s">
        <v>80</v>
      </c>
      <c r="D117" t="s">
        <v>81</v>
      </c>
      <c r="E117" s="3" t="s">
        <v>258</v>
      </c>
      <c r="F117" s="3" t="s">
        <v>19</v>
      </c>
      <c r="G117" s="3" t="s">
        <v>92</v>
      </c>
      <c r="H117" s="3" t="s">
        <v>11</v>
      </c>
      <c r="I117" s="3" t="s">
        <v>7</v>
      </c>
      <c r="J117" s="3" t="s">
        <v>52</v>
      </c>
      <c r="K117" s="3" t="s">
        <v>82</v>
      </c>
      <c r="L117" s="3" t="s">
        <v>54</v>
      </c>
      <c r="M117">
        <v>1</v>
      </c>
    </row>
    <row r="118" spans="1:13" x14ac:dyDescent="0.25">
      <c r="A118" s="2">
        <v>46161</v>
      </c>
      <c r="B118" s="1" t="str">
        <f ca="1">IF(Información1[[#This Row],[Fecha]]='Ajuste de fechas'!$A$2,"Día actual","Día anterior")</f>
        <v>Día actual</v>
      </c>
      <c r="C118" s="3" t="s">
        <v>80</v>
      </c>
      <c r="D118" t="s">
        <v>81</v>
      </c>
      <c r="E118" s="3" t="s">
        <v>259</v>
      </c>
      <c r="F118" s="3" t="s">
        <v>63</v>
      </c>
      <c r="G118" s="3" t="s">
        <v>79</v>
      </c>
      <c r="H118" s="3" t="s">
        <v>11</v>
      </c>
      <c r="I118" s="3" t="s">
        <v>7</v>
      </c>
      <c r="J118" s="3" t="s">
        <v>48</v>
      </c>
      <c r="K118" s="3" t="s">
        <v>82</v>
      </c>
      <c r="L118" s="3" t="s">
        <v>49</v>
      </c>
      <c r="M118">
        <v>1</v>
      </c>
    </row>
    <row r="119" spans="1:13" x14ac:dyDescent="0.25">
      <c r="A119" s="2">
        <v>46161</v>
      </c>
      <c r="B119" s="1" t="str">
        <f ca="1">IF(Información1[[#This Row],[Fecha]]='Ajuste de fechas'!$A$2,"Día actual","Día anterior")</f>
        <v>Día actual</v>
      </c>
      <c r="C119" s="3" t="s">
        <v>80</v>
      </c>
      <c r="D119" t="s">
        <v>81</v>
      </c>
      <c r="E119" s="3" t="s">
        <v>260</v>
      </c>
      <c r="F119" s="3" t="s">
        <v>63</v>
      </c>
      <c r="G119" s="3" t="s">
        <v>85</v>
      </c>
      <c r="H119" s="3" t="s">
        <v>11</v>
      </c>
      <c r="I119" s="3" t="s">
        <v>7</v>
      </c>
      <c r="J119" s="3" t="s">
        <v>48</v>
      </c>
      <c r="K119" s="3" t="s">
        <v>82</v>
      </c>
      <c r="L119" s="3" t="s">
        <v>49</v>
      </c>
      <c r="M119">
        <v>1</v>
      </c>
    </row>
    <row r="120" spans="1:13" x14ac:dyDescent="0.25">
      <c r="A120" s="2">
        <v>46161</v>
      </c>
      <c r="B120" s="1" t="str">
        <f ca="1">IF(Información1[[#This Row],[Fecha]]='Ajuste de fechas'!$A$2,"Día actual","Día anterior")</f>
        <v>Día actual</v>
      </c>
      <c r="C120" s="3" t="s">
        <v>83</v>
      </c>
      <c r="D120" t="s">
        <v>84</v>
      </c>
      <c r="E120" s="3" t="s">
        <v>261</v>
      </c>
      <c r="F120" s="3" t="s">
        <v>15</v>
      </c>
      <c r="G120" s="3" t="s">
        <v>204</v>
      </c>
      <c r="H120" s="3" t="s">
        <v>11</v>
      </c>
      <c r="I120" s="3" t="s">
        <v>7</v>
      </c>
      <c r="J120" s="3" t="s">
        <v>48</v>
      </c>
      <c r="K120" s="3" t="s">
        <v>86</v>
      </c>
      <c r="L120" s="3" t="s">
        <v>51</v>
      </c>
      <c r="M120">
        <v>1</v>
      </c>
    </row>
    <row r="121" spans="1:13" x14ac:dyDescent="0.25">
      <c r="A121" s="2">
        <v>46161</v>
      </c>
      <c r="B121" s="1" t="str">
        <f ca="1">IF(Información1[[#This Row],[Fecha]]='Ajuste de fechas'!$A$2,"Día actual","Día anterior")</f>
        <v>Día actual</v>
      </c>
      <c r="C121" s="3" t="s">
        <v>83</v>
      </c>
      <c r="D121" t="s">
        <v>84</v>
      </c>
      <c r="E121" s="3" t="s">
        <v>262</v>
      </c>
      <c r="F121" s="3" t="s">
        <v>63</v>
      </c>
      <c r="G121" s="3" t="s">
        <v>213</v>
      </c>
      <c r="H121" s="3" t="s">
        <v>11</v>
      </c>
      <c r="I121" s="3" t="s">
        <v>7</v>
      </c>
      <c r="J121" s="3" t="s">
        <v>48</v>
      </c>
      <c r="K121" s="3" t="s">
        <v>86</v>
      </c>
      <c r="L121" s="3" t="s">
        <v>51</v>
      </c>
      <c r="M121">
        <v>1</v>
      </c>
    </row>
    <row r="122" spans="1:13" x14ac:dyDescent="0.25">
      <c r="A122" s="2">
        <v>46161</v>
      </c>
      <c r="B122" s="1" t="str">
        <f ca="1">IF(Información1[[#This Row],[Fecha]]='Ajuste de fechas'!$A$2,"Día actual","Día anterior")</f>
        <v>Día actual</v>
      </c>
      <c r="C122" s="3" t="s">
        <v>83</v>
      </c>
      <c r="D122" t="s">
        <v>84</v>
      </c>
      <c r="E122" s="3" t="s">
        <v>263</v>
      </c>
      <c r="F122" s="3" t="s">
        <v>23</v>
      </c>
      <c r="G122" s="3" t="s">
        <v>221</v>
      </c>
      <c r="H122" s="3" t="s">
        <v>11</v>
      </c>
      <c r="I122" s="3" t="s">
        <v>7</v>
      </c>
      <c r="J122" s="3" t="s">
        <v>48</v>
      </c>
      <c r="K122" s="3" t="s">
        <v>86</v>
      </c>
      <c r="L122" s="3" t="s">
        <v>51</v>
      </c>
      <c r="M122">
        <v>1</v>
      </c>
    </row>
    <row r="123" spans="1:13" x14ac:dyDescent="0.25">
      <c r="A123" s="2">
        <v>46161</v>
      </c>
      <c r="B123" s="1" t="str">
        <f ca="1">IF(Información1[[#This Row],[Fecha]]='Ajuste de fechas'!$A$2,"Día actual","Día anterior")</f>
        <v>Día actual</v>
      </c>
      <c r="C123" s="3" t="s">
        <v>83</v>
      </c>
      <c r="D123" t="s">
        <v>84</v>
      </c>
      <c r="E123" s="3" t="s">
        <v>264</v>
      </c>
      <c r="F123" s="3" t="s">
        <v>21</v>
      </c>
      <c r="G123" s="3" t="s">
        <v>194</v>
      </c>
      <c r="H123" s="3" t="s">
        <v>11</v>
      </c>
      <c r="I123" s="3" t="s">
        <v>7</v>
      </c>
      <c r="J123" s="3" t="s">
        <v>48</v>
      </c>
      <c r="K123" s="3" t="s">
        <v>86</v>
      </c>
      <c r="L123" s="3" t="s">
        <v>51</v>
      </c>
      <c r="M123">
        <v>1</v>
      </c>
    </row>
    <row r="124" spans="1:13" x14ac:dyDescent="0.25">
      <c r="A124" s="2">
        <v>46161</v>
      </c>
      <c r="B124" s="1" t="str">
        <f ca="1">IF(Información1[[#This Row],[Fecha]]='Ajuste de fechas'!$A$2,"Día actual","Día anterior")</f>
        <v>Día actual</v>
      </c>
      <c r="C124" s="3" t="s">
        <v>83</v>
      </c>
      <c r="D124" t="s">
        <v>84</v>
      </c>
      <c r="E124" s="3" t="s">
        <v>265</v>
      </c>
      <c r="F124" s="3" t="s">
        <v>266</v>
      </c>
      <c r="G124" s="3" t="s">
        <v>267</v>
      </c>
      <c r="H124" s="3" t="s">
        <v>11</v>
      </c>
      <c r="I124" s="3" t="s">
        <v>12</v>
      </c>
      <c r="J124" s="3" t="s">
        <v>48</v>
      </c>
      <c r="K124" s="3" t="s">
        <v>86</v>
      </c>
      <c r="L124" s="3" t="s">
        <v>268</v>
      </c>
      <c r="M124">
        <v>1</v>
      </c>
    </row>
    <row r="125" spans="1:13" x14ac:dyDescent="0.25">
      <c r="A125" s="2">
        <v>46161</v>
      </c>
      <c r="B125" s="1" t="str">
        <f ca="1">IF(Información1[[#This Row],[Fecha]]='Ajuste de fechas'!$A$2,"Día actual","Día anterior")</f>
        <v>Día actual</v>
      </c>
      <c r="C125" s="3" t="s">
        <v>83</v>
      </c>
      <c r="D125" t="s">
        <v>84</v>
      </c>
      <c r="E125" s="3" t="s">
        <v>269</v>
      </c>
      <c r="F125" s="3" t="s">
        <v>23</v>
      </c>
      <c r="G125" s="3" t="s">
        <v>270</v>
      </c>
      <c r="H125" s="3" t="s">
        <v>11</v>
      </c>
      <c r="I125" s="3" t="s">
        <v>7</v>
      </c>
      <c r="J125" s="3" t="s">
        <v>48</v>
      </c>
      <c r="K125" s="3" t="s">
        <v>86</v>
      </c>
      <c r="L125" s="3" t="s">
        <v>51</v>
      </c>
      <c r="M125">
        <v>1</v>
      </c>
    </row>
    <row r="126" spans="1:13" x14ac:dyDescent="0.25">
      <c r="A126" s="2">
        <v>46161</v>
      </c>
      <c r="B126" s="1" t="str">
        <f ca="1">IF(Información1[[#This Row],[Fecha]]='Ajuste de fechas'!$A$2,"Día actual","Día anterior")</f>
        <v>Día actual</v>
      </c>
      <c r="C126" s="3" t="s">
        <v>83</v>
      </c>
      <c r="D126" t="s">
        <v>84</v>
      </c>
      <c r="E126" s="3" t="s">
        <v>271</v>
      </c>
      <c r="F126" s="3" t="s">
        <v>99</v>
      </c>
      <c r="G126" s="3" t="s">
        <v>253</v>
      </c>
      <c r="H126" s="3" t="s">
        <v>11</v>
      </c>
      <c r="I126" s="3" t="s">
        <v>7</v>
      </c>
      <c r="J126" s="3" t="s">
        <v>48</v>
      </c>
      <c r="K126" s="3" t="s">
        <v>86</v>
      </c>
      <c r="L126" s="3" t="s">
        <v>51</v>
      </c>
      <c r="M126">
        <v>1</v>
      </c>
    </row>
    <row r="127" spans="1:13" x14ac:dyDescent="0.25">
      <c r="A127" s="2">
        <v>46161</v>
      </c>
      <c r="B127" s="1" t="str">
        <f ca="1">IF(Información1[[#This Row],[Fecha]]='Ajuste de fechas'!$A$2,"Día actual","Día anterior")</f>
        <v>Día actual</v>
      </c>
      <c r="C127" s="3" t="s">
        <v>83</v>
      </c>
      <c r="D127" t="s">
        <v>84</v>
      </c>
      <c r="E127" s="3" t="s">
        <v>272</v>
      </c>
      <c r="F127" s="3" t="s">
        <v>36</v>
      </c>
      <c r="G127" s="3" t="s">
        <v>94</v>
      </c>
      <c r="H127" s="3" t="s">
        <v>11</v>
      </c>
      <c r="I127" s="3" t="s">
        <v>7</v>
      </c>
      <c r="J127" s="3" t="s">
        <v>48</v>
      </c>
      <c r="K127" s="3" t="s">
        <v>86</v>
      </c>
      <c r="L127" s="3" t="s">
        <v>51</v>
      </c>
      <c r="M127">
        <v>1</v>
      </c>
    </row>
    <row r="128" spans="1:13" x14ac:dyDescent="0.25">
      <c r="A128" s="2">
        <v>46161</v>
      </c>
      <c r="B128" s="1" t="str">
        <f ca="1">IF(Información1[[#This Row],[Fecha]]='Ajuste de fechas'!$A$2,"Día actual","Día anterior")</f>
        <v>Día actual</v>
      </c>
      <c r="C128" s="3" t="s">
        <v>83</v>
      </c>
      <c r="D128" t="s">
        <v>84</v>
      </c>
      <c r="E128" s="3" t="s">
        <v>273</v>
      </c>
      <c r="F128" s="3" t="s">
        <v>99</v>
      </c>
      <c r="G128" s="3" t="s">
        <v>255</v>
      </c>
      <c r="H128" s="3" t="s">
        <v>11</v>
      </c>
      <c r="I128" s="3" t="s">
        <v>7</v>
      </c>
      <c r="J128" s="3" t="s">
        <v>48</v>
      </c>
      <c r="K128" s="3" t="s">
        <v>86</v>
      </c>
      <c r="L128" s="3" t="s">
        <v>51</v>
      </c>
      <c r="M128">
        <v>1</v>
      </c>
    </row>
    <row r="129" spans="1:13" x14ac:dyDescent="0.25">
      <c r="A129" s="2">
        <v>46161</v>
      </c>
      <c r="B129" s="1" t="str">
        <f ca="1">IF(Información1[[#This Row],[Fecha]]='Ajuste de fechas'!$A$2,"Día actual","Día anterior")</f>
        <v>Día actual</v>
      </c>
      <c r="C129" s="3" t="s">
        <v>83</v>
      </c>
      <c r="D129" t="s">
        <v>84</v>
      </c>
      <c r="E129" s="3" t="s">
        <v>274</v>
      </c>
      <c r="F129" s="3" t="s">
        <v>99</v>
      </c>
      <c r="G129" s="3" t="s">
        <v>103</v>
      </c>
      <c r="H129" s="3" t="s">
        <v>11</v>
      </c>
      <c r="I129" s="3" t="s">
        <v>7</v>
      </c>
      <c r="J129" s="3" t="s">
        <v>48</v>
      </c>
      <c r="K129" s="3" t="s">
        <v>86</v>
      </c>
      <c r="L129" s="3" t="s">
        <v>51</v>
      </c>
      <c r="M129">
        <v>1</v>
      </c>
    </row>
    <row r="130" spans="1:13" x14ac:dyDescent="0.25">
      <c r="A130" s="2">
        <v>46161</v>
      </c>
      <c r="B130" s="1" t="str">
        <f ca="1">IF(Información1[[#This Row],[Fecha]]='Ajuste de fechas'!$A$2,"Día actual","Día anterior")</f>
        <v>Día actual</v>
      </c>
      <c r="C130" s="3" t="s">
        <v>80</v>
      </c>
      <c r="D130" t="s">
        <v>87</v>
      </c>
      <c r="E130" s="3" t="s">
        <v>275</v>
      </c>
      <c r="F130" s="3" t="s">
        <v>276</v>
      </c>
      <c r="G130" s="3" t="s">
        <v>277</v>
      </c>
      <c r="H130" s="3" t="s">
        <v>11</v>
      </c>
      <c r="I130" s="3" t="s">
        <v>7</v>
      </c>
      <c r="J130" s="3" t="s">
        <v>24</v>
      </c>
      <c r="K130" s="3" t="s">
        <v>78</v>
      </c>
      <c r="L130" s="3" t="s">
        <v>49</v>
      </c>
      <c r="M130">
        <v>1</v>
      </c>
    </row>
    <row r="131" spans="1:13" x14ac:dyDescent="0.25">
      <c r="A131" s="2">
        <v>46161</v>
      </c>
      <c r="B131" s="1" t="str">
        <f ca="1">IF(Información1[[#This Row],[Fecha]]='Ajuste de fechas'!$A$2,"Día actual","Día anterior")</f>
        <v>Día actual</v>
      </c>
      <c r="C131" s="3" t="s">
        <v>80</v>
      </c>
      <c r="D131" t="s">
        <v>87</v>
      </c>
      <c r="E131" s="3" t="s">
        <v>278</v>
      </c>
      <c r="F131" s="3" t="s">
        <v>19</v>
      </c>
      <c r="G131" s="3" t="s">
        <v>279</v>
      </c>
      <c r="H131" s="3" t="s">
        <v>11</v>
      </c>
      <c r="I131" s="3" t="s">
        <v>7</v>
      </c>
      <c r="J131" s="3" t="s">
        <v>52</v>
      </c>
      <c r="K131" s="3" t="s">
        <v>82</v>
      </c>
      <c r="L131" s="3" t="s">
        <v>49</v>
      </c>
      <c r="M131">
        <v>1</v>
      </c>
    </row>
    <row r="132" spans="1:13" x14ac:dyDescent="0.25">
      <c r="A132" s="2">
        <v>46161</v>
      </c>
      <c r="B132" s="1" t="str">
        <f ca="1">IF(Información1[[#This Row],[Fecha]]='Ajuste de fechas'!$A$2,"Día actual","Día anterior")</f>
        <v>Día actual</v>
      </c>
      <c r="C132" s="3" t="s">
        <v>80</v>
      </c>
      <c r="D132" t="s">
        <v>87</v>
      </c>
      <c r="E132" s="3" t="s">
        <v>280</v>
      </c>
      <c r="F132" s="3" t="s">
        <v>19</v>
      </c>
      <c r="G132" s="3" t="s">
        <v>181</v>
      </c>
      <c r="H132" s="3" t="s">
        <v>11</v>
      </c>
      <c r="I132" s="3" t="s">
        <v>7</v>
      </c>
      <c r="J132" s="3" t="s">
        <v>52</v>
      </c>
      <c r="K132" s="3" t="s">
        <v>82</v>
      </c>
      <c r="L132" s="3" t="s">
        <v>49</v>
      </c>
      <c r="M132">
        <v>1</v>
      </c>
    </row>
    <row r="133" spans="1:13" x14ac:dyDescent="0.25">
      <c r="A133" s="2">
        <v>46161</v>
      </c>
      <c r="B133" s="1" t="str">
        <f ca="1">IF(Información1[[#This Row],[Fecha]]='Ajuste de fechas'!$A$2,"Día actual","Día anterior")</f>
        <v>Día actual</v>
      </c>
      <c r="C133" s="3" t="s">
        <v>80</v>
      </c>
      <c r="D133" t="s">
        <v>87</v>
      </c>
      <c r="E133" s="3" t="s">
        <v>281</v>
      </c>
      <c r="F133" s="3" t="s">
        <v>266</v>
      </c>
      <c r="G133" s="3" t="s">
        <v>267</v>
      </c>
      <c r="H133" s="3" t="s">
        <v>11</v>
      </c>
      <c r="I133" s="3" t="s">
        <v>7</v>
      </c>
      <c r="J133" s="3" t="s">
        <v>48</v>
      </c>
      <c r="K133" s="3" t="s">
        <v>78</v>
      </c>
      <c r="L133" s="3" t="s">
        <v>268</v>
      </c>
      <c r="M133">
        <v>1</v>
      </c>
    </row>
    <row r="134" spans="1:13" x14ac:dyDescent="0.25">
      <c r="A134" s="2">
        <v>46161</v>
      </c>
      <c r="B134" s="1" t="str">
        <f ca="1">IF(Información1[[#This Row],[Fecha]]='Ajuste de fechas'!$A$2,"Día actual","Día anterior")</f>
        <v>Día actual</v>
      </c>
      <c r="C134" s="3" t="s">
        <v>80</v>
      </c>
      <c r="D134" t="s">
        <v>87</v>
      </c>
      <c r="E134" s="3" t="s">
        <v>282</v>
      </c>
      <c r="F134" s="3" t="s">
        <v>66</v>
      </c>
      <c r="G134" s="3" t="s">
        <v>283</v>
      </c>
      <c r="H134" s="3" t="s">
        <v>11</v>
      </c>
      <c r="I134" s="3" t="s">
        <v>7</v>
      </c>
      <c r="J134" s="3" t="s">
        <v>48</v>
      </c>
      <c r="K134" s="3" t="s">
        <v>78</v>
      </c>
      <c r="L134" s="3" t="s">
        <v>51</v>
      </c>
      <c r="M134">
        <v>1</v>
      </c>
    </row>
    <row r="135" spans="1:13" x14ac:dyDescent="0.25">
      <c r="A135" s="2">
        <v>46161</v>
      </c>
      <c r="B135" s="1" t="str">
        <f ca="1">IF(Información1[[#This Row],[Fecha]]='Ajuste de fechas'!$A$2,"Día actual","Día anterior")</f>
        <v>Día actual</v>
      </c>
      <c r="C135" s="3" t="s">
        <v>67</v>
      </c>
      <c r="D135" t="s">
        <v>68</v>
      </c>
      <c r="E135" s="3" t="s">
        <v>282</v>
      </c>
      <c r="F135" s="3" t="s">
        <v>66</v>
      </c>
      <c r="G135" s="3" t="s">
        <v>283</v>
      </c>
      <c r="H135" s="3" t="s">
        <v>11</v>
      </c>
      <c r="I135" s="3" t="s">
        <v>7</v>
      </c>
      <c r="J135" s="3" t="s">
        <v>48</v>
      </c>
      <c r="K135" s="3" t="s">
        <v>69</v>
      </c>
      <c r="L135" s="3" t="s">
        <v>51</v>
      </c>
      <c r="M135">
        <v>1</v>
      </c>
    </row>
    <row r="136" spans="1:13" x14ac:dyDescent="0.25">
      <c r="A136" s="2">
        <v>46161</v>
      </c>
      <c r="B136" s="1" t="str">
        <f ca="1">IF(Información1[[#This Row],[Fecha]]='Ajuste de fechas'!$A$2,"Día actual","Día anterior")</f>
        <v>Día actual</v>
      </c>
      <c r="C136" s="3" t="s">
        <v>28</v>
      </c>
      <c r="D136" t="s">
        <v>30</v>
      </c>
      <c r="E136" s="3" t="s">
        <v>287</v>
      </c>
      <c r="F136" s="3" t="s">
        <v>63</v>
      </c>
      <c r="G136" s="3" t="s">
        <v>85</v>
      </c>
      <c r="H136" s="3" t="s">
        <v>11</v>
      </c>
      <c r="I136" s="3" t="s">
        <v>7</v>
      </c>
      <c r="J136" s="3" t="s">
        <v>48</v>
      </c>
      <c r="K136" s="3" t="s">
        <v>41</v>
      </c>
      <c r="L136" s="3" t="s">
        <v>49</v>
      </c>
      <c r="M136">
        <v>1</v>
      </c>
    </row>
    <row r="137" spans="1:13" x14ac:dyDescent="0.25">
      <c r="A137" s="2">
        <v>46161</v>
      </c>
      <c r="B137" s="1" t="str">
        <f ca="1">IF(Información1[[#This Row],[Fecha]]='Ajuste de fechas'!$A$2,"Día actual","Día anterior")</f>
        <v>Día actual</v>
      </c>
      <c r="C137" s="3" t="s">
        <v>28</v>
      </c>
      <c r="D137" t="s">
        <v>30</v>
      </c>
      <c r="E137" s="3" t="s">
        <v>288</v>
      </c>
      <c r="F137" s="3" t="s">
        <v>22</v>
      </c>
      <c r="G137" s="3" t="s">
        <v>289</v>
      </c>
      <c r="H137" s="3" t="s">
        <v>11</v>
      </c>
      <c r="I137" s="3" t="s">
        <v>7</v>
      </c>
      <c r="J137" s="3" t="s">
        <v>53</v>
      </c>
      <c r="K137" s="3" t="s">
        <v>41</v>
      </c>
      <c r="L137" s="3" t="s">
        <v>49</v>
      </c>
      <c r="M137">
        <v>1</v>
      </c>
    </row>
    <row r="138" spans="1:13" x14ac:dyDescent="0.25">
      <c r="A138" s="2">
        <v>46161</v>
      </c>
      <c r="B138" s="1" t="str">
        <f ca="1">IF(Información1[[#This Row],[Fecha]]='Ajuste de fechas'!$A$2,"Día actual","Día anterior")</f>
        <v>Día actual</v>
      </c>
      <c r="C138" s="3" t="s">
        <v>28</v>
      </c>
      <c r="D138" t="s">
        <v>30</v>
      </c>
      <c r="E138" s="3" t="s">
        <v>290</v>
      </c>
      <c r="F138" s="3" t="s">
        <v>26</v>
      </c>
      <c r="G138" s="3" t="s">
        <v>291</v>
      </c>
      <c r="H138" s="3" t="s">
        <v>11</v>
      </c>
      <c r="I138" s="3" t="s">
        <v>7</v>
      </c>
      <c r="J138" s="3" t="s">
        <v>48</v>
      </c>
      <c r="K138" s="3" t="s">
        <v>41</v>
      </c>
      <c r="L138" s="3" t="s">
        <v>49</v>
      </c>
      <c r="M138">
        <v>1</v>
      </c>
    </row>
    <row r="139" spans="1:13" x14ac:dyDescent="0.25">
      <c r="A139" s="2">
        <v>46161</v>
      </c>
      <c r="B139" s="1" t="str">
        <f ca="1">IF(Información1[[#This Row],[Fecha]]='Ajuste de fechas'!$A$2,"Día actual","Día anterior")</f>
        <v>Día actual</v>
      </c>
      <c r="C139" s="3" t="s">
        <v>28</v>
      </c>
      <c r="D139" t="s">
        <v>30</v>
      </c>
      <c r="E139" s="3" t="s">
        <v>292</v>
      </c>
      <c r="F139" s="3" t="s">
        <v>24</v>
      </c>
      <c r="G139" s="3" t="s">
        <v>291</v>
      </c>
      <c r="H139" s="3" t="s">
        <v>11</v>
      </c>
      <c r="I139" s="3" t="s">
        <v>7</v>
      </c>
      <c r="J139" s="3" t="s">
        <v>24</v>
      </c>
      <c r="K139" s="3" t="s">
        <v>41</v>
      </c>
      <c r="L139" s="3" t="s">
        <v>49</v>
      </c>
      <c r="M139">
        <v>1</v>
      </c>
    </row>
    <row r="140" spans="1:13" x14ac:dyDescent="0.25">
      <c r="A140" s="2">
        <v>46161</v>
      </c>
      <c r="B140" s="1" t="str">
        <f ca="1">IF(Información1[[#This Row],[Fecha]]='Ajuste de fechas'!$A$2,"Día actual","Día anterior")</f>
        <v>Día actual</v>
      </c>
      <c r="C140" s="3" t="s">
        <v>28</v>
      </c>
      <c r="D140" t="s">
        <v>30</v>
      </c>
      <c r="E140" s="3" t="s">
        <v>293</v>
      </c>
      <c r="F140" s="3" t="s">
        <v>24</v>
      </c>
      <c r="G140" s="3" t="s">
        <v>294</v>
      </c>
      <c r="H140" s="3" t="s">
        <v>11</v>
      </c>
      <c r="I140" s="3" t="s">
        <v>7</v>
      </c>
      <c r="J140" s="3" t="s">
        <v>24</v>
      </c>
      <c r="K140" s="3" t="s">
        <v>41</v>
      </c>
      <c r="L140" s="3" t="s">
        <v>49</v>
      </c>
      <c r="M140">
        <v>1</v>
      </c>
    </row>
    <row r="141" spans="1:13" x14ac:dyDescent="0.25">
      <c r="A141" s="2">
        <v>46161</v>
      </c>
      <c r="B141" s="1" t="str">
        <f ca="1">IF(Información1[[#This Row],[Fecha]]='Ajuste de fechas'!$A$2,"Día actual","Día anterior")</f>
        <v>Día actual</v>
      </c>
      <c r="C141" s="3" t="s">
        <v>28</v>
      </c>
      <c r="D141" t="s">
        <v>30</v>
      </c>
      <c r="E141" s="3" t="s">
        <v>207</v>
      </c>
      <c r="F141" s="3" t="s">
        <v>19</v>
      </c>
      <c r="G141" s="3" t="s">
        <v>208</v>
      </c>
      <c r="H141" s="3" t="s">
        <v>11</v>
      </c>
      <c r="I141" s="3" t="s">
        <v>7</v>
      </c>
      <c r="J141" s="3" t="s">
        <v>52</v>
      </c>
      <c r="K141" s="3" t="s">
        <v>41</v>
      </c>
      <c r="L141" s="3" t="s">
        <v>49</v>
      </c>
      <c r="M141">
        <v>1</v>
      </c>
    </row>
    <row r="142" spans="1:13" x14ac:dyDescent="0.25">
      <c r="A142" s="2">
        <v>46161</v>
      </c>
      <c r="B142" s="1" t="str">
        <f ca="1">IF(Información1[[#This Row],[Fecha]]='Ajuste de fechas'!$A$2,"Día actual","Día anterior")</f>
        <v>Día actual</v>
      </c>
      <c r="C142" s="3" t="s">
        <v>28</v>
      </c>
      <c r="D142" t="s">
        <v>30</v>
      </c>
      <c r="E142" s="3" t="s">
        <v>214</v>
      </c>
      <c r="F142" s="3" t="s">
        <v>63</v>
      </c>
      <c r="G142" s="3" t="s">
        <v>213</v>
      </c>
      <c r="H142" s="3" t="s">
        <v>11</v>
      </c>
      <c r="I142" s="3" t="s">
        <v>7</v>
      </c>
      <c r="J142" s="3" t="s">
        <v>48</v>
      </c>
      <c r="K142" s="3" t="s">
        <v>41</v>
      </c>
      <c r="L142" s="3" t="s">
        <v>51</v>
      </c>
      <c r="M142">
        <v>1</v>
      </c>
    </row>
    <row r="143" spans="1:13" x14ac:dyDescent="0.25">
      <c r="A143" s="2">
        <v>46161</v>
      </c>
      <c r="B143" s="1" t="str">
        <f ca="1">IF(Información1[[#This Row],[Fecha]]='Ajuste de fechas'!$A$2,"Día actual","Día anterior")</f>
        <v>Día actual</v>
      </c>
      <c r="C143" s="3" t="s">
        <v>28</v>
      </c>
      <c r="D143" t="s">
        <v>30</v>
      </c>
      <c r="E143" s="3" t="s">
        <v>218</v>
      </c>
      <c r="F143" s="3" t="s">
        <v>63</v>
      </c>
      <c r="G143" s="3" t="s">
        <v>219</v>
      </c>
      <c r="H143" s="3" t="s">
        <v>11</v>
      </c>
      <c r="I143" s="3" t="s">
        <v>7</v>
      </c>
      <c r="J143" s="3" t="s">
        <v>48</v>
      </c>
      <c r="K143" s="3" t="s">
        <v>41</v>
      </c>
      <c r="L143" s="3" t="s">
        <v>51</v>
      </c>
      <c r="M143">
        <v>1</v>
      </c>
    </row>
    <row r="144" spans="1:13" x14ac:dyDescent="0.25">
      <c r="A144" s="2">
        <v>46161</v>
      </c>
      <c r="B144" s="1" t="str">
        <f ca="1">IF(Información1[[#This Row],[Fecha]]='Ajuste de fechas'!$A$2,"Día actual","Día anterior")</f>
        <v>Día actual</v>
      </c>
      <c r="C144" s="3" t="s">
        <v>28</v>
      </c>
      <c r="D144" t="s">
        <v>30</v>
      </c>
      <c r="E144" s="3" t="s">
        <v>295</v>
      </c>
      <c r="F144" s="3" t="s">
        <v>23</v>
      </c>
      <c r="G144" s="3" t="s">
        <v>270</v>
      </c>
      <c r="H144" s="3" t="s">
        <v>11</v>
      </c>
      <c r="I144" s="3" t="s">
        <v>7</v>
      </c>
      <c r="J144" s="3" t="s">
        <v>48</v>
      </c>
      <c r="K144" s="3" t="s">
        <v>41</v>
      </c>
      <c r="L144" s="3" t="s">
        <v>51</v>
      </c>
      <c r="M144">
        <v>1</v>
      </c>
    </row>
    <row r="145" spans="1:13" x14ac:dyDescent="0.25">
      <c r="A145" s="2">
        <v>46161</v>
      </c>
      <c r="B145" s="1" t="str">
        <f ca="1">IF(Información1[[#This Row],[Fecha]]='Ajuste de fechas'!$A$2,"Día actual","Día anterior")</f>
        <v>Día actual</v>
      </c>
      <c r="C145" s="3" t="s">
        <v>28</v>
      </c>
      <c r="D145" t="s">
        <v>30</v>
      </c>
      <c r="E145" s="3" t="s">
        <v>296</v>
      </c>
      <c r="F145" s="3" t="s">
        <v>36</v>
      </c>
      <c r="G145" s="3" t="s">
        <v>94</v>
      </c>
      <c r="H145" s="3" t="s">
        <v>11</v>
      </c>
      <c r="I145" s="3" t="s">
        <v>7</v>
      </c>
      <c r="J145" s="3" t="s">
        <v>48</v>
      </c>
      <c r="K145" s="3" t="s">
        <v>41</v>
      </c>
      <c r="L145" s="3" t="s">
        <v>51</v>
      </c>
      <c r="M145">
        <v>1</v>
      </c>
    </row>
    <row r="146" spans="1:13" x14ac:dyDescent="0.25">
      <c r="A146" s="2">
        <v>46161</v>
      </c>
      <c r="B146" s="1" t="str">
        <f ca="1">IF(Información1[[#This Row],[Fecha]]='Ajuste de fechas'!$A$2,"Día actual","Día anterior")</f>
        <v>Día actual</v>
      </c>
      <c r="C146" s="3" t="s">
        <v>28</v>
      </c>
      <c r="D146" t="s">
        <v>30</v>
      </c>
      <c r="E146" s="3" t="s">
        <v>297</v>
      </c>
      <c r="F146" s="3" t="s">
        <v>22</v>
      </c>
      <c r="G146" s="3" t="s">
        <v>298</v>
      </c>
      <c r="H146" s="3" t="s">
        <v>11</v>
      </c>
      <c r="I146" s="3" t="s">
        <v>7</v>
      </c>
      <c r="J146" s="3" t="s">
        <v>53</v>
      </c>
      <c r="K146" s="3" t="s">
        <v>41</v>
      </c>
      <c r="L146" s="3" t="s">
        <v>49</v>
      </c>
      <c r="M146">
        <v>1</v>
      </c>
    </row>
    <row r="147" spans="1:13" x14ac:dyDescent="0.25">
      <c r="A147" s="2">
        <v>46161</v>
      </c>
      <c r="B147" s="1" t="str">
        <f ca="1">IF(Información1[[#This Row],[Fecha]]='Ajuste de fechas'!$A$2,"Día actual","Día anterior")</f>
        <v>Día actual</v>
      </c>
      <c r="C147" s="3" t="s">
        <v>28</v>
      </c>
      <c r="D147" t="s">
        <v>30</v>
      </c>
      <c r="E147" s="3" t="s">
        <v>299</v>
      </c>
      <c r="F147" s="3" t="s">
        <v>26</v>
      </c>
      <c r="G147" s="3" t="s">
        <v>191</v>
      </c>
      <c r="H147" s="3" t="s">
        <v>11</v>
      </c>
      <c r="I147" s="3" t="s">
        <v>7</v>
      </c>
      <c r="J147" s="3" t="s">
        <v>48</v>
      </c>
      <c r="K147" s="3" t="s">
        <v>41</v>
      </c>
      <c r="L147" s="3" t="s">
        <v>49</v>
      </c>
      <c r="M147">
        <v>1</v>
      </c>
    </row>
    <row r="148" spans="1:13" x14ac:dyDescent="0.25">
      <c r="A148" s="2">
        <v>46161</v>
      </c>
      <c r="B148" s="1" t="str">
        <f ca="1">IF(Información1[[#This Row],[Fecha]]='Ajuste de fechas'!$A$2,"Día actual","Día anterior")</f>
        <v>Día actual</v>
      </c>
      <c r="C148" s="3" t="s">
        <v>59</v>
      </c>
      <c r="D148" t="s">
        <v>60</v>
      </c>
      <c r="E148" s="3" t="s">
        <v>300</v>
      </c>
      <c r="F148" s="3" t="s">
        <v>300</v>
      </c>
      <c r="G148" s="3" t="s">
        <v>300</v>
      </c>
      <c r="H148" s="3" t="s">
        <v>11</v>
      </c>
      <c r="I148" s="3" t="s">
        <v>7</v>
      </c>
      <c r="J148" s="3" t="s">
        <v>301</v>
      </c>
      <c r="K148" s="3" t="s">
        <v>61</v>
      </c>
      <c r="L148" s="3" t="s">
        <v>51</v>
      </c>
      <c r="M148">
        <v>1</v>
      </c>
    </row>
    <row r="149" spans="1:13" x14ac:dyDescent="0.25">
      <c r="A149" s="2">
        <v>46161</v>
      </c>
      <c r="B149" s="1" t="str">
        <f ca="1">IF(Información1[[#This Row],[Fecha]]='Ajuste de fechas'!$A$2,"Día actual","Día anterior")</f>
        <v>Día actual</v>
      </c>
      <c r="C149" s="3" t="s">
        <v>59</v>
      </c>
      <c r="D149" t="s">
        <v>60</v>
      </c>
      <c r="E149" s="3" t="s">
        <v>286</v>
      </c>
      <c r="F149" s="3" t="s">
        <v>21</v>
      </c>
      <c r="G149" s="3" t="s">
        <v>89</v>
      </c>
      <c r="H149" s="3" t="s">
        <v>11</v>
      </c>
      <c r="I149" s="3" t="s">
        <v>7</v>
      </c>
      <c r="J149" s="3" t="s">
        <v>48</v>
      </c>
      <c r="K149" s="3" t="s">
        <v>61</v>
      </c>
      <c r="L149" s="3" t="s">
        <v>51</v>
      </c>
      <c r="M149">
        <v>1</v>
      </c>
    </row>
    <row r="150" spans="1:13" x14ac:dyDescent="0.25">
      <c r="A150" s="2">
        <v>46161</v>
      </c>
      <c r="B150" s="1" t="str">
        <f ca="1">IF(Información1[[#This Row],[Fecha]]='Ajuste de fechas'!$A$2,"Día actual","Día anterior")</f>
        <v>Día actual</v>
      </c>
      <c r="C150" s="3" t="s">
        <v>59</v>
      </c>
      <c r="D150" t="s">
        <v>60</v>
      </c>
      <c r="E150" s="3" t="s">
        <v>302</v>
      </c>
      <c r="F150" s="3" t="s">
        <v>99</v>
      </c>
      <c r="G150" s="3" t="s">
        <v>103</v>
      </c>
      <c r="H150" s="3" t="s">
        <v>11</v>
      </c>
      <c r="I150" s="3" t="s">
        <v>7</v>
      </c>
      <c r="J150" s="3" t="s">
        <v>48</v>
      </c>
      <c r="K150" s="3" t="s">
        <v>61</v>
      </c>
      <c r="L150" s="3" t="s">
        <v>51</v>
      </c>
      <c r="M150">
        <v>1</v>
      </c>
    </row>
    <row r="151" spans="1:13" x14ac:dyDescent="0.25">
      <c r="A151" s="2">
        <v>46161</v>
      </c>
      <c r="B151" s="1" t="str">
        <f ca="1">IF(Información1[[#This Row],[Fecha]]='Ajuste de fechas'!$A$2,"Día actual","Día anterior")</f>
        <v>Día actual</v>
      </c>
      <c r="C151" s="3" t="s">
        <v>8</v>
      </c>
      <c r="D151" t="s">
        <v>10</v>
      </c>
      <c r="E151" s="3" t="s">
        <v>303</v>
      </c>
      <c r="F151" s="3" t="s">
        <v>19</v>
      </c>
      <c r="G151" s="3" t="s">
        <v>304</v>
      </c>
      <c r="H151" s="3" t="s">
        <v>11</v>
      </c>
      <c r="I151" s="3" t="s">
        <v>25</v>
      </c>
      <c r="J151" s="3" t="s">
        <v>52</v>
      </c>
      <c r="K151" s="3" t="s">
        <v>9</v>
      </c>
      <c r="L151" s="3" t="s">
        <v>50</v>
      </c>
      <c r="M151">
        <v>1</v>
      </c>
    </row>
    <row r="152" spans="1:13" x14ac:dyDescent="0.25">
      <c r="A152" s="2">
        <v>46161</v>
      </c>
      <c r="B152" s="1" t="str">
        <f ca="1">IF(Información1[[#This Row],[Fecha]]='Ajuste de fechas'!$A$2,"Día actual","Día anterior")</f>
        <v>Día actual</v>
      </c>
      <c r="C152" s="3" t="s">
        <v>8</v>
      </c>
      <c r="D152" t="s">
        <v>10</v>
      </c>
      <c r="E152" s="3" t="s">
        <v>305</v>
      </c>
      <c r="F152" s="3" t="s">
        <v>19</v>
      </c>
      <c r="G152" s="3" t="s">
        <v>304</v>
      </c>
      <c r="H152" s="3" t="s">
        <v>11</v>
      </c>
      <c r="I152" s="3" t="s">
        <v>25</v>
      </c>
      <c r="J152" s="3" t="s">
        <v>52</v>
      </c>
      <c r="K152" s="3" t="s">
        <v>9</v>
      </c>
      <c r="L152" s="3" t="s">
        <v>50</v>
      </c>
      <c r="M152">
        <v>1</v>
      </c>
    </row>
    <row r="153" spans="1:13" x14ac:dyDescent="0.25">
      <c r="A153" s="2">
        <v>46161</v>
      </c>
      <c r="B153" s="1" t="str">
        <f ca="1">IF(Información1[[#This Row],[Fecha]]='Ajuste de fechas'!$A$2,"Día actual","Día anterior")</f>
        <v>Día actual</v>
      </c>
      <c r="C153" s="3" t="s">
        <v>8</v>
      </c>
      <c r="D153" t="s">
        <v>10</v>
      </c>
      <c r="E153" s="3" t="s">
        <v>306</v>
      </c>
      <c r="F153" s="3" t="s">
        <v>19</v>
      </c>
      <c r="G153" s="3" t="s">
        <v>307</v>
      </c>
      <c r="H153" s="3" t="s">
        <v>11</v>
      </c>
      <c r="I153" s="3" t="s">
        <v>25</v>
      </c>
      <c r="J153" s="3" t="s">
        <v>52</v>
      </c>
      <c r="K153" s="3" t="s">
        <v>9</v>
      </c>
      <c r="L153" s="3" t="s">
        <v>50</v>
      </c>
      <c r="M153">
        <v>1</v>
      </c>
    </row>
    <row r="154" spans="1:13" x14ac:dyDescent="0.25">
      <c r="A154" s="2">
        <v>46161</v>
      </c>
      <c r="B154" s="1" t="str">
        <f ca="1">IF(Información1[[#This Row],[Fecha]]='Ajuste de fechas'!$A$2,"Día actual","Día anterior")</f>
        <v>Día actual</v>
      </c>
      <c r="C154" s="3" t="s">
        <v>8</v>
      </c>
      <c r="D154" t="s">
        <v>10</v>
      </c>
      <c r="E154" s="3" t="s">
        <v>308</v>
      </c>
      <c r="F154" s="3" t="s">
        <v>19</v>
      </c>
      <c r="G154" s="3" t="s">
        <v>307</v>
      </c>
      <c r="H154" s="3" t="s">
        <v>11</v>
      </c>
      <c r="I154" s="3" t="s">
        <v>25</v>
      </c>
      <c r="J154" s="3" t="s">
        <v>52</v>
      </c>
      <c r="K154" s="3" t="s">
        <v>9</v>
      </c>
      <c r="L154" s="3" t="s">
        <v>50</v>
      </c>
      <c r="M154">
        <v>1</v>
      </c>
    </row>
    <row r="155" spans="1:13" x14ac:dyDescent="0.25">
      <c r="A155" s="2">
        <v>46161</v>
      </c>
      <c r="B155" s="1" t="str">
        <f ca="1">IF(Información1[[#This Row],[Fecha]]='Ajuste de fechas'!$A$2,"Día actual","Día anterior")</f>
        <v>Día actual</v>
      </c>
      <c r="C155" s="3" t="s">
        <v>8</v>
      </c>
      <c r="D155" t="s">
        <v>10</v>
      </c>
      <c r="E155" s="3" t="s">
        <v>309</v>
      </c>
      <c r="F155" s="3" t="s">
        <v>17</v>
      </c>
      <c r="G155" s="3" t="s">
        <v>310</v>
      </c>
      <c r="H155" s="3" t="s">
        <v>11</v>
      </c>
      <c r="I155" s="3" t="s">
        <v>25</v>
      </c>
      <c r="J155" s="3" t="s">
        <v>48</v>
      </c>
      <c r="K155" s="3" t="s">
        <v>9</v>
      </c>
      <c r="L155" s="3" t="s">
        <v>50</v>
      </c>
      <c r="M155">
        <v>1</v>
      </c>
    </row>
    <row r="156" spans="1:13" x14ac:dyDescent="0.25">
      <c r="A156" s="2">
        <v>46161</v>
      </c>
      <c r="B156" s="1" t="str">
        <f ca="1">IF(Información1[[#This Row],[Fecha]]='Ajuste de fechas'!$A$2,"Día actual","Día anterior")</f>
        <v>Día actual</v>
      </c>
      <c r="C156" s="3" t="s">
        <v>8</v>
      </c>
      <c r="D156" t="s">
        <v>10</v>
      </c>
      <c r="E156" s="3" t="s">
        <v>311</v>
      </c>
      <c r="F156" s="3" t="s">
        <v>17</v>
      </c>
      <c r="G156" s="3" t="s">
        <v>312</v>
      </c>
      <c r="H156" s="3" t="s">
        <v>11</v>
      </c>
      <c r="I156" s="3" t="s">
        <v>25</v>
      </c>
      <c r="J156" s="3" t="s">
        <v>48</v>
      </c>
      <c r="K156" s="3" t="s">
        <v>9</v>
      </c>
      <c r="L156" s="3" t="s">
        <v>50</v>
      </c>
      <c r="M156">
        <v>1</v>
      </c>
    </row>
    <row r="157" spans="1:13" x14ac:dyDescent="0.25">
      <c r="A157" s="2">
        <v>46161</v>
      </c>
      <c r="B157" s="1" t="str">
        <f ca="1">IF(Información1[[#This Row],[Fecha]]='Ajuste de fechas'!$A$2,"Día actual","Día anterior")</f>
        <v>Día actual</v>
      </c>
      <c r="C157" s="3" t="s">
        <v>8</v>
      </c>
      <c r="D157" t="s">
        <v>10</v>
      </c>
      <c r="E157" s="3" t="s">
        <v>313</v>
      </c>
      <c r="F157" s="3" t="s">
        <v>6</v>
      </c>
      <c r="G157" s="3" t="s">
        <v>62</v>
      </c>
      <c r="H157" s="3" t="s">
        <v>11</v>
      </c>
      <c r="I157" s="3" t="s">
        <v>25</v>
      </c>
      <c r="J157" s="3" t="s">
        <v>48</v>
      </c>
      <c r="K157" s="3" t="s">
        <v>9</v>
      </c>
      <c r="L157" s="3" t="s">
        <v>50</v>
      </c>
      <c r="M157">
        <v>1</v>
      </c>
    </row>
    <row r="158" spans="1:13" x14ac:dyDescent="0.25">
      <c r="A158" s="2">
        <v>46161</v>
      </c>
      <c r="B158" s="1" t="str">
        <f ca="1">IF(Información1[[#This Row],[Fecha]]='Ajuste de fechas'!$A$2,"Día actual","Día anterior")</f>
        <v>Día actual</v>
      </c>
      <c r="C158" s="3" t="s">
        <v>8</v>
      </c>
      <c r="D158" t="s">
        <v>10</v>
      </c>
      <c r="E158" s="3" t="s">
        <v>314</v>
      </c>
      <c r="F158" s="3" t="s">
        <v>6</v>
      </c>
      <c r="G158" s="3" t="s">
        <v>315</v>
      </c>
      <c r="H158" s="3" t="s">
        <v>11</v>
      </c>
      <c r="I158" s="3" t="s">
        <v>25</v>
      </c>
      <c r="J158" s="3" t="s">
        <v>48</v>
      </c>
      <c r="K158" s="3" t="s">
        <v>9</v>
      </c>
      <c r="L158" s="3" t="s">
        <v>50</v>
      </c>
      <c r="M158">
        <v>1</v>
      </c>
    </row>
    <row r="159" spans="1:13" x14ac:dyDescent="0.25">
      <c r="A159" s="2">
        <v>46161</v>
      </c>
      <c r="B159" s="1" t="str">
        <f ca="1">IF(Información1[[#This Row],[Fecha]]='Ajuste de fechas'!$A$2,"Día actual","Día anterior")</f>
        <v>Día actual</v>
      </c>
      <c r="C159" s="3" t="s">
        <v>8</v>
      </c>
      <c r="D159" t="s">
        <v>10</v>
      </c>
      <c r="E159" s="3" t="s">
        <v>316</v>
      </c>
      <c r="F159" s="3" t="s">
        <v>6</v>
      </c>
      <c r="G159" s="3" t="s">
        <v>315</v>
      </c>
      <c r="H159" s="3" t="s">
        <v>11</v>
      </c>
      <c r="I159" s="3" t="s">
        <v>25</v>
      </c>
      <c r="J159" s="3" t="s">
        <v>48</v>
      </c>
      <c r="K159" s="3" t="s">
        <v>9</v>
      </c>
      <c r="L159" s="3" t="s">
        <v>50</v>
      </c>
      <c r="M159">
        <v>1</v>
      </c>
    </row>
    <row r="160" spans="1:13" x14ac:dyDescent="0.25">
      <c r="A160" s="2">
        <v>46161</v>
      </c>
      <c r="B160" s="1" t="str">
        <f ca="1">IF(Información1[[#This Row],[Fecha]]='Ajuste de fechas'!$A$2,"Día actual","Día anterior")</f>
        <v>Día actual</v>
      </c>
      <c r="C160" s="3" t="s">
        <v>8</v>
      </c>
      <c r="D160" t="s">
        <v>10</v>
      </c>
      <c r="E160" s="3" t="s">
        <v>317</v>
      </c>
      <c r="F160" s="3" t="s">
        <v>6</v>
      </c>
      <c r="G160" s="3" t="s">
        <v>104</v>
      </c>
      <c r="H160" s="3" t="s">
        <v>11</v>
      </c>
      <c r="I160" s="3" t="s">
        <v>25</v>
      </c>
      <c r="J160" s="3" t="s">
        <v>48</v>
      </c>
      <c r="K160" s="3" t="s">
        <v>9</v>
      </c>
      <c r="L160" s="3" t="s">
        <v>50</v>
      </c>
      <c r="M160">
        <v>1</v>
      </c>
    </row>
    <row r="161" spans="1:13" x14ac:dyDescent="0.25">
      <c r="A161" s="2">
        <v>46161</v>
      </c>
      <c r="B161" s="1" t="str">
        <f ca="1">IF(Información1[[#This Row],[Fecha]]='Ajuste de fechas'!$A$2,"Día actual","Día anterior")</f>
        <v>Día actual</v>
      </c>
      <c r="C161" s="3" t="s">
        <v>8</v>
      </c>
      <c r="D161" t="s">
        <v>10</v>
      </c>
      <c r="E161" s="3" t="s">
        <v>318</v>
      </c>
      <c r="F161" s="3" t="s">
        <v>6</v>
      </c>
      <c r="G161" s="3" t="s">
        <v>62</v>
      </c>
      <c r="H161" s="3" t="s">
        <v>11</v>
      </c>
      <c r="I161" s="3" t="s">
        <v>25</v>
      </c>
      <c r="J161" s="3" t="s">
        <v>48</v>
      </c>
      <c r="K161" s="3" t="s">
        <v>9</v>
      </c>
      <c r="L161" s="3" t="s">
        <v>50</v>
      </c>
      <c r="M161">
        <v>1</v>
      </c>
    </row>
    <row r="162" spans="1:13" x14ac:dyDescent="0.25">
      <c r="A162" s="2">
        <v>46161</v>
      </c>
      <c r="B162" s="1" t="str">
        <f ca="1">IF(Información1[[#This Row],[Fecha]]='Ajuste de fechas'!$A$2,"Día actual","Día anterior")</f>
        <v>Día actual</v>
      </c>
      <c r="C162" s="3" t="s">
        <v>8</v>
      </c>
      <c r="D162" t="s">
        <v>10</v>
      </c>
      <c r="E162" s="3" t="s">
        <v>319</v>
      </c>
      <c r="F162" s="3" t="s">
        <v>6</v>
      </c>
      <c r="G162" s="3" t="s">
        <v>320</v>
      </c>
      <c r="H162" s="3" t="s">
        <v>11</v>
      </c>
      <c r="I162" s="3" t="s">
        <v>25</v>
      </c>
      <c r="J162" s="3" t="s">
        <v>48</v>
      </c>
      <c r="K162" s="3" t="s">
        <v>9</v>
      </c>
      <c r="L162" s="3" t="s">
        <v>50</v>
      </c>
      <c r="M162">
        <v>1</v>
      </c>
    </row>
    <row r="163" spans="1:13" x14ac:dyDescent="0.25">
      <c r="A163" s="2">
        <v>46161</v>
      </c>
      <c r="B163" s="1" t="str">
        <f ca="1">IF(Información1[[#This Row],[Fecha]]='Ajuste de fechas'!$A$2,"Día actual","Día anterior")</f>
        <v>Día actual</v>
      </c>
      <c r="C163" s="3" t="s">
        <v>8</v>
      </c>
      <c r="D163" t="s">
        <v>10</v>
      </c>
      <c r="E163" s="3" t="s">
        <v>321</v>
      </c>
      <c r="F163" s="3" t="s">
        <v>26</v>
      </c>
      <c r="G163" s="3" t="s">
        <v>322</v>
      </c>
      <c r="H163" s="3" t="s">
        <v>11</v>
      </c>
      <c r="I163" s="3" t="s">
        <v>7</v>
      </c>
      <c r="J163" s="3" t="s">
        <v>48</v>
      </c>
      <c r="K163" s="3" t="s">
        <v>9</v>
      </c>
      <c r="L163" s="3" t="s">
        <v>50</v>
      </c>
      <c r="M163">
        <v>1</v>
      </c>
    </row>
    <row r="164" spans="1:13" x14ac:dyDescent="0.25">
      <c r="A164" s="2">
        <v>46161</v>
      </c>
      <c r="B164" s="1" t="str">
        <f ca="1">IF(Información1[[#This Row],[Fecha]]='Ajuste de fechas'!$A$2,"Día actual","Día anterior")</f>
        <v>Día actual</v>
      </c>
      <c r="C164" s="3" t="s">
        <v>8</v>
      </c>
      <c r="D164" t="s">
        <v>10</v>
      </c>
      <c r="E164" s="3" t="s">
        <v>323</v>
      </c>
      <c r="F164" s="3" t="s">
        <v>22</v>
      </c>
      <c r="G164" s="3" t="s">
        <v>223</v>
      </c>
      <c r="H164" s="3" t="s">
        <v>11</v>
      </c>
      <c r="I164" s="3" t="s">
        <v>7</v>
      </c>
      <c r="J164" s="3" t="s">
        <v>53</v>
      </c>
      <c r="K164" s="3" t="s">
        <v>14</v>
      </c>
      <c r="L164" s="3" t="s">
        <v>50</v>
      </c>
      <c r="M164">
        <v>1</v>
      </c>
    </row>
    <row r="165" spans="1:13" x14ac:dyDescent="0.25">
      <c r="A165" s="2">
        <v>46161</v>
      </c>
      <c r="B165" s="1" t="str">
        <f ca="1">IF(Información1[[#This Row],[Fecha]]='Ajuste de fechas'!$A$2,"Día actual","Día anterior")</f>
        <v>Día actual</v>
      </c>
      <c r="C165" s="3" t="s">
        <v>8</v>
      </c>
      <c r="D165" t="s">
        <v>10</v>
      </c>
      <c r="E165" s="3" t="s">
        <v>324</v>
      </c>
      <c r="F165" s="3" t="s">
        <v>266</v>
      </c>
      <c r="G165" s="3" t="s">
        <v>267</v>
      </c>
      <c r="H165" s="3" t="s">
        <v>11</v>
      </c>
      <c r="I165" s="3" t="s">
        <v>12</v>
      </c>
      <c r="J165" s="3" t="s">
        <v>48</v>
      </c>
      <c r="K165" s="3" t="s">
        <v>14</v>
      </c>
      <c r="L165" s="3" t="s">
        <v>268</v>
      </c>
      <c r="M165">
        <v>1</v>
      </c>
    </row>
    <row r="166" spans="1:13" x14ac:dyDescent="0.25">
      <c r="A166" s="2">
        <v>46161</v>
      </c>
      <c r="B166" s="1" t="str">
        <f ca="1">IF(Información1[[#This Row],[Fecha]]='Ajuste de fechas'!$A$2,"Día actual","Día anterior")</f>
        <v>Día actual</v>
      </c>
      <c r="C166" s="3" t="s">
        <v>8</v>
      </c>
      <c r="D166" t="s">
        <v>10</v>
      </c>
      <c r="E166" s="3" t="s">
        <v>218</v>
      </c>
      <c r="F166" s="3" t="s">
        <v>63</v>
      </c>
      <c r="G166" s="3" t="s">
        <v>219</v>
      </c>
      <c r="H166" s="3" t="s">
        <v>11</v>
      </c>
      <c r="I166" s="3" t="s">
        <v>7</v>
      </c>
      <c r="J166" s="3" t="s">
        <v>48</v>
      </c>
      <c r="K166" s="3" t="s">
        <v>14</v>
      </c>
      <c r="L166" s="3" t="s">
        <v>51</v>
      </c>
      <c r="M166">
        <v>1</v>
      </c>
    </row>
    <row r="167" spans="1:13" x14ac:dyDescent="0.25">
      <c r="A167" s="2">
        <v>46161</v>
      </c>
      <c r="B167" s="1" t="str">
        <f ca="1">IF(Información1[[#This Row],[Fecha]]='Ajuste de fechas'!$A$2,"Día actual","Día anterior")</f>
        <v>Día actual</v>
      </c>
      <c r="C167" s="3" t="s">
        <v>8</v>
      </c>
      <c r="D167" t="s">
        <v>10</v>
      </c>
      <c r="E167" s="3" t="s">
        <v>325</v>
      </c>
      <c r="F167" s="3" t="s">
        <v>22</v>
      </c>
      <c r="G167" s="3" t="s">
        <v>257</v>
      </c>
      <c r="H167" s="3" t="s">
        <v>11</v>
      </c>
      <c r="I167" s="3" t="s">
        <v>7</v>
      </c>
      <c r="J167" s="3" t="s">
        <v>53</v>
      </c>
      <c r="K167" s="3" t="s">
        <v>14</v>
      </c>
      <c r="L167" s="3" t="s">
        <v>49</v>
      </c>
      <c r="M167">
        <v>1</v>
      </c>
    </row>
    <row r="168" spans="1:13" x14ac:dyDescent="0.25">
      <c r="A168" s="2">
        <v>46161</v>
      </c>
      <c r="B168" s="1" t="str">
        <f ca="1">IF(Información1[[#This Row],[Fecha]]='Ajuste de fechas'!$A$2,"Día actual","Día anterior")</f>
        <v>Día actual</v>
      </c>
      <c r="C168" s="3" t="s">
        <v>8</v>
      </c>
      <c r="D168" t="s">
        <v>10</v>
      </c>
      <c r="E168" s="3" t="s">
        <v>326</v>
      </c>
      <c r="F168" s="3" t="s">
        <v>19</v>
      </c>
      <c r="G168" s="3" t="s">
        <v>327</v>
      </c>
      <c r="H168" s="3" t="s">
        <v>11</v>
      </c>
      <c r="I168" s="3" t="s">
        <v>7</v>
      </c>
      <c r="J168" s="3" t="s">
        <v>52</v>
      </c>
      <c r="K168" s="3" t="s">
        <v>14</v>
      </c>
      <c r="L168" s="3" t="s">
        <v>49</v>
      </c>
      <c r="M168">
        <v>1</v>
      </c>
    </row>
    <row r="169" spans="1:13" x14ac:dyDescent="0.25">
      <c r="A169" s="2">
        <v>46161</v>
      </c>
      <c r="B169" s="1" t="str">
        <f ca="1">IF(Información1[[#This Row],[Fecha]]='Ajuste de fechas'!$A$2,"Día actual","Día anterior")</f>
        <v>Día actual</v>
      </c>
      <c r="C169" s="3" t="s">
        <v>8</v>
      </c>
      <c r="D169" t="s">
        <v>10</v>
      </c>
      <c r="E169" s="3" t="s">
        <v>220</v>
      </c>
      <c r="F169" s="3" t="s">
        <v>23</v>
      </c>
      <c r="G169" s="3" t="s">
        <v>221</v>
      </c>
      <c r="H169" s="3" t="s">
        <v>11</v>
      </c>
      <c r="I169" s="3" t="s">
        <v>7</v>
      </c>
      <c r="J169" s="3" t="s">
        <v>48</v>
      </c>
      <c r="K169" s="3" t="s">
        <v>14</v>
      </c>
      <c r="L169" s="3" t="s">
        <v>51</v>
      </c>
      <c r="M169">
        <v>1</v>
      </c>
    </row>
    <row r="170" spans="1:13" x14ac:dyDescent="0.25">
      <c r="A170" s="2">
        <v>46161</v>
      </c>
      <c r="B170" s="1" t="str">
        <f ca="1">IF(Información1[[#This Row],[Fecha]]='Ajuste de fechas'!$A$2,"Día actual","Día anterior")</f>
        <v>Día actual</v>
      </c>
      <c r="C170" s="3" t="s">
        <v>8</v>
      </c>
      <c r="D170" t="s">
        <v>10</v>
      </c>
      <c r="E170" s="3" t="s">
        <v>328</v>
      </c>
      <c r="F170" s="3" t="s">
        <v>64</v>
      </c>
      <c r="G170" s="3" t="s">
        <v>173</v>
      </c>
      <c r="H170" s="3" t="s">
        <v>11</v>
      </c>
      <c r="I170" s="3" t="s">
        <v>7</v>
      </c>
      <c r="J170" s="3" t="s">
        <v>48</v>
      </c>
      <c r="K170" s="3" t="s">
        <v>14</v>
      </c>
      <c r="L170" s="3" t="s">
        <v>51</v>
      </c>
      <c r="M170">
        <v>1</v>
      </c>
    </row>
    <row r="171" spans="1:13" x14ac:dyDescent="0.25">
      <c r="A171" s="2">
        <v>46161</v>
      </c>
      <c r="B171" s="1" t="str">
        <f ca="1">IF(Información1[[#This Row],[Fecha]]='Ajuste de fechas'!$A$2,"Día actual","Día anterior")</f>
        <v>Día actual</v>
      </c>
      <c r="C171" s="3" t="s">
        <v>8</v>
      </c>
      <c r="D171" t="s">
        <v>10</v>
      </c>
      <c r="E171" s="3" t="s">
        <v>329</v>
      </c>
      <c r="F171" s="3" t="s">
        <v>66</v>
      </c>
      <c r="G171" s="3" t="s">
        <v>103</v>
      </c>
      <c r="H171" s="3" t="s">
        <v>11</v>
      </c>
      <c r="I171" s="3" t="s">
        <v>7</v>
      </c>
      <c r="J171" s="3" t="s">
        <v>48</v>
      </c>
      <c r="K171" s="3" t="s">
        <v>14</v>
      </c>
      <c r="L171" s="3" t="s">
        <v>49</v>
      </c>
      <c r="M171">
        <v>1</v>
      </c>
    </row>
    <row r="172" spans="1:13" x14ac:dyDescent="0.25">
      <c r="A172" s="2">
        <v>46161</v>
      </c>
      <c r="B172" s="1" t="str">
        <f ca="1">IF(Información1[[#This Row],[Fecha]]='Ajuste de fechas'!$A$2,"Día actual","Día anterior")</f>
        <v>Día actual</v>
      </c>
      <c r="C172" s="3" t="s">
        <v>8</v>
      </c>
      <c r="D172" t="s">
        <v>10</v>
      </c>
      <c r="E172" s="3" t="s">
        <v>20</v>
      </c>
      <c r="F172" s="3" t="s">
        <v>19</v>
      </c>
      <c r="G172" s="3" t="s">
        <v>40</v>
      </c>
      <c r="H172" s="3" t="s">
        <v>11</v>
      </c>
      <c r="I172" s="3" t="s">
        <v>12</v>
      </c>
      <c r="J172" s="3" t="s">
        <v>52</v>
      </c>
      <c r="K172" s="3" t="s">
        <v>14</v>
      </c>
      <c r="L172" s="3" t="s">
        <v>50</v>
      </c>
      <c r="M172">
        <v>1</v>
      </c>
    </row>
    <row r="173" spans="1:13" x14ac:dyDescent="0.25">
      <c r="A173" s="2">
        <v>46161</v>
      </c>
      <c r="B173" s="1" t="str">
        <f ca="1">IF(Información1[[#This Row],[Fecha]]='Ajuste de fechas'!$A$2,"Día actual","Día anterior")</f>
        <v>Día actual</v>
      </c>
      <c r="C173" s="3" t="s">
        <v>8</v>
      </c>
      <c r="D173" t="s">
        <v>10</v>
      </c>
      <c r="E173" s="3" t="s">
        <v>18</v>
      </c>
      <c r="F173" s="3" t="s">
        <v>19</v>
      </c>
      <c r="G173" s="3" t="s">
        <v>40</v>
      </c>
      <c r="H173" s="3" t="s">
        <v>11</v>
      </c>
      <c r="I173" s="3" t="s">
        <v>12</v>
      </c>
      <c r="J173" s="3" t="s">
        <v>52</v>
      </c>
      <c r="K173" s="3" t="s">
        <v>14</v>
      </c>
      <c r="L173" s="3" t="s">
        <v>50</v>
      </c>
      <c r="M173">
        <v>1</v>
      </c>
    </row>
    <row r="174" spans="1:13" x14ac:dyDescent="0.25">
      <c r="A174" s="2">
        <v>46161</v>
      </c>
      <c r="B174" s="1" t="str">
        <f ca="1">IF(Información1[[#This Row],[Fecha]]='Ajuste de fechas'!$A$2,"Día actual","Día anterior")</f>
        <v>Día actual</v>
      </c>
      <c r="C174" s="3" t="s">
        <v>8</v>
      </c>
      <c r="D174" t="s">
        <v>10</v>
      </c>
      <c r="E174" s="3" t="s">
        <v>330</v>
      </c>
      <c r="F174" s="3" t="s">
        <v>21</v>
      </c>
      <c r="G174" s="3" t="s">
        <v>40</v>
      </c>
      <c r="H174" s="3" t="s">
        <v>11</v>
      </c>
      <c r="I174" s="3" t="s">
        <v>12</v>
      </c>
      <c r="J174" s="3" t="s">
        <v>48</v>
      </c>
      <c r="K174" s="3" t="s">
        <v>14</v>
      </c>
      <c r="L174" s="3" t="s">
        <v>50</v>
      </c>
      <c r="M174">
        <v>1</v>
      </c>
    </row>
    <row r="175" spans="1:13" x14ac:dyDescent="0.25">
      <c r="A175" s="2">
        <v>46161</v>
      </c>
      <c r="B175" s="1" t="str">
        <f ca="1">IF(Información1[[#This Row],[Fecha]]='Ajuste de fechas'!$A$2,"Día actual","Día anterior")</f>
        <v>Día actual</v>
      </c>
      <c r="C175" s="3" t="s">
        <v>8</v>
      </c>
      <c r="D175" t="s">
        <v>10</v>
      </c>
      <c r="E175" s="3" t="s">
        <v>13</v>
      </c>
      <c r="F175" s="3" t="s">
        <v>15</v>
      </c>
      <c r="G175" s="3" t="s">
        <v>40</v>
      </c>
      <c r="H175" s="3" t="s">
        <v>11</v>
      </c>
      <c r="I175" s="3" t="s">
        <v>12</v>
      </c>
      <c r="J175" s="3" t="s">
        <v>48</v>
      </c>
      <c r="K175" s="3" t="s">
        <v>14</v>
      </c>
      <c r="L175" s="3" t="s">
        <v>50</v>
      </c>
      <c r="M175">
        <v>1</v>
      </c>
    </row>
    <row r="176" spans="1:13" x14ac:dyDescent="0.25">
      <c r="A176" s="2">
        <v>46161</v>
      </c>
      <c r="B176" s="1" t="str">
        <f ca="1">IF(Información1[[#This Row],[Fecha]]='Ajuste de fechas'!$A$2,"Día actual","Día anterior")</f>
        <v>Día actual</v>
      </c>
      <c r="C176" s="3" t="s">
        <v>8</v>
      </c>
      <c r="D176" t="s">
        <v>10</v>
      </c>
      <c r="E176" s="3" t="s">
        <v>16</v>
      </c>
      <c r="F176" s="3" t="s">
        <v>17</v>
      </c>
      <c r="G176" s="3" t="s">
        <v>40</v>
      </c>
      <c r="H176" s="3" t="s">
        <v>11</v>
      </c>
      <c r="I176" s="3" t="s">
        <v>12</v>
      </c>
      <c r="J176" s="3" t="s">
        <v>48</v>
      </c>
      <c r="K176" s="3" t="s">
        <v>14</v>
      </c>
      <c r="L176" s="3" t="s">
        <v>50</v>
      </c>
      <c r="M176">
        <v>1</v>
      </c>
    </row>
    <row r="177" spans="1:13" x14ac:dyDescent="0.25">
      <c r="A177" s="2">
        <v>46161</v>
      </c>
      <c r="B177" s="1" t="str">
        <f ca="1">IF(Información1[[#This Row],[Fecha]]='Ajuste de fechas'!$A$2,"Día actual","Día anterior")</f>
        <v>Día actual</v>
      </c>
      <c r="C177" s="3" t="s">
        <v>8</v>
      </c>
      <c r="D177" t="s">
        <v>10</v>
      </c>
      <c r="E177" s="3" t="s">
        <v>331</v>
      </c>
      <c r="F177" s="3" t="s">
        <v>6</v>
      </c>
      <c r="G177" s="3" t="s">
        <v>40</v>
      </c>
      <c r="H177" s="3" t="s">
        <v>11</v>
      </c>
      <c r="I177" s="3" t="s">
        <v>12</v>
      </c>
      <c r="J177" s="3" t="s">
        <v>48</v>
      </c>
      <c r="K177" s="3" t="s">
        <v>14</v>
      </c>
      <c r="L177" s="3" t="s">
        <v>50</v>
      </c>
      <c r="M177">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56</v>
      </c>
      <c r="B1" t="s">
        <v>57</v>
      </c>
    </row>
    <row r="2" spans="1:2" x14ac:dyDescent="0.25">
      <c r="A2" s="2">
        <f ca="1">TODAY()</f>
        <v>46161</v>
      </c>
      <c r="B2" s="2">
        <f ca="1">A2-1</f>
        <v>46160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2026-05-20T00:55:49Z</dcterms:modified>
</cp:coreProperties>
</file>