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F129E19-07AF-424A-AC66-649EC4111D9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26" i="2" l="1"/>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36" i="2"/>
  <c r="B76" i="2"/>
  <c r="B78" i="2"/>
  <c r="B80" i="2"/>
  <c r="B82" i="2"/>
  <c r="B84" i="2"/>
  <c r="B86" i="2"/>
  <c r="B88" i="2"/>
  <c r="B90" i="2"/>
  <c r="B92" i="2"/>
  <c r="B94" i="2"/>
  <c r="B96" i="2"/>
  <c r="B97" i="2"/>
  <c r="B99" i="2"/>
  <c r="B101" i="2"/>
  <c r="B103" i="2"/>
  <c r="B105" i="2"/>
  <c r="B107" i="2"/>
  <c r="B109" i="2"/>
  <c r="B110" i="2"/>
  <c r="B112" i="2"/>
  <c r="B114" i="2"/>
  <c r="B116" i="2"/>
  <c r="B118" i="2"/>
  <c r="B120" i="2"/>
  <c r="B123" i="2"/>
  <c r="B125" i="2"/>
  <c r="B178" i="2"/>
  <c r="B179" i="2"/>
  <c r="B180" i="2"/>
  <c r="B181" i="2"/>
  <c r="B182" i="2"/>
  <c r="B183" i="2"/>
  <c r="B184" i="2"/>
  <c r="B185" i="2"/>
  <c r="B186" i="2"/>
  <c r="B187" i="2"/>
  <c r="B188" i="2"/>
  <c r="B189" i="2"/>
  <c r="B190" i="2"/>
  <c r="B191" i="2"/>
  <c r="B192" i="2"/>
  <c r="B193" i="2"/>
  <c r="B194"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75" i="2"/>
  <c r="B77" i="2"/>
  <c r="B79" i="2"/>
  <c r="B81" i="2"/>
  <c r="B83" i="2"/>
  <c r="B85" i="2"/>
  <c r="B87" i="2"/>
  <c r="B89" i="2"/>
  <c r="B91" i="2"/>
  <c r="B93" i="2"/>
  <c r="B95" i="2"/>
  <c r="B98" i="2"/>
  <c r="B100" i="2"/>
  <c r="B102" i="2"/>
  <c r="B104" i="2"/>
  <c r="B106" i="2"/>
  <c r="B108" i="2"/>
  <c r="B111" i="2"/>
  <c r="B113" i="2"/>
  <c r="B115" i="2"/>
  <c r="B117" i="2"/>
  <c r="B119" i="2"/>
  <c r="B121" i="2"/>
  <c r="B122" i="2"/>
  <c r="B124" i="2"/>
  <c r="B37" i="2"/>
  <c r="B38" i="2"/>
  <c r="B39" i="2"/>
  <c r="B40" i="2"/>
  <c r="B41" i="2"/>
  <c r="B42" i="2"/>
  <c r="B43" i="2"/>
  <c r="B44" i="2"/>
  <c r="B45" i="2"/>
  <c r="B46" i="2"/>
  <c r="B47" i="2"/>
  <c r="B48" i="2"/>
  <c r="B49" i="2"/>
  <c r="B50" i="2"/>
  <c r="B51" i="2"/>
  <c r="B195" i="2"/>
  <c r="B196" i="2"/>
  <c r="B197" i="2"/>
  <c r="B198" i="2"/>
  <c r="B199" i="2"/>
  <c r="B200" i="2"/>
  <c r="B201" i="2"/>
  <c r="B202" i="2"/>
  <c r="B203" i="2"/>
  <c r="B204" i="2"/>
  <c r="B205" i="2"/>
  <c r="B206" i="2"/>
  <c r="B207" i="2"/>
  <c r="B52" i="2"/>
  <c r="B53" i="2"/>
  <c r="B54" i="2"/>
  <c r="B55" i="2"/>
  <c r="B56" i="2"/>
  <c r="B57" i="2"/>
  <c r="B58" i="2"/>
  <c r="B59" i="2"/>
  <c r="B60" i="2"/>
  <c r="B61" i="2"/>
  <c r="B62" i="2"/>
  <c r="B63" i="2"/>
  <c r="B64" i="2"/>
  <c r="B65" i="2"/>
  <c r="B66" i="2"/>
  <c r="B67" i="2"/>
  <c r="B68" i="2"/>
  <c r="B69" i="2"/>
  <c r="B70" i="2"/>
  <c r="B71" i="2"/>
  <c r="B72" i="2"/>
  <c r="B73" i="2"/>
  <c r="B7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<sst xmlns="http://schemas.openxmlformats.org/spreadsheetml/2006/main" count="2075" uniqueCount="381">
  <si>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</si>
  <si>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</si>
  <si>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</si>
  <si>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</si>
  <si>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</si>
  <si>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</si>
  <si>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</si>
  <si>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</si>
  <si>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</si>
  <si>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</si>
  <si>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</si>
  <si>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</si>
  <si>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</si>
  <si>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</si>
  <si>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</si>
  <si>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</si>
  <si>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</si>
  <si>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</si>
  <si>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</si>
  <si>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</si>
  <si>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</si>
  <si>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</si>
  <si>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</si>
  <si>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</si>
  <si>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</si>
  <si>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</si>
  <si>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</si>
  <si>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</si>
  <si>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</si>
  <si>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</si>
  <si>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</si>
  <si>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</si>
  <si>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</si>
  <si>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</si>
  <si>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</si>
  <si>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</si>
  <si>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</si>
  <si>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</si>
  <si>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</si>
  <si>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</si>
  <si>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</si>
  <si>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</si>
  <si>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</si>
  <si>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</si>
  <si>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</si>
  <si>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</si>
  <si>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</si>
  <si>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</si>
  <si>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</si>
  <si>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</si>
  <si>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</si>
  <si>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</si>
  <si>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</si>
  <si>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</si>
  <si>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</si>
  <si>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Radio Lobo 96.7 FM</t>
  </si>
  <si>
    <t>Planeación</t>
  </si>
  <si>
    <t>Ultra 102.9 FM</t>
  </si>
  <si>
    <t>Ultra Noticias1</t>
  </si>
  <si>
    <t>Daniel Martínez</t>
  </si>
  <si>
    <t>Cultura</t>
  </si>
  <si>
    <t>Eulalio Larrieta agradece a Carlos Gamiño por estar al pendiente de temas</t>
  </si>
  <si>
    <t>Iniciativa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</si>
  <si>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</si>
  <si>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</si>
  <si>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</si>
  <si>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</si>
  <si>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</si>
  <si>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</si>
  <si>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</si>
  <si>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</si>
  <si>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</si>
  <si>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</si>
  <si>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</si>
  <si>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</si>
  <si>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</si>
  <si>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</si>
  <si>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</si>
  <si>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</si>
  <si>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</si>
  <si>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</si>
  <si>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</si>
  <si>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</si>
  <si>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</si>
  <si>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Rehabilitación Vial</t>
  </si>
  <si>
    <t>Gusano barrenador</t>
  </si>
  <si>
    <t>Ambulantaje</t>
  </si>
  <si>
    <t>Accidente de patrulla</t>
  </si>
  <si>
    <t>Concierto Sinfónico</t>
  </si>
  <si>
    <t>Becas De Posgrado</t>
  </si>
  <si>
    <t>Alcantarillado</t>
  </si>
  <si>
    <t>Inclusión</t>
  </si>
  <si>
    <t>Carril confinado</t>
  </si>
  <si>
    <t>Detención</t>
  </si>
  <si>
    <t>Mañanera de Hidalgo</t>
  </si>
  <si>
    <t>Combate a la delincuencia</t>
  </si>
  <si>
    <t>Detención Feminicida</t>
  </si>
  <si>
    <t>Boletín 1048: Atención oportuna y gratuita, clave para contener al gusano barrenador del ganado</t>
  </si>
  <si>
    <t>CGCG</t>
  </si>
  <si>
    <t>Boletín: El Gobierno de Hidalgo anuncia la creación de un nuevo museo estatal en un inmueble emblemático recuperado en el Centro Histórico de Pachuca</t>
  </si>
  <si>
    <t>Museo de la Ciudad</t>
  </si>
  <si>
    <t>Día del Niño</t>
  </si>
  <si>
    <t>Enlace Noticias</t>
  </si>
  <si>
    <t>Gina Lorenzo</t>
  </si>
  <si>
    <t>Fuga De Agua</t>
  </si>
  <si>
    <t>Promoción De La Salud</t>
  </si>
  <si>
    <t>Capacitación</t>
  </si>
  <si>
    <t>Campeonato de robótica</t>
  </si>
  <si>
    <t>Reunión Gabinete De Seguridad</t>
  </si>
  <si>
    <t>Huracán Priscilla</t>
  </si>
  <si>
    <t>Boletín 636: OSEH y Banda Sinfónica presentan doble jornada musical en Hidalgo</t>
  </si>
  <si>
    <t>Boletín 1050: Gabinete de Seguridad de Hidalgo asegura más de 10 mil estupefacientes y detiene a 32 personas</t>
  </si>
  <si>
    <t>DIFH</t>
  </si>
  <si>
    <t>Entrevista pautada</t>
  </si>
  <si>
    <t>Pavimentación hidráulica</t>
  </si>
  <si>
    <t>Recolección De Basura</t>
  </si>
  <si>
    <t>Radioescucha reporta que los semaforos que estan rumbo a Tulipanes por Chedraui, no funcioanan y eso puede causar un accidente</t>
  </si>
  <si>
    <t>Semaforización</t>
  </si>
  <si>
    <t>Tecnificación De Riego</t>
  </si>
  <si>
    <t>Zona Arqueológica</t>
  </si>
  <si>
    <t>Partidos</t>
  </si>
  <si>
    <t>Contraloría</t>
  </si>
  <si>
    <t>Atención Socioemocional</t>
  </si>
  <si>
    <t>Columna a media semana - En la Escuela Americana de Pachuca, que vive una intensa crisis desde el año 2021, viven un momento sumamente difícil, pues de acuerdo con un escrito hecho llegar por los trabajadores, al momento se les adeudan 5 meses de salario y en diciembre, con diversos argumentos y pretextos se les negó su aguinaldo. Los denunciantes responsabilizan de la situación a la presidenta del patronato Herlinda Ordaz Hernández, a quien señalan de que tampoco realiza asambleas, juntas informativas ni rendición de cuentas, por lo que advierten del inicio de nuevos procedimientos legales para la defensa de sus derechos laborales. Afirman que muchos han tenido que irse a buscar otro empleo por la falta de pago.</t>
  </si>
  <si>
    <t>Abuso laboral</t>
  </si>
  <si>
    <t>Joel Sánchez</t>
  </si>
  <si>
    <t>Boletín 32: Entrega gobierno de Hidalgo apoyos agropecuarios en la región de Ajacuba</t>
  </si>
  <si>
    <t>Saderh</t>
  </si>
  <si>
    <t>Apoyo Al Agro</t>
  </si>
  <si>
    <t>Boletín 1634: UPFIM representará a México en competencias internacionales de robótica</t>
  </si>
  <si>
    <t>Con el objetivo de fortalecer la prevención y la respuesta ante emergencias, comerciantes del tianguis PST participaron en una capacitación sobre el uso y manejo de extintores en las instalaciones de Bomberos y Protección Civil de Tulancingo. La actividad forma parte de los acuerdos establecidos entre los dirigentes del tianguis y el Gobierno Municipal, enfocados en mejorar las condiciones de seguridad para comerciantes y visitantes. Durante la jornada, los tianguistas recibieron formación teórica y práctica, con énfasis en la correcta aplicación de medidas de seguridad en instalaciones de gas, uno de los principales riesgos en este tipo de espacios comerciales. Autoridades destacaron que estas acciones buscan fomentar una cultura permanente de prevención, asegurando que los comerciantes cuenten con las herramientas necesarias para actuar de manera oportuna ante cualquier eventualidad, contribuyendo así a un entorno más seguro para la población en general. Asimismo, se informó que estas capacitaciones están disponibles para otros tianguistas interesados. De igual forma, se hizo un llamado a los diferentes mercados sobre ruedas para que desarrollen planes de contingencia que contemplen protocolos claros y acciones coordinadas, permitiendo una respuesta eficaz en situaciones de emergencia.</t>
  </si>
  <si>
    <t>Capacitación Contra Incendios</t>
  </si>
  <si>
    <t>La noche de este martes se registró un despliegue de fuerzas de seguridad en el centro de Ixmiquilpan, lo que generó expectación entre habitantes de la zona. Las acciones se concentraron sobre la calle José María Assian, donde autoridades intervinieron un inmueble y un establecimiento comercial como parte de un operativo en curso. En el lugar participan elementos de la Procuraduría General de Justicia del Estado de Hidalgo (PGJEH), así como efectivos de la Policía Estatal y personal de la Secretaría de la Defensa Nacional, quienes realizan diligencias de cateo en la zona.</t>
  </si>
  <si>
    <t>Cateo</t>
  </si>
  <si>
    <t>Columna a media semana - El Centro de Acopio Lechero que pudo haber sido de gran beneficio para la actividad económica de Tulancingo, se encuentra inconcluso y completamente abandonado, en condiciones que están por cumplir 4 años, según lo han advertido integrantes de la Asociación de Ganaderos del Valle de Tulancingo, que agrupa a lecheros y queseros de la región; según explican, la Secretaría de Agricultura y Desarrollo Rural (SADER), presume que el proyecto está al 80%; lo cierto es que no hay avance en los trabajos, hace un lustro se decía que necesitaban 17 millones de pesos para terminarlo y ahora son 40 millones los que se requieren tan solo para continuar y aún falta la colocación de tanques, equipamiento y el laboratorio.</t>
  </si>
  <si>
    <t>Centro de acopio lechero</t>
  </si>
  <si>
    <t>Boletín 029: Gabinete de Seguridad detiene a generador de violencia en Tlaxcoapan</t>
  </si>
  <si>
    <t>Gabinete de Seguridad</t>
  </si>
  <si>
    <t>Autoridades de la Procuraduría General de Justicia del Estado de Hidalgo (PGJEH) llevaron a cabo un operativo en el municipio de Mixquiahuala de Juárez, que derivó en la detención de tres personas presuntamente relacionadas con la venta de narcóticos. La intervención se originó tras un reporte ciudadano que alertaba sobre actividades sospechosas en la calle 2 de enero, en la zona centro. Autoridades de la Procuraduría General de Justicia del Estado de Hidalgo (PGJEH) llevaron a cabo un operativo en el municipio de Mixquiahuala de Juárez, que derivó en la detención de tres personas presuntamente relacionadas con la venta de narcóticos. La intervención se originó tras un reporte ciudadano que alertaba sobre actividades sospechosas en la calle 2 de enero, en la zona centro. En respuesta, agentes de la División de Investigación de la Agencia de Investigación Criminal se trasladaron al lugar, donde ubicaron a dos hombres y una mujer, quienes habrían intentado evadir a la autoridad. Tras realizarles una revisión, los elementos aseguraron diversas sustancias con características similares a marihuana, droga sintética conocida como cristal y un polvo blanco que podría ser cocaína. Durante estas acciones también fueron confiscadas dos unidades sin placas de circulación: una motocicleta y una motoneta de la marca Italika. Los detenidos, junto con la droga y los vehículos, quedaron a disposición del Ministerio Público, instancia que continuará con las investigaciones para definir su situación jurídica.</t>
  </si>
  <si>
    <t>Columna a media semana - El próximo día 30, vence el plazo para que los aspirantes a convertirse en consejeros del Instituto Estatal Electoral de Hidalgo se registren como candidatos, proceso que se ha llevado a cabo durante los meses de marzo y abril, porque en mayo se realizarán las entrevistas correspondientes. El calendario establece que el 2 de noviembre de este año, deberán rendir protesta los dos nuevos integrantes que se sumarán al consejo general que preside María Magdalena González Escalona, quien seguramente buscará meter la mano en la designación; quienes busquen un lugar en el IEEH también deberán presentar ensayos, evaluaciones y someterse a entrevistas para probar su experiencia y conocimiento en esta materia.</t>
  </si>
  <si>
    <t>IEEH</t>
  </si>
  <si>
    <t>Consejeros Electorales</t>
  </si>
  <si>
    <t>Elementos de la Secretaría de Seguridad Ciudadana de Mineral de la Reforma, detuvieron a una persona dedicada a la venta de aves protegidas sobre el bulevar Providencia, a la altura del fraccionamiento San Luis I. El hombre ofrecía dichas especies sin el permiso correspondiente, por lo que luego del reporte ciudadano ante el C5i que alertaba sobre la presencia del hombre, la policía municipal implementó un operativo para su localización. Al llegar, fue ubicada la persona quien se identificó con las iniciales J.L.Z.C., de 33 años de edad, y en ese momento tenía en su poder dos crías de aves de la especie psitácidos mexicanos, conocidos como pericos de frente naranja, los cuales están protegidos ante la Norma Oficial Mexicana 0-59 y los ofrecía a la venta. Al no acreditas la legal procedencia y documentos para la transportación de estas especies, el sujeto fue detenido y el aseguramiento de los dos ejemplares de aves, para ser puestos a disposición del Ministerio Público de la Fiscalía General de la República (FGR).</t>
  </si>
  <si>
    <t>Entrevista vía telefónica Edna Vite Ramos, presidenta del Patronato del Sistema DIFH - Habló sobre la celebración del Día del Niño y la Niña que se realizará el próximo 24 y 25 de abril de 2026 en las instalaciones de la Feria, dicho evento se realizará con temática futbolera, pues además de contar con juegos mecánicos, retas de fútbol y talleres, se realizará la forma de autógrafos de jugadores y jugadoras del Club de Fútbol Pachuca. Cabe destacar que el evento es gratuito y se realizará en un horario de 11:00 a 17:00 horas.</t>
  </si>
  <si>
    <t>Boletín 637: “Loopa Sonora” destaca en la EMEH como propuesta innovadora en arte contemporáneo</t>
  </si>
  <si>
    <t>EMEH</t>
  </si>
  <si>
    <t>En sesión ordinaria, diputadas y diputados integrantes de la 66 legislatura avalaron con 25 votos a favor el acuerdo económico que exhorta a los 84 ayuntamientos a fortalecer la capacitación del personal de Protección Civil a través del Centro Nacional de Prevención de Desastres (Cenapred), promovido por la legisladora María del Rosario Guerrero Martínez (Morena).</t>
  </si>
  <si>
    <t>Exhorto</t>
  </si>
  <si>
    <t>Locutor Juan Carlos Santamaría informó que, la Secretaría del Trabajo y Previsión Social de Hidalgo a través del ICATHI realizará la firma de convenio de colaboración con la Fundación Alemana Senior Experten Service, la cita es a las 10:40 horas en Mineral del Monte.</t>
  </si>
  <si>
    <t>STPSH</t>
  </si>
  <si>
    <t>Firma De Convenio</t>
  </si>
  <si>
    <t>La posible salida de la Fundación Arturo Herrera Cabañas de su inmueble generó un intenso debate entre legisladores de Hidalgo, con posturas encontradas sobre el uso de espacios públicos y el valor de los proyectos culturales en la entidad. Durante la discusión, la diputada Tania Eréndira Meza Escorza señaló que el desalojo no puede verse solo desde lo legal, sino también desde la historia y el impacto social del movimiento cultural vinculado a la fundación. Advirtió que guardar silencio ante esta situación sería “traicionar” la lucha histórica de la izquierda en el estado. En contraste, la legisladora Mónica Leanett Reyes Martínez afirmó que no se está cancelando el trabajo cultural de la organización, sino que se busca evitar que los espacios públicos se manejen como privilegios. Subrayó que los integrantes del proyecto pueden continuar con sus actividades en otros espacios. La discusión también incluyó el planteamiento de revisar el esquema legal del inmueble. Meza Escorza propuso que, con voluntad política, podría generarse un nuevo comodato que permita la continuidad del proyecto comunitario. Por su parte, la diputada Lizbeth Iraís Ordaz Islas defendió la recuperación del inmueble al señalar que forma parte de una política para garantizar que los bienes públicos se utilicen conforme a su finalidad social y no con fines particulares. En el mismo sentido, Hilda Miranda Miranda sostuvo que el objetivo del gobierno es rescatar espacios para ponerlos al servicio de la sociedad y de la comunidad cultural en general. Sin embargo, otras voces como la de la diputada Cynthia Citlali Delgado Mendoza destacaron la trayectoria de la fundación, resaltando su papel en la promoción cultural y el impacto logrado sin financiamiento público. Desde la oposición, el diputado Marco Antonio Mendoza Bustamante pidió reconocer el legado de Arturo Herrera Cabañas, subrayando sus aportaciones al ámbito académico y cultural en Hidalgo y el país. El tema continúa generando debate, al poner sobre la mesa la relación entre legalidad, uso de espacios públicos y el valor de los proyectos culturales independientes.</t>
  </si>
  <si>
    <t>Fundación Herrera Cabañas</t>
  </si>
  <si>
    <t>Columna a media semana - Como un reconocimiento a su trayectoria y talento como intérprete, el tenor hidalguense Fausto Villagrán será galardonado este fin de semana, con la entrega de la máxima presea de la música ranchera, la medalla Aida Cuevas; el galardón destinado a las grandes voces de la canción, será entregada al pachuqueño en una ceremonia avalada por el gobierno del estado de Chihuahua y la administración municipal de Ciudad Juárez, donde se llevará a cabo el evento. El destacado cantante tiene una trayectoria de 20 años y ha cantado con el acompañamiento de más de 50 mariachis y 40 orquestas.</t>
  </si>
  <si>
    <t>Galardón</t>
  </si>
  <si>
    <t>La Secretaría de Salud de Hidalgo, confirmó el primer caso detectado de miasis en humano por gusano barrenador en la entidad, registrado en un paciente masculino de 57 años, originario del municipio de Tenango de Doria, quien actualmente recibe atención médica conforme a los protocolos establecidos. Derivado de este primer caso, se llevó a cabo la Segunda Sesión Extraordinaria del Consejo de Salud del Estado de Hidalgo (CSEH) 2026, donde se fortalecieron las estrategias de prevención y control con la participación de autoridades federales, estatales y diversos sectores.</t>
  </si>
  <si>
    <t>Las autoridades municipales de San Salvador, Hidalgo, emitieron una alerta urgente el 21 de abril de 2026 tras la detección de al menos un posible caso de gusano barrenador en el municipio. Se solicita a los productores agropecuarios y a la población en general revisar constantemente a su ganado y mascotas en busca de heridas infectadas</t>
  </si>
  <si>
    <t>Boletín 1633: Cobaeh realizará concurso de trajes típicos</t>
  </si>
  <si>
    <t>Justa Académica</t>
  </si>
  <si>
    <t>Boletín: Secretaría de Salud entrega licencias sanitarias a hospitales de IMSS-Bienestar en Hidalgo</t>
  </si>
  <si>
    <t>Licencias sanitarias</t>
  </si>
  <si>
    <t>Columna a media semana - A unos meses de haberse visto obligado a presentar su renuncia a la dirigencia del partido Nueva Alianza Hidalgo, este martes volvió a dar señales de vida el ex-diputado federal Sergio Hernández Hernández, quien por medio de un escrito dirigido a la actual dirigente Juana María Márquez Parrasales, pidió ser desafiliado, es decir, renuncia a su militancia. Aun no se sabe si su salida del partido turquesa signifique su retiro de la política o su buscará acomodo en otro instituto político, lo que no sería nuevo en él, ya que el ex-secretario del SNTE, ya ha militado en el PRI, el PRD y nueva transa, así que a nadie extrañaría que solo sea un cambio de camiseta.</t>
  </si>
  <si>
    <t>Panalh</t>
  </si>
  <si>
    <t>Militancia Partidista</t>
  </si>
  <si>
    <t>Fuentes cercanas a la familia del exgobernador hidalguense y extitular de la Procuraduría General de la República (PGR), Jesús Murillo Karam, desmintieron las versiones que circularon en redes sociales sobre su presunto fallecimiento. De acuerdo con la información, el político hidalguense continúa internado en un centro hospitalario bajo una condición de salud delicada pero estable. Murillo Karam se encuentra bajo estrecha vigilancia médica tras haber sufrido una complicación cerebrovascular. A pesar de los rumores que se difundieron durante las últimas horas, se precisó que el exprocurador sigue con vida, aunque su diagnóstico se mantiene como reservado.</t>
  </si>
  <si>
    <t>Noticias falsas</t>
  </si>
  <si>
    <t>El Colegio de Bachilleres del Estado de Hidalgo (COBAEH) anuncia su oferta educativa para el ciclo 2026, dirigida a estudiantes que están por concluir la secundaria y buscan continuar su formación en el nivel medio superior con opciones académicas y técnicas. Con presencia en 133 centros educativos distribuidos en 65 de los 84 municipios de la entidad, el COBAEH se posiciona como la institución de educación media superior más grande en Hidalgo, al ofrecer un modelo de bachillerato general con capacitación para el trabajo. El director general del organismo, Rubén López Valdez, destacó que anualmente egresan en promedio 9 mil estudiantes, muchos de los cuales continúan su formación en universidades, consolidándose como profesionistas que contribuyen al desarrollo del estado. Se invita a las y los interesados a acercarse a cualquiera de los planteles para iniciar su proceso de inscripción y formar parte de esta comunidad educativa, reiterando que el eje central de la institución son sus estudiantes y su desarrollo integral.</t>
  </si>
  <si>
    <t>Oferta educativa</t>
  </si>
  <si>
    <t>Con el objetivo de seguir fortaleciendo la infraestructura básica en las comunidades cuautepequenses, la administración que preside Jorge Hernández Araus dio inicio a los trabajos de pavimentación hidráulica en la calle Durango, en Tezoncualpan. Esta importante acción contempla una inversión de un millón 76 mi 494.77 pesos, que beneficiará de manera directa a 55 habitantes e indirectamente a más de 850 personas con mejores condiciones de movilidad y mayor seguridad en su entorno. El proyecto incluye la construcción de 660.41 metros cuadrados de pavimento de concreto hidráulico de alta resistencia, así como guarniciones, banquetas, aplicación de pintura de tránsito, renivelación de pozo de visita e instalación de mampara informativa. En el arranque de esta significativa mejora, el alcalde reconoció la participación y el respaldo de las y los vecinos de Tezoncualpan, destacando que el trabajo conjunto entre sociedad y gobierno es fundamental para lograr resultados que verdaderamente impacten en el bienestar de la población.</t>
  </si>
  <si>
    <t>Un grupo de turistas denunció una situación de alto riesgo durante su visita a las grutas de Xajhá, en Zimapán, luego de que la camioneta en la que eran trasladados presentara una falla mecánica en plena ruta, en una zona de curvas y barrancos. De acuerdo con el testimonio, la unidad —que presuntamente se encontraba en condiciones deplorables— estuvo a punto de caer a una barranca con varias personas a bordo, lo que generó momentos de gran riesgo. Los visitantes señalaron que las camionetas son asignadas directamente por personal del lugar, siendo el único medio para acceder al sitio, por lo que consideran indispensable que estas cuenten con mantenimiento adecuado y condiciones seguras para operar. Indicaron que lo ocurrido pudo haber derivado en una tragedia, por lo que hacen un llamado urgente a revisar el estado de las unidades y garantizar la seguridad de quienes acuden a este destino turístico. Asimismo, pidieron la intervención de las autoridades del Gobierno del Estado del área de Turismo para supervisar este tipo de servicios y evitar que situaciones similares vuelvan a repetirse.</t>
  </si>
  <si>
    <t>Queja de turistas</t>
  </si>
  <si>
    <t>Entrevista vía telefónica Mtra. Violeta Sosa Zamora Habló sobre el reciente lanzamiento del "Plan Nacional de Salud Mental para adolescentes", el cual, tiene como objetivo combatir el estrés, la violencia y los riesgos digitales.</t>
  </si>
  <si>
    <t>Salud Mental</t>
  </si>
  <si>
    <t>El próximo viernes 24 de abril, la ciudad de Pachuca vivirá un bloqueo vial que se espera no sea retirado hasta que los organizadores obtengan respuestas que satisfagan sus respectivas demandas, por lo que se espera haya mucho tráfico y caos durante el lapso de algunas horas consecutivas. Quien anunció la protesta se trata de integrantes del colectivo Voces H-Inocentes Mx, que se dedica a dar acompañamiento en procesos legales, principalmente en mujeres e infancias, que son dos de los grupos poblacionales mayormente afectados por lo que acusan como desigualdades y hasta abusos. Y aunque se aseveró que desde su instancia tratan de sacar adelante los casos que llegan, consideran que los medios de comunicación no dan suficiente cobertura, o bien, son selectivos según la presión social o la llamada virilidad que pueda obtener en las redes sociales, lo que entorpece su trabajo. Ante lo cual, se pidió que se realice un ejercicio periodístico objetivo e imparcial, sin seleccionar causas según criterios establecidos y por ello el próximo viernes 24 de abril buscarán llamar la atención con una marcha y bloqueo vial en la ciudad de Pachuca, llamando a la ciudadanía a participar. De acuerdo con el colectivo Voces H-Inocentes Mx, además de cobertura mediática a casos legales que han quedado prácticamente en el olvido o sin darse a conocer a la ciudadanía por no ser considerados relevantes, también se buscará que se dé una revisión a carpetas de investigación con igualdad. El colectivo insistió en que su objetivo es que se otorgue un trato justo a todas las personas involucradas en procesos legales, principalmente de mujeres e infancias, quienes padecen abusos, ataques, denigración y oros probables delitos que no han tenido justicia incluso desde hace ya mucho tiempo atrás. nte lo cual, se anunció una marcha pacífica el próximo viernes 24 de abril a las 9:30 horas, quizá antes o después, según el tiempo que participantes se organicen, quienes deben portar ropa blanca, partiendo desde el Centro de Justicia para Mujeres ubicado en la colonia San Carlos de Pachuca. Posteriormente, fue aseverado que se partirá a hacia una de las calles más importantes, donde se instalará un bloqueo que durará el tiempo necesario en lo que se comprometen soluciones, pero sin especificar el punto exacto, pero que podría ser el bulevar Ramón G Bonfil cercano, donde se portarán pancartas.</t>
  </si>
  <si>
    <t>Procuracion de justicia</t>
  </si>
  <si>
    <t>Eulalio Larrieta agradece a Edith Balderas de la Secretaria de Educación Pública.</t>
  </si>
  <si>
    <t>Radioescucha Raúl manda audio sobre el deceso que se tuvo en el hospital general, ya que no la atendieron y falleció en la parte de afuera. No es justo que el ciudadano que vaya a que le brinden el servicio y no lo atiendan; ojalá no quede impune.</t>
  </si>
  <si>
    <t>Atención médica</t>
  </si>
  <si>
    <t>Se registró un accidente en Apan, un tren impactó un vehículo que intentó ganarle el paso el conductor quien fue atendido de inmediato y trasladado para su atención médica.</t>
  </si>
  <si>
    <t>Radioescucha reporta que sigue el bache en el cruce peatonal, por la Federal 2</t>
  </si>
  <si>
    <t>Bacheo</t>
  </si>
  <si>
    <t>Continúa la búsqueda del menor de edad identificado como Dorian Calef Chiu quien fue visto por última vez el 15 de abril de 2025 en la localidad de Huiztnopala, municipio de Lolotla, en la sierra del estado de Hidalgo. A poco más de un año de su desaparición, su abuela María Bautista pide auxilio para encontrar a su nieto, quien llegó a Huiztnopala para pasar unos días de vacaciones en compañía de su familia sin saber que sería la última vez que lo verían. Desde entonces a la fecha los vecinos y familiares mantienen una búsqueda constante en compañía de cuerpos de seguridad de la Policía Estatal y Municipal, así como la Comisión de Búsqueda de Personas del Estado de Hidalgo.</t>
  </si>
  <si>
    <t>Búsqueda de personas</t>
  </si>
  <si>
    <t>Comenta el conductor Eulalio Larrieta que, hablando del tema de la Fundación Arturo Herrera Cabañas, no sabía que la casa hogar Ciudad de los Niños ya no funcionaba y eso fue desde la pandemia, y dicen que siguen llegando recursos, ropa y víveres a ese lugar y nos gustaría saber a dónde se va eso; ojalá alguna autoridad nos diga qué pasó.</t>
  </si>
  <si>
    <t>Centros asistenciales</t>
  </si>
  <si>
    <t>Como resultado de trabajos de inteligencia y coordinación institucional, el Gabinete de Seguridad del Gobierno del Estado de Hidalgo logró la detención en Tlaxcoapan de un hombre identificado con las iniciales J. C. A. A., considerado generador de violencia en Tlaxcoapan y municipios aledaños.La acción se llevó a cabo mediante un operativo táctico desarrollado por elementos de la Agencia de Investigación de la Procuraduría General de Justicia del Estado de Hidalgo (PGJEH) y la Secretaría de Seguridad Pública de Hidalgo (SSPH), derivado de investigaciones realizadas en esa zona del estado y frenan diversos actos delictivos que afectan a las familias en la región.</t>
  </si>
  <si>
    <t>El Gobierno mexicano ha desmantelado una red millonaria de extracción y venta ilegal de combustible, ha anunciado este miércoles el secretario de Seguridad federal, Omar García Harfuch. De acuerdo con las autoridades, la operación de los criminales tenía la capacidad de sustraer semanalmente hasta 1,5 millones de litros de hidrocarburo en los Estados de Hidalgo y Estado de México, en el centro del país. Siete personas han sido detenidas, entre ellas el presunto líder del grupo. Como parte de las investigaciones, se ejecutaron 20 órdenes de cateo, distribuidas de la siguiente manera:10 en el Estado de México, 10 en Hidalgo,AUDIO APOYO</t>
  </si>
  <si>
    <t>Combate Al Huachicol</t>
  </si>
  <si>
    <t>Entrevista Alicia Sanchéz corista con la invitación para hoy 22 de abril al concierto “Misa de Coronación” (KV 317) de Wolfgang Amadeus Mozart, a las 18:00 horas al evento que se llevara acabo en la Parroquia Basílica de Santa María de Guadalupe. El concierto será interpretado por la Orquesta Filarmónica de Pachuca, en conjunto con el Coro de Pachuca y el Coro del Estado de Hidalgo, reuniendo a más de 50 voces en escena, recordando igual que este recinto contará con acceso gratuito al público.</t>
  </si>
  <si>
    <t>Avanza el proceso de diálogo comunitario rumbo a la consulta indígena para la restauración ambiental de la presa de San Fernando. En la comunidad de Santa María Macuá se realizó una asamblea informativa para presentar el programa de restauración ecológica del área de influencia como parte de la fase previa a este ejercicio.Autoridades de la Secretaría de Medio Ambiente y Recursos Naturales y del Instituto Nacional de los Pueblos Indígenas detallaron que esta es la décima localidad donde se dialogó con pobladores con el objetivo de aclarar dudas y socializar el proyecto. El plan contempla acciones para combatir la contaminación hídrica como el tratamiento de aguas residuales y la reducción de descargas en los ríos Salado y Tula, además de programas de reforestación y recuperación de suelos. También se prevén medidas para mejorar la calidad del aire mediante la actualización de normas ambientales y el control de emisiones.</t>
  </si>
  <si>
    <t>Consulta Indígena</t>
  </si>
  <si>
    <t>Un policía resultó sin vida en Mixquiahuala, a la altura del Teñé, esto por un accidente en motocicleta.</t>
  </si>
  <si>
    <t>Deceso de policía</t>
  </si>
  <si>
    <t>Boletín 1051:Convoca Segobh al Foro de Derechos Humanos Inclusivos</t>
  </si>
  <si>
    <t>Derechos humanos</t>
  </si>
  <si>
    <t>Radioescucha pide a Caasim que le mande el bactor para realizar desazolve de una alcantarilla tapada en Villas del Alamo Fovissste</t>
  </si>
  <si>
    <t>Desazolve</t>
  </si>
  <si>
    <t>Radioescucha Aurora Ibarra Soto comenta que sigue pidiendo apoyo para el desazolve del canal del Fraccionamiento Renacimiento en la primera y segunda sección de Arquitectura.</t>
  </si>
  <si>
    <t>Para celebrar el Día del Niño, el gobierno de Hidalgo y el sistema de Hidalgo realizarán el evento Únete a la Reta. La información con Jocelyn Sánchez. En el marco del mes de las infancias, el sistema de Hidalgo anunció la cuarta diciembre festejando a las niñas y a los niños de Hidalgo, denominado Únete a la Reta, evento que se realizará los días veinticuatro y veinticinco de abril en las instalaciones de la feria de Pachuca.La presidenta del Patronato, Edda Vite, informó que durante ambos días, de once de la mañana a cinco de la tarde, se ofrecerán actividades gratuitas con enfoque deportivo, teniendo al fútbol como eje principal. Edda Vite destacó que los boletos son gratuitos y se distribuyen en distintos puntos del estado y reiteró la invitación a las familias a disfrutar de esta celebración enfocada en la convivencia y el bienestar infantil. Todos los niños de dos ochenta y cuatro municipios, tanto de los cercanos como de los lejanos, saben que los estamos esperando y nos va a dar muchísimo gusto recibirlos acá. Únanse a la reta, traigan su ven, pónganse la camiseta del equipo que más les guste porque ese es el objetivo, venir a jugar y a pasar momentos recreativos. La entrada es gratuita. Los esperamos, niños, niñas, traigan a sus papás y vengan a jugar, va a haber muchísima participación en cuanto a actividades relacionadas con el fútbol. Únanse a la reta en el sistema DIF. Para Enfoque Regional, informó Jocelyn Sánchez. AUDIO DE APOYO.</t>
  </si>
  <si>
    <t>Durante sesión ordinaria, diputadas y diputados de la LXVI Legislatura del Congreso de Hidalgo aprobaron por unanimidad —con 25 votos a favor— un acuerdo económico para exhortar a los 84 ayuntamientos de la entidad a reforzar la capacitación de su personal de Protección Civil.La iniciativa, promovida por la legisladora María del Rosario Guerrero Martínez y dictaminada por la Primera Comisión Permanente de Protección Civil y Gestión Integral de Riesgos, plantea que los municipios aprovechen los programas de formación del Centro Nacional de Prevención de Desastres.En tribuna, el diputado Francisco Javier Téllez Sánchez subrayó la importancia de establecer mecanismos de coordinación institucional con autoridades estatales y federales, a fin de facilitar el acceso del personal municipal a procesos de capacitación, certificación y actualización continua.</t>
  </si>
  <si>
    <t>Radioescucha reporta que siguen tirando agua en la colonia Valle del Palmar</t>
  </si>
  <si>
    <t>Fuga de agua</t>
  </si>
  <si>
    <t>Radioescucha agradece que ya repararaon una fuga de agua, que se habia reportado y agradece la difusión</t>
  </si>
  <si>
    <t>La diputada de Morena Tania Meza Escorza defendió la permanencia de la Fundación Arturo Herrera Cabañas y enmarcó su postura en la historia de la izquierda social en México,AUDIO APOYO</t>
  </si>
  <si>
    <t>En Hidalgo se investiga un posible caso de gusano barrenador en seres humanos de acuerdo a las fuentes federales, las autoridades del Servicio Nacional de Sanidad, Inocuidad y Calidad Agroalimentaria (Senasica), se encuentran analizando en el municipio de Tenango de Doria, Hidalgo un probable caso de gusano barrenador en un ser humano. Al corte del 16 de abril de 2026, la plaga tiene presencia confirmada en 45 municipios de Hidalgo, lo que representa el 53.5 por ciento del territorio estatal.</t>
  </si>
  <si>
    <t>La Administración Municipal de San Salvador encendió las alertas tras la detección de un posible caso de gusano barrenador, una plaga considerada de alto riesgo para la salud animal y humana; ya las autoridades locales informaron que se activaron protocolos de monitoreo preventivo en toda la demarcación, al tiempo que hicieron un llamado urgente a productores y ciudadanía a revisar constantemente a su ganado y mascotas, especialmente en heridas abiertas o zonas húmedas. Advirtieron que esta larva puede alimentarse de tejido vivo, lo que representa un peligro significativo si no se detecta a tiempo ante cualquier sospecha se pide reportar de inmediato a la Dirección de Desarrollo Agropecuario o al número 772 159 0050 hay que recordar que en San Salvador pues hay productores de leche de quesos, en ganado es importante el número de ganado que se tiene en este municipio y ya en esa región, en esa parte de la región del Valle del Mezquital.El gobierno municipal subrayó que la detección oportuna y la participación ciudadana serán clave para evitar la propagación de esta plaga y proteger tanto la actividad pecuaria como la salud pública en la región.</t>
  </si>
  <si>
    <t>El delito del huachicol, sigue en incremento. Concentra ya cinco estados los piquetes aductos de Pemex. De las nueve mil novecientas veintidós denuncias presentadas por tomas clandestinas entre dos mil veinticuatro y dos mil veinticinco, el sesenta punto nueve por ciento se concentró en apenas cinco entidades. Estamos hablando de Puebla, Estado de México, Guanajuato, Tamaulipas, e Hidalgo.Registros oficiales de Pemex detallan que Hidalgo encabezó la incidencia con mil setecientos noventa y dos denuncias. La información con Claudia Alcántara. Gracias, buenos días.Cada cincuenta minutos se detectó una toma clandestina en ductos de Pemex durante el dos mil veinticinco para el robo de combustible, de acuerdo con cifras oficiales. El número de perforaciones el año pasado fue de diez mil quinientas noventa y uno, según el estadístico de la petrolera solicitado vía transparencia. El fenómeno se mantuvo concentrado en el centro del país, con Hidalgo a la cabeza.</t>
  </si>
  <si>
    <t>Huachicol</t>
  </si>
  <si>
    <t>Radioescucha, reportar a los de Caasim que desde el 7 de abril fueron a realizar reconexiones del servicio, ya se reportó varias veces y siguen sin tener respuesta favorable. Comenta conductor que mandan todo su historial y lo mandamos directamente a Caasim</t>
  </si>
  <si>
    <t>Inatención</t>
  </si>
  <si>
    <t>El artista plástico Jasso, originario de Tula, explicó que su intervención gráfica forma parte de la restauración de la fachada de la primaria Melchor Ocampo, un proyecto iniciado hace dos años con apoyo de padres de familia, asociaciones y empresas. El mural, titulado “La Sinfonía Tolteca de la Vida”, está inspirado en la toltequidad, una filosofía prehispánica que promueve el equilibrio interno y externo del ser humano. La obra integra elementos como la biodiversidad, los atlantes, la niñez y la juventud, con un mensaje enfocado en el cuidado de la naturaleza y la reflexión personal</t>
  </si>
  <si>
    <t>Infraestructura escolar</t>
  </si>
  <si>
    <t>Radioescucha reporta lámparas fundidas en la calle Chabacano en Ampliación Santa Julia.</t>
  </si>
  <si>
    <t>Radioescucha reporta que en Jardín del Arte, donde está el monumento al maestro, está muy oscuro, ya que no funcionan algunas lámparas; comenta conductor que ojalá el ayuntamiento cheque ese asunto.</t>
  </si>
  <si>
    <t>Boletín 1049: La cultura es un derecho: Hidalgo recupera espacios para el acceso de todas y todos</t>
  </si>
  <si>
    <t>El alcalde Jorge Reyes Hernández anunció la próxima implementación de un sistema de multas electrónicas que permitirá a los conductores liquidar sus infracciones en el lugar de los hechos mediante tarjeta o transferencia, AUDIO APOYO</t>
  </si>
  <si>
    <t>Multa de tránsito</t>
  </si>
  <si>
    <t>Luego de que algunos medios nacionales dieran a conocer que el exgobernador de Hidalgo Jesús Murillo Karam había perdido la vida, Criterio Hidalgo consultó con fuentes cercanas al político. El abogado Javier López, defensor particular del exproducrador Jesús Murillo Karam, acusado en el caso Ayotzinapa, informó que es falsa la información sobre la supuesta muerte del exgobernador de Hidalgo.</t>
  </si>
  <si>
    <t>Ayer un importante operativo de seguridad se realizó en la zona en pleno centro a unos 50 metros de la presidencia municipal esto presuntamente un operativo contra el narcomenudeo veremos lo que dicen las autoridades en las próximas horas</t>
  </si>
  <si>
    <t>Operativo de Seguridad</t>
  </si>
  <si>
    <t>En el marco del día mundial del hígado, el Instituto Mexicano del Seguro Social (IMSS) en Hidalgo alerta a la población sobre el riesgo de acumular grasa en el organismo, particularmente en el hígado, ya que la inflamación de este vital órgano puede originar formación excesiva de tejido cicatricial lo que se traduce en cirrosis, hígado graso y en casos avanzados puede dar paso a tumores.</t>
  </si>
  <si>
    <t>Radioescucha reporta que las combis de Pitayas, se ponen muy groseros.</t>
  </si>
  <si>
    <t>Queja transporte público</t>
  </si>
  <si>
    <t>Comentó conductor Jessus Gonzales que ayer se recibieron varias llamadas de auditorio , para comentar que en comunidades y colonias de Tula, no habia pasado el camiñon de la basura, pero nos comentaron que fue por mantenimiento y que mañana se reanuda la recolección de basura.</t>
  </si>
  <si>
    <t>Un exfuncionario de la presidencia municipal de Atitalaquia fue sentenciado a 33 años y 4 meses de prisión, luego de que personal ministerial adscrito a la Procuraduría General de Justicia del Estado de Hidalgo, lograra acreditar la responsabilidad en los delitos de violación instrumentada equiparada agravada y abuso sexual equiparado agravado.Los hechos imputados tuvieron lugar entre los años 2018 y 2019, de acuerdo con la acusación, el sujeto agredió sexualmente a una niña de ocho años.</t>
  </si>
  <si>
    <t>Sentencia</t>
  </si>
  <si>
    <t>El Congreso del Estado de Hidalgo fue sede del Diálogo por el Bienestar y la Protección Animal, denominado “Por un Hidalgo sin maltrato animal”. El propósito fue establecer un foro institucional, plural e interdisciplinario para el análisis técnico, científico, jurídico y social. En este espacio, se reunieron especialistas, académicos, organizaciones de la sociedad civil y ciudadanos con el fin de aportar datos objetivos que enriquezcan el proceso legislativo y contribuyan a una deliberación bien informada.En el contexto de la iniciativa para prohibir las corridas de toros, el diputado Avelino Tovar Iglesias, coordinador del grupo legislativo del Partido Verde Ecologista de México, hizo referencia a una resolución de la Suprema Corte de Justicia de la Nación, AUDIO APOYO</t>
  </si>
  <si>
    <t>Tauromaquia</t>
  </si>
  <si>
    <t>De acuerdo con información de la Comisión Nacional del Agua (Conagua), al día de hoy, el avance físico global de las obras de tecnificación que lleva a cabo el Gobierno de México en los distritos de riego 003 Tula, 100 Alfajayucan y 112 Ajacuba es del 90.78 por ciento (%), considerando en conjunto los canales principales y las canaletas regadoras.Los avances en la red mayor corresponden a la conclusión del revestimiento de los canales, quedando únicamente pendientes los trabajos de colado de las losas de aproximación en estructuras como puentes, transiciones, represos y tomas granja. Se continúan trabajos de cimbrado y colado de estructuras de control y operación para su posterior instalación y prueba de compuertas deslizantes y radiales.</t>
  </si>
  <si>
    <t>Hasta el semestre pasado cuando inició el ciclo escolar dos mil veinticinco, dos mil veintiséis hasta el corte de diciembre de dos mil veinticinco sumaban ya más de trescientos nueve casos de violencia escolar. ¿Por qué le decimos estos datos? Porque muchas de las veces los niños replican este tipo de violencia, de bullying, de acoso escolar con sus compañeros por lo que viven en sus casas, por la situación tan compleja que se vive en sus hogares. Si es que se le puede llamar así, el trabajo coordinado entre maestros, docentes, administrativos con padres de familia debe ser muy intenso para evitar y sobre todo prevenir este tipo de situaciones.Por eso en los entornos seguros corresponden a los padres de familia y también a los maestros y profesores que en conjunto puedan brindarle orientación, puedan brindarle espacios seguros a los pequeños. Sin duda, muchos de los casos de violencia en la escuela son reflejo de la violencia que viven las niñas y los niños en sus casas.</t>
  </si>
  <si>
    <t>Violencia Escolar</t>
  </si>
  <si>
    <t>Hablar de violencia, la violencia a la que se enfrentan los pequeños, pues ya no es cosa menor, sobre todo la violencia escolar que dejó de ser un hecho aislado y hoy se perfila como una crisis creciente en nuestro estado y en nuestro país. Hay que decirlo, no es un problema exclusivo de Hidalgo, sino a nivel nacional. Especialistas y autoridades han advertido la necesidad urgente de reforzar la prevención y atención dentro y fuera de las aulas. De hecho, el secretario de Educación Pública en Hidalgo, Natividad Castrejón Valdés, reconoció que hay estudiantes que encuentran mayor seguridad en la escuela que en sus propios hogares, lo que sin duda evidencia un entorno familiar marcado por la violencia en algunos casos. En municipios como Tizayuca, los focos rojos se intensificaron tras amenazas de tiroteo vinculadas a casos de bullying, así como agresiones entre estudiantes que han quedado documentadas en video, evidenciando la falta de intervención oportuna. AUDIO DE APOYO DE NCV</t>
  </si>
  <si>
    <t>En la localidad de Santa María Michimaltongo, es reconocida como comunidad indígena en Tula, fue sede de la Asamblea Comunitaria que es parte del programa de ordenación de la Zona Metropolitana del Valle de México. Daniela López Hernández, directora de Planificación del Gobierno Municipal de Tula, explicó que Tula de Allende forma parte del polígono que configura hoy la Zona Metropolitana del Valle de México, la importancia de que existan estas zonas metropolitanas, es la conexión que existe entre una limítrofe y otra. A través del gobierno federal, gobierno estatal, en el caso del gobierno federal a través de la SEDATU, gobierno estatal a través de la Unión de Planeación y Prospectiva y en el gobierno municipal a través de la Dirección de Planeación es que se han hecho estos encuentros, AUDIO APOYO</t>
  </si>
  <si>
    <t>ZMVM</t>
  </si>
  <si>
    <t>Un automovilista intentó ganarle el paso al tren que en ese momento circulaba sobre vías que cruzan por la cabecera municipal de Apan, durante la tarde del martes 21 de abril. El accidente se registró a la altura de la gasolinera cercana a las vías para la circulación del tren, con el saldo señalado. Al sitio acudieron elementos de atención a emergencias, localizando al automovilista, quien se encontraba al interior de la unidad automotora. Tras valorar su estado físico y de salud, se determinó trasladarlo para ofrecerle atención médica especializada a sus lesiones. En tanto, elementos policiacos acordonaron la zona para el inicio de las investigaciones respectivas para deslindar las responsabilidades respectivas.</t>
  </si>
  <si>
    <t>Este martes se registró el incendio de un vehículo de carga sobre la autopista Arco Norte, lo que generó afectaciones a la circulación en un tramo ubicado en la región de Tula. El siniestro ocurrió a la altura del kilómetro 74+500, en el segmento comprendido entre Tula 2 y Tula 1, con dirección hacia Texmelucan. De acuerdo con los primeros reportes, la unidad fue consumida en su totalidad por el fuego, quedando completamente calcinada sobre la carretera. La magnitud del incendio obligó a la movilización de cuerpos de emergencia, quienes acudieron al sitio para controlar las llamas y realizar labores de enfriamiento, así como la revisión de posibles riesgos adicionales en la zona.</t>
  </si>
  <si>
    <t>Milagrosamente, los ocupantes de un automóvil salvaron la vida, luego de que el vehículo donde viajaban quedó bajo una barra de contención sobre la carretera Pachuca-Ciudad Sahagún. El accidente se registró dentro del municipio de Zempoala, luego de que el auto compacto color blanco de salió de la cinta asfáltica y quedaron debajo de la barra metálica de contención. Testigos del accidente solicitaron el auxilio de las corporaciones de atención a emergencias, quienes acudieron junto con elementos policiacos para atender el reporte, logrando sacar con vida a los ocupantes del vehículo automotor. El perímetro donde se registró el accidente fue resguardado por elementos de la Guardia Nacional en tanto se atendía la situación, tras lo cual las personas involucradas fueron canalizados hacia instituciones de atención médica para su atención.</t>
  </si>
  <si>
    <t>Como resultado de trabajos de inteligencia y coordinación institucional, el Gabinete de Seguridad del Gobierno del Estado de Hidalgo logró la detención en Tlaxcoapan de un hombre identificado con las iniciales J. C. A. A., considerado generador de violencia en Tlaxcoapan y municipios aledaños. La acción se llevó a cabo mediante un operativo táctico desarrollado por elementos de la Agencia de Investigación de la Procuraduría General de Justicia del Estado de Hidalgo (PGJEH) y la Secretaría de Seguridad Pública de Hidalgo (SSPH), derivado de investigaciones realizadas en esa zona del estado y frenan diversos actos delictivos que afectan a las familias en la región. Durante la intervención, al imputado le fueron asegurados un arma de fuego calibre .45, dos cargadores y estupefacientes, indicios que quedaron a disposición de la autoridad ministerial como parte de la carpeta de investigación correspondiente.</t>
  </si>
  <si>
    <t>La Secretaría de Seguridad Ciudadana de Mineral de la Reforma informó la detención de un hombre que contaba con una orden de aprehensión vigente por el delito de feminicidio en el estado de Hidalgo, como resultado de acciones operativas realizadas en la zona de Pachuquilla. De acuerdo con el reporte oficial, el individuo fue asegurado inicialmente por elementos municipales tras ser señalado por alterar el orden público e ingresar sin autorización a un domicilio, lo que motivó su intervención y posterior traslado al área de barandillas. El detenido fue identificado con las iniciales S. A. A. S., de 40 años de edad, quien quedó a disposición de las autoridades administrativas mientras se realizaban las verificaciones correspondientes a su situación legal.</t>
  </si>
  <si>
    <t>En cabina Carmen Barranco del Colectivo Nacional De Mujeres Por La Igualdad EX HIJOS A.C. invita a la manifestación Nacional e internacional este 24 de Abril en punto de las 9:30 am, para replicar la igualdad entre hombres y mujeres así mismo externar el descontento de las denuncias falsas para impedir la unión de los padres con sus hijos destruyendo la familia y los valores de la sociedad, bajo el lema #𝗦𝗼𝘆𝗣𝗮𝗽á𝗡𝗼𝗖𝗿𝗶𝗺𝗶𝗻𝗮𝗹. La marcha partirá desde el Centro de Justicia para Mujeres del Estado de Hidalgo para culminar en el Procuraduría de Justicia del Estado de Hidalgo. Presentan testimonio del padre de una víctima de falsas denuncias por delitos de género y dice que confía en el Subsecretario de Gobierno y el Procurador de que se va a a hacer justicia en su caso.</t>
  </si>
  <si>
    <t>Procuración de justicia</t>
  </si>
  <si>
    <t>Ante la apertura de un nuevo programa, el Centro Especializado de Atención a la Violencia Familiar (CEAVIF), dependiente de la Secretaría de Desarrollo Humano y Social, convoca al público en general a formar parte del primer grupo con el que se trabajarán terapias grupales orientadas a fortalecer el bienestar emocional y promover la reconstrucción personal. El programa consiste en terapias grupales que se realizarán los viernes de cada semana, a partir de mayo. Con este trabajo integral, se pone al alcance de la ciudadanía un espacio seguro de acompañamiento, reflexión y aprendizaje para adquirir herramientas emocionales y fortalecer el proceso de empoderamiento. Durante el desarrollo de las sesiones, algunos de los temas a abordar serán: violencia vicaria, ansiedad y depresión, autoestima y codependencia, además de apoyo tanatológico; todo ello impartido por un equipo interdisciplinario de profesionales en salud mental.</t>
  </si>
  <si>
    <t>UPFIM representará a México en competencias internacionales de robótica</t>
  </si>
  <si>
    <t>La Subsecretaría de Protección Civil estatal prevé para los próximos meses se prologuen la época de estiaje y de lluvias fuertes, debido al fenómeno natural conocido como El Niño, así lo dio a conocer el encargado de dicha área, Román Bernal Díaz. Durante la conferencia mañanera de este lunes, el subsecretario dio a conocer que El Niño también afectará al territorio hidalguense, cabe mencionar que esta alteración climática se caracteriza por el sobrecalentamiento e inestabilidad atmosférica del planeta. “Posiblemente la temporada de estiaje se pueda prolongar, pero sí va a haber lluvias más cortas, pero más fuertes, es un pronóstico, no es una regla”, explicó Román Bernal Díaz y refirió que se trata de una estimación, pues pueden aumentar o disminuir las lluvias en la región. Bernal Díaz llamó a la ciudadanía a tomar las precauciones para evitar que tener consecuencias, “nuevamente por la presencia de las lluvias”, haciendo referencia a las lluvias de octubre del 2025, cuando se inundaron varias ciudades, se registraron derrumbes, 22 personas fallecieron y nueve más continúan desaparecidas.</t>
  </si>
  <si>
    <t>Prevención de riesgos</t>
  </si>
  <si>
    <t>Se ha detectado presencia de gusano barrenador con al menos un caso en los municipios de Alfajayucan, Tasquillo, Zimapán, Jacala, Nicolás Flores, Francisco I. Madero, Chapulhuacán y La Misión, confirmaron autoridades estatales. Ante la presencia de casos activos de gusano barrenador en municipios del Valle del Mezquital y la Sierra Gorda, autoridades municipales intensificaron las acciones de capacitación para la prevención y control de esta plaga. En Nicolás Flores, la Secretaría de Agricultura y Fomento Económico Municipal, en coordinación con el Comité Estatal de Fomento y Protección Pecuaria del Estado de Hidalgo, realizó capacitaciones en las comunidades de Bocua, Dothu, Iglesia Vieja y Villahermosa. Las autoridades señalaron que estas acciones forman parte de una estrategia para combatir y avanzar en la erradicación de la plaga, la cual representa un riesgo para la sanidad animal y la economía local.</t>
  </si>
  <si>
    <t>La Secretaría de Salud en Hidalgo (SSH) otorgó licencia de funcionamiento al Hospital General IMSS Bienestar en Tulancingo para otorgar el servicio de Rayos X. Previamente, en coordinación con la Comisión estatal para la Prevención de Riesgos Sanitarios (Copriseh), se realizó la inspección a las instalaciones del nosocomio para confirmar que cuenta con las instalaciones, infraestructura, personal y equipo necesario para otorgar el servicio de Rayos X a los pacientes que lo requieran. Vanesa Escalante Arroyo, titular de la SSH, reconoció el trabajo coordinado entre las instituciones de atención a la salud que operan en el Estado de Hidalgo para avanzar en la regularización y fortalecimiento de los servicios. Al contar con licencia los servicios de Rayos X en el Hospital General IMSS Bienestar de Tulancingo, los pacientes que lo requieran no deberán trasladarse a otras instituciones, agilizando la atención médica que requieran.</t>
  </si>
  <si>
    <t>Radioescucha: ¿no será que la falta de turismo es por el pase turístico?</t>
  </si>
  <si>
    <t>Pase turístico</t>
  </si>
  <si>
    <t>En las instalaciones de Bomberos y Protección Civil de Tulancingo, comerciantes del tianguis PST recibieron capacitación en el uso y manejo de extintores, como parte de los acuerdos establecidos entre dirigentes y el Gobierno Municipal de Tulancingo. Los tianguistas participaron en una sesión teórica y práctica sobre la aplicación de medidas de seguridad en instalaciones de gas. El objetivo de estas acciones es fomentar una cultura permanente de prevención, garantizando que los comerciantes estén preparados para atender emergencias y contribuir a un entorno seguro para la población.</t>
  </si>
  <si>
    <t>Un grupo de 15 visitantes estuvo a punto de sufrir un accidente grave mientras se dirigía a las Grutas de Xajhá, luego de que la camioneta en la que viajaban presuntamente se quedara sin frenos en una zona de curvas pronunciadas. El incidente ocurrió en el tramo de acceso hacia el sitio turístico, donde la unidad quedó al borde de un barranco. De acuerdo con los testimonios, el vehículo logró detenerse al atorarse entre piedras a la altura de un mirador, lo que evitó que cayera al vacío. Tras lo ocurrido, los afectados señalaron que el servicio de traslado es operado por ejidatarios, quienes cobran alrededor de 450 pesos por persona, incluyendo el acceso al lugar. Sin embargo, denunciaron que las unidades utilizadas presentan condiciones mecánicas deficientes, lo que representaría un riesgo para los usuarios. Hasta el momento no se reportan personas lesionadas, pero los visitantes hicieron un llamado a las autoridades de turismo y al gobierno municipal de Zimapán para que supervisen las condiciones en las que se brinda este servicio y se eviten posibles accidentes en el futuro.</t>
  </si>
  <si>
    <t>Regularización De Vehículos Turísticos</t>
  </si>
  <si>
    <t>Legisladores en el Congreso del Estado de Hidalgo presentaron iniciativa para realizar revisión a mochilas en planteles escolares, con objetivo de evitar el ingreso de objetos prohibidos, sobre todo de armas y sustancias ilícitas. Como argumento a la propuesta, la diputada local Yarabi González Martínez, puntualizó que durante el ciclo escolar 2024- 2025 en el Estado de Hidalgo se registraron 858 casos de violencia escolar, de los cuales una tercera parte correspondió a violencia física y 151 quejas por violencia sexual. Mientras que en lo que va del presente ciclo escolar se han registrado 309 incidentes de violencia en escuelas, en algunos casos con la detección de armas y objetos prohibidos o peligrosos, así como sustancias ilícitas.</t>
  </si>
  <si>
    <t>Daniel Martínez sobre las declaraciones de la titular de Turismo, Elizabeth Quintanar respecto a las cifras de la derrama económica y la ocupación hotelera durante la Semana Santa, señala que le parece que la secretaria solo está como tratando de salvar el tema porque dice sus cifras son con base en estadísticas del Inegi y como no queriendo aceptar que a final de cuentas los prestadores de servicios turísticos tienen muchísimo de razón en el sentido de que viven el día a día y en el día a día no vieron la cifras maravillosas que trae la Sectur Hidalgo.</t>
  </si>
  <si>
    <t>Semana Santa</t>
  </si>
  <si>
    <t>La titular de la Secretaría de Turismo de Hidalgo, Elizabeth Quintanar Gómez, señaló que las diferencias entre los indicadores oficiales y los reportados por la Asociación de Hoteles responden al tamaño de la muestra utilizada. Explicó que dicha agrupación contempla únicamente a 28 establecimientos, frente a un total de mil 260 opciones de hospedaje en la entidad, por lo que sus resultados representan solo una parte del sector. En ese sentido, el 57 por ciento de ocupación que reportan corresponde exclusivamente a sus afiliados. La funcionaria indicó que la dependencia estatal utiliza un esquema de inteligencia turística con bases metodológicas similares a las del Instituto Nacional de Estadística y Geografía, lo que permite obtener datos con un margen de error mínimo, estimado entre 0.02 y 0.05. Agregó que, mediante el sistema Datatur, se realizan auditorías y verificaciones directas, como llamadas aleatorias a hoteles, para validar información relacionada con ocupación, derrama económica y gasto promedio.</t>
  </si>
  <si>
    <t>Daniel Martínez comenta que continúan las quejas en el verificentro de Tulancingo, pues no respetan los horarios que dan en las citas por internet, por lo que se pregunta que para qué insisten en dar las citas si no van a respetar los turnos y para qué citan a las personas a las 8 de la mañana su abren hasta las 8:30</t>
  </si>
  <si>
    <t>Verificación vehicular</t>
  </si>
  <si>
    <t>Vía telefónica el reporte de Bombero y Protección Civil con Abner Yáñez informa que se atendieron diversas emergencias. Entre ellas 3 incendios de pasto en terrenos baldíos y uno de llantas.</t>
  </si>
  <si>
    <t>Luego del ataque registrado en la zona arqueológica de Teotihuacán, el gobierno federal ordenó intensificar las medidas de seguridad en estos espacios turísticos a nivel nacional. La presidenta de México, Claudia Sheinbaum Pardo, informó durante su conferencia matutina que instruyó a las áreas de seguridad y cultura a fortalecer la vigilancia, tras un hecho que calificó como inédito en el país. Como parte de las acciones inmediatas, se determinó el despliegue de más elementos de la Guardia Nacional en zonas arqueológicas, además de analizar la posible instalación de arcos detectores de metales en los accesos para prevenir riesgos. En Hidalgo, los principales puntos con afluencia turística incluyen Tula de Allende, donde se ubican los Atlantes; Pañhú; Huapalcalco y Xihuingo, sitios que ahora serán objeto de mayor resguardo.</t>
  </si>
  <si>
    <t>Ataque armado</t>
  </si>
  <si>
    <t>La presidenta del Colectivo de Protección Animal Jauría de Balu, identificada como Maestra Luisa, hizo un llamado a la población y a las autoridades para impulsar la aprobación de la ley antitauromaquia en el estado, al señalar que esta iniciativa lleva más de un año sin avances en el Congreso local. En entrevista con Ultra Noticias Hidalgo, destacó la importancia de generar conciencia social sobre la prevención de prácticas que involucren maltrato animal, y criticó que la propuesta legislativa permanezca “en la congeladora”, pese a que organizaciones defensoras han insistido en su discusión y aprobación desde hace una década. La activista subrayó que no solo la tauromaquia debe ser considerada dentro de esta ley, sino también eventos como la Santiagada, al argumentar que forman parte de una misma problemática al utilizar animales con fines de entretenimiento. En cuanto al proceso legislativo, explicó que en los últimos siete días han intensificado la recolección de firmas para exigir la emisión de dictámenes pendientes, los cuales no han sido entregados desde hace más de un año, situación que ha frenado el avance de la iniciativa. Finalmente, enfatizó que llevan aproximadamente 10 años trabajando por la aprobación de esta ley en Hidalgo, e hizo un llamado al gobernador Julio Menchaca para respaldar esta causa, al considerar que la tauromaquia no tiene cabida en una entidad que busca avanzar hacia una cultura de respeto y bienestar animal.</t>
  </si>
  <si>
    <t>Radioescucha: En el acceso a la colonia La Rovirosa una coladera está doblada, lo que representa un riesgo para quienes circulan por ahí Alberto Brandy. Piden a la presidencia municipal haga algo.</t>
  </si>
  <si>
    <t>Un accidente vial se presentó sobre el corredor de la Montaña a la altura de San Guillermo la Reforma, en el que se vio involucrada una patrulla de Mineral de la Reforma que al parecer conducía a exceso de velocidad. Llamó mucho la atención este hecho a los que circulaban por ahí y en las redes sociales.</t>
  </si>
  <si>
    <t>El día de hoy a las 10:45 de la mañana en el municipio de Real del Monte, el Instituto de Capacitación para el Trabajo del Estado de Hidalgo (ICATHI) realizará una firma de convenio de colaboración con la Fundación Alemana Senior Experten Service (SES) y la toma de protesta del patronato del ICATHI para el periodo 2026-2028.</t>
  </si>
  <si>
    <t>En Apan un sujeto intentó ganarle el paso al tren dejando como saldo a una persona lesionada. Al lugar llegó personal de paramédicos quienes trasladaron a la persona lesionada.</t>
  </si>
  <si>
    <t>Mujeres lideran transformación comunitaria con redes impulsadas por el IHM</t>
  </si>
  <si>
    <t>Redes comunitarias</t>
  </si>
  <si>
    <t>Con el objetivo de resaltar la riqueza cultural a través del arte popular y las técnicas artesanales, así como fortalecer el sentido de pertenencia regional, el Colegio de Bachilleres del Estado de Hidalgo (Cobaeh) realizará la tercera edición del “Concurso de Trajes Típicos Cobaeh 2026”. La convocatoria está dirigida a estudiantes de segundo y cuarto semestre, y se desarrollará del 8 al 29 de mayo en planteles ubicados en Zimapán, Santiago de Anaya, Zempoala, Tianguistengo y Huejutla. En esta edición, la temática central será un homenaje a la manta como textil milenario de México.</t>
  </si>
  <si>
    <t>En sesión ordinaria, diputadas y diputados integrantes de la LXVI Legislatura avalaron con 25 votos a favor, cero en contra y cero abstenciones, el acuerdo económico que exhorta a los 84 ayuntamientos a fortalecer la capacitación del personal de Protección Civil a través del Centro Nacional de Prevención de Desastres (Cenapred), promovido por la legisladora María del Rosario Guerrero Martínez (Morena) emitido por la primera Comisión Permanente de Protección Civil y Gestión Integral de Riesgos. El legislador Francisco Javier Téllez Sánchez (PT) precisó que se les solicita establecer mecanismos de coordinación institucional con autoridades estatales y federales para facilitar el acceso del personal municipal a programas de formación, certificación y capacitación continua.</t>
  </si>
  <si>
    <t>Un sujeto presuntamente bajo los efectos del alcohol, generó una intensa movilización en Mineral de la Reforma. De acuerdo con la policía municipal, el conductor de un vehículo particular manejaba de manera inapropiada y al no acatar las indicaciones de los elemento policiacos huyó generando un persecución que terminó en Las Palomas con su detención.</t>
  </si>
  <si>
    <t>En Ixmiquilpan la Secretaría de Seguridad Pública, la Procuraduría General de Justicia y la Policía Municipal realizaron un operativo de seguridad mediante el cual se detuvo al menos a10 personas involucradas en delitos como: Robos a mano armada y a casa habitación, asaltos a peatones y al transporte público y robo de motocicletas y vehículos.</t>
  </si>
  <si>
    <t>Sergio Hernández Hernández, expresidente del Comité Directivo Estatal de Nueva Alianza Hidalgo (PNAH), formalizó su salida del partido al presentar su solicitud de desincorporación. De acuerdo con la solicitud dirigida a la presidenta del Comité de Dirección Estatal, Juana María Márquez Parrasales, solicitó que se realicen los trámites correspondientes ante el partido y las autoridades electorales para hacer efectiva su baja como militante. en sus redes posteó “Mi amistad no cambia, pero en mi vida hay nuevos horizontes”, escribió en redes sociales el exdirigente. Claro mensaje para Said Vargas y otros.</t>
  </si>
  <si>
    <t>Renuncia</t>
  </si>
  <si>
    <t>Secretaría de Salud entrega licencias sanitarias a hospitales de IMSS-Bienestar en Hidalgo</t>
  </si>
  <si>
    <t>Licencia de Funcionamiento</t>
  </si>
  <si>
    <t>Radioescucha, Rod Mendoza: Ya están llegando las nuevas unidades del Tuzobús y mi pregunta es es si ustedes saben si también habrá un plan de logística, eficientización y reordenamiento en rutas donde los tiempos pudieran reducirse o solo será poner más unidades.</t>
  </si>
  <si>
    <t>Modernización Tuzobús</t>
  </si>
  <si>
    <t>El Congreso del Estado se convirtió en el epicentro de un amplio y diverso debate en torno al bienestar y la protección animal, al albergar el diálogo “Por un Hidalgo sin maltrato animal”, un ejercicio que reunió a especialistas, legisladores y sociedad civil para analizar uno de los temas más sensibles y polémicos de la agenda pública actual. Durante el encuentro, el presidente de la Junta de Gobierno, Andrés Velázquez Vázquez, destacó la importancia de abrir espacios donde converjan distintas posturas, con el objetivo de construir leyes informadas y cercanas a la ciudadanía. Subrayó que el Congreso debe ser un lugar de diálogo abierto que permita legislar con responsabilidad, conocimiento y de cara al pueblo. Uno de los puntos centrales fue la propuesta para prohibir las corridas de toros en la entidad. El diputado Avelino Tovar Iglesias enfatizó que el marco jurídico nacional ya establece límites claros, al recordar que la Suprema Corte de Justicia de la Nación ha determinado que ninguna práctica que implique maltrato animal puede justificarse bajo el argumento de la cultura o la tradición.</t>
  </si>
  <si>
    <t>Boletín 717: SSPH frena operaciones de punto de venta de narcóticos en el Valle del Mezquital</t>
  </si>
  <si>
    <t>Se registró un operativo policial en la comunidad de San Juan Tilcuautla, en el municipio de San Agustín Tlaxiaca, donde autoridades estatales aseguraron dos vehículos que transportaban contenedores con combustible.Según información oficialfue ubicada una camioneta tipo Suburban color azul, que contenía varios bidones con hidrocarburo.</t>
  </si>
  <si>
    <t>Sobre el tema del paro de labores por parte de transportistas que trabajan en la obra del canal Tlamaco – Juandho, el conductor Jesús Gonzalez comento: “Más que querer culpar a Conagua o a la Secretaría de Hacienda, habrá que revisar las empresas, tenemos entendido que las empresas deben ir solventando todo el proceso de la obra y hasta el final hacen hacen cuentas con la Conagua para que les pague lo que les debe. Las empresas están obligadas a pagarle a los trabajadores, por eso se realiza la licitación, pero las empresas están obligadas a eso, a tener un fondo para pagar”</t>
  </si>
  <si>
    <t>Plan Hídrico</t>
  </si>
  <si>
    <t>Integrantes del sindicato de transportistas realizaron un paro de labores como reclamo a los representantes de la empresa que realiza la obra del canal Tlamaco-Juandho , debido a la falta de pago durante más de siete semanas, dijeron que no es la primera vez que se retrasan en los pagos las empresas encargadas de las obras de los canales de riego. “Conagua dice que es cosa es de la Secretaría de Hacienda odos se echan la bolita y nosotros solo somos los afectados”. Los transportistas fueron escuchados por representantes de la empresa, quienes dijeron que no han recibido recurso económico por parte de la Conagua desde diciembre, AUDIO APOYO</t>
  </si>
  <si>
    <t>Luego del colapso del relleno sanitario regional de Tula de Allende, el presidente municipal Cristhian Evanivaldo Martínez Reséndiz informó que en aproximadamente tres meses se habilitará una nueva celda para la disposición de los residuos sólidos.El edil explicó que la operará la empresa Marsacto S.A de C.V, encargada también de la operación de residuos en la capital hidalguense, al cumplir con todos los requisitos y autorizaciones de la Secretaría de Medio Ambiente y Recursos Naturales del Estado de Hidalgo (Semarnath).El predio destinado para esta nueva celda, dijo, no se encuentra cercano a zonas habitadas ni colindante con ductos de Petróleos Mexicanos (Pemex) o instalaciones de la Comisión Federal de Electricidad (CFE)., AUDIO APOYO</t>
  </si>
  <si>
    <t>Relleno Sanitario</t>
  </si>
  <si>
    <t>La presidenta Claudia Sheinbaum anunció que el Tren Suburbano pasa de manos de privados al gobierno mexicano y tendrá el nombre “Felipe Ángeles”.Confirmó además la inaguración de un nuevo tramo este domingo, de Buenavista al Aeropuerto Internacional Felipe Ángeles (AIFA), AUDIO APOYO</t>
  </si>
  <si>
    <t>Tren AIFA</t>
  </si>
  <si>
    <t>Conductor Jesús González informó que, la presidenta Claudia Sheinbaum visitará el Estado de Hidalgo este fin de semana; supervisará la obra del tren AIFA-Pachuca en el municipio de Villa de Tezontepec. Además, se tiene previsto que visite los municipios de Singuilucan y Acaxochitlán.</t>
  </si>
  <si>
    <t>Visita Sheinbaum</t>
  </si>
  <si>
    <t>Entrevista vía telefónica Doctora Shanik Jayne Cahun Gama, directora de Políticas y Estrategias de la SSH - Habló sobre la reciente detección del primer caso de gusano barrenador en una persona, derivado de lo anterior, dio a conocer las medidas de prevención a poner en práctica para poder evitar contagios. En ese sentido, dijo, desde la SSH se está trabajando en coordinación con la Senasica y los municipios para prevenir o en su caso detectar a tiempo la propagación del gusano barrenador en animales</t>
  </si>
  <si>
    <t>Comenta conductor Jesús González que confirma Secretaría de Salud primer caso de gusano barrenador en humanos</t>
  </si>
  <si>
    <t>Boletín 15:SEGOBH fomenta Plan de Acción Municipal para la Prevención del Embarazo en Adolescentes</t>
  </si>
  <si>
    <t>Prevención De Embarazo Adolescente</t>
  </si>
  <si>
    <t>Boletín 294: “Voces pequeñas, raíces grandes”: niñas, niños y adolescentes del programa PILARES alzan la voz por sus comunidades en Hidalgo</t>
  </si>
  <si>
    <t>Pilares</t>
  </si>
  <si>
    <t>Boletín 33: Apoyos económicos agropecuarios fortalecen al campo hidalguense en 11 municipios, AUDIO APOYO</t>
  </si>
  <si>
    <t>Apoyo por catástrofes agropecuarias</t>
  </si>
  <si>
    <t>Boletín 28: Gobierno de Hidalgo acerca programas de apoyo a estudiantes del Iteshu, AUDIO APOYO</t>
  </si>
  <si>
    <t>Vía telefónica Doctora vía telefónica Doctora Shanik Jayne Cahun Gama, Directora de Políticas y Estrategias de Salud Pública, con el tema : Recomendaciones para prevenir contagio de Gusano barrenador</t>
  </si>
  <si>
    <t>Boletín 28: Gobierno de Hidalgo acerca programas de apoyo a estudiantes del Iteshu</t>
  </si>
  <si>
    <t>Derivado de los reportes recibidos sobre olor a gas LP en diferentes puntos de los municipios de Tetepango y Tezontepec de Aldama, las áreas de protección civil se encuentran realizando recorridos de inspección y monitoreo en los diferentes barrios colonias desde ayer por la tarde para localizar el origen y atender la situación de manera inmediata</t>
  </si>
  <si>
    <t>Déjeme platicarle, y seguramente usted tiene la mejor opinión. Usted conoce a sus hijos, a sus hijas. Usted conoce los entornos escolares en los que se están desarrollando.Ya las autoridades a nivel nacional lanzaron una alerta por una tendencia, un tren viral en plataformas digitales. Específicamente, una tendencia en TikTok sobre supuestas amenazas en escuelas con la frase, mañana tiroteo. Esta situación ha causado mucha alarma ya que son ya varias las escuelas en cuatro estados de la república que han entrado en alerta ante supuestas amenazas de tiroteos.Es Nuevo León, Tamaulipas, Sonora, Puebla e Hidalgo donde ya se presenta esta tendencia de que aparecen letreros alertando de que va a haber un tiroteo en esas instituciones públicas. Aquí en Hidalgo, autoridades de Tizayuca encendieron la alerta por la difusión de una falsa tendencia. Lamentablemente no sabemos si es falsa o en algún momento alguien sí vaya a cumplirla.Y es que la Secretaría de Seguridad Ciudadana informó que el pasado 20 de abril atendió reportes en la telesecundaria de Tepojaco tras amenazas en TikTok que advertían sobre un supuesto ataque armado. Sin embargo, se confirmó que todo se trató de una falsa alarma, de una broma. Una broma de muy mal gusto, por decirlo.Un caso similar también se registró en la secundaria Elisa Acuña Rosetti donde también circularon rumores sin fundamento que generaron temor entre la comunidad escolar. De acuerdo con la corporación, estas publicaciones forman parte de una tendencia viral internacional que busca provocar pánico sin que exista un riesgo real hasta el momento. Ante ello, se exhorta a madres y padres de familia a supervisar el uso de redes sociales,fomentar la comunicación con sus hijos y verificar cualquier información a través de fuentes oficiales para evitar desinformación y alarma innecesaria.Hasta el día de ayer solamente eran amenazas en redes sociales. Pero ayer se cancelaron clases en una escuela secundaria de San Salvador en la comunidad de Cerritos donde apareció un cartel al interior de los baños de esta secundaria donde decía mañana tiroteo el que venga es perplejo porque los vamos a matar. Se cancelaron clases, se está investigando, se están tomando las medidas necesarias, pero a ver, no es culpa de las autoridades, no es culpa de los administrativos</t>
  </si>
  <si>
    <t>Ayer en el Congreso del Estado, pues fue escenario de un diálogo intenso, innecesario, álgido en algunos momentos, ya que el bienestar y la protección animal frente a la llamada fiesta brava, pues es un tema que se está discutiendo en el Congreso. Especialistas, académicos, organizaciones civiles y ciudadanía analizaron desde lo técnico, científico, jurídico y social los distintos ángulos de esta discusión, las posturas son claras, pero también profundamente encontradas.</t>
  </si>
  <si>
    <t>En Mixquiahuala detienen a tres personas presuntamente dedicadas al narcomenudeo. La información con Joselyn Sánchez. Como resultado de labores de investigación e intervención inmediata, elementos de la División de Investigación de la Agencia de Investigación Criminal de la Procuraduría General de Justicia del Estado de Hidalgo detuvieron en Mixquiahuala de Juárez a tres personas presuntamente dedicadas al narcomenudeo.</t>
  </si>
  <si>
    <t>Personal del Instituto Nacional de Migración realizó un operativo en el municipio de El Arenal. Las acciones se llevaron a cabo sobre la carretera México-Laredo. El objetivo es detectar la presencia de personas en situación migratoria irregular. Hasta el momento no se reportan detenciones.</t>
  </si>
  <si>
    <t>Operativo migratorio</t>
  </si>
  <si>
    <t>¿Se acuerda de este líder de comerciantes que en muchas administraciones ha dado mucho de qué hablar? Pues ahora el Ayuntamiento Municipal de Pachuca liberó la Plaza Constitución y reubicó a los comerciantes ambulantes en un espacio digno junto al Mercado Benito Juárez. Pero el líder de la Federación de Organizaciones Independientes del Estado de Hidalgo, Oscar Pelcastre, señaló que ellos no aceptarán el lugar y quieren un mercado. Y a modo de protesta colocaron solo sus carpas por incumplimiento de los acuerdos que se tenían con el Gobierno Municipal de Pachuca desde administraciones pasadas. AUDIO DE APOYO</t>
  </si>
  <si>
    <t>Boletín 105: Confirma Secretaría de Salud primer caso de gusano barrenador en humanos</t>
  </si>
  <si>
    <t>El titular de la Secretaría de Seguridad y Protección Ciudadana, Omar García Hartfush, informó ayer que se desarticuló una poderosa red de huachicol, tras un operativo coordinado entre el Estado de México e Hidalgo, que dejó a siete personas detenidas, entre ellas el presunto líder del grupo. Derivado de labores de investigación, vigilancia y seguimiento continuo sobre esta organización, se logró identificar su estructura criminal, sus principales operadores y los patrones de operación que utilizaban. A partir de ello, se ubicaron diversos inmuebles empleados como centro de almacenamiento, trasvase y distribución ilícita, principalmente de gas LP, lo que permitió consolidar las líneas de investigación. Como parte de las investigaciones se ejecutaron 20 órdenes de cateo, distribuidas de la siguiente manera, 10 en el Estado de México y 10 en Hidalgo. Estas acciones permitieron ubicar inmuebles utilizados para el almacenamiento, distribución y operación del combustible de procedencia ilícita. Durante estas acciones se aseguraron más de 150 mil litros de hidrocarburos de gas LP, 61 pipas, 20 tanques de almacenamiento, 55 autotanques, 11 tractocamiones, vehículos, armamento, droga, dinero en efectivo, equipo de cómputo que la Fiscalía General de la República ya está analizando, dispositivos de almacenamiento, sistemas de videograbación y los inmuebles utilizados para estas actividades ilícitas. Con estas acciones se desarticuló este grupo criminal, dedicado principalmente al robo de gas LP, en los municipios , Jilotepec, Tepeji del Río, Apasco, Tula de Allende, Atotonilco de Tula y Cuautitlán Izcalli. Es importante destacar que esta célula tenía una capacidad de extracción estimada de hasta un millón y medio de litros de hidrocarburos por semana en la región. AUDIO APOYO</t>
  </si>
  <si>
    <t>Radioescucha reporta que en el Tecnológico de Pachuca no tenemos agua en los baños para los alumnos; urge una solución. Comenta conductora Jaqueline Servín, que hace un llamado a Caasim para que habiliten agua en el plantel educativo</t>
  </si>
  <si>
    <t>Abasto De Agua</t>
  </si>
  <si>
    <t>Radioescucha reporta que no tiene agua en la Plutarco Elías Calles, que marcaron y no contestaron, dijeron que pondrían servicio el pasado domingo y no tuvimos nada</t>
  </si>
  <si>
    <t>Sobre el reporte nuevamente de fuga de agua en calle Dorado, comentó el conductor Eulalio Larrieta que ese reporte ya se pasó varias veces, pero no sabe por qué no le dan atención.</t>
  </si>
  <si>
    <t>Radioescucha reporta que sigue fuga de agua en la banqueta la calle Dorado en Valle del Palmar.</t>
  </si>
  <si>
    <t>Radioescucha ¿Es verdad que mañana viernes van a realizar un bloqueo? Comenta conductora Jaqueline Servín que el grupo Voces H. Inocentes Mx, anunció que mañana 24 de abril a las 9:30 am se manifestarán en el Centro de Justicia para Mujeres en Pachuca, supuestamente es en contra de medios de comunicación.</t>
  </si>
  <si>
    <t>Manifestación informe</t>
  </si>
  <si>
    <t>Radioecucha agradece al personal de Caasim, ya fueron a checar lo de Paseo Chavarria</t>
  </si>
  <si>
    <t>Radioescucha comenta: “Hidalgo, realmente sí es primero el pueblo. ¿Cuándo llegan las nuevas unidades de la línea troncal?”. Comenta conductor que se supone que ya están llegando y en mayo ya van a iniciar.</t>
  </si>
  <si>
    <t>Elementos de la Secretaría de Seguridad Ciudadana de Mineral de la Reforma, detuvieron a una persona dedicada a la venta de aves protegidas sobre el bulevar Providencia, a la altura del fraccionamiento San Luis I.El hombre ofrecía dichas especies sin el permiso correspondiente, por lo que luego del reporte ciudadano ante el C5i que alertaba sobre la presencia del hombre, la policía municipal implementó un operativo para su localización.Al llegar, fue ubicada la persona quien se identificó con las iniciales J.L.Z.C., de 33 años de edad, y en ese momento tenía en su poder dos crías de aves de la especie psitácidos mexicanos, conocidos como pericos de frente naranja, los cuales están protegidos ante la Norma Oficial Mexicana 0-59 y los ofrecía a la venta.Al no acreditas la legal procedencia y documentos para la transportación de estas especies, el sujeto fue detenido y el aseguramientos de los dos ejemplares de aves, para ser puestos a disposición del Ministerio Público de la Fiscalía General de la República (FGR).</t>
  </si>
  <si>
    <t>La Secretaría de Seguridad Pública, Tránsito y Vialidad de Pachuca brindó atención a un ciudadano extranjero de 90 años de edad, quien acudió a las instalaciones de la corporación tras ser trasladado en un vehículo particular por un tercero.El masculino, identificado con las iniciales B.W.H. y de nacionalidad canadiense, solicitó apoyo al manifestar que presuntamente habría estado en una situación de restricción de su libertad en un domicilio ubicado en la zona de Carboneras, sin proporcionar mayores detalles. Asimismo, expresó su intención de regresar a su país de origen.Derivado de lo anterior, autoridades municipales establecieron contacto con la Embajada de Canadá y el Consulado en la Ciudad de México, quienes informaron que darían seguimiento al caso. El propio ciudadano confirmó su decisión de no presentar acciones legales.De acuerdo con su declaración, la persona señalada como presunta responsable habría sido su cuidadora en Canadá, motivo por el cual viajó a México con la intención de localizarla y retomar sus servicios.</t>
  </si>
  <si>
    <t>Radioescucha comenta: “Ojalá el señor gobernador lo escuche, para ver si se apiada de los ciudadanos, para que habilite el carril confinado al carril compartido para la salida a México, ya que todos los días se hacen hasta 40 minutos en un tramo corto de C. Doria al puente de Telléz”</t>
  </si>
  <si>
    <t>Vía telefónica, Arturo Gómez Canales, diputado con el tema trabajo legislativo. Habló de que en este momento va rumbo a una escuela en Tulancingo para inaugurar una biblioteca, la cual apoyamos con material didáctico. También se está muy activo en el congreso, ya que se subieron algunas iniciativas para jóvenes; se trabaja también en temas de salud, exhorto que se dio para las personas afectadas por la vaguada monzónica, la promoción de la vacuna de sarampión y pronto se subirá una iniciativa para los conductores de motocicleta.</t>
  </si>
  <si>
    <t>Trabajo legislativo</t>
  </si>
  <si>
    <t>El Instituto Mexicano del Seguro Social (IMSS) en Hidalgo hace un llamado a las mujeres que han iniciado su vida sexual a realizarse el Papanicolaou y prevenir cáncer cervicouterino.El Virus del Papiloma (VPH) es una infección de transmisión sexual muy común que puede afectar a la piel, la región genital y anal y la garganta. La mayoría de las personas sexualmente activas contraen este virus en algún momento de su vida, generalmente sin presentar síntomas.El titular de la Jefatura de Prestaciones Médicas del IMSS en Hidalgo, doctor Héctor Peña Dehesa, refirió que “el cáncer cervicouterino es curable si se detecta a tiempo; el papanicolaou es el único estudio para la detección oportuna de este padecimiento que, junto con el cáncer de mama, son una de las principales causas de muerte de las mujeres en México”.</t>
  </si>
  <si>
    <t>Prevención De Enfermedades</t>
  </si>
  <si>
    <t>Comenta el conductor Eulalio Larrieta que ojala den información sobre la casa hogar Ciudad de los Niños ya no funcionaba, y dicen que siguen llegando recursos, ropa y víveres a ese lugar y nos gustaría saber a dónde se va eso</t>
  </si>
  <si>
    <t>Radioescucha comenta que estuvo espectacular el concierto del dia de ayer de la Orquesta Filarmónica de Pachuca</t>
  </si>
  <si>
    <t>Comenta el conductor Eulalio Larrieta que el concierto de ayer que se llevó acabo en la Parroquia Basílica de Santa María de Guadalupe, por la Orquesta Filarmónica de Pachuca, en conjunto con el Coro de Pachuca y el Coro del Estado de Hidalgo, fue un éxito, gente parada y muy muy bonito</t>
  </si>
  <si>
    <t>Vía telefónica Doctora vía telefónica Doctora Shanik Jayne Cahun Gama, Directora de Políticas y Estrategias de Salud Pública, con el tema : Recomendaciones para contagio de Gusano barrenador. Dijo que es importante conocer la información para tomar acciones necesarias,esta situación del gusano barrenador se da en personas que tienen alguna lesión expuesta y que pueden estar en contacto con estas moscas o que tienen contacto con animales que tienen este tipo de problema. Es muy importante recomendarle a la población, no tener factores de riesgo; si vamos a estar en zonas donde hay animales, utilizar ropa holgada, manga larga, de preferencia no traer los pies descubiertos, una buena higiene, nuestro baño normal, cuidar las enfermedades de la piel. La única forma de contagio sería que si se tuviera una herida y que se tuviera contacto con estas moscas o con estas larvas. Si tienen alguna duda, se pueden acercar a cualquier unidad de salud pública , para recibir atención o si tienen sospecha o no o algún síntoma. Es muy importante no automedicarse.</t>
  </si>
  <si>
    <t>La Secretaría de Salud de Hidalgo, encabezada por Vanesa Escalante Arroyo, confirmó el primer caso detectado de miasis en humano por gusano barrenador en la entidad, registrado en un paciente masculino de 57 años, originario de Tenango de Doria, quien recibió atención médica especializada conforme a los protocolos establecidos.De acuerdo con la información clínica, el paciente presentaba una herida crónica no atendida, lo que favoreció el desarrollo de miasis.Tras la confirmación del caso este 22 de abril, la dependencia estatal activó de manera inmediata los protocolos de prevención y atención mediante acciones coordinadas de vigilancia epidemiológica, con el objetivo de contener riesgos y evitar nuevos contagios.</t>
  </si>
  <si>
    <t>La temporada de lluvias iniciará formalmente el próximo 15 de mayo y para reducir el riesgo de inundaciones y daños a la población, la Comisión Nacional del Agua (Conagua) hizo este martes un llamado urgente a las autoridades, empresas y a la ciudadanía para que no arrojen desechos sólidos en calles, coladeras, cauces ni orillas de ríos.Y es que objetos de gran tamaño como vehículos, colchones, sillones y refrigeradores obstruyen los sistemas de drenaje y desagüe.Mediante un comunicado informó que, como parte de las acciones preventivas, Conagua ha realizado en 2026 nueve operativos de limpieza y desazolve en los estados de Sonora, Jalisco, Guerrero, Tamaulipas e Hidalgo.</t>
  </si>
  <si>
    <t>El titular de la Secretaría de Seguridad y Protección Ciudadana (SSPC), Omar García Harfuch, informó que fue desarticulada una de las principales redes de contrabando de huachicol fiscal en el país, la cual operaba mediante empresas fachada, facturación falsa y simulación de operaciones comerciales.Durante una conferencia de prensa, el funcionario explicó que esta célula delincuencial se dedicaba al robo de gas LP en municipios del Estado de México e Hidalgo, como Jiquipilco, Polotitlán, Tepeji del Río, Tula de Allende, Atotonilco de Tula y Cuautitlán Izcalli. La organización tenía una capacidad de extracción de hasta un millón y medio de litros de hidrocarburo por semana, operando bajo un esquema integral que incluía la sustracción ilegal, traslado, almacenamiento y comercialización del combustible.Tras siete meses de labores de inteligencia, el Gabinete de Seguridad ejecutó un operativo con 20 órdenes de cateo. En 10 de los inmuebles asegurados se comercializaba combustible robado, principalmente en gaseras que funcionaban como puntos de venta al público</t>
  </si>
  <si>
    <t>El equipo femenil de voleibol de playa, integrado por Mariana Caballero Narváez y Melanie Elizabeth Montiel Ávalos, inicia su participación en la Olimpiada Nacional CONADE 2026, con sede en Puebla, dentro de la categoría juvenil menor. Nuestro equipo hidalguense abre su participación con victoria, ganando su primer partido 2-0 ante Veracruz.</t>
  </si>
  <si>
    <t>Nacionales Conade</t>
  </si>
  <si>
    <t>Gabinete de Seguridad detiene a generador de violencia en Tlaxcoapan</t>
  </si>
  <si>
    <t>Cobaeh realizará concurso de trajes típicos</t>
  </si>
  <si>
    <t>La Escuela de Música del Estado de Hidalgo (EMEH) presentó “Loopa Sonora: instalación sonora interactiva”, proyecto de la licenciatura en Música en el Área de Composición, de Janet Beatriz Flor González, distinguida con titulación por mención honorífica por su propuesta innovadora en la exploración del espacio, la tecnología y la participación del público. Se trata de una instalación que utiliza sonido, dispositivos tecnológicos y disposición espacial para generar una experiencia inmersiva, en la que las y los asistentes interactúan directamente con la obra, modificando en tiempo real las configuraciones auditivas a partir de su presencia.</t>
  </si>
  <si>
    <t>Avanza construcción de la Casa de la Mujer en Atlapexco</t>
  </si>
  <si>
    <t>Casa de la Mujer Indígena</t>
  </si>
  <si>
    <t>Vía telefónica durante su participación semanal David Cárdenas, comentó que el día de ayer, en el Congreso del Estado de Hidalgo, se realizó un diálogo sobre el bienestar y la protección animal para combatir el maltrato animal. El objetivo fue crear un espacio donde se analizarán aspectos técnicos, científicos, jurídicos y sociales, escuchando a especialistas, académicos, organizaciones civiles y ciudadanos, con el fin de fortalecer el proceso legislativo mediante información objetiva y basada en evidencia. Andrés Velázquez Vázquez, presidente de la Junta de Gobierno, apoyó la realización de foros en la Casa del Pueblo para discutir temas de bienestar animal y su impacto. Avelino Tovar, diputado del Partido Verde Ecologista, señaló que la ley busca evitar el sufrimiento de los animales, especialmente en corridas de toros, y enfatizó la importancia de que los legisladores tomen decisiones informadas y responsables. También resaltó la necesidad de que las leyes evolucionen con los cambios en la sociedad.</t>
  </si>
  <si>
    <t>Sesiona por primera vez el Comité Interinstitucional de Transición al Nuevo Modelo de Transparencia</t>
  </si>
  <si>
    <t>Extinción ITAIH</t>
  </si>
  <si>
    <t>Por su parte el titular del ICLATI del Instituto de Capacitación para el Trabajo, Jorge Israel Acosta Benítez, detalló las formas en que esta institución brinda acompañamiento y capacitación a las y los emprendedores.</t>
  </si>
  <si>
    <t>Emprendimiento</t>
  </si>
  <si>
    <t>El Secretario del Trabajo, Oscar Javier González Hernández, recordó los mecanismos de apoyo que tiene la institución a su cargo para fortalecer la justicia laboral y combatir la corrupción en el sector laboral.</t>
  </si>
  <si>
    <t>Combate a la corrupción</t>
  </si>
  <si>
    <t>Este martes a las 10:45 de la mañana en el municipio de Real del Monte, el Instituto de Capacitación para el Trabajo del Estado de Hidalgo (ICATHI) realizó la firma de convenio de colaboración con la Fundación Alemana Senior Experten Service (SES) y la toma de protesta del patronato del ICATHI para el periodo 2026-2028.</t>
  </si>
  <si>
    <t>Un hombre de 90 años, originario de Canadá, acudió a instalaciones de Seguridad Pública en Pachuca para solicitar apoyo, luego de señalar que presuntamente fue retenido en contra de su voluntad en un domicilio ubicado en la zona de Carboneras. El adulto mayor, identificado con las iniciales B.W.H., indicó a las autoridades que durante su estancia en la capital hidalguense vivió una situación que limitó su libertad, aunque no proporcionó más detalles sobre los hechos. Tras el reporte, autoridades municipales establecieron comunicación con la Embajada de Canadá y el consulado en la Ciudad de México, quienes asumieron el acompañamiento del ciudadano. El propio afectado decidió no presentar denuncia formal.</t>
  </si>
  <si>
    <t>Conalep Hidalgo fortalece vinculación con sector empresarial</t>
  </si>
  <si>
    <t>Vinculación Académica</t>
  </si>
  <si>
    <t>A una semana del desalojo de más de 200 vendedores informales de la Plaza Constitución, este miércoles comenzó la instalación de un grupo de comerciantes en un nuevo espacio ubicado a un costado del mercado Benito Juárez. Alrededor de 60 personas colocaron carpas y puestos, luego de permanecer varios días sin actividad comercial ni ingresos, lo que los llevó a ocupar esta zona para retomar sus ventas.Geazul Pelcastre González, representante de la OCTIH, explicó que la decisión de instalarse responde a la necesidad urgente de trabajar, tras permanecer cerca de siete días sin generar recursos. Ante este cambio, solicitó a las autoridades ajustar las rutas del transporte público para dirigirlas hacia este punto, ya que advirtió que la falta de afluencia de personas impactaría directamente en sus ventas. Señaló que aún hay comerciantes pendientes por incorporarse y que el espacio podría resultar limitado para todos los integrantes de organizaciones como la OCTIH y la FOIDEH. Para enfrentar esta situación, adelantó que se contempla establecer un esquema de rotación de días de trabajo, con el fin de que todos los afiliados tengan oportunidad de vender.</t>
  </si>
  <si>
    <t>A seis meses de la vaguada monzónica, la Secretaría de Infraestructura, Comunicaciones y Transportes (SICT) ya publicó la licitación del 80 % de la obra, misma que ya inició en tres municipios: La Misión, Nicolás Flores y San Bartolo Tutotepec. Así lo informó Pablo Octavio Olvera Sánchez, director general de esta dependencia federal en Hidalgo, quien recordó que el presupuesto federal para la reconstrucción asciende a más de 4 mil 900 millones de pesos, lo cual involucra 129 contratos. “Ya hay una cantidad importante de contratos en territorio, ya con fallo, con obras adjudicadas, ya está llegando la maquinaria y las empresas a diferentes puntos del estado”, dijo. Entre las obras se encuentra la intervención de 48 puentes: 20 nuevos y 28 serán rehabilitados, principalmente en la región de la Huasteca, aunque ninguno de estos es contratado todavía.</t>
  </si>
  <si>
    <t>La Secretaría de Seguridad y Protección Ciudadana (SSPC) informó la desarticulación de una de las principales redes de robo de hidrocarburos que dejó siete detenidos, aseguramientos millonarios y el decomiso de infraestructura clave tras siete meses de investigación. Omar García Harfuch, Secretario de Seguridad y Protección Ciudadana, detalló que el operativo, coordinado con la Fiscalía General de la República, permitió afectar las capacidades operativas y financieras de la organización dedicada al mercado ilícito de combustibles. El grupo criminal desarticulado se dedicaba principalmente al robo de gas LP en los municipios de Jiquipilco, Polotitlán, Tepeji del Río, Tula de Allende, Atotonilco de Tula y Cuautitlán Izcalli. “Es importante destacar que esta célula tenía una capacidad de extracción estimada de hasta un millón y medio de litros de hidrocarburo por semana en la región”, destacó Harfuch.</t>
  </si>
  <si>
    <t>En tres meses estará operando una nueva celda para el depósito y tratamiento final de la basura que se recolecta en Tula de Allende, confirmó el alcalde Cristhian Evanivaldo Reséndiz. La empresa operadora del nuevo espacio, que estará ubicado rumbo a la localidad de Teocalco, será Marsacot, encargada de recolectar la basura en Pachuca, así como de su tratamiento final en un predio ubicado en la localidad de El Huixmi, dentro de la misma capital del Estado de Hidalgo. El predio en mención, no está cerca de zonas habitadas ni de instalaciones de empresas o espacios estratégicos. Fue hace aproximadamente un mes cuando el espacio donde se depositaba la basura tanto de Tula de Allende, como de otros 14 municipios, colapsó, lo que impidió que siguiera brindando el servicio. “El actual relleno está colapsado, es una celda que cumplió su vida por eso es que no estamos tirando más en ese relleno y ya Semarnath tendrá que darle el seguimiento y lo que tenga que ver con el término de la vida de ese sitio”, enfatizó el alcalde de Tula.</t>
  </si>
  <si>
    <t>El gobierno de Tulancingo tiene considerados alrededor de 64 millones de pesos para realizar labores de rehabilitación de vialidades en varias zonas del municipio durante el presente año. La confirmación fue realizada por Armando Pérez Alcibar, Secretario de Desarrollo Urbano, Obras Públicas y Medio Ambiente, detallando parte de las obras a vialidades que se tienen consideradas para el 2026. Entre ellas la pavimentación en concreto hidráulico en La Morena, entre la zona de locales comerciales hasta llegar a la fuente, donde se registra una gran cantidad de tráfico vehicular. En Napateco se tienen consideradas tres rehabilitaciones de vialidades, una de ellas a partir de una farmacia de autoservicio, hacia calle arriba. Las otras dos ya programadas son sobre la calle Roberto Tello entre la calle principal hacia Haciendas de Napateco, así como en varias bocacalles, a partir del parque de la U. Otras zonas del municipio donde se tienen considerados trabajos de rehabilitación a vialidad son la calle Los Pinos, en la localidad de La Lagunilla; en la calle Cortina, de la colonia El Paraíso, así como la calle Miguel Allende, acceso a la biblioteca de Santa Ana Hueytlalpan.</t>
  </si>
  <si>
    <t>Hasta el momento el gobierno de Hidalgo no ha recibido petición para reforzar la seguridad en zonas arqueológicas, así como recintos culturales ubicados dentro de la entidad, señaló José Arturo Sosa Echeverría, Subsecretario estatal de Gobierno. Las declaraciones son ofrecidas luego de que el pasado lunes 20 de abril, un hombre disparara contra un grupo de turistas en la zona arqueológica de Teotihuacán, con saldo de una mujer fallecida y 8 lesionados, entre ellos un niño. El funcionario señaló que el reforzamiento de la seguridad es un tema que debe socializar la Secretaría de Cultura estatal, así como el Instituto Nacional de Antropología e Historia, para que el gobierno de Hidalgo establezca los apoyos a brindar en el tema de seguridad pública. En la entidad existen cuatro zonas arqueológicas: Tula de Allende; Huapalcalco, ubicada en Tulancingo; Xihuingo, dentro del municipio de Tepeapulco, así como El Pañhú en Tecozautla. Con excepción de Tula, los espacios arqueológicos se encuentran en zonas naturales, sobre todo cerros, por lo que no cuentan con acceso controlado de visitantes. Respecto a la seguridad para la población en general así como para turistas y visitantes que arriben al Estado de Hidalgo durante la celebración de la Copa Mundial de Futbol, señaló que está garantizado por medio de operativos ya diseñados.</t>
  </si>
  <si>
    <t>Refuezo de segiridad</t>
  </si>
  <si>
    <t>Las obras de mejora y rehabilitación en cuatro zonas arqueológicas de Hidalgo registran avances conforme a lo esperado para concluir las primeras semanas de mayo, como parte de las inversiones del gobierno federal de cara a la Copa Mundial FIFA 2026. Lo anterior fue informado por Manuel Villarruel Vázquez titular del Centro INAH Hidalgo, al referirse a los trabajos que se realizan en las zonas arqueológicas de Tula, Huapalcalco, El Pahñú y Xihuingo. En el caso de Tula, explicó que se llevan a cabo trabajos de restauración en elementos arqueológicos como los dos juegos de pelota, uno de ellos considerado el más grande de Mesoamérica. Así como el Palacio Quemado, la Columnata, la pirámide donde se ubican los Atlantes, así como la rehabilitación del techo y muro del Coatepantli; también se realizaron mejoras en el museo y áreas de atención al visitante, alcanzando el 70 por ciento de avance. En tanto, en Huapalcalco se reporta alrededor del 25 por ciento, en El Pahñú, del 35 por ciento y en Xihuingo, donde se ejecutan trabajos menores, del 7 por ciento. Las tareas se realizan con la participación de empresas especializadas, restauradores, arqueólogos y arquitectos. Villaruel Vázaquez detalló que la inversión federal destinada a estos proyectos es superior los ocho millones de pesos, siendo la Zona Arqueológica de Tula la que cuenta con el mayor recurso con más de cinco millones; Huapalcalco 1.7 millones.</t>
  </si>
  <si>
    <t>Daniel Martínez critica que el gentilicio de los habitantes de Santiago Tulantepec sea "Tulantepecanos", cuando llevan décadas diciéndoles "Santiaguenses" y esto habla de poquísimo respeto que tienen quienes están a cargo de la administración municipal de este municipio hacia sus habitantes al endilgarles un gentilicio que ni utilizan y que cree que no van utilizar, porque además de que se oye espantoso es difícil de pronunciar. Desde que se creó este municipio hace 80 años se les ha dicho "Santiaguenses" y ahí es donde está la identidad, no a partir de decretos que publican, que además deja ver la poquísima cultura que tienen las y los asambleístas municipales en donde hay una buena cantidad de maestras y maestros que quién sabe si leyeron lo que estaban aprobando para levantar la mano y decir que eso estaba mal o tal vez es más fácil estirar la mano para sus pagos quincenales. da lectura a la reseña de Abraham Ascencio sobre el cambio del gentilicio, quien califica esto como una ocurrencia.</t>
  </si>
  <si>
    <t>Decreto</t>
  </si>
  <si>
    <t>La circulación de mensajes en redes sociales con advertencias de supuestos ataques armados en escuelas provocó temor en diversos municipios de Hidalgo, especialmente en Tizayuca, donde autoridades pusieron en marcha operativos de seguridad para resguardar a la comunidad educativa. Los textos difundidos incluían frases como “mañana tiroteo”, lo que generó inquietud entre alumnos, maestros y padres de familia, derivando incluso en la suspensión de clases en algunos planteles como medida preventiva. Tras los reportes, corporaciones de seguridad desplegaron acciones de vigilancia, entre ellas monitoreo en plataformas digitales, con el fin de ubicar el origen de las publicaciones. De acuerdo con los primeros resultados de las investigaciones, los mensajes fueron emitidos desde cuentas de reciente creación y no corresponden a una amenaza real. Autoridades explicaron que este tipo de publicaciones forman parte de una tendencia detectada en redes sociales, replicada en distintos estados del país e incluso a nivel internacional, cuyo objetivo es generar miedo entre la población.</t>
  </si>
  <si>
    <t>Amenazas</t>
  </si>
  <si>
    <t>Vía telefónica el reporte de Bombero y Protección Civil con Abner Yáñez informa que se atendió un incendio forestal en la zona del Abra que afectó 11 hectáreas de matorral, magueyales y pasto seco. Asimismo, da el reporte de otros reportes que atendieron como incendios de pasto en lotes valdíos.</t>
  </si>
  <si>
    <t>Incendios forestales</t>
  </si>
  <si>
    <t>Tulancingo se convirtió este 22 de abril en un espacio de diálogo y compromiso con la inclusión, al realizarse el Foro Estatal de Derechos Humanos Inclusivos, un encuentro que reunió a autoridades, representantes de la sociedad civil, sector educativo y empresarial. Convocado por el orden estatal, el evento contó con la presencia del subsecretario de Gobierno, José Arturo Sosa Echeverría, y de la directora general de Derechos Humanos de la Secretaría de Gobierno del Estado de Hidalgo, Yanet Herrera Meneses, así como de la presidenta municipal, Lorena García Cázares, quien encabezó el foro como anfitriona. Durante el encuentro se destacó que Tulancingo lidera en inclusión, siendo el primer municipio del país en contar con una dirección que ofrece atención integral a personas con discapacidad y sus cuidadores. La presidenta Lorena García Cázares refrendó su compromiso con la igualdad, subrayando la necesidad de reformas educativas y sociales que eliminen barreras culturales y de aprendizaje, para garantizar oportunidades reales a todas las personas. El subsecretario de Gobierno, José Arturo Sosa Echeverría, resaltó que la inclusión y la igualdad de oportunidades ya se reflejan en diversos ámbitos, incluyendo el electoral, donde en Hidalgo actualmente 41 mujeres son titulares del ejecutivo municipal, ocupando espacios de decisión importantes.</t>
  </si>
  <si>
    <t>Autoridades de salud en Hidalgo confirmaron el primer caso de miasis en una persona, provocado por el gusano barrenador. Se trata de un hombre de 57 años, originario del municipio de Tenango de Doria, quien ya recibe atención médica bajo los lineamientos establecidos. Tras este hecho, se realizó la Segunda Sesión Extraordinaria del Consejo de Salud del Estado de Hidalgo 2026, donde se acordó reforzar las acciones de prevención y control con la participación de instancias de los tres niveles de gobierno, así como de distintos sectores involucrados. Durante el encuentro se contó con la presencia de organismos federales como el Servicio Nacional de Sanidad, Inocuidad y Calidad Agroalimentaria, además de dependencias estatales, instituciones de salud, hospitales privados y colegios de médicos veterinarios, quienes colaboran en la estrategia para contener esta enfermedad. Las autoridades destacaron la importancia de la coordinación interinstitucional para enfrentar este problema sanitario y reducir riesgos para la población.</t>
  </si>
  <si>
    <t>La alcaldesa de Tulancingo, Lorena García Cázares, señaló que hasta el momento no ha recibido notificación por parte de alguna autoridad ministerial, por el presunto delito de peculado. Lo anterior luego de que la semana pasada, el Síndico Hacendario municipal, Pedro Hiram Soto Márquez, señalara en rueda de prensa que había detectado un esquema de supuesta entrega de apoyos sociales que fueron entregados en efectivo. En dicho esquema estarían implicados por lo menos siete asambleístas municipales que habrían recibido los recursos económicos a través de otras personas. Soto Márquez señaló que por ello presentó una denuncia ante el Órgano de Control Interno municipal, así como ante la Auditoría Superior del Estado de Hidalgo. Así como una denuncia ante la Fiscalía Especializada en delitos Contra la Corrupción, dependiente de la Procuraduría General de Justicia del Estado de Hidalgo, quedando asentado bajó el número de carpeta 12-2026-4645, por el posible delito de peculado hacia quien resulte responsable. Al respecto, la alcaldesa García Cázares afirmó que hasta el momento no ha recibido notificación alguna por parte de alguna autoridad ministerial, enfatizando que se encuentra tranquila.</t>
  </si>
  <si>
    <t>Desvío de recursos</t>
  </si>
  <si>
    <t>En cabina la diputada federal de Morena por el Distrito 7 Tepeapulco, Mirna Rubio habla de su trabajo legislativo. Destaca que ha presentado 26 iniciativas, de las cuales 4 han sido dictaminadas como el tema de considerar a los animales como seres sintientes. Señaló que se espera un aumento salarial a los maestros, labor por la que se ha trabajado. Sobre la desafiliación de Sergio Hernández del Partido Nueva Alianza, dijo que reconoce su trabajo, pero tendrá sus razones.</t>
  </si>
  <si>
    <t>Mañana el SNTE Sección 15 realizará el festejo por el Día de la educadora y seguramente estará prsente el gobernador Julio Menchaca.</t>
  </si>
  <si>
    <t>Día de la educadora</t>
  </si>
  <si>
    <t>Ayer en el Congreso se pronunciaron sobre el retiro del comodato del inmueble que ocupaba la Fundación Arturo Herrera Cabañas. Hubo opiniones a favor y en contra. Parece que esto se va ir a tribunales .</t>
  </si>
  <si>
    <t>Fundación Arturo Herrera</t>
  </si>
  <si>
    <t>“Voces pequeñas, raíces grandes”: niñas, niños y adolescentes del programa PILARES alzan la voz por sus comunidades en Hidalgo</t>
  </si>
  <si>
    <t>La presidenta municipal de Tepeji del Río, Tania Valdez ya hizo declaraciones sobe sus aspiraciones para las próximas elecciones.</t>
  </si>
  <si>
    <t>Aspirantes</t>
  </si>
  <si>
    <t>UPE recibe Mención Honorífica en el Premio de Excelencia Dual 2026</t>
  </si>
  <si>
    <t>Educación dual</t>
  </si>
  <si>
    <t>Detectan primer caso de miasis humana en Hidalgo</t>
  </si>
  <si>
    <t>La presidenta de México, Claudia Sheinbaum estará en Hidalgo el viernes en Villa de Tezontepec para supervisar las obras del tren Pachuca -IFA. Más tarde se trasladará a Singuilucan para asistir a una conferencia en el Cecyteh y aún no está confirmado pero se habla de que el sábado estará en la capital hidalguense por temas del deporte.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</si>
</sst>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7" tableType="queryTable" totalsRowShown="0">
  <autoFilter ref="A1:M207" xr:uid="{717AF3FA-E95C-4D17-A1C9-B8D7CBE34EF0}"/>
  <sortState xmlns:xlrd2="http://schemas.microsoft.com/office/spreadsheetml/2017/richdata2" ref="A2:M207">
    <sortCondition ref="B1:B207"/>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7"/>
  <sheetViews>
    <sheetView tabSelected="1" topLeftCell="A172" workbookViewId="0">
      <selection activeCell="B207" sqref="B207"/>
    </sheetView>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5.71093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66</v>
      </c>
      <c r="C1" t="s">
        <v>67</v>
      </c>
      <c r="D1" t="s">
        <v>68</v>
      </c>
      <c r="E1" t="s">
        <v>1</v>
      </c>
      <c r="F1" t="s">
        <v>2</v>
      </c>
      <c r="G1" t="s">
        <v>4</v>
      </c>
      <c r="H1" t="s">
        <v>3</v>
      </c>
      <c r="I1" t="s">
        <v>5</v>
      </c>
      <c r="J1" t="s">
        <v>69</v>
      </c>
      <c r="K1" t="s">
        <v>70</v>
      </c>
      <c r="L1" t="s">
        <v>71</v>
      </c>
      <c r="M1" t="s">
        <v>79</v>
      </c>
    </row>
    <row r="2" spans="1:13" x14ac:dyDescent="0.25">
      <c r="A2" s="1">
        <v>46135</v>
      </c>
      <c r="B2" s="1" t="str">
        <f ca="1">IF(Información1[[#This Row],[Fecha]]='Ajuste de fechas'!$A$2,"Día actual","Día anterior")</f>
        <v>Día actual</v>
      </c>
      <c r="C2" t="s">
        <v>38</v>
      </c>
      <c r="D2" t="s">
        <v>40</v>
      </c>
      <c r="E2" t="s">
        <v>279</v>
      </c>
      <c r="F2" t="s">
        <v>24</v>
      </c>
      <c r="G2" t="s">
        <v>95</v>
      </c>
      <c r="H2" t="s">
        <v>11</v>
      </c>
      <c r="I2" t="s">
        <v>7</v>
      </c>
      <c r="J2" t="s">
        <v>72</v>
      </c>
      <c r="K2" t="s">
        <v>64</v>
      </c>
      <c r="L2" t="s">
        <v>75</v>
      </c>
      <c r="M2">
        <v>1</v>
      </c>
    </row>
    <row r="3" spans="1:13" x14ac:dyDescent="0.25">
      <c r="A3" s="1">
        <v>46135</v>
      </c>
      <c r="B3" s="1" t="str">
        <f ca="1">IF(Información1[[#This Row],[Fecha]]='Ajuste de fechas'!$A$2,"Día actual","Día anterior")</f>
        <v>Día actual</v>
      </c>
      <c r="C3" t="s">
        <v>38</v>
      </c>
      <c r="D3" t="s">
        <v>40</v>
      </c>
      <c r="E3" t="s">
        <v>280</v>
      </c>
      <c r="F3" t="s">
        <v>24</v>
      </c>
      <c r="G3" t="s">
        <v>187</v>
      </c>
      <c r="H3" t="s">
        <v>11</v>
      </c>
      <c r="I3" t="s">
        <v>7</v>
      </c>
      <c r="J3" t="s">
        <v>72</v>
      </c>
      <c r="K3" t="s">
        <v>64</v>
      </c>
      <c r="L3" t="s">
        <v>73</v>
      </c>
      <c r="M3">
        <v>1</v>
      </c>
    </row>
    <row r="4" spans="1:13" x14ac:dyDescent="0.25">
      <c r="A4" s="1">
        <v>46135</v>
      </c>
      <c r="B4" s="1" t="str">
        <f ca="1">IF(Información1[[#This Row],[Fecha]]='Ajuste de fechas'!$A$2,"Día actual","Día anterior")</f>
        <v>Día actual</v>
      </c>
      <c r="C4" t="s">
        <v>38</v>
      </c>
      <c r="D4" t="s">
        <v>40</v>
      </c>
      <c r="E4" t="s">
        <v>281</v>
      </c>
      <c r="F4" t="s">
        <v>23</v>
      </c>
      <c r="G4" t="s">
        <v>282</v>
      </c>
      <c r="H4" t="s">
        <v>11</v>
      </c>
      <c r="I4" t="s">
        <v>7</v>
      </c>
      <c r="J4" t="s">
        <v>77</v>
      </c>
      <c r="K4" t="s">
        <v>64</v>
      </c>
      <c r="L4" t="s">
        <v>73</v>
      </c>
      <c r="M4">
        <v>1</v>
      </c>
    </row>
    <row r="5" spans="1:13" x14ac:dyDescent="0.25">
      <c r="A5" s="1">
        <v>46135</v>
      </c>
      <c r="B5" s="1" t="str">
        <f ca="1">IF(Información1[[#This Row],[Fecha]]='Ajuste de fechas'!$A$2,"Día actual","Día anterior")</f>
        <v>Día actual</v>
      </c>
      <c r="C5" t="s">
        <v>38</v>
      </c>
      <c r="D5" t="s">
        <v>40</v>
      </c>
      <c r="E5" t="s">
        <v>283</v>
      </c>
      <c r="F5" t="s">
        <v>23</v>
      </c>
      <c r="G5" t="s">
        <v>282</v>
      </c>
      <c r="H5" t="s">
        <v>11</v>
      </c>
      <c r="I5" t="s">
        <v>7</v>
      </c>
      <c r="J5" t="s">
        <v>77</v>
      </c>
      <c r="K5" t="s">
        <v>64</v>
      </c>
      <c r="L5" t="s">
        <v>73</v>
      </c>
      <c r="M5">
        <v>1</v>
      </c>
    </row>
    <row r="6" spans="1:13" x14ac:dyDescent="0.25">
      <c r="A6" s="1">
        <v>46135</v>
      </c>
      <c r="B6" s="1" t="str">
        <f ca="1">IF(Información1[[#This Row],[Fecha]]='Ajuste de fechas'!$A$2,"Día actual","Día anterior")</f>
        <v>Día actual</v>
      </c>
      <c r="C6" t="s">
        <v>38</v>
      </c>
      <c r="D6" t="s">
        <v>40</v>
      </c>
      <c r="E6" t="s">
        <v>284</v>
      </c>
      <c r="F6" t="s">
        <v>19</v>
      </c>
      <c r="G6" t="s">
        <v>285</v>
      </c>
      <c r="H6" t="s">
        <v>11</v>
      </c>
      <c r="I6" t="s">
        <v>7</v>
      </c>
      <c r="J6" t="s">
        <v>76</v>
      </c>
      <c r="K6" t="s">
        <v>64</v>
      </c>
      <c r="L6" t="s">
        <v>73</v>
      </c>
      <c r="M6">
        <v>1</v>
      </c>
    </row>
    <row r="7" spans="1:13" x14ac:dyDescent="0.25">
      <c r="A7" s="1">
        <v>46135</v>
      </c>
      <c r="B7" s="1" t="str">
        <f ca="1">IF(Información1[[#This Row],[Fecha]]='Ajuste de fechas'!$A$2,"Día actual","Día anterior")</f>
        <v>Día actual</v>
      </c>
      <c r="C7" t="s">
        <v>38</v>
      </c>
      <c r="D7" t="s">
        <v>40</v>
      </c>
      <c r="E7" t="s">
        <v>286</v>
      </c>
      <c r="F7" t="s">
        <v>23</v>
      </c>
      <c r="G7" t="s">
        <v>287</v>
      </c>
      <c r="H7" t="s">
        <v>11</v>
      </c>
      <c r="I7" t="s">
        <v>7</v>
      </c>
      <c r="J7" t="s">
        <v>77</v>
      </c>
      <c r="K7" t="s">
        <v>64</v>
      </c>
      <c r="L7" t="s">
        <v>73</v>
      </c>
      <c r="M7">
        <v>1</v>
      </c>
    </row>
    <row r="8" spans="1:13" x14ac:dyDescent="0.25">
      <c r="A8" s="1">
        <v>46135</v>
      </c>
      <c r="B8" s="1" t="str">
        <f ca="1">IF(Información1[[#This Row],[Fecha]]='Ajuste de fechas'!$A$2,"Día actual","Día anterior")</f>
        <v>Día actual</v>
      </c>
      <c r="C8" t="s">
        <v>38</v>
      </c>
      <c r="D8" t="s">
        <v>40</v>
      </c>
      <c r="E8" t="s">
        <v>288</v>
      </c>
      <c r="F8" t="s">
        <v>23</v>
      </c>
      <c r="G8" t="s">
        <v>289</v>
      </c>
      <c r="H8" t="s">
        <v>11</v>
      </c>
      <c r="I8" t="s">
        <v>7</v>
      </c>
      <c r="J8" t="s">
        <v>77</v>
      </c>
      <c r="K8" t="s">
        <v>64</v>
      </c>
      <c r="L8" t="s">
        <v>73</v>
      </c>
      <c r="M8">
        <v>1</v>
      </c>
    </row>
    <row r="9" spans="1:13" x14ac:dyDescent="0.25">
      <c r="A9" s="1">
        <v>46135</v>
      </c>
      <c r="B9" s="1" t="str">
        <f ca="1">IF(Información1[[#This Row],[Fecha]]='Ajuste de fechas'!$A$2,"Día actual","Día anterior")</f>
        <v>Día actual</v>
      </c>
      <c r="C9" t="s">
        <v>38</v>
      </c>
      <c r="D9" t="s">
        <v>40</v>
      </c>
      <c r="E9" t="s">
        <v>290</v>
      </c>
      <c r="F9" t="s">
        <v>25</v>
      </c>
      <c r="G9" t="s">
        <v>85</v>
      </c>
      <c r="H9" t="s">
        <v>11</v>
      </c>
      <c r="I9" t="s">
        <v>12</v>
      </c>
      <c r="J9" t="s">
        <v>72</v>
      </c>
      <c r="K9" t="s">
        <v>64</v>
      </c>
      <c r="L9" t="s">
        <v>113</v>
      </c>
      <c r="M9">
        <v>1</v>
      </c>
    </row>
    <row r="10" spans="1:13" x14ac:dyDescent="0.25">
      <c r="A10" s="1">
        <v>46135</v>
      </c>
      <c r="B10" s="1" t="str">
        <f ca="1">IF(Información1[[#This Row],[Fecha]]='Ajuste de fechas'!$A$2,"Día actual","Día anterior")</f>
        <v>Día actual</v>
      </c>
      <c r="C10" t="s">
        <v>38</v>
      </c>
      <c r="D10" t="s">
        <v>40</v>
      </c>
      <c r="E10" t="s">
        <v>291</v>
      </c>
      <c r="F10" t="s">
        <v>25</v>
      </c>
      <c r="G10" t="s">
        <v>85</v>
      </c>
      <c r="H10" t="s">
        <v>11</v>
      </c>
      <c r="I10" t="s">
        <v>7</v>
      </c>
      <c r="J10" t="s">
        <v>72</v>
      </c>
      <c r="K10" t="s">
        <v>64</v>
      </c>
      <c r="L10" t="s">
        <v>73</v>
      </c>
      <c r="M10">
        <v>1</v>
      </c>
    </row>
    <row r="11" spans="1:13" x14ac:dyDescent="0.25">
      <c r="A11" s="1">
        <v>46135</v>
      </c>
      <c r="B11" s="1" t="str">
        <f ca="1">IF(Información1[[#This Row],[Fecha]]='Ajuste de fechas'!$A$2,"Día actual","Día anterior")</f>
        <v>Día actual</v>
      </c>
      <c r="C11" t="s">
        <v>55</v>
      </c>
      <c r="D11" t="s">
        <v>102</v>
      </c>
      <c r="E11" t="s">
        <v>292</v>
      </c>
      <c r="F11" t="s">
        <v>15</v>
      </c>
      <c r="G11" t="s">
        <v>293</v>
      </c>
      <c r="H11" t="s">
        <v>11</v>
      </c>
      <c r="I11" t="s">
        <v>7</v>
      </c>
      <c r="J11" t="s">
        <v>72</v>
      </c>
      <c r="K11" t="s">
        <v>103</v>
      </c>
      <c r="L11" t="s">
        <v>75</v>
      </c>
      <c r="M11">
        <v>1</v>
      </c>
    </row>
    <row r="12" spans="1:13" x14ac:dyDescent="0.25">
      <c r="A12" s="1">
        <v>46135</v>
      </c>
      <c r="B12" s="1" t="str">
        <f ca="1">IF(Información1[[#This Row],[Fecha]]='Ajuste de fechas'!$A$2,"Día actual","Día anterior")</f>
        <v>Día actual</v>
      </c>
      <c r="C12" t="s">
        <v>34</v>
      </c>
      <c r="D12" t="s">
        <v>36</v>
      </c>
      <c r="E12" t="s">
        <v>294</v>
      </c>
      <c r="F12" t="s">
        <v>112</v>
      </c>
      <c r="G12" t="s">
        <v>295</v>
      </c>
      <c r="H12" t="s">
        <v>11</v>
      </c>
      <c r="I12" t="s">
        <v>7</v>
      </c>
      <c r="J12" t="s">
        <v>72</v>
      </c>
      <c r="K12" t="s">
        <v>35</v>
      </c>
      <c r="L12" t="s">
        <v>75</v>
      </c>
      <c r="M12">
        <v>1</v>
      </c>
    </row>
    <row r="13" spans="1:13" x14ac:dyDescent="0.25">
      <c r="A13" s="1">
        <v>46135</v>
      </c>
      <c r="B13" s="1" t="str">
        <f ca="1">IF(Información1[[#This Row],[Fecha]]='Ajuste de fechas'!$A$2,"Día actual","Día anterior")</f>
        <v>Día actual</v>
      </c>
      <c r="C13" t="s">
        <v>34</v>
      </c>
      <c r="D13" t="s">
        <v>36</v>
      </c>
      <c r="E13" t="s">
        <v>296</v>
      </c>
      <c r="F13" t="s">
        <v>127</v>
      </c>
      <c r="G13" t="s">
        <v>297</v>
      </c>
      <c r="H13" t="s">
        <v>11</v>
      </c>
      <c r="I13" t="s">
        <v>7</v>
      </c>
      <c r="J13" t="s">
        <v>72</v>
      </c>
      <c r="K13" t="s">
        <v>35</v>
      </c>
      <c r="L13" t="s">
        <v>75</v>
      </c>
      <c r="M13">
        <v>1</v>
      </c>
    </row>
    <row r="14" spans="1:13" x14ac:dyDescent="0.25">
      <c r="A14" s="1">
        <v>46135</v>
      </c>
      <c r="B14" s="1" t="str">
        <f ca="1">IF(Información1[[#This Row],[Fecha]]='Ajuste de fechas'!$A$2,"Día actual","Día anterior")</f>
        <v>Día actual</v>
      </c>
      <c r="C14" t="s">
        <v>34</v>
      </c>
      <c r="D14" t="s">
        <v>36</v>
      </c>
      <c r="E14" t="s">
        <v>298</v>
      </c>
      <c r="F14" t="s">
        <v>56</v>
      </c>
      <c r="G14" t="s">
        <v>89</v>
      </c>
      <c r="H14" t="s">
        <v>11</v>
      </c>
      <c r="I14" t="s">
        <v>7</v>
      </c>
      <c r="J14" t="s">
        <v>72</v>
      </c>
      <c r="K14" t="s">
        <v>35</v>
      </c>
      <c r="L14" t="s">
        <v>75</v>
      </c>
      <c r="M14">
        <v>1</v>
      </c>
    </row>
    <row r="15" spans="1:13" x14ac:dyDescent="0.25">
      <c r="A15" s="1">
        <v>46135</v>
      </c>
      <c r="B15" s="1" t="str">
        <f ca="1">IF(Información1[[#This Row],[Fecha]]='Ajuste de fechas'!$A$2,"Día actual","Día anterior")</f>
        <v>Día actual</v>
      </c>
      <c r="C15" t="s">
        <v>31</v>
      </c>
      <c r="D15" t="s">
        <v>33</v>
      </c>
      <c r="E15" t="s">
        <v>299</v>
      </c>
      <c r="F15" t="s">
        <v>25</v>
      </c>
      <c r="G15" t="s">
        <v>85</v>
      </c>
      <c r="H15" t="s">
        <v>11</v>
      </c>
      <c r="I15" t="s">
        <v>12</v>
      </c>
      <c r="J15" t="s">
        <v>72</v>
      </c>
      <c r="K15" t="s">
        <v>32</v>
      </c>
      <c r="L15" t="s">
        <v>113</v>
      </c>
      <c r="M15">
        <v>1</v>
      </c>
    </row>
    <row r="16" spans="1:13" x14ac:dyDescent="0.25">
      <c r="A16" s="1">
        <v>46135</v>
      </c>
      <c r="B16" s="1" t="str">
        <f ca="1">IF(Información1[[#This Row],[Fecha]]='Ajuste de fechas'!$A$2,"Día actual","Día anterior")</f>
        <v>Día actual</v>
      </c>
      <c r="C16" t="s">
        <v>38</v>
      </c>
      <c r="D16" t="s">
        <v>41</v>
      </c>
      <c r="E16" t="s">
        <v>300</v>
      </c>
      <c r="F16" t="s">
        <v>56</v>
      </c>
      <c r="G16" t="s">
        <v>89</v>
      </c>
      <c r="H16" t="s">
        <v>11</v>
      </c>
      <c r="I16" t="s">
        <v>7</v>
      </c>
      <c r="J16" t="s">
        <v>72</v>
      </c>
      <c r="K16" t="s">
        <v>39</v>
      </c>
      <c r="L16" t="s">
        <v>75</v>
      </c>
      <c r="M16">
        <v>1</v>
      </c>
    </row>
    <row r="17" spans="1:13" x14ac:dyDescent="0.25">
      <c r="A17" s="1">
        <v>46135</v>
      </c>
      <c r="B17" s="1" t="str">
        <f ca="1">IF(Información1[[#This Row],[Fecha]]='Ajuste de fechas'!$A$2,"Día actual","Día anterior")</f>
        <v>Día actual</v>
      </c>
      <c r="C17" t="s">
        <v>38</v>
      </c>
      <c r="D17" t="s">
        <v>41</v>
      </c>
      <c r="E17" t="s">
        <v>301</v>
      </c>
      <c r="F17" t="s">
        <v>19</v>
      </c>
      <c r="G17" t="s">
        <v>82</v>
      </c>
      <c r="H17" t="s">
        <v>11</v>
      </c>
      <c r="I17" t="s">
        <v>7</v>
      </c>
      <c r="J17" t="s">
        <v>76</v>
      </c>
      <c r="K17" t="s">
        <v>39</v>
      </c>
      <c r="L17" t="s">
        <v>73</v>
      </c>
      <c r="M17">
        <v>1</v>
      </c>
    </row>
    <row r="18" spans="1:13" x14ac:dyDescent="0.25">
      <c r="A18" s="1">
        <v>46135</v>
      </c>
      <c r="B18" s="1" t="str">
        <f ca="1">IF(Información1[[#This Row],[Fecha]]='Ajuste de fechas'!$A$2,"Día actual","Día anterior")</f>
        <v>Día actual</v>
      </c>
      <c r="C18" t="s">
        <v>38</v>
      </c>
      <c r="D18" t="s">
        <v>41</v>
      </c>
      <c r="E18" t="s">
        <v>302</v>
      </c>
      <c r="F18" t="s">
        <v>19</v>
      </c>
      <c r="G18" t="s">
        <v>230</v>
      </c>
      <c r="H18" t="s">
        <v>11</v>
      </c>
      <c r="I18" t="s">
        <v>7</v>
      </c>
      <c r="J18" t="s">
        <v>76</v>
      </c>
      <c r="K18" t="s">
        <v>39</v>
      </c>
      <c r="L18" t="s">
        <v>73</v>
      </c>
      <c r="M18">
        <v>1</v>
      </c>
    </row>
    <row r="19" spans="1:13" x14ac:dyDescent="0.25">
      <c r="A19" s="1">
        <v>46135</v>
      </c>
      <c r="B19" s="1" t="str">
        <f ca="1">IF(Información1[[#This Row],[Fecha]]='Ajuste de fechas'!$A$2,"Día actual","Día anterior")</f>
        <v>Día actual</v>
      </c>
      <c r="C19" t="s">
        <v>38</v>
      </c>
      <c r="D19" t="s">
        <v>41</v>
      </c>
      <c r="E19" t="s">
        <v>303</v>
      </c>
      <c r="F19" t="s">
        <v>22</v>
      </c>
      <c r="G19" t="s">
        <v>227</v>
      </c>
      <c r="H19" t="s">
        <v>11</v>
      </c>
      <c r="I19" t="s">
        <v>7</v>
      </c>
      <c r="J19" t="s">
        <v>26</v>
      </c>
      <c r="K19" t="s">
        <v>39</v>
      </c>
      <c r="L19" t="s">
        <v>73</v>
      </c>
      <c r="M19">
        <v>1</v>
      </c>
    </row>
    <row r="20" spans="1:13" x14ac:dyDescent="0.25">
      <c r="A20" s="1">
        <v>46135</v>
      </c>
      <c r="B20" s="1" t="str">
        <f ca="1">IF(Información1[[#This Row],[Fecha]]='Ajuste de fechas'!$A$2,"Día actual","Día anterior")</f>
        <v>Día actual</v>
      </c>
      <c r="C20" t="s">
        <v>38</v>
      </c>
      <c r="D20" t="s">
        <v>41</v>
      </c>
      <c r="E20" t="s">
        <v>279</v>
      </c>
      <c r="F20" t="s">
        <v>24</v>
      </c>
      <c r="G20" t="s">
        <v>95</v>
      </c>
      <c r="H20" t="s">
        <v>11</v>
      </c>
      <c r="I20" t="s">
        <v>7</v>
      </c>
      <c r="J20" t="s">
        <v>72</v>
      </c>
      <c r="K20" t="s">
        <v>39</v>
      </c>
      <c r="L20" t="s">
        <v>75</v>
      </c>
      <c r="M20">
        <v>1</v>
      </c>
    </row>
    <row r="21" spans="1:13" x14ac:dyDescent="0.25">
      <c r="A21" s="1">
        <v>46135</v>
      </c>
      <c r="B21" s="1" t="str">
        <f ca="1">IF(Información1[[#This Row],[Fecha]]='Ajuste de fechas'!$A$2,"Día actual","Día anterior")</f>
        <v>Día actual</v>
      </c>
      <c r="C21" t="s">
        <v>38</v>
      </c>
      <c r="D21" t="s">
        <v>41</v>
      </c>
      <c r="E21" t="s">
        <v>304</v>
      </c>
      <c r="F21" t="s">
        <v>47</v>
      </c>
      <c r="G21" t="s">
        <v>83</v>
      </c>
      <c r="H21" t="s">
        <v>11</v>
      </c>
      <c r="I21" t="s">
        <v>7</v>
      </c>
      <c r="J21" t="s">
        <v>72</v>
      </c>
      <c r="K21" t="s">
        <v>39</v>
      </c>
      <c r="L21" t="s">
        <v>73</v>
      </c>
      <c r="M21">
        <v>1</v>
      </c>
    </row>
    <row r="22" spans="1:13" x14ac:dyDescent="0.25">
      <c r="A22" s="1">
        <v>46135</v>
      </c>
      <c r="B22" s="1" t="str">
        <f ca="1">IF(Información1[[#This Row],[Fecha]]='Ajuste de fechas'!$A$2,"Día actual","Día anterior")</f>
        <v>Día actual</v>
      </c>
      <c r="C22" t="s">
        <v>38</v>
      </c>
      <c r="D22" t="s">
        <v>41</v>
      </c>
      <c r="E22" t="s">
        <v>305</v>
      </c>
      <c r="F22" t="s">
        <v>23</v>
      </c>
      <c r="G22" t="s">
        <v>306</v>
      </c>
      <c r="H22" t="s">
        <v>11</v>
      </c>
      <c r="I22" t="s">
        <v>7</v>
      </c>
      <c r="J22" t="s">
        <v>77</v>
      </c>
      <c r="K22" t="s">
        <v>39</v>
      </c>
      <c r="L22" t="s">
        <v>73</v>
      </c>
      <c r="M22">
        <v>1</v>
      </c>
    </row>
    <row r="23" spans="1:13" x14ac:dyDescent="0.25">
      <c r="A23" s="1">
        <v>46135</v>
      </c>
      <c r="B23" s="1" t="str">
        <f ca="1">IF(Información1[[#This Row],[Fecha]]='Ajuste de fechas'!$A$2,"Día actual","Día anterior")</f>
        <v>Día actual</v>
      </c>
      <c r="C23" t="s">
        <v>38</v>
      </c>
      <c r="D23" t="s">
        <v>41</v>
      </c>
      <c r="E23" t="s">
        <v>307</v>
      </c>
      <c r="F23" t="s">
        <v>19</v>
      </c>
      <c r="G23" t="s">
        <v>86</v>
      </c>
      <c r="H23" t="s">
        <v>11</v>
      </c>
      <c r="I23" t="s">
        <v>7</v>
      </c>
      <c r="J23" t="s">
        <v>76</v>
      </c>
      <c r="K23" t="s">
        <v>39</v>
      </c>
      <c r="L23" t="s">
        <v>73</v>
      </c>
      <c r="M23">
        <v>1</v>
      </c>
    </row>
    <row r="24" spans="1:13" x14ac:dyDescent="0.25">
      <c r="A24" s="1">
        <v>46135</v>
      </c>
      <c r="B24" s="1" t="str">
        <f ca="1">IF(Información1[[#This Row],[Fecha]]='Ajuste de fechas'!$A$2,"Día actual","Día anterior")</f>
        <v>Día actual</v>
      </c>
      <c r="C24" t="s">
        <v>38</v>
      </c>
      <c r="D24" t="s">
        <v>41</v>
      </c>
      <c r="E24" t="s">
        <v>308</v>
      </c>
      <c r="F24" t="s">
        <v>25</v>
      </c>
      <c r="G24" t="s">
        <v>85</v>
      </c>
      <c r="H24" t="s">
        <v>11</v>
      </c>
      <c r="I24" t="s">
        <v>7</v>
      </c>
      <c r="J24" t="s">
        <v>72</v>
      </c>
      <c r="K24" t="s">
        <v>39</v>
      </c>
      <c r="L24" t="s">
        <v>75</v>
      </c>
      <c r="M24">
        <v>1</v>
      </c>
    </row>
    <row r="25" spans="1:13" x14ac:dyDescent="0.25">
      <c r="A25" s="1">
        <v>46135</v>
      </c>
      <c r="B25" s="1" t="str">
        <f ca="1">IF(Información1[[#This Row],[Fecha]]='Ajuste de fechas'!$A$2,"Día actual","Día anterior")</f>
        <v>Día actual</v>
      </c>
      <c r="C25" t="s">
        <v>38</v>
      </c>
      <c r="D25" t="s">
        <v>41</v>
      </c>
      <c r="E25" t="s">
        <v>309</v>
      </c>
      <c r="F25" t="s">
        <v>23</v>
      </c>
      <c r="G25" t="s">
        <v>187</v>
      </c>
      <c r="H25" t="s">
        <v>11</v>
      </c>
      <c r="I25" t="s">
        <v>7</v>
      </c>
      <c r="J25" t="s">
        <v>77</v>
      </c>
      <c r="K25" t="s">
        <v>39</v>
      </c>
      <c r="L25" t="s">
        <v>73</v>
      </c>
      <c r="M25">
        <v>1</v>
      </c>
    </row>
    <row r="26" spans="1:13" x14ac:dyDescent="0.25">
      <c r="A26" s="1">
        <v>46135</v>
      </c>
      <c r="B26" s="1" t="str">
        <f ca="1">IF(Información1[[#This Row],[Fecha]]='Ajuste de fechas'!$A$2,"Día actual","Día anterior")</f>
        <v>Día actual</v>
      </c>
      <c r="C26" t="s">
        <v>8</v>
      </c>
      <c r="D26" t="s">
        <v>10</v>
      </c>
      <c r="E26" t="s">
        <v>310</v>
      </c>
      <c r="F26" t="s">
        <v>6</v>
      </c>
      <c r="G26" t="s">
        <v>311</v>
      </c>
      <c r="H26" t="s">
        <v>11</v>
      </c>
      <c r="I26" t="s">
        <v>27</v>
      </c>
      <c r="J26" t="s">
        <v>72</v>
      </c>
      <c r="K26" t="s">
        <v>9</v>
      </c>
      <c r="L26" t="s">
        <v>74</v>
      </c>
      <c r="M26">
        <v>1</v>
      </c>
    </row>
    <row r="27" spans="1:13" x14ac:dyDescent="0.25">
      <c r="A27" s="1">
        <v>46135</v>
      </c>
      <c r="B27" s="1" t="str">
        <f ca="1">IF(Información1[[#This Row],[Fecha]]='Ajuste de fechas'!$A$2,"Día actual","Día anterior")</f>
        <v>Día actual</v>
      </c>
      <c r="C27" t="s">
        <v>8</v>
      </c>
      <c r="D27" t="s">
        <v>10</v>
      </c>
      <c r="E27" t="s">
        <v>312</v>
      </c>
      <c r="F27" t="s">
        <v>6</v>
      </c>
      <c r="G27" t="s">
        <v>311</v>
      </c>
      <c r="H27" t="s">
        <v>11</v>
      </c>
      <c r="I27" t="s">
        <v>27</v>
      </c>
      <c r="J27" t="s">
        <v>72</v>
      </c>
      <c r="K27" t="s">
        <v>9</v>
      </c>
      <c r="L27" t="s">
        <v>74</v>
      </c>
      <c r="M27">
        <v>1</v>
      </c>
    </row>
    <row r="28" spans="1:13" x14ac:dyDescent="0.25">
      <c r="A28" s="1">
        <v>46135</v>
      </c>
      <c r="B28" s="1" t="str">
        <f ca="1">IF(Información1[[#This Row],[Fecha]]='Ajuste de fechas'!$A$2,"Día actual","Día anterior")</f>
        <v>Día actual</v>
      </c>
      <c r="C28" t="s">
        <v>8</v>
      </c>
      <c r="D28" t="s">
        <v>10</v>
      </c>
      <c r="E28" t="s">
        <v>313</v>
      </c>
      <c r="F28" t="s">
        <v>6</v>
      </c>
      <c r="G28" t="s">
        <v>209</v>
      </c>
      <c r="H28" t="s">
        <v>11</v>
      </c>
      <c r="I28" t="s">
        <v>27</v>
      </c>
      <c r="J28" t="s">
        <v>72</v>
      </c>
      <c r="K28" t="s">
        <v>14</v>
      </c>
      <c r="L28" t="s">
        <v>74</v>
      </c>
      <c r="M28">
        <v>1</v>
      </c>
    </row>
    <row r="29" spans="1:13" x14ac:dyDescent="0.25">
      <c r="A29" s="1">
        <v>46135</v>
      </c>
      <c r="B29" s="1" t="str">
        <f ca="1">IF(Información1[[#This Row],[Fecha]]='Ajuste de fechas'!$A$2,"Día actual","Día anterior")</f>
        <v>Día actual</v>
      </c>
      <c r="C29" t="s">
        <v>8</v>
      </c>
      <c r="D29" t="s">
        <v>10</v>
      </c>
      <c r="E29" t="s">
        <v>314</v>
      </c>
      <c r="F29" t="s">
        <v>6</v>
      </c>
      <c r="G29" t="s">
        <v>104</v>
      </c>
      <c r="H29" t="s">
        <v>11</v>
      </c>
      <c r="I29" t="s">
        <v>27</v>
      </c>
      <c r="J29" t="s">
        <v>72</v>
      </c>
      <c r="K29" t="s">
        <v>9</v>
      </c>
      <c r="L29" t="s">
        <v>74</v>
      </c>
      <c r="M29">
        <v>1</v>
      </c>
    </row>
    <row r="30" spans="1:13" x14ac:dyDescent="0.25">
      <c r="A30" s="1">
        <v>46135</v>
      </c>
      <c r="B30" s="1" t="str">
        <f ca="1">IF(Información1[[#This Row],[Fecha]]='Ajuste de fechas'!$A$2,"Día actual","Día anterior")</f>
        <v>Día actual</v>
      </c>
      <c r="C30" t="s">
        <v>8</v>
      </c>
      <c r="D30" t="s">
        <v>10</v>
      </c>
      <c r="E30" t="s">
        <v>315</v>
      </c>
      <c r="F30" t="s">
        <v>26</v>
      </c>
      <c r="G30" t="s">
        <v>316</v>
      </c>
      <c r="H30" t="s">
        <v>11</v>
      </c>
      <c r="I30" t="s">
        <v>7</v>
      </c>
      <c r="J30" t="s">
        <v>26</v>
      </c>
      <c r="K30" t="s">
        <v>9</v>
      </c>
      <c r="L30" t="s">
        <v>74</v>
      </c>
      <c r="M30">
        <v>1</v>
      </c>
    </row>
    <row r="31" spans="1:13" x14ac:dyDescent="0.25">
      <c r="A31" s="1">
        <v>46135</v>
      </c>
      <c r="B31" s="1" t="str">
        <f ca="1">IF(Información1[[#This Row],[Fecha]]='Ajuste de fechas'!$A$2,"Día actual","Día anterior")</f>
        <v>Día actual</v>
      </c>
      <c r="C31" t="s">
        <v>8</v>
      </c>
      <c r="D31" t="s">
        <v>10</v>
      </c>
      <c r="E31" t="s">
        <v>317</v>
      </c>
      <c r="F31" t="s">
        <v>6</v>
      </c>
      <c r="G31" t="s">
        <v>104</v>
      </c>
      <c r="H31" t="s">
        <v>11</v>
      </c>
      <c r="I31" t="s">
        <v>12</v>
      </c>
      <c r="J31" t="s">
        <v>72</v>
      </c>
      <c r="K31" t="s">
        <v>9</v>
      </c>
      <c r="L31" t="s">
        <v>74</v>
      </c>
      <c r="M31">
        <v>1</v>
      </c>
    </row>
    <row r="32" spans="1:13" x14ac:dyDescent="0.25">
      <c r="A32" s="1">
        <v>46135</v>
      </c>
      <c r="B32" s="1" t="str">
        <f ca="1">IF(Información1[[#This Row],[Fecha]]='Ajuste de fechas'!$A$2,"Día actual","Día anterior")</f>
        <v>Día actual</v>
      </c>
      <c r="C32" t="s">
        <v>8</v>
      </c>
      <c r="D32" t="s">
        <v>10</v>
      </c>
      <c r="E32" t="s">
        <v>318</v>
      </c>
      <c r="F32" t="s">
        <v>17</v>
      </c>
      <c r="G32" t="s">
        <v>277</v>
      </c>
      <c r="H32" t="s">
        <v>11</v>
      </c>
      <c r="I32" t="s">
        <v>7</v>
      </c>
      <c r="J32" t="s">
        <v>72</v>
      </c>
      <c r="K32" t="s">
        <v>9</v>
      </c>
      <c r="L32" t="s">
        <v>74</v>
      </c>
      <c r="M32">
        <v>1</v>
      </c>
    </row>
    <row r="33" spans="1:13" x14ac:dyDescent="0.25">
      <c r="A33" s="1">
        <v>46135</v>
      </c>
      <c r="B33" s="1" t="str">
        <f ca="1">IF(Información1[[#This Row],[Fecha]]='Ajuste de fechas'!$A$2,"Día actual","Día anterior")</f>
        <v>Día actual</v>
      </c>
      <c r="C33" t="s">
        <v>8</v>
      </c>
      <c r="D33" t="s">
        <v>10</v>
      </c>
      <c r="E33" t="s">
        <v>319</v>
      </c>
      <c r="F33" t="s">
        <v>19</v>
      </c>
      <c r="G33" t="s">
        <v>93</v>
      </c>
      <c r="H33" t="s">
        <v>11</v>
      </c>
      <c r="I33" t="s">
        <v>7</v>
      </c>
      <c r="J33" t="s">
        <v>76</v>
      </c>
      <c r="K33" t="s">
        <v>14</v>
      </c>
      <c r="L33" t="s">
        <v>73</v>
      </c>
      <c r="M33">
        <v>1</v>
      </c>
    </row>
    <row r="34" spans="1:13" x14ac:dyDescent="0.25">
      <c r="A34" s="1">
        <v>46135</v>
      </c>
      <c r="B34" s="1" t="str">
        <f ca="1">IF(Información1[[#This Row],[Fecha]]='Ajuste de fechas'!$A$2,"Día actual","Día anterior")</f>
        <v>Día actual</v>
      </c>
      <c r="C34" t="s">
        <v>8</v>
      </c>
      <c r="D34" t="s">
        <v>10</v>
      </c>
      <c r="E34" t="s">
        <v>320</v>
      </c>
      <c r="F34" t="s">
        <v>19</v>
      </c>
      <c r="G34" t="s">
        <v>46</v>
      </c>
      <c r="H34" t="s">
        <v>11</v>
      </c>
      <c r="I34" t="s">
        <v>7</v>
      </c>
      <c r="J34" t="s">
        <v>76</v>
      </c>
      <c r="K34" t="s">
        <v>14</v>
      </c>
      <c r="L34" t="s">
        <v>73</v>
      </c>
      <c r="M34">
        <v>1</v>
      </c>
    </row>
    <row r="35" spans="1:13" x14ac:dyDescent="0.25">
      <c r="A35" s="1">
        <v>46135</v>
      </c>
      <c r="B35" s="1" t="str">
        <f ca="1">IF(Información1[[#This Row],[Fecha]]='Ajuste de fechas'!$A$2,"Día actual","Día anterior")</f>
        <v>Día actual</v>
      </c>
      <c r="C35" t="s">
        <v>8</v>
      </c>
      <c r="D35" t="s">
        <v>10</v>
      </c>
      <c r="E35" t="s">
        <v>321</v>
      </c>
      <c r="F35" t="s">
        <v>17</v>
      </c>
      <c r="G35" t="s">
        <v>92</v>
      </c>
      <c r="H35" t="s">
        <v>11</v>
      </c>
      <c r="I35" t="s">
        <v>7</v>
      </c>
      <c r="J35" t="s">
        <v>72</v>
      </c>
      <c r="K35" t="s">
        <v>9</v>
      </c>
      <c r="L35" t="s">
        <v>74</v>
      </c>
      <c r="M35">
        <v>1</v>
      </c>
    </row>
    <row r="36" spans="1:13" x14ac:dyDescent="0.25">
      <c r="A36" s="1">
        <v>46135</v>
      </c>
      <c r="B36" s="1" t="str">
        <f ca="1">IF(Información1[[#This Row],[Fecha]]='Ajuste de fechas'!$A$2,"Día actual","Día anterior")</f>
        <v>Día actual</v>
      </c>
      <c r="C36" t="s">
        <v>8</v>
      </c>
      <c r="D36" t="s">
        <v>10</v>
      </c>
      <c r="E36" t="s">
        <v>322</v>
      </c>
      <c r="F36" t="s">
        <v>22</v>
      </c>
      <c r="G36" t="s">
        <v>323</v>
      </c>
      <c r="H36" t="s">
        <v>11</v>
      </c>
      <c r="I36" t="s">
        <v>7</v>
      </c>
      <c r="J36" t="s">
        <v>26</v>
      </c>
      <c r="K36" t="s">
        <v>14</v>
      </c>
      <c r="L36" t="s">
        <v>78</v>
      </c>
      <c r="M36">
        <v>1</v>
      </c>
    </row>
    <row r="37" spans="1:13" x14ac:dyDescent="0.25">
      <c r="A37" s="1">
        <v>46135</v>
      </c>
      <c r="B37" s="1" t="str">
        <f ca="1">IF(Información1[[#This Row],[Fecha]]='Ajuste de fechas'!$A$2,"Día actual","Día anterior")</f>
        <v>Día actual</v>
      </c>
      <c r="C37" t="s">
        <v>8</v>
      </c>
      <c r="D37" t="s">
        <v>10</v>
      </c>
      <c r="E37" t="s">
        <v>324</v>
      </c>
      <c r="F37" t="s">
        <v>23</v>
      </c>
      <c r="G37" t="s">
        <v>325</v>
      </c>
      <c r="H37" t="s">
        <v>11</v>
      </c>
      <c r="I37" t="s">
        <v>7</v>
      </c>
      <c r="J37" t="s">
        <v>77</v>
      </c>
      <c r="K37" t="s">
        <v>14</v>
      </c>
      <c r="L37" t="s">
        <v>73</v>
      </c>
      <c r="M37">
        <v>1</v>
      </c>
    </row>
    <row r="38" spans="1:13" x14ac:dyDescent="0.25">
      <c r="A38" s="1">
        <v>46135</v>
      </c>
      <c r="B38" s="1" t="str">
        <f ca="1">IF(Información1[[#This Row],[Fecha]]='Ajuste de fechas'!$A$2,"Día actual","Día anterior")</f>
        <v>Día actual</v>
      </c>
      <c r="C38" t="s">
        <v>8</v>
      </c>
      <c r="D38" t="s">
        <v>10</v>
      </c>
      <c r="E38" t="s">
        <v>326</v>
      </c>
      <c r="F38" t="s">
        <v>26</v>
      </c>
      <c r="G38" t="s">
        <v>184</v>
      </c>
      <c r="H38" t="s">
        <v>11</v>
      </c>
      <c r="I38" t="s">
        <v>7</v>
      </c>
      <c r="J38" t="s">
        <v>26</v>
      </c>
      <c r="K38" t="s">
        <v>14</v>
      </c>
      <c r="L38" t="s">
        <v>74</v>
      </c>
      <c r="M38">
        <v>1</v>
      </c>
    </row>
    <row r="39" spans="1:13" x14ac:dyDescent="0.25">
      <c r="A39" s="1">
        <v>46135</v>
      </c>
      <c r="B39" s="1" t="str">
        <f ca="1">IF(Información1[[#This Row],[Fecha]]='Ajuste de fechas'!$A$2,"Día actual","Día anterior")</f>
        <v>Día actual</v>
      </c>
      <c r="C39" t="s">
        <v>8</v>
      </c>
      <c r="D39" t="s">
        <v>10</v>
      </c>
      <c r="E39" t="s">
        <v>327</v>
      </c>
      <c r="F39" t="s">
        <v>19</v>
      </c>
      <c r="G39" t="s">
        <v>88</v>
      </c>
      <c r="H39" t="s">
        <v>11</v>
      </c>
      <c r="I39" t="s">
        <v>7</v>
      </c>
      <c r="J39" t="s">
        <v>76</v>
      </c>
      <c r="K39" t="s">
        <v>9</v>
      </c>
      <c r="L39" t="s">
        <v>74</v>
      </c>
      <c r="M39">
        <v>1</v>
      </c>
    </row>
    <row r="40" spans="1:13" x14ac:dyDescent="0.25">
      <c r="A40" s="1">
        <v>46135</v>
      </c>
      <c r="B40" s="1" t="str">
        <f ca="1">IF(Información1[[#This Row],[Fecha]]='Ajuste de fechas'!$A$2,"Día actual","Día anterior")</f>
        <v>Día actual</v>
      </c>
      <c r="C40" t="s">
        <v>8</v>
      </c>
      <c r="D40" t="s">
        <v>10</v>
      </c>
      <c r="E40" t="s">
        <v>328</v>
      </c>
      <c r="F40" t="s">
        <v>19</v>
      </c>
      <c r="G40" t="s">
        <v>88</v>
      </c>
      <c r="H40" t="s">
        <v>11</v>
      </c>
      <c r="I40" t="s">
        <v>7</v>
      </c>
      <c r="J40" t="s">
        <v>76</v>
      </c>
      <c r="K40" t="s">
        <v>14</v>
      </c>
      <c r="L40" t="s">
        <v>74</v>
      </c>
      <c r="M40">
        <v>1</v>
      </c>
    </row>
    <row r="41" spans="1:13" x14ac:dyDescent="0.25">
      <c r="A41" s="1">
        <v>46135</v>
      </c>
      <c r="B41" s="1" t="str">
        <f ca="1">IF(Información1[[#This Row],[Fecha]]='Ajuste de fechas'!$A$2,"Día actual","Día anterior")</f>
        <v>Día actual</v>
      </c>
      <c r="C41" t="s">
        <v>8</v>
      </c>
      <c r="D41" t="s">
        <v>10</v>
      </c>
      <c r="E41" t="s">
        <v>329</v>
      </c>
      <c r="F41" t="s">
        <v>25</v>
      </c>
      <c r="G41" t="s">
        <v>85</v>
      </c>
      <c r="H41" t="s">
        <v>11</v>
      </c>
      <c r="I41" t="s">
        <v>12</v>
      </c>
      <c r="J41" t="s">
        <v>72</v>
      </c>
      <c r="K41" t="s">
        <v>14</v>
      </c>
      <c r="L41" t="s">
        <v>113</v>
      </c>
      <c r="M41">
        <v>1</v>
      </c>
    </row>
    <row r="42" spans="1:13" x14ac:dyDescent="0.25">
      <c r="A42" s="1">
        <v>46135</v>
      </c>
      <c r="B42" s="1" t="str">
        <f ca="1">IF(Información1[[#This Row],[Fecha]]='Ajuste de fechas'!$A$2,"Día actual","Día anterior")</f>
        <v>Día actual</v>
      </c>
      <c r="C42" t="s">
        <v>8</v>
      </c>
      <c r="D42" t="s">
        <v>10</v>
      </c>
      <c r="E42" t="s">
        <v>330</v>
      </c>
      <c r="F42" t="s">
        <v>25</v>
      </c>
      <c r="G42" t="s">
        <v>85</v>
      </c>
      <c r="H42" t="s">
        <v>11</v>
      </c>
      <c r="I42" t="s">
        <v>7</v>
      </c>
      <c r="J42" t="s">
        <v>72</v>
      </c>
      <c r="K42" t="s">
        <v>14</v>
      </c>
      <c r="L42" t="s">
        <v>73</v>
      </c>
      <c r="M42">
        <v>1</v>
      </c>
    </row>
    <row r="43" spans="1:13" x14ac:dyDescent="0.25">
      <c r="A43" s="1">
        <v>46135</v>
      </c>
      <c r="B43" s="1" t="str">
        <f ca="1">IF(Información1[[#This Row],[Fecha]]='Ajuste de fechas'!$A$2,"Día actual","Día anterior")</f>
        <v>Día actual</v>
      </c>
      <c r="C43" t="s">
        <v>8</v>
      </c>
      <c r="D43" t="s">
        <v>10</v>
      </c>
      <c r="E43" t="s">
        <v>331</v>
      </c>
      <c r="F43" t="s">
        <v>23</v>
      </c>
      <c r="G43" t="s">
        <v>82</v>
      </c>
      <c r="H43" t="s">
        <v>11</v>
      </c>
      <c r="I43" t="s">
        <v>7</v>
      </c>
      <c r="J43" t="s">
        <v>77</v>
      </c>
      <c r="K43" t="s">
        <v>14</v>
      </c>
      <c r="L43" t="s">
        <v>73</v>
      </c>
      <c r="M43">
        <v>1</v>
      </c>
    </row>
    <row r="44" spans="1:13" x14ac:dyDescent="0.25">
      <c r="A44" s="1">
        <v>46135</v>
      </c>
      <c r="B44" s="1" t="str">
        <f ca="1">IF(Información1[[#This Row],[Fecha]]='Ajuste de fechas'!$A$2,"Día actual","Día anterior")</f>
        <v>Día actual</v>
      </c>
      <c r="C44" t="s">
        <v>8</v>
      </c>
      <c r="D44" t="s">
        <v>10</v>
      </c>
      <c r="E44" t="s">
        <v>332</v>
      </c>
      <c r="F44" t="s">
        <v>23</v>
      </c>
      <c r="G44" t="s">
        <v>187</v>
      </c>
      <c r="H44" t="s">
        <v>11</v>
      </c>
      <c r="I44" t="s">
        <v>7</v>
      </c>
      <c r="J44" t="s">
        <v>77</v>
      </c>
      <c r="K44" t="s">
        <v>14</v>
      </c>
      <c r="L44" t="s">
        <v>73</v>
      </c>
      <c r="M44">
        <v>1</v>
      </c>
    </row>
    <row r="45" spans="1:13" x14ac:dyDescent="0.25">
      <c r="A45" s="1">
        <v>46135</v>
      </c>
      <c r="B45" s="1" t="str">
        <f ca="1">IF(Información1[[#This Row],[Fecha]]='Ajuste de fechas'!$A$2,"Día actual","Día anterior")</f>
        <v>Día actual</v>
      </c>
      <c r="C45" t="s">
        <v>8</v>
      </c>
      <c r="D45" t="s">
        <v>10</v>
      </c>
      <c r="E45" t="s">
        <v>20</v>
      </c>
      <c r="F45" t="s">
        <v>19</v>
      </c>
      <c r="G45" t="s">
        <v>63</v>
      </c>
      <c r="H45" t="s">
        <v>11</v>
      </c>
      <c r="I45" t="s">
        <v>12</v>
      </c>
      <c r="J45" t="s">
        <v>76</v>
      </c>
      <c r="K45" t="s">
        <v>14</v>
      </c>
      <c r="L45" t="s">
        <v>74</v>
      </c>
      <c r="M45">
        <v>1</v>
      </c>
    </row>
    <row r="46" spans="1:13" x14ac:dyDescent="0.25">
      <c r="A46" s="1">
        <v>46135</v>
      </c>
      <c r="B46" s="1" t="str">
        <f ca="1">IF(Información1[[#This Row],[Fecha]]='Ajuste de fechas'!$A$2,"Día actual","Día anterior")</f>
        <v>Día actual</v>
      </c>
      <c r="C46" t="s">
        <v>8</v>
      </c>
      <c r="D46" t="s">
        <v>10</v>
      </c>
      <c r="E46" t="s">
        <v>18</v>
      </c>
      <c r="F46" t="s">
        <v>19</v>
      </c>
      <c r="G46" t="s">
        <v>63</v>
      </c>
      <c r="H46" t="s">
        <v>11</v>
      </c>
      <c r="I46" t="s">
        <v>12</v>
      </c>
      <c r="J46" t="s">
        <v>76</v>
      </c>
      <c r="K46" t="s">
        <v>14</v>
      </c>
      <c r="L46" t="s">
        <v>74</v>
      </c>
      <c r="M46">
        <v>1</v>
      </c>
    </row>
    <row r="47" spans="1:13" x14ac:dyDescent="0.25">
      <c r="A47" s="1">
        <v>46135</v>
      </c>
      <c r="B47" s="1" t="str">
        <f ca="1">IF(Información1[[#This Row],[Fecha]]='Ajuste de fechas'!$A$2,"Día actual","Día anterior")</f>
        <v>Día actual</v>
      </c>
      <c r="C47" t="s">
        <v>8</v>
      </c>
      <c r="D47" t="s">
        <v>10</v>
      </c>
      <c r="E47" t="s">
        <v>61</v>
      </c>
      <c r="F47" t="s">
        <v>22</v>
      </c>
      <c r="G47" t="s">
        <v>63</v>
      </c>
      <c r="H47" t="s">
        <v>11</v>
      </c>
      <c r="I47" t="s">
        <v>12</v>
      </c>
      <c r="J47" t="s">
        <v>26</v>
      </c>
      <c r="K47" t="s">
        <v>14</v>
      </c>
      <c r="L47" t="s">
        <v>74</v>
      </c>
      <c r="M47">
        <v>1</v>
      </c>
    </row>
    <row r="48" spans="1:13" x14ac:dyDescent="0.25">
      <c r="A48" s="1">
        <v>46135</v>
      </c>
      <c r="B48" s="1" t="str">
        <f ca="1">IF(Información1[[#This Row],[Fecha]]='Ajuste de fechas'!$A$2,"Día actual","Día anterior")</f>
        <v>Día actual</v>
      </c>
      <c r="C48" t="s">
        <v>8</v>
      </c>
      <c r="D48" t="s">
        <v>10</v>
      </c>
      <c r="E48" t="s">
        <v>175</v>
      </c>
      <c r="F48" t="s">
        <v>21</v>
      </c>
      <c r="G48" t="s">
        <v>63</v>
      </c>
      <c r="H48" t="s">
        <v>11</v>
      </c>
      <c r="I48" t="s">
        <v>12</v>
      </c>
      <c r="J48" t="s">
        <v>72</v>
      </c>
      <c r="K48" t="s">
        <v>14</v>
      </c>
      <c r="L48" t="s">
        <v>74</v>
      </c>
      <c r="M48">
        <v>1</v>
      </c>
    </row>
    <row r="49" spans="1:13" x14ac:dyDescent="0.25">
      <c r="A49" s="1">
        <v>46135</v>
      </c>
      <c r="B49" s="1" t="str">
        <f ca="1">IF(Información1[[#This Row],[Fecha]]='Ajuste de fechas'!$A$2,"Día actual","Día anterior")</f>
        <v>Día actual</v>
      </c>
      <c r="C49" t="s">
        <v>8</v>
      </c>
      <c r="D49" t="s">
        <v>10</v>
      </c>
      <c r="E49" t="s">
        <v>13</v>
      </c>
      <c r="F49" t="s">
        <v>15</v>
      </c>
      <c r="G49" t="s">
        <v>63</v>
      </c>
      <c r="H49" t="s">
        <v>11</v>
      </c>
      <c r="I49" t="s">
        <v>12</v>
      </c>
      <c r="J49" t="s">
        <v>72</v>
      </c>
      <c r="K49" t="s">
        <v>14</v>
      </c>
      <c r="L49" t="s">
        <v>74</v>
      </c>
      <c r="M49">
        <v>1</v>
      </c>
    </row>
    <row r="50" spans="1:13" x14ac:dyDescent="0.25">
      <c r="A50" s="1">
        <v>46135</v>
      </c>
      <c r="B50" s="1" t="str">
        <f ca="1">IF(Información1[[#This Row],[Fecha]]='Ajuste de fechas'!$A$2,"Día actual","Día anterior")</f>
        <v>Día actual</v>
      </c>
      <c r="C50" t="s">
        <v>8</v>
      </c>
      <c r="D50" t="s">
        <v>10</v>
      </c>
      <c r="E50" t="s">
        <v>16</v>
      </c>
      <c r="F50" t="s">
        <v>17</v>
      </c>
      <c r="G50" t="s">
        <v>63</v>
      </c>
      <c r="H50" t="s">
        <v>11</v>
      </c>
      <c r="I50" t="s">
        <v>12</v>
      </c>
      <c r="J50" t="s">
        <v>72</v>
      </c>
      <c r="K50" t="s">
        <v>14</v>
      </c>
      <c r="L50" t="s">
        <v>74</v>
      </c>
      <c r="M50">
        <v>1</v>
      </c>
    </row>
    <row r="51" spans="1:13" x14ac:dyDescent="0.25">
      <c r="A51" s="1">
        <v>46135</v>
      </c>
      <c r="B51" s="1" t="str">
        <f ca="1">IF(Información1[[#This Row],[Fecha]]='Ajuste de fechas'!$A$2,"Día actual","Día anterior")</f>
        <v>Día actual</v>
      </c>
      <c r="C51" t="s">
        <v>8</v>
      </c>
      <c r="D51" t="s">
        <v>10</v>
      </c>
      <c r="E51" t="s">
        <v>65</v>
      </c>
      <c r="F51" t="s">
        <v>6</v>
      </c>
      <c r="G51" t="s">
        <v>63</v>
      </c>
      <c r="H51" t="s">
        <v>11</v>
      </c>
      <c r="I51" t="s">
        <v>12</v>
      </c>
      <c r="J51" t="s">
        <v>72</v>
      </c>
      <c r="K51" t="s">
        <v>14</v>
      </c>
      <c r="L51" t="s">
        <v>74</v>
      </c>
      <c r="M51">
        <v>1</v>
      </c>
    </row>
    <row r="52" spans="1:13" x14ac:dyDescent="0.25">
      <c r="A52" s="1">
        <v>46135</v>
      </c>
      <c r="B52" s="1" t="str">
        <f ca="1">IF(Información1[[#This Row],[Fecha]]='Ajuste de fechas'!$A$2,"Día actual","Día anterior")</f>
        <v>Día actual</v>
      </c>
      <c r="C52" t="s">
        <v>57</v>
      </c>
      <c r="D52" t="s">
        <v>58</v>
      </c>
      <c r="E52" t="s">
        <v>348</v>
      </c>
      <c r="F52" t="s">
        <v>19</v>
      </c>
      <c r="G52" t="s">
        <v>46</v>
      </c>
      <c r="H52" t="s">
        <v>11</v>
      </c>
      <c r="I52" t="s">
        <v>7</v>
      </c>
      <c r="J52" t="s">
        <v>76</v>
      </c>
      <c r="K52" t="s">
        <v>59</v>
      </c>
      <c r="L52" t="s">
        <v>73</v>
      </c>
      <c r="M52">
        <v>1</v>
      </c>
    </row>
    <row r="53" spans="1:13" x14ac:dyDescent="0.25">
      <c r="A53" s="1">
        <v>46135</v>
      </c>
      <c r="B53" s="1" t="str">
        <f ca="1">IF(Información1[[#This Row],[Fecha]]='Ajuste de fechas'!$A$2,"Día actual","Día anterior")</f>
        <v>Día actual</v>
      </c>
      <c r="C53" t="s">
        <v>57</v>
      </c>
      <c r="D53" t="s">
        <v>58</v>
      </c>
      <c r="E53" t="s">
        <v>349</v>
      </c>
      <c r="F53" t="s">
        <v>21</v>
      </c>
      <c r="G53" t="s">
        <v>350</v>
      </c>
      <c r="H53" t="s">
        <v>11</v>
      </c>
      <c r="I53" t="s">
        <v>7</v>
      </c>
      <c r="J53" t="s">
        <v>72</v>
      </c>
      <c r="K53" t="s">
        <v>59</v>
      </c>
      <c r="L53" t="s">
        <v>75</v>
      </c>
      <c r="M53">
        <v>1</v>
      </c>
    </row>
    <row r="54" spans="1:13" x14ac:dyDescent="0.25">
      <c r="A54" s="1">
        <v>46135</v>
      </c>
      <c r="B54" s="1" t="str">
        <f ca="1">IF(Información1[[#This Row],[Fecha]]='Ajuste de fechas'!$A$2,"Día actual","Día anterior")</f>
        <v>Día actual</v>
      </c>
      <c r="C54" t="s">
        <v>57</v>
      </c>
      <c r="D54" t="s">
        <v>58</v>
      </c>
      <c r="E54" t="s">
        <v>351</v>
      </c>
      <c r="F54" t="s">
        <v>19</v>
      </c>
      <c r="G54" t="s">
        <v>86</v>
      </c>
      <c r="H54" t="s">
        <v>11</v>
      </c>
      <c r="I54" t="s">
        <v>7</v>
      </c>
      <c r="J54" t="s">
        <v>76</v>
      </c>
      <c r="K54" t="s">
        <v>59</v>
      </c>
      <c r="L54" t="s">
        <v>73</v>
      </c>
      <c r="M54">
        <v>1</v>
      </c>
    </row>
    <row r="55" spans="1:13" x14ac:dyDescent="0.25">
      <c r="A55" s="1">
        <v>46135</v>
      </c>
      <c r="B55" s="1" t="str">
        <f ca="1">IF(Información1[[#This Row],[Fecha]]='Ajuste de fechas'!$A$2,"Día actual","Día anterior")</f>
        <v>Día actual</v>
      </c>
      <c r="C55" t="s">
        <v>57</v>
      </c>
      <c r="D55" t="s">
        <v>58</v>
      </c>
      <c r="E55" t="s">
        <v>352</v>
      </c>
      <c r="F55" t="s">
        <v>23</v>
      </c>
      <c r="G55" t="s">
        <v>109</v>
      </c>
      <c r="H55" t="s">
        <v>11</v>
      </c>
      <c r="I55" t="s">
        <v>7</v>
      </c>
      <c r="J55" t="s">
        <v>77</v>
      </c>
      <c r="K55" t="s">
        <v>59</v>
      </c>
      <c r="L55" t="s">
        <v>73</v>
      </c>
      <c r="M55">
        <v>1</v>
      </c>
    </row>
    <row r="56" spans="1:13" x14ac:dyDescent="0.25">
      <c r="A56" s="1">
        <v>46135</v>
      </c>
      <c r="B56" s="1" t="str">
        <f ca="1">IF(Información1[[#This Row],[Fecha]]='Ajuste de fechas'!$A$2,"Día actual","Día anterior")</f>
        <v>Día actual</v>
      </c>
      <c r="C56" t="s">
        <v>57</v>
      </c>
      <c r="D56" t="s">
        <v>58</v>
      </c>
      <c r="E56" t="s">
        <v>353</v>
      </c>
      <c r="F56" t="s">
        <v>23</v>
      </c>
      <c r="G56" t="s">
        <v>187</v>
      </c>
      <c r="H56" t="s">
        <v>11</v>
      </c>
      <c r="I56" t="s">
        <v>7</v>
      </c>
      <c r="J56" t="s">
        <v>77</v>
      </c>
      <c r="K56" t="s">
        <v>59</v>
      </c>
      <c r="L56" t="s">
        <v>73</v>
      </c>
      <c r="M56">
        <v>1</v>
      </c>
    </row>
    <row r="57" spans="1:13" x14ac:dyDescent="0.25">
      <c r="A57" s="1">
        <v>46135</v>
      </c>
      <c r="B57" s="1" t="str">
        <f ca="1">IF(Información1[[#This Row],[Fecha]]='Ajuste de fechas'!$A$2,"Día actual","Día anterior")</f>
        <v>Día actual</v>
      </c>
      <c r="C57" t="s">
        <v>57</v>
      </c>
      <c r="D57" t="s">
        <v>58</v>
      </c>
      <c r="E57" t="s">
        <v>354</v>
      </c>
      <c r="F57" t="s">
        <v>19</v>
      </c>
      <c r="G57" t="s">
        <v>285</v>
      </c>
      <c r="H57" t="s">
        <v>11</v>
      </c>
      <c r="I57" t="s">
        <v>7</v>
      </c>
      <c r="J57" t="s">
        <v>76</v>
      </c>
      <c r="K57" t="s">
        <v>59</v>
      </c>
      <c r="L57" t="s">
        <v>73</v>
      </c>
      <c r="M57">
        <v>1</v>
      </c>
    </row>
    <row r="58" spans="1:13" x14ac:dyDescent="0.25">
      <c r="A58" s="1">
        <v>46135</v>
      </c>
      <c r="B58" s="1" t="str">
        <f ca="1">IF(Información1[[#This Row],[Fecha]]='Ajuste de fechas'!$A$2,"Día actual","Día anterior")</f>
        <v>Día actual</v>
      </c>
      <c r="C58" t="s">
        <v>57</v>
      </c>
      <c r="D58" t="s">
        <v>58</v>
      </c>
      <c r="E58" t="s">
        <v>355</v>
      </c>
      <c r="F58" t="s">
        <v>19</v>
      </c>
      <c r="G58" t="s">
        <v>84</v>
      </c>
      <c r="H58" t="s">
        <v>11</v>
      </c>
      <c r="I58" t="s">
        <v>7</v>
      </c>
      <c r="J58" t="s">
        <v>76</v>
      </c>
      <c r="K58" t="s">
        <v>59</v>
      </c>
      <c r="L58" t="s">
        <v>73</v>
      </c>
      <c r="M58">
        <v>1</v>
      </c>
    </row>
    <row r="59" spans="1:13" x14ac:dyDescent="0.25">
      <c r="A59" s="1">
        <v>46135</v>
      </c>
      <c r="B59" s="1" t="str">
        <f ca="1">IF(Información1[[#This Row],[Fecha]]='Ajuste de fechas'!$A$2,"Día actual","Día anterior")</f>
        <v>Día actual</v>
      </c>
      <c r="C59" t="s">
        <v>57</v>
      </c>
      <c r="D59" t="s">
        <v>58</v>
      </c>
      <c r="E59" t="s">
        <v>356</v>
      </c>
      <c r="F59" t="s">
        <v>15</v>
      </c>
      <c r="G59" t="s">
        <v>357</v>
      </c>
      <c r="H59" t="s">
        <v>11</v>
      </c>
      <c r="I59" t="s">
        <v>7</v>
      </c>
      <c r="J59" t="s">
        <v>72</v>
      </c>
      <c r="K59" t="s">
        <v>59</v>
      </c>
      <c r="L59" t="s">
        <v>73</v>
      </c>
      <c r="M59">
        <v>1</v>
      </c>
    </row>
    <row r="60" spans="1:13" x14ac:dyDescent="0.25">
      <c r="A60" s="1">
        <v>46135</v>
      </c>
      <c r="B60" s="1" t="str">
        <f ca="1">IF(Información1[[#This Row],[Fecha]]='Ajuste de fechas'!$A$2,"Día actual","Día anterior")</f>
        <v>Día actual</v>
      </c>
      <c r="C60" t="s">
        <v>57</v>
      </c>
      <c r="D60" t="s">
        <v>58</v>
      </c>
      <c r="E60" t="s">
        <v>358</v>
      </c>
      <c r="F60" t="s">
        <v>23</v>
      </c>
      <c r="G60" t="s">
        <v>119</v>
      </c>
      <c r="H60" t="s">
        <v>11</v>
      </c>
      <c r="I60" t="s">
        <v>27</v>
      </c>
      <c r="J60" t="s">
        <v>77</v>
      </c>
      <c r="K60" t="s">
        <v>59</v>
      </c>
      <c r="L60" t="s">
        <v>73</v>
      </c>
      <c r="M60">
        <v>1</v>
      </c>
    </row>
    <row r="61" spans="1:13" x14ac:dyDescent="0.25">
      <c r="A61" s="1">
        <v>46135</v>
      </c>
      <c r="B61" s="1" t="str">
        <f ca="1">IF(Información1[[#This Row],[Fecha]]='Ajuste de fechas'!$A$2,"Día actual","Día anterior")</f>
        <v>Día actual</v>
      </c>
      <c r="C61" t="s">
        <v>57</v>
      </c>
      <c r="D61" t="s">
        <v>58</v>
      </c>
      <c r="E61" t="s">
        <v>359</v>
      </c>
      <c r="F61" t="s">
        <v>19</v>
      </c>
      <c r="G61" t="s">
        <v>360</v>
      </c>
      <c r="H61" t="s">
        <v>11</v>
      </c>
      <c r="I61" t="s">
        <v>27</v>
      </c>
      <c r="J61" t="s">
        <v>76</v>
      </c>
      <c r="K61" t="s">
        <v>59</v>
      </c>
      <c r="L61" t="s">
        <v>74</v>
      </c>
      <c r="M61">
        <v>1</v>
      </c>
    </row>
    <row r="62" spans="1:13" x14ac:dyDescent="0.25">
      <c r="A62" s="1">
        <v>46135</v>
      </c>
      <c r="B62" s="1" t="str">
        <f ca="1">IF(Información1[[#This Row],[Fecha]]='Ajuste de fechas'!$A$2,"Día actual","Día anterior")</f>
        <v>Día actual</v>
      </c>
      <c r="C62" t="s">
        <v>57</v>
      </c>
      <c r="D62" t="s">
        <v>58</v>
      </c>
      <c r="E62" t="s">
        <v>361</v>
      </c>
      <c r="F62" t="s">
        <v>19</v>
      </c>
      <c r="G62" t="s">
        <v>362</v>
      </c>
      <c r="H62" t="s">
        <v>11</v>
      </c>
      <c r="I62" t="s">
        <v>7</v>
      </c>
      <c r="J62" t="s">
        <v>76</v>
      </c>
      <c r="K62" t="s">
        <v>59</v>
      </c>
      <c r="L62" t="s">
        <v>73</v>
      </c>
      <c r="M62">
        <v>1</v>
      </c>
    </row>
    <row r="63" spans="1:13" x14ac:dyDescent="0.25">
      <c r="A63" s="1">
        <v>46135</v>
      </c>
      <c r="B63" s="1" t="str">
        <f ca="1">IF(Información1[[#This Row],[Fecha]]='Ajuste de fechas'!$A$2,"Día actual","Día anterior")</f>
        <v>Día actual</v>
      </c>
      <c r="C63" t="s">
        <v>57</v>
      </c>
      <c r="D63" t="s">
        <v>58</v>
      </c>
      <c r="E63" t="s">
        <v>363</v>
      </c>
      <c r="F63" t="s">
        <v>19</v>
      </c>
      <c r="G63" t="s">
        <v>364</v>
      </c>
      <c r="H63" t="s">
        <v>11</v>
      </c>
      <c r="I63" t="s">
        <v>7</v>
      </c>
      <c r="J63" t="s">
        <v>76</v>
      </c>
      <c r="K63" t="s">
        <v>59</v>
      </c>
      <c r="L63" t="s">
        <v>73</v>
      </c>
      <c r="M63">
        <v>1</v>
      </c>
    </row>
    <row r="64" spans="1:13" x14ac:dyDescent="0.25">
      <c r="A64" s="1">
        <v>46135</v>
      </c>
      <c r="B64" s="1" t="str">
        <f ca="1">IF(Información1[[#This Row],[Fecha]]='Ajuste de fechas'!$A$2,"Día actual","Día anterior")</f>
        <v>Día actual</v>
      </c>
      <c r="C64" t="s">
        <v>57</v>
      </c>
      <c r="D64" t="s">
        <v>58</v>
      </c>
      <c r="E64" t="s">
        <v>365</v>
      </c>
      <c r="F64" t="s">
        <v>19</v>
      </c>
      <c r="G64" t="s">
        <v>91</v>
      </c>
      <c r="H64" t="s">
        <v>11</v>
      </c>
      <c r="I64" t="s">
        <v>7</v>
      </c>
      <c r="J64" t="s">
        <v>76</v>
      </c>
      <c r="K64" t="s">
        <v>59</v>
      </c>
      <c r="L64" t="s">
        <v>73</v>
      </c>
      <c r="M64">
        <v>1</v>
      </c>
    </row>
    <row r="65" spans="1:13" x14ac:dyDescent="0.25">
      <c r="A65" s="1">
        <v>46135</v>
      </c>
      <c r="B65" s="1" t="str">
        <f ca="1">IF(Información1[[#This Row],[Fecha]]='Ajuste de fechas'!$A$2,"Día actual","Día anterior")</f>
        <v>Día actual</v>
      </c>
      <c r="C65" t="s">
        <v>57</v>
      </c>
      <c r="D65" t="s">
        <v>58</v>
      </c>
      <c r="E65" t="s">
        <v>366</v>
      </c>
      <c r="F65" t="s">
        <v>25</v>
      </c>
      <c r="G65" t="s">
        <v>85</v>
      </c>
      <c r="H65" t="s">
        <v>11</v>
      </c>
      <c r="I65" t="s">
        <v>7</v>
      </c>
      <c r="J65" t="s">
        <v>72</v>
      </c>
      <c r="K65" t="s">
        <v>59</v>
      </c>
      <c r="L65" t="s">
        <v>73</v>
      </c>
      <c r="M65">
        <v>1</v>
      </c>
    </row>
    <row r="66" spans="1:13" x14ac:dyDescent="0.25">
      <c r="A66" s="1">
        <v>46135</v>
      </c>
      <c r="B66" s="1" t="str">
        <f ca="1">IF(Información1[[#This Row],[Fecha]]='Ajuste de fechas'!$A$2,"Día actual","Día anterior")</f>
        <v>Día actual</v>
      </c>
      <c r="C66" t="s">
        <v>57</v>
      </c>
      <c r="D66" t="s">
        <v>58</v>
      </c>
      <c r="E66" t="s">
        <v>367</v>
      </c>
      <c r="F66" t="s">
        <v>19</v>
      </c>
      <c r="G66" t="s">
        <v>368</v>
      </c>
      <c r="H66" t="s">
        <v>11</v>
      </c>
      <c r="I66" t="s">
        <v>7</v>
      </c>
      <c r="J66" t="s">
        <v>76</v>
      </c>
      <c r="K66" t="s">
        <v>59</v>
      </c>
      <c r="L66" t="s">
        <v>73</v>
      </c>
      <c r="M66">
        <v>1</v>
      </c>
    </row>
    <row r="67" spans="1:13" x14ac:dyDescent="0.25">
      <c r="A67" s="1">
        <v>46135</v>
      </c>
      <c r="B67" s="1" t="str">
        <f ca="1">IF(Información1[[#This Row],[Fecha]]='Ajuste de fechas'!$A$2,"Día actual","Día anterior")</f>
        <v>Día actual</v>
      </c>
      <c r="C67" t="s">
        <v>48</v>
      </c>
      <c r="D67" t="s">
        <v>49</v>
      </c>
      <c r="E67" t="s">
        <v>369</v>
      </c>
      <c r="F67" t="s">
        <v>26</v>
      </c>
      <c r="G67" t="s">
        <v>323</v>
      </c>
      <c r="H67" t="s">
        <v>45</v>
      </c>
      <c r="I67" t="s">
        <v>7</v>
      </c>
      <c r="J67" t="s">
        <v>26</v>
      </c>
      <c r="K67" t="s">
        <v>30</v>
      </c>
      <c r="L67" t="s">
        <v>73</v>
      </c>
      <c r="M67">
        <v>1</v>
      </c>
    </row>
    <row r="68" spans="1:13" x14ac:dyDescent="0.25">
      <c r="A68" s="1">
        <v>46135</v>
      </c>
      <c r="B68" s="1" t="str">
        <f ca="1">IF(Información1[[#This Row],[Fecha]]='Ajuste de fechas'!$A$2,"Día actual","Día anterior")</f>
        <v>Día actual</v>
      </c>
      <c r="C68" t="s">
        <v>48</v>
      </c>
      <c r="D68" t="s">
        <v>49</v>
      </c>
      <c r="E68" t="s">
        <v>370</v>
      </c>
      <c r="F68" t="s">
        <v>28</v>
      </c>
      <c r="G68" t="s">
        <v>371</v>
      </c>
      <c r="H68" t="s">
        <v>45</v>
      </c>
      <c r="I68" t="s">
        <v>7</v>
      </c>
      <c r="J68" t="s">
        <v>72</v>
      </c>
      <c r="K68" t="s">
        <v>30</v>
      </c>
      <c r="L68" t="s">
        <v>73</v>
      </c>
      <c r="M68">
        <v>1</v>
      </c>
    </row>
    <row r="69" spans="1:13" x14ac:dyDescent="0.25">
      <c r="A69" s="1">
        <v>46135</v>
      </c>
      <c r="B69" s="1" t="str">
        <f ca="1">IF(Información1[[#This Row],[Fecha]]='Ajuste de fechas'!$A$2,"Día actual","Día anterior")</f>
        <v>Día actual</v>
      </c>
      <c r="C69" t="s">
        <v>48</v>
      </c>
      <c r="D69" t="s">
        <v>49</v>
      </c>
      <c r="E69" t="s">
        <v>372</v>
      </c>
      <c r="F69" t="s">
        <v>22</v>
      </c>
      <c r="G69" t="s">
        <v>373</v>
      </c>
      <c r="H69" t="s">
        <v>45</v>
      </c>
      <c r="I69" t="s">
        <v>7</v>
      </c>
      <c r="J69" t="s">
        <v>26</v>
      </c>
      <c r="K69" t="s">
        <v>30</v>
      </c>
      <c r="L69" t="s">
        <v>73</v>
      </c>
      <c r="M69">
        <v>1</v>
      </c>
    </row>
    <row r="70" spans="1:13" x14ac:dyDescent="0.25">
      <c r="A70" s="1">
        <v>46135</v>
      </c>
      <c r="B70" s="1" t="str">
        <f ca="1">IF(Información1[[#This Row],[Fecha]]='Ajuste de fechas'!$A$2,"Día actual","Día anterior")</f>
        <v>Día actual</v>
      </c>
      <c r="C70" t="s">
        <v>48</v>
      </c>
      <c r="D70" t="s">
        <v>49</v>
      </c>
      <c r="E70" t="s">
        <v>374</v>
      </c>
      <c r="F70" t="s">
        <v>112</v>
      </c>
      <c r="G70" t="s">
        <v>295</v>
      </c>
      <c r="H70" t="s">
        <v>45</v>
      </c>
      <c r="I70" t="s">
        <v>7</v>
      </c>
      <c r="J70" t="s">
        <v>72</v>
      </c>
      <c r="K70" t="s">
        <v>30</v>
      </c>
      <c r="L70" t="s">
        <v>75</v>
      </c>
      <c r="M70">
        <v>1</v>
      </c>
    </row>
    <row r="71" spans="1:13" x14ac:dyDescent="0.25">
      <c r="A71" s="1">
        <v>46135</v>
      </c>
      <c r="B71" s="1" t="str">
        <f ca="1">IF(Información1[[#This Row],[Fecha]]='Ajuste de fechas'!$A$2,"Día actual","Día anterior")</f>
        <v>Día actual</v>
      </c>
      <c r="C71" t="s">
        <v>48</v>
      </c>
      <c r="D71" t="s">
        <v>49</v>
      </c>
      <c r="E71" t="s">
        <v>375</v>
      </c>
      <c r="F71" t="s">
        <v>19</v>
      </c>
      <c r="G71" t="s">
        <v>376</v>
      </c>
      <c r="H71" t="s">
        <v>45</v>
      </c>
      <c r="I71" t="s">
        <v>7</v>
      </c>
      <c r="J71" t="s">
        <v>76</v>
      </c>
      <c r="K71" t="s">
        <v>30</v>
      </c>
      <c r="L71" t="s">
        <v>73</v>
      </c>
      <c r="M71">
        <v>1</v>
      </c>
    </row>
    <row r="72" spans="1:13" x14ac:dyDescent="0.25">
      <c r="A72" s="1">
        <v>46135</v>
      </c>
      <c r="B72" s="1" t="str">
        <f ca="1">IF(Información1[[#This Row],[Fecha]]='Ajuste de fechas'!$A$2,"Día actual","Día anterior")</f>
        <v>Día actual</v>
      </c>
      <c r="C72" t="s">
        <v>48</v>
      </c>
      <c r="D72" t="s">
        <v>49</v>
      </c>
      <c r="E72" t="s">
        <v>377</v>
      </c>
      <c r="F72" t="s">
        <v>21</v>
      </c>
      <c r="G72" t="s">
        <v>378</v>
      </c>
      <c r="H72" t="s">
        <v>45</v>
      </c>
      <c r="I72" t="s">
        <v>7</v>
      </c>
      <c r="J72" t="s">
        <v>72</v>
      </c>
      <c r="K72" t="s">
        <v>30</v>
      </c>
      <c r="L72" t="s">
        <v>75</v>
      </c>
      <c r="M72">
        <v>1</v>
      </c>
    </row>
    <row r="73" spans="1:13" x14ac:dyDescent="0.25">
      <c r="A73" s="1">
        <v>46135</v>
      </c>
      <c r="B73" s="1" t="str">
        <f ca="1">IF(Información1[[#This Row],[Fecha]]='Ajuste de fechas'!$A$2,"Día actual","Día anterior")</f>
        <v>Día actual</v>
      </c>
      <c r="C73" t="s">
        <v>48</v>
      </c>
      <c r="D73" t="s">
        <v>49</v>
      </c>
      <c r="E73" t="s">
        <v>379</v>
      </c>
      <c r="F73" t="s">
        <v>25</v>
      </c>
      <c r="G73" t="s">
        <v>85</v>
      </c>
      <c r="H73" t="s">
        <v>45</v>
      </c>
      <c r="I73" t="s">
        <v>7</v>
      </c>
      <c r="J73" t="s">
        <v>72</v>
      </c>
      <c r="K73" t="s">
        <v>30</v>
      </c>
      <c r="L73" t="s">
        <v>75</v>
      </c>
      <c r="M73">
        <v>1</v>
      </c>
    </row>
    <row r="74" spans="1:13" x14ac:dyDescent="0.25">
      <c r="A74" s="1">
        <v>46135</v>
      </c>
      <c r="B74" s="1" t="str">
        <f ca="1">IF(Información1[[#This Row],[Fecha]]='Ajuste de fechas'!$A$2,"Día actual","Día anterior")</f>
        <v>Día actual</v>
      </c>
      <c r="C74" t="s">
        <v>48</v>
      </c>
      <c r="D74" t="s">
        <v>49</v>
      </c>
      <c r="E74" t="s">
        <v>380</v>
      </c>
      <c r="F74" t="s">
        <v>23</v>
      </c>
      <c r="G74" t="s">
        <v>289</v>
      </c>
      <c r="H74" t="s">
        <v>45</v>
      </c>
      <c r="I74" t="s">
        <v>7</v>
      </c>
      <c r="J74" t="s">
        <v>77</v>
      </c>
      <c r="K74" t="s">
        <v>30</v>
      </c>
      <c r="L74" t="s">
        <v>73</v>
      </c>
      <c r="M74">
        <v>1</v>
      </c>
    </row>
    <row r="75" spans="1:13" x14ac:dyDescent="0.25">
      <c r="A75" s="1">
        <v>46134</v>
      </c>
      <c r="B75" s="1" t="str">
        <f ca="1">IF(Información1[[#This Row],[Fecha]]='Ajuste de fechas'!$A$2,"Día actual","Día anterior")</f>
        <v>Día anterior</v>
      </c>
      <c r="C75" t="s">
        <v>51</v>
      </c>
      <c r="D75" t="s">
        <v>53</v>
      </c>
      <c r="E75" t="s">
        <v>123</v>
      </c>
      <c r="F75" t="s">
        <v>26</v>
      </c>
      <c r="G75" t="s">
        <v>124</v>
      </c>
      <c r="H75" t="s">
        <v>11</v>
      </c>
      <c r="I75" t="s">
        <v>27</v>
      </c>
      <c r="J75" t="s">
        <v>26</v>
      </c>
      <c r="K75" t="s">
        <v>125</v>
      </c>
      <c r="L75" t="s">
        <v>74</v>
      </c>
      <c r="M75">
        <v>1</v>
      </c>
    </row>
    <row r="76" spans="1:13" x14ac:dyDescent="0.25">
      <c r="A76" s="1">
        <v>46134</v>
      </c>
      <c r="B76" s="1" t="str">
        <f ca="1">IF(Información1[[#This Row],[Fecha]]='Ajuste de fechas'!$A$2,"Día actual","Día anterior")</f>
        <v>Día anterior</v>
      </c>
      <c r="C76" t="s">
        <v>31</v>
      </c>
      <c r="D76" t="s">
        <v>33</v>
      </c>
      <c r="E76" t="s">
        <v>126</v>
      </c>
      <c r="F76" t="s">
        <v>127</v>
      </c>
      <c r="G76" t="s">
        <v>128</v>
      </c>
      <c r="H76" t="s">
        <v>11</v>
      </c>
      <c r="I76" t="s">
        <v>7</v>
      </c>
      <c r="J76" t="s">
        <v>72</v>
      </c>
      <c r="K76" t="s">
        <v>32</v>
      </c>
      <c r="L76" t="s">
        <v>75</v>
      </c>
      <c r="M76">
        <v>1</v>
      </c>
    </row>
    <row r="77" spans="1:13" x14ac:dyDescent="0.25">
      <c r="A77" s="1">
        <v>46134</v>
      </c>
      <c r="B77" s="1" t="str">
        <f ca="1">IF(Información1[[#This Row],[Fecha]]='Ajuste de fechas'!$A$2,"Día actual","Día anterior")</f>
        <v>Día anterior</v>
      </c>
      <c r="C77" t="s">
        <v>51</v>
      </c>
      <c r="D77" t="s">
        <v>53</v>
      </c>
      <c r="E77" t="s">
        <v>129</v>
      </c>
      <c r="F77" t="s">
        <v>21</v>
      </c>
      <c r="G77" t="s">
        <v>107</v>
      </c>
      <c r="H77" t="s">
        <v>11</v>
      </c>
      <c r="I77" t="s">
        <v>7</v>
      </c>
      <c r="J77" t="s">
        <v>72</v>
      </c>
      <c r="K77" t="s">
        <v>43</v>
      </c>
      <c r="L77" t="s">
        <v>75</v>
      </c>
      <c r="M77">
        <v>1</v>
      </c>
    </row>
    <row r="78" spans="1:13" x14ac:dyDescent="0.25">
      <c r="A78" s="1">
        <v>46134</v>
      </c>
      <c r="B78" s="1" t="str">
        <f ca="1">IF(Información1[[#This Row],[Fecha]]='Ajuste de fechas'!$A$2,"Día actual","Día anterior")</f>
        <v>Día anterior</v>
      </c>
      <c r="C78" t="s">
        <v>51</v>
      </c>
      <c r="D78" t="s">
        <v>53</v>
      </c>
      <c r="E78" t="s">
        <v>130</v>
      </c>
      <c r="F78" t="s">
        <v>19</v>
      </c>
      <c r="G78" t="s">
        <v>131</v>
      </c>
      <c r="H78" t="s">
        <v>11</v>
      </c>
      <c r="I78" t="s">
        <v>7</v>
      </c>
      <c r="J78" t="s">
        <v>76</v>
      </c>
      <c r="K78" t="s">
        <v>52</v>
      </c>
      <c r="L78" t="s">
        <v>73</v>
      </c>
      <c r="M78">
        <v>1</v>
      </c>
    </row>
    <row r="79" spans="1:13" x14ac:dyDescent="0.25">
      <c r="A79" s="1">
        <v>46134</v>
      </c>
      <c r="B79" s="1" t="str">
        <f ca="1">IF(Información1[[#This Row],[Fecha]]='Ajuste de fechas'!$A$2,"Día actual","Día anterior")</f>
        <v>Día anterior</v>
      </c>
      <c r="C79" t="s">
        <v>31</v>
      </c>
      <c r="D79" t="s">
        <v>33</v>
      </c>
      <c r="E79" t="s">
        <v>132</v>
      </c>
      <c r="F79" t="s">
        <v>47</v>
      </c>
      <c r="G79" t="s">
        <v>133</v>
      </c>
      <c r="H79" t="s">
        <v>11</v>
      </c>
      <c r="I79" t="s">
        <v>7</v>
      </c>
      <c r="J79" t="s">
        <v>72</v>
      </c>
      <c r="K79" t="s">
        <v>32</v>
      </c>
      <c r="L79" t="s">
        <v>73</v>
      </c>
      <c r="M79">
        <v>1</v>
      </c>
    </row>
    <row r="80" spans="1:13" x14ac:dyDescent="0.25">
      <c r="A80" s="1">
        <v>46134</v>
      </c>
      <c r="B80" s="1" t="str">
        <f ca="1">IF(Información1[[#This Row],[Fecha]]='Ajuste de fechas'!$A$2,"Día actual","Día anterior")</f>
        <v>Día anterior</v>
      </c>
      <c r="C80" t="s">
        <v>51</v>
      </c>
      <c r="D80" t="s">
        <v>53</v>
      </c>
      <c r="E80" t="s">
        <v>134</v>
      </c>
      <c r="F80" t="s">
        <v>127</v>
      </c>
      <c r="G80" t="s">
        <v>135</v>
      </c>
      <c r="H80" t="s">
        <v>11</v>
      </c>
      <c r="I80" t="s">
        <v>27</v>
      </c>
      <c r="J80" t="s">
        <v>72</v>
      </c>
      <c r="K80" t="s">
        <v>125</v>
      </c>
      <c r="L80" t="s">
        <v>74</v>
      </c>
      <c r="M80">
        <v>1</v>
      </c>
    </row>
    <row r="81" spans="1:13" x14ac:dyDescent="0.25">
      <c r="A81" s="1">
        <v>46134</v>
      </c>
      <c r="B81" s="1" t="str">
        <f ca="1">IF(Información1[[#This Row],[Fecha]]='Ajuste de fechas'!$A$2,"Día actual","Día anterior")</f>
        <v>Día anterior</v>
      </c>
      <c r="C81" t="s">
        <v>31</v>
      </c>
      <c r="D81" t="s">
        <v>33</v>
      </c>
      <c r="E81" t="s">
        <v>136</v>
      </c>
      <c r="F81" t="s">
        <v>137</v>
      </c>
      <c r="G81" t="s">
        <v>95</v>
      </c>
      <c r="H81" t="s">
        <v>11</v>
      </c>
      <c r="I81" t="s">
        <v>7</v>
      </c>
      <c r="J81" t="s">
        <v>72</v>
      </c>
      <c r="K81" t="s">
        <v>32</v>
      </c>
      <c r="L81" t="s">
        <v>75</v>
      </c>
      <c r="M81">
        <v>1</v>
      </c>
    </row>
    <row r="82" spans="1:13" x14ac:dyDescent="0.25">
      <c r="A82" s="1">
        <v>46134</v>
      </c>
      <c r="B82" s="1" t="str">
        <f ca="1">IF(Información1[[#This Row],[Fecha]]='Ajuste de fechas'!$A$2,"Día actual","Día anterior")</f>
        <v>Día anterior</v>
      </c>
      <c r="C82" t="s">
        <v>51</v>
      </c>
      <c r="D82" t="s">
        <v>53</v>
      </c>
      <c r="E82" t="s">
        <v>136</v>
      </c>
      <c r="F82" t="s">
        <v>137</v>
      </c>
      <c r="G82" t="s">
        <v>95</v>
      </c>
      <c r="H82" t="s">
        <v>11</v>
      </c>
      <c r="I82" t="s">
        <v>7</v>
      </c>
      <c r="J82" t="s">
        <v>72</v>
      </c>
      <c r="K82" t="s">
        <v>43</v>
      </c>
      <c r="L82" t="s">
        <v>75</v>
      </c>
      <c r="M82">
        <v>1</v>
      </c>
    </row>
    <row r="83" spans="1:13" x14ac:dyDescent="0.25">
      <c r="A83" s="1">
        <v>46134</v>
      </c>
      <c r="B83" s="1" t="str">
        <f ca="1">IF(Información1[[#This Row],[Fecha]]='Ajuste de fechas'!$A$2,"Día actual","Día anterior")</f>
        <v>Día anterior</v>
      </c>
      <c r="C83" t="s">
        <v>51</v>
      </c>
      <c r="D83" t="s">
        <v>54</v>
      </c>
      <c r="E83" t="s">
        <v>138</v>
      </c>
      <c r="F83" t="s">
        <v>47</v>
      </c>
      <c r="G83" t="s">
        <v>83</v>
      </c>
      <c r="H83" t="s">
        <v>11</v>
      </c>
      <c r="I83" t="s">
        <v>7</v>
      </c>
      <c r="J83" t="s">
        <v>72</v>
      </c>
      <c r="K83" t="s">
        <v>52</v>
      </c>
      <c r="L83" t="s">
        <v>73</v>
      </c>
      <c r="M83">
        <v>1</v>
      </c>
    </row>
    <row r="84" spans="1:13" x14ac:dyDescent="0.25">
      <c r="A84" s="1">
        <v>46134</v>
      </c>
      <c r="B84" s="1" t="str">
        <f ca="1">IF(Información1[[#This Row],[Fecha]]='Ajuste de fechas'!$A$2,"Día actual","Día anterior")</f>
        <v>Día anterior</v>
      </c>
      <c r="C84" t="s">
        <v>51</v>
      </c>
      <c r="D84" t="s">
        <v>53</v>
      </c>
      <c r="E84" t="s">
        <v>139</v>
      </c>
      <c r="F84" t="s">
        <v>140</v>
      </c>
      <c r="G84" t="s">
        <v>141</v>
      </c>
      <c r="H84" t="s">
        <v>11</v>
      </c>
      <c r="I84" t="s">
        <v>7</v>
      </c>
      <c r="J84" t="s">
        <v>26</v>
      </c>
      <c r="K84" t="s">
        <v>125</v>
      </c>
      <c r="L84" t="s">
        <v>74</v>
      </c>
      <c r="M84">
        <v>1</v>
      </c>
    </row>
    <row r="85" spans="1:13" x14ac:dyDescent="0.25">
      <c r="A85" s="1">
        <v>46134</v>
      </c>
      <c r="B85" s="1" t="str">
        <f ca="1">IF(Información1[[#This Row],[Fecha]]='Ajuste de fechas'!$A$2,"Día actual","Día anterior")</f>
        <v>Día anterior</v>
      </c>
      <c r="C85" t="s">
        <v>51</v>
      </c>
      <c r="D85" t="s">
        <v>53</v>
      </c>
      <c r="E85" t="s">
        <v>142</v>
      </c>
      <c r="F85" t="s">
        <v>19</v>
      </c>
      <c r="G85" t="s">
        <v>93</v>
      </c>
      <c r="H85" t="s">
        <v>11</v>
      </c>
      <c r="I85" t="s">
        <v>7</v>
      </c>
      <c r="J85" t="s">
        <v>76</v>
      </c>
      <c r="K85" t="s">
        <v>52</v>
      </c>
      <c r="L85" t="s">
        <v>73</v>
      </c>
      <c r="M85">
        <v>1</v>
      </c>
    </row>
    <row r="86" spans="1:13" x14ac:dyDescent="0.25">
      <c r="A86" s="1">
        <v>46134</v>
      </c>
      <c r="B86" s="1" t="str">
        <f ca="1">IF(Información1[[#This Row],[Fecha]]='Ajuste de fechas'!$A$2,"Día actual","Día anterior")</f>
        <v>Día anterior</v>
      </c>
      <c r="C86" t="s">
        <v>51</v>
      </c>
      <c r="D86" t="s">
        <v>53</v>
      </c>
      <c r="E86" t="s">
        <v>143</v>
      </c>
      <c r="F86" t="s">
        <v>112</v>
      </c>
      <c r="G86" t="s">
        <v>101</v>
      </c>
      <c r="H86" t="s">
        <v>11</v>
      </c>
      <c r="I86" t="s">
        <v>12</v>
      </c>
      <c r="J86" t="s">
        <v>72</v>
      </c>
      <c r="K86" t="s">
        <v>43</v>
      </c>
      <c r="L86" t="s">
        <v>113</v>
      </c>
      <c r="M86">
        <v>1</v>
      </c>
    </row>
    <row r="87" spans="1:13" x14ac:dyDescent="0.25">
      <c r="A87" s="1">
        <v>46134</v>
      </c>
      <c r="B87" s="1" t="str">
        <f ca="1">IF(Información1[[#This Row],[Fecha]]='Ajuste de fechas'!$A$2,"Día actual","Día anterior")</f>
        <v>Día anterior</v>
      </c>
      <c r="C87" t="s">
        <v>51</v>
      </c>
      <c r="D87" t="s">
        <v>53</v>
      </c>
      <c r="E87" t="s">
        <v>144</v>
      </c>
      <c r="F87" t="s">
        <v>60</v>
      </c>
      <c r="G87" t="s">
        <v>145</v>
      </c>
      <c r="H87" t="s">
        <v>11</v>
      </c>
      <c r="I87" t="s">
        <v>7</v>
      </c>
      <c r="J87" t="s">
        <v>72</v>
      </c>
      <c r="K87" t="s">
        <v>43</v>
      </c>
      <c r="L87" t="s">
        <v>75</v>
      </c>
      <c r="M87">
        <v>1</v>
      </c>
    </row>
    <row r="88" spans="1:13" x14ac:dyDescent="0.25">
      <c r="A88" s="1">
        <v>46134</v>
      </c>
      <c r="B88" s="1" t="str">
        <f ca="1">IF(Información1[[#This Row],[Fecha]]='Ajuste de fechas'!$A$2,"Día actual","Día anterior")</f>
        <v>Día anterior</v>
      </c>
      <c r="C88" t="s">
        <v>51</v>
      </c>
      <c r="D88" t="s">
        <v>53</v>
      </c>
      <c r="E88" t="s">
        <v>146</v>
      </c>
      <c r="F88" t="s">
        <v>22</v>
      </c>
      <c r="G88" t="s">
        <v>147</v>
      </c>
      <c r="H88" t="s">
        <v>11</v>
      </c>
      <c r="I88" t="s">
        <v>7</v>
      </c>
      <c r="J88" t="s">
        <v>26</v>
      </c>
      <c r="K88" t="s">
        <v>43</v>
      </c>
      <c r="L88" t="s">
        <v>73</v>
      </c>
      <c r="M88">
        <v>1</v>
      </c>
    </row>
    <row r="89" spans="1:13" x14ac:dyDescent="0.25">
      <c r="A89" s="1">
        <v>46134</v>
      </c>
      <c r="B89" s="1" t="str">
        <f ca="1">IF(Información1[[#This Row],[Fecha]]='Ajuste de fechas'!$A$2,"Día actual","Día anterior")</f>
        <v>Día anterior</v>
      </c>
      <c r="C89" t="s">
        <v>51</v>
      </c>
      <c r="D89" t="s">
        <v>53</v>
      </c>
      <c r="E89" t="s">
        <v>148</v>
      </c>
      <c r="F89" t="s">
        <v>149</v>
      </c>
      <c r="G89" t="s">
        <v>150</v>
      </c>
      <c r="H89" t="s">
        <v>11</v>
      </c>
      <c r="I89" t="s">
        <v>7</v>
      </c>
      <c r="J89" t="s">
        <v>72</v>
      </c>
      <c r="K89" t="s">
        <v>43</v>
      </c>
      <c r="L89" t="s">
        <v>73</v>
      </c>
      <c r="M89">
        <v>1</v>
      </c>
    </row>
    <row r="90" spans="1:13" x14ac:dyDescent="0.25">
      <c r="A90" s="1">
        <v>46134</v>
      </c>
      <c r="B90" s="1" t="str">
        <f ca="1">IF(Información1[[#This Row],[Fecha]]='Ajuste de fechas'!$A$2,"Día actual","Día anterior")</f>
        <v>Día anterior</v>
      </c>
      <c r="C90" t="s">
        <v>31</v>
      </c>
      <c r="D90" t="s">
        <v>33</v>
      </c>
      <c r="E90" t="s">
        <v>151</v>
      </c>
      <c r="F90" t="s">
        <v>22</v>
      </c>
      <c r="G90" t="s">
        <v>152</v>
      </c>
      <c r="H90" t="s">
        <v>11</v>
      </c>
      <c r="I90" t="s">
        <v>7</v>
      </c>
      <c r="J90" t="s">
        <v>26</v>
      </c>
      <c r="K90" t="s">
        <v>32</v>
      </c>
      <c r="L90" t="s">
        <v>73</v>
      </c>
      <c r="M90">
        <v>1</v>
      </c>
    </row>
    <row r="91" spans="1:13" x14ac:dyDescent="0.25">
      <c r="A91" s="1">
        <v>46134</v>
      </c>
      <c r="B91" s="1" t="str">
        <f ca="1">IF(Información1[[#This Row],[Fecha]]='Ajuste de fechas'!$A$2,"Día actual","Día anterior")</f>
        <v>Día anterior</v>
      </c>
      <c r="C91" t="s">
        <v>51</v>
      </c>
      <c r="D91" t="s">
        <v>53</v>
      </c>
      <c r="E91" t="s">
        <v>153</v>
      </c>
      <c r="F91" t="s">
        <v>26</v>
      </c>
      <c r="G91" t="s">
        <v>154</v>
      </c>
      <c r="H91" t="s">
        <v>11</v>
      </c>
      <c r="I91" t="s">
        <v>12</v>
      </c>
      <c r="J91" t="s">
        <v>26</v>
      </c>
      <c r="K91" t="s">
        <v>125</v>
      </c>
      <c r="L91" t="s">
        <v>74</v>
      </c>
      <c r="M91">
        <v>1</v>
      </c>
    </row>
    <row r="92" spans="1:13" x14ac:dyDescent="0.25">
      <c r="A92" s="1">
        <v>46134</v>
      </c>
      <c r="B92" s="1" t="str">
        <f ca="1">IF(Información1[[#This Row],[Fecha]]='Ajuste de fechas'!$A$2,"Día actual","Día anterior")</f>
        <v>Día anterior</v>
      </c>
      <c r="C92" t="s">
        <v>51</v>
      </c>
      <c r="D92" t="s">
        <v>54</v>
      </c>
      <c r="E92" t="s">
        <v>155</v>
      </c>
      <c r="F92" t="s">
        <v>25</v>
      </c>
      <c r="G92" t="s">
        <v>85</v>
      </c>
      <c r="H92" t="s">
        <v>11</v>
      </c>
      <c r="I92" t="s">
        <v>7</v>
      </c>
      <c r="J92" t="s">
        <v>72</v>
      </c>
      <c r="K92" t="s">
        <v>52</v>
      </c>
      <c r="L92" t="s">
        <v>73</v>
      </c>
      <c r="M92">
        <v>1</v>
      </c>
    </row>
    <row r="93" spans="1:13" x14ac:dyDescent="0.25">
      <c r="A93" s="1">
        <v>46134</v>
      </c>
      <c r="B93" s="1" t="str">
        <f ca="1">IF(Información1[[#This Row],[Fecha]]='Ajuste de fechas'!$A$2,"Día actual","Día anterior")</f>
        <v>Día anterior</v>
      </c>
      <c r="C93" t="s">
        <v>31</v>
      </c>
      <c r="D93" t="s">
        <v>33</v>
      </c>
      <c r="E93" t="s">
        <v>156</v>
      </c>
      <c r="F93" t="s">
        <v>19</v>
      </c>
      <c r="G93" t="s">
        <v>85</v>
      </c>
      <c r="H93" t="s">
        <v>11</v>
      </c>
      <c r="I93" t="s">
        <v>7</v>
      </c>
      <c r="J93" t="s">
        <v>76</v>
      </c>
      <c r="K93" t="s">
        <v>32</v>
      </c>
      <c r="L93" t="s">
        <v>73</v>
      </c>
      <c r="M93">
        <v>1</v>
      </c>
    </row>
    <row r="94" spans="1:13" x14ac:dyDescent="0.25">
      <c r="A94" s="1">
        <v>46134</v>
      </c>
      <c r="B94" s="1" t="str">
        <f ca="1">IF(Información1[[#This Row],[Fecha]]='Ajuste de fechas'!$A$2,"Día actual","Día anterior")</f>
        <v>Día anterior</v>
      </c>
      <c r="C94" t="s">
        <v>31</v>
      </c>
      <c r="D94" t="s">
        <v>33</v>
      </c>
      <c r="E94" t="s">
        <v>157</v>
      </c>
      <c r="F94" t="s">
        <v>21</v>
      </c>
      <c r="G94" t="s">
        <v>158</v>
      </c>
      <c r="H94" t="s">
        <v>11</v>
      </c>
      <c r="I94" t="s">
        <v>7</v>
      </c>
      <c r="J94" t="s">
        <v>72</v>
      </c>
      <c r="K94" t="s">
        <v>32</v>
      </c>
      <c r="L94" t="s">
        <v>75</v>
      </c>
      <c r="M94">
        <v>1</v>
      </c>
    </row>
    <row r="95" spans="1:13" x14ac:dyDescent="0.25">
      <c r="A95" s="1">
        <v>46134</v>
      </c>
      <c r="B95" s="1" t="str">
        <f ca="1">IF(Información1[[#This Row],[Fecha]]='Ajuste de fechas'!$A$2,"Día actual","Día anterior")</f>
        <v>Día anterior</v>
      </c>
      <c r="C95" t="s">
        <v>31</v>
      </c>
      <c r="D95" t="s">
        <v>33</v>
      </c>
      <c r="E95" t="s">
        <v>159</v>
      </c>
      <c r="F95" t="s">
        <v>25</v>
      </c>
      <c r="G95" t="s">
        <v>160</v>
      </c>
      <c r="H95" t="s">
        <v>11</v>
      </c>
      <c r="I95" t="s">
        <v>7</v>
      </c>
      <c r="J95" t="s">
        <v>72</v>
      </c>
      <c r="K95" t="s">
        <v>32</v>
      </c>
      <c r="L95" t="s">
        <v>75</v>
      </c>
      <c r="M95">
        <v>1</v>
      </c>
    </row>
    <row r="96" spans="1:13" x14ac:dyDescent="0.25">
      <c r="A96" s="1">
        <v>46134</v>
      </c>
      <c r="B96" s="1" t="str">
        <f ca="1">IF(Información1[[#This Row],[Fecha]]='Ajuste de fechas'!$A$2,"Día actual","Día anterior")</f>
        <v>Día anterior</v>
      </c>
      <c r="C96" t="s">
        <v>51</v>
      </c>
      <c r="D96" t="s">
        <v>53</v>
      </c>
      <c r="E96" t="s">
        <v>159</v>
      </c>
      <c r="F96" t="s">
        <v>25</v>
      </c>
      <c r="G96" t="s">
        <v>160</v>
      </c>
      <c r="H96" t="s">
        <v>11</v>
      </c>
      <c r="I96" t="s">
        <v>7</v>
      </c>
      <c r="J96" t="s">
        <v>72</v>
      </c>
      <c r="K96" t="s">
        <v>43</v>
      </c>
      <c r="L96" t="s">
        <v>75</v>
      </c>
      <c r="M96">
        <v>1</v>
      </c>
    </row>
    <row r="97" spans="1:13" x14ac:dyDescent="0.25">
      <c r="A97" s="1">
        <v>46134</v>
      </c>
      <c r="B97" s="1" t="str">
        <f ca="1">IF(Información1[[#This Row],[Fecha]]='Ajuste de fechas'!$A$2,"Día actual","Día anterior")</f>
        <v>Día anterior</v>
      </c>
      <c r="C97" t="s">
        <v>51</v>
      </c>
      <c r="D97" t="s">
        <v>53</v>
      </c>
      <c r="E97" t="s">
        <v>161</v>
      </c>
      <c r="F97" t="s">
        <v>162</v>
      </c>
      <c r="G97" t="s">
        <v>163</v>
      </c>
      <c r="H97" t="s">
        <v>11</v>
      </c>
      <c r="I97" t="s">
        <v>7</v>
      </c>
      <c r="J97" t="s">
        <v>120</v>
      </c>
      <c r="K97" t="s">
        <v>125</v>
      </c>
      <c r="L97" t="s">
        <v>74</v>
      </c>
      <c r="M97">
        <v>1</v>
      </c>
    </row>
    <row r="98" spans="1:13" x14ac:dyDescent="0.25">
      <c r="A98" s="1">
        <v>46134</v>
      </c>
      <c r="B98" s="1" t="str">
        <f ca="1">IF(Información1[[#This Row],[Fecha]]='Ajuste de fechas'!$A$2,"Día actual","Día anterior")</f>
        <v>Día anterior</v>
      </c>
      <c r="C98" t="s">
        <v>51</v>
      </c>
      <c r="D98" t="s">
        <v>54</v>
      </c>
      <c r="E98" t="s">
        <v>164</v>
      </c>
      <c r="F98" t="s">
        <v>26</v>
      </c>
      <c r="G98" t="s">
        <v>165</v>
      </c>
      <c r="H98" t="s">
        <v>11</v>
      </c>
      <c r="I98" t="s">
        <v>7</v>
      </c>
      <c r="J98" t="s">
        <v>26</v>
      </c>
      <c r="K98" t="s">
        <v>52</v>
      </c>
      <c r="L98" t="s">
        <v>73</v>
      </c>
      <c r="M98">
        <v>1</v>
      </c>
    </row>
    <row r="99" spans="1:13" x14ac:dyDescent="0.25">
      <c r="A99" s="1">
        <v>46134</v>
      </c>
      <c r="B99" s="1" t="str">
        <f ca="1">IF(Información1[[#This Row],[Fecha]]='Ajuste de fechas'!$A$2,"Día actual","Día anterior")</f>
        <v>Día anterior</v>
      </c>
      <c r="C99" t="s">
        <v>31</v>
      </c>
      <c r="D99" t="s">
        <v>33</v>
      </c>
      <c r="E99" t="s">
        <v>166</v>
      </c>
      <c r="F99" t="s">
        <v>21</v>
      </c>
      <c r="G99" t="s">
        <v>167</v>
      </c>
      <c r="H99" t="s">
        <v>11</v>
      </c>
      <c r="I99" t="s">
        <v>7</v>
      </c>
      <c r="J99" t="s">
        <v>72</v>
      </c>
      <c r="K99" t="s">
        <v>32</v>
      </c>
      <c r="L99" t="s">
        <v>73</v>
      </c>
      <c r="M99">
        <v>1</v>
      </c>
    </row>
    <row r="100" spans="1:13" x14ac:dyDescent="0.25">
      <c r="A100" s="1">
        <v>46134</v>
      </c>
      <c r="B100" s="1" t="str">
        <f ca="1">IF(Información1[[#This Row],[Fecha]]='Ajuste de fechas'!$A$2,"Día actual","Día anterior")</f>
        <v>Día anterior</v>
      </c>
      <c r="C100" t="s">
        <v>51</v>
      </c>
      <c r="D100" t="s">
        <v>54</v>
      </c>
      <c r="E100" t="s">
        <v>168</v>
      </c>
      <c r="F100" t="s">
        <v>19</v>
      </c>
      <c r="G100" t="s">
        <v>114</v>
      </c>
      <c r="H100" t="s">
        <v>11</v>
      </c>
      <c r="I100" t="s">
        <v>7</v>
      </c>
      <c r="J100" t="s">
        <v>76</v>
      </c>
      <c r="K100" t="s">
        <v>52</v>
      </c>
      <c r="L100" t="s">
        <v>73</v>
      </c>
      <c r="M100">
        <v>1</v>
      </c>
    </row>
    <row r="101" spans="1:13" x14ac:dyDescent="0.25">
      <c r="A101" s="1">
        <v>46134</v>
      </c>
      <c r="B101" s="1" t="str">
        <f ca="1">IF(Información1[[#This Row],[Fecha]]='Ajuste de fechas'!$A$2,"Día actual","Día anterior")</f>
        <v>Día anterior</v>
      </c>
      <c r="C101" t="s">
        <v>31</v>
      </c>
      <c r="D101" t="s">
        <v>33</v>
      </c>
      <c r="E101" t="s">
        <v>169</v>
      </c>
      <c r="F101" t="s">
        <v>19</v>
      </c>
      <c r="G101" t="s">
        <v>170</v>
      </c>
      <c r="H101" t="s">
        <v>11</v>
      </c>
      <c r="I101" t="s">
        <v>27</v>
      </c>
      <c r="J101" t="s">
        <v>76</v>
      </c>
      <c r="K101" t="s">
        <v>32</v>
      </c>
      <c r="L101" t="s">
        <v>73</v>
      </c>
      <c r="M101">
        <v>1</v>
      </c>
    </row>
    <row r="102" spans="1:13" x14ac:dyDescent="0.25">
      <c r="A102" s="1">
        <v>46134</v>
      </c>
      <c r="B102" s="1" t="str">
        <f ca="1">IF(Información1[[#This Row],[Fecha]]='Ajuste de fechas'!$A$2,"Día actual","Día anterior")</f>
        <v>Día anterior</v>
      </c>
      <c r="C102" t="s">
        <v>31</v>
      </c>
      <c r="D102" t="s">
        <v>33</v>
      </c>
      <c r="E102" t="s">
        <v>169</v>
      </c>
      <c r="F102" t="s">
        <v>37</v>
      </c>
      <c r="G102" t="s">
        <v>170</v>
      </c>
      <c r="H102" t="s">
        <v>11</v>
      </c>
      <c r="I102" t="s">
        <v>7</v>
      </c>
      <c r="J102" t="s">
        <v>72</v>
      </c>
      <c r="K102" t="s">
        <v>32</v>
      </c>
      <c r="L102" t="s">
        <v>73</v>
      </c>
      <c r="M102">
        <v>1</v>
      </c>
    </row>
    <row r="103" spans="1:13" x14ac:dyDescent="0.25">
      <c r="A103" s="1">
        <v>46134</v>
      </c>
      <c r="B103" s="1" t="str">
        <f ca="1">IF(Información1[[#This Row],[Fecha]]='Ajuste de fechas'!$A$2,"Día actual","Día anterior")</f>
        <v>Día anterior</v>
      </c>
      <c r="C103" t="s">
        <v>31</v>
      </c>
      <c r="D103" t="s">
        <v>33</v>
      </c>
      <c r="E103" t="s">
        <v>171</v>
      </c>
      <c r="F103" t="s">
        <v>26</v>
      </c>
      <c r="G103" t="s">
        <v>172</v>
      </c>
      <c r="H103" t="s">
        <v>11</v>
      </c>
      <c r="I103" t="s">
        <v>7</v>
      </c>
      <c r="J103" t="s">
        <v>26</v>
      </c>
      <c r="K103" t="s">
        <v>32</v>
      </c>
      <c r="L103" t="s">
        <v>78</v>
      </c>
      <c r="M103">
        <v>1</v>
      </c>
    </row>
    <row r="104" spans="1:13" x14ac:dyDescent="0.25">
      <c r="A104" s="1">
        <v>46134</v>
      </c>
      <c r="B104" s="1" t="str">
        <f ca="1">IF(Información1[[#This Row],[Fecha]]='Ajuste de fechas'!$A$2,"Día actual","Día anterior")</f>
        <v>Día anterior</v>
      </c>
      <c r="C104" t="s">
        <v>51</v>
      </c>
      <c r="D104" t="s">
        <v>54</v>
      </c>
      <c r="E104" t="s">
        <v>173</v>
      </c>
      <c r="F104" t="s">
        <v>26</v>
      </c>
      <c r="G104" t="s">
        <v>174</v>
      </c>
      <c r="H104" t="s">
        <v>11</v>
      </c>
      <c r="I104" t="s">
        <v>7</v>
      </c>
      <c r="J104" t="s">
        <v>26</v>
      </c>
      <c r="K104" t="s">
        <v>52</v>
      </c>
      <c r="L104" t="s">
        <v>73</v>
      </c>
      <c r="M104">
        <v>1</v>
      </c>
    </row>
    <row r="105" spans="1:13" x14ac:dyDescent="0.25">
      <c r="A105" s="1">
        <v>46134</v>
      </c>
      <c r="B105" s="1" t="str">
        <f ca="1">IF(Información1[[#This Row],[Fecha]]='Ajuste de fechas'!$A$2,"Día actual","Día anterior")</f>
        <v>Día anterior</v>
      </c>
      <c r="C105" t="s">
        <v>34</v>
      </c>
      <c r="D105" t="s">
        <v>36</v>
      </c>
      <c r="E105" t="s">
        <v>126</v>
      </c>
      <c r="F105" t="s">
        <v>127</v>
      </c>
      <c r="G105" t="s">
        <v>128</v>
      </c>
      <c r="H105" t="s">
        <v>11</v>
      </c>
      <c r="I105" t="s">
        <v>7</v>
      </c>
      <c r="J105" t="s">
        <v>72</v>
      </c>
      <c r="K105" t="s">
        <v>35</v>
      </c>
      <c r="L105" t="s">
        <v>75</v>
      </c>
      <c r="M105">
        <v>1</v>
      </c>
    </row>
    <row r="106" spans="1:13" x14ac:dyDescent="0.25">
      <c r="A106" s="1">
        <v>46134</v>
      </c>
      <c r="B106" s="1" t="str">
        <f ca="1">IF(Información1[[#This Row],[Fecha]]='Ajuste de fechas'!$A$2,"Día actual","Día anterior")</f>
        <v>Día anterior</v>
      </c>
      <c r="C106" t="s">
        <v>55</v>
      </c>
      <c r="D106" t="s">
        <v>102</v>
      </c>
      <c r="E106" t="s">
        <v>126</v>
      </c>
      <c r="F106" t="s">
        <v>127</v>
      </c>
      <c r="G106" t="s">
        <v>128</v>
      </c>
      <c r="H106" t="s">
        <v>11</v>
      </c>
      <c r="I106" t="s">
        <v>7</v>
      </c>
      <c r="J106" t="s">
        <v>72</v>
      </c>
      <c r="K106" t="s">
        <v>103</v>
      </c>
      <c r="L106" t="s">
        <v>75</v>
      </c>
      <c r="M106">
        <v>1</v>
      </c>
    </row>
    <row r="107" spans="1:13" x14ac:dyDescent="0.25">
      <c r="A107" s="1">
        <v>46134</v>
      </c>
      <c r="B107" s="1" t="str">
        <f ca="1">IF(Información1[[#This Row],[Fecha]]='Ajuste de fechas'!$A$2,"Día actual","Día anterior")</f>
        <v>Día anterior</v>
      </c>
      <c r="C107" t="s">
        <v>38</v>
      </c>
      <c r="D107" t="s">
        <v>41</v>
      </c>
      <c r="E107" t="s">
        <v>126</v>
      </c>
      <c r="F107" t="s">
        <v>127</v>
      </c>
      <c r="G107" t="s">
        <v>128</v>
      </c>
      <c r="H107" t="s">
        <v>11</v>
      </c>
      <c r="I107" t="s">
        <v>7</v>
      </c>
      <c r="J107" t="s">
        <v>72</v>
      </c>
      <c r="K107" t="s">
        <v>39</v>
      </c>
      <c r="L107" t="s">
        <v>75</v>
      </c>
      <c r="M107">
        <v>1</v>
      </c>
    </row>
    <row r="108" spans="1:13" x14ac:dyDescent="0.25">
      <c r="A108" s="1">
        <v>46134</v>
      </c>
      <c r="B108" s="1" t="str">
        <f ca="1">IF(Información1[[#This Row],[Fecha]]='Ajuste de fechas'!$A$2,"Día actual","Día anterior")</f>
        <v>Día anterior</v>
      </c>
      <c r="C108" t="s">
        <v>8</v>
      </c>
      <c r="D108" t="s">
        <v>10</v>
      </c>
      <c r="E108" t="s">
        <v>20</v>
      </c>
      <c r="F108" t="s">
        <v>19</v>
      </c>
      <c r="G108" t="s">
        <v>63</v>
      </c>
      <c r="H108" t="s">
        <v>11</v>
      </c>
      <c r="I108" t="s">
        <v>12</v>
      </c>
      <c r="J108" t="s">
        <v>76</v>
      </c>
      <c r="K108" t="s">
        <v>14</v>
      </c>
      <c r="L108" t="s">
        <v>74</v>
      </c>
      <c r="M108">
        <v>1</v>
      </c>
    </row>
    <row r="109" spans="1:13" x14ac:dyDescent="0.25">
      <c r="A109" s="1">
        <v>46134</v>
      </c>
      <c r="B109" s="1" t="str">
        <f ca="1">IF(Información1[[#This Row],[Fecha]]='Ajuste de fechas'!$A$2,"Día actual","Día anterior")</f>
        <v>Día anterior</v>
      </c>
      <c r="C109" t="s">
        <v>8</v>
      </c>
      <c r="D109" t="s">
        <v>10</v>
      </c>
      <c r="E109" t="s">
        <v>18</v>
      </c>
      <c r="F109" t="s">
        <v>19</v>
      </c>
      <c r="G109" t="s">
        <v>63</v>
      </c>
      <c r="H109" t="s">
        <v>11</v>
      </c>
      <c r="I109" t="s">
        <v>12</v>
      </c>
      <c r="J109" t="s">
        <v>76</v>
      </c>
      <c r="K109" t="s">
        <v>14</v>
      </c>
      <c r="L109" t="s">
        <v>74</v>
      </c>
      <c r="M109">
        <v>1</v>
      </c>
    </row>
    <row r="110" spans="1:13" x14ac:dyDescent="0.25">
      <c r="A110" s="1">
        <v>46134</v>
      </c>
      <c r="B110" s="1" t="str">
        <f ca="1">IF(Información1[[#This Row],[Fecha]]='Ajuste de fechas'!$A$2,"Día actual","Día anterior")</f>
        <v>Día anterior</v>
      </c>
      <c r="C110" t="s">
        <v>8</v>
      </c>
      <c r="D110" t="s">
        <v>10</v>
      </c>
      <c r="E110" t="s">
        <v>175</v>
      </c>
      <c r="F110" t="s">
        <v>21</v>
      </c>
      <c r="G110" t="s">
        <v>63</v>
      </c>
      <c r="H110" t="s">
        <v>11</v>
      </c>
      <c r="I110" t="s">
        <v>12</v>
      </c>
      <c r="J110" t="s">
        <v>72</v>
      </c>
      <c r="K110" t="s">
        <v>14</v>
      </c>
      <c r="L110" t="s">
        <v>74</v>
      </c>
      <c r="M110">
        <v>1</v>
      </c>
    </row>
    <row r="111" spans="1:13" x14ac:dyDescent="0.25">
      <c r="A111" s="1">
        <v>46134</v>
      </c>
      <c r="B111" s="1" t="str">
        <f ca="1">IF(Información1[[#This Row],[Fecha]]='Ajuste de fechas'!$A$2,"Día actual","Día anterior")</f>
        <v>Día anterior</v>
      </c>
      <c r="C111" t="s">
        <v>8</v>
      </c>
      <c r="D111" t="s">
        <v>10</v>
      </c>
      <c r="E111" t="s">
        <v>13</v>
      </c>
      <c r="F111" t="s">
        <v>15</v>
      </c>
      <c r="G111" t="s">
        <v>63</v>
      </c>
      <c r="H111" t="s">
        <v>11</v>
      </c>
      <c r="I111" t="s">
        <v>12</v>
      </c>
      <c r="J111" t="s">
        <v>72</v>
      </c>
      <c r="K111" t="s">
        <v>14</v>
      </c>
      <c r="L111" t="s">
        <v>74</v>
      </c>
      <c r="M111">
        <v>1</v>
      </c>
    </row>
    <row r="112" spans="1:13" x14ac:dyDescent="0.25">
      <c r="A112" s="1">
        <v>46134</v>
      </c>
      <c r="B112" s="1" t="str">
        <f ca="1">IF(Información1[[#This Row],[Fecha]]='Ajuste de fechas'!$A$2,"Día actual","Día anterior")</f>
        <v>Día anterior</v>
      </c>
      <c r="C112" t="s">
        <v>8</v>
      </c>
      <c r="D112" t="s">
        <v>10</v>
      </c>
      <c r="E112" t="s">
        <v>16</v>
      </c>
      <c r="F112" t="s">
        <v>17</v>
      </c>
      <c r="G112" t="s">
        <v>63</v>
      </c>
      <c r="H112" t="s">
        <v>11</v>
      </c>
      <c r="I112" t="s">
        <v>12</v>
      </c>
      <c r="J112" t="s">
        <v>72</v>
      </c>
      <c r="K112" t="s">
        <v>14</v>
      </c>
      <c r="L112" t="s">
        <v>74</v>
      </c>
      <c r="M112">
        <v>1</v>
      </c>
    </row>
    <row r="113" spans="1:13" x14ac:dyDescent="0.25">
      <c r="A113" s="1">
        <v>46134</v>
      </c>
      <c r="B113" s="1" t="str">
        <f ca="1">IF(Información1[[#This Row],[Fecha]]='Ajuste de fechas'!$A$2,"Día actual","Día anterior")</f>
        <v>Día anterior</v>
      </c>
      <c r="C113" t="s">
        <v>8</v>
      </c>
      <c r="D113" t="s">
        <v>10</v>
      </c>
      <c r="E113" t="s">
        <v>65</v>
      </c>
      <c r="F113" t="s">
        <v>6</v>
      </c>
      <c r="G113" t="s">
        <v>63</v>
      </c>
      <c r="H113" t="s">
        <v>11</v>
      </c>
      <c r="I113" t="s">
        <v>12</v>
      </c>
      <c r="J113" t="s">
        <v>72</v>
      </c>
      <c r="K113" t="s">
        <v>14</v>
      </c>
      <c r="L113" t="s">
        <v>74</v>
      </c>
      <c r="M113">
        <v>1</v>
      </c>
    </row>
    <row r="114" spans="1:13" x14ac:dyDescent="0.25">
      <c r="A114" s="1">
        <v>46134</v>
      </c>
      <c r="B114" s="1" t="str">
        <f ca="1">IF(Información1[[#This Row],[Fecha]]='Ajuste de fechas'!$A$2,"Día actual","Día anterior")</f>
        <v>Día anterior</v>
      </c>
      <c r="C114" t="s">
        <v>8</v>
      </c>
      <c r="D114" t="s">
        <v>10</v>
      </c>
      <c r="E114" t="s">
        <v>176</v>
      </c>
      <c r="F114" t="s">
        <v>25</v>
      </c>
      <c r="G114" t="s">
        <v>177</v>
      </c>
      <c r="H114" t="s">
        <v>11</v>
      </c>
      <c r="I114" t="s">
        <v>27</v>
      </c>
      <c r="J114" t="s">
        <v>72</v>
      </c>
      <c r="K114" t="s">
        <v>9</v>
      </c>
      <c r="L114" t="s">
        <v>74</v>
      </c>
      <c r="M114">
        <v>1</v>
      </c>
    </row>
    <row r="115" spans="1:13" x14ac:dyDescent="0.25">
      <c r="A115" s="1">
        <v>46134</v>
      </c>
      <c r="B115" s="1" t="str">
        <f ca="1">IF(Información1[[#This Row],[Fecha]]='Ajuste de fechas'!$A$2,"Día actual","Día anterior")</f>
        <v>Día anterior</v>
      </c>
      <c r="C115" t="s">
        <v>38</v>
      </c>
      <c r="D115" t="s">
        <v>41</v>
      </c>
      <c r="E115" t="s">
        <v>178</v>
      </c>
      <c r="F115" t="s">
        <v>19</v>
      </c>
      <c r="G115" t="s">
        <v>46</v>
      </c>
      <c r="H115" t="s">
        <v>11</v>
      </c>
      <c r="I115" t="s">
        <v>7</v>
      </c>
      <c r="J115" t="s">
        <v>76</v>
      </c>
      <c r="K115" t="s">
        <v>39</v>
      </c>
      <c r="L115" t="s">
        <v>73</v>
      </c>
      <c r="M115">
        <v>1</v>
      </c>
    </row>
    <row r="116" spans="1:13" x14ac:dyDescent="0.25">
      <c r="A116" s="1">
        <v>46134</v>
      </c>
      <c r="B116" s="1" t="str">
        <f ca="1">IF(Información1[[#This Row],[Fecha]]='Ajuste de fechas'!$A$2,"Día actual","Día anterior")</f>
        <v>Día anterior</v>
      </c>
      <c r="C116" t="s">
        <v>8</v>
      </c>
      <c r="D116" t="s">
        <v>10</v>
      </c>
      <c r="E116" t="s">
        <v>179</v>
      </c>
      <c r="F116" t="s">
        <v>19</v>
      </c>
      <c r="G116" t="s">
        <v>180</v>
      </c>
      <c r="H116" t="s">
        <v>11</v>
      </c>
      <c r="I116" t="s">
        <v>27</v>
      </c>
      <c r="J116" t="s">
        <v>76</v>
      </c>
      <c r="K116" t="s">
        <v>9</v>
      </c>
      <c r="L116" t="s">
        <v>74</v>
      </c>
      <c r="M116">
        <v>1</v>
      </c>
    </row>
    <row r="117" spans="1:13" x14ac:dyDescent="0.25">
      <c r="A117" s="1">
        <v>46134</v>
      </c>
      <c r="B117" s="1" t="str">
        <f ca="1">IF(Información1[[#This Row],[Fecha]]='Ajuste de fechas'!$A$2,"Día actual","Día anterior")</f>
        <v>Día anterior</v>
      </c>
      <c r="C117" t="s">
        <v>38</v>
      </c>
      <c r="D117" t="s">
        <v>41</v>
      </c>
      <c r="E117" t="s">
        <v>181</v>
      </c>
      <c r="F117" t="s">
        <v>15</v>
      </c>
      <c r="G117" t="s">
        <v>182</v>
      </c>
      <c r="H117" t="s">
        <v>11</v>
      </c>
      <c r="I117" t="s">
        <v>7</v>
      </c>
      <c r="J117" t="s">
        <v>72</v>
      </c>
      <c r="K117" t="s">
        <v>39</v>
      </c>
      <c r="L117" t="s">
        <v>73</v>
      </c>
      <c r="M117">
        <v>1</v>
      </c>
    </row>
    <row r="118" spans="1:13" x14ac:dyDescent="0.25">
      <c r="A118" s="1">
        <v>46134</v>
      </c>
      <c r="B118" s="1" t="str">
        <f ca="1">IF(Información1[[#This Row],[Fecha]]='Ajuste de fechas'!$A$2,"Día actual","Día anterior")</f>
        <v>Día anterior</v>
      </c>
      <c r="C118" t="s">
        <v>38</v>
      </c>
      <c r="D118" t="s">
        <v>40</v>
      </c>
      <c r="E118" t="s">
        <v>129</v>
      </c>
      <c r="F118" t="s">
        <v>21</v>
      </c>
      <c r="G118" t="s">
        <v>107</v>
      </c>
      <c r="H118" t="s">
        <v>11</v>
      </c>
      <c r="I118" t="s">
        <v>7</v>
      </c>
      <c r="J118" t="s">
        <v>72</v>
      </c>
      <c r="K118" t="s">
        <v>64</v>
      </c>
      <c r="L118" t="s">
        <v>75</v>
      </c>
      <c r="M118">
        <v>1</v>
      </c>
    </row>
    <row r="119" spans="1:13" x14ac:dyDescent="0.25">
      <c r="A119" s="1">
        <v>46134</v>
      </c>
      <c r="B119" s="1" t="str">
        <f ca="1">IF(Información1[[#This Row],[Fecha]]='Ajuste de fechas'!$A$2,"Día actual","Día anterior")</f>
        <v>Día anterior</v>
      </c>
      <c r="C119" t="s">
        <v>8</v>
      </c>
      <c r="D119" t="s">
        <v>10</v>
      </c>
      <c r="E119" t="s">
        <v>183</v>
      </c>
      <c r="F119" t="s">
        <v>26</v>
      </c>
      <c r="G119" t="s">
        <v>184</v>
      </c>
      <c r="H119" t="s">
        <v>11</v>
      </c>
      <c r="I119" t="s">
        <v>7</v>
      </c>
      <c r="J119" t="s">
        <v>26</v>
      </c>
      <c r="K119" t="s">
        <v>14</v>
      </c>
      <c r="L119" t="s">
        <v>74</v>
      </c>
      <c r="M119">
        <v>1</v>
      </c>
    </row>
    <row r="120" spans="1:13" x14ac:dyDescent="0.25">
      <c r="A120" s="1">
        <v>46134</v>
      </c>
      <c r="B120" s="1" t="str">
        <f ca="1">IF(Información1[[#This Row],[Fecha]]='Ajuste de fechas'!$A$2,"Día actual","Día anterior")</f>
        <v>Día anterior</v>
      </c>
      <c r="C120" t="s">
        <v>38</v>
      </c>
      <c r="D120" t="s">
        <v>40</v>
      </c>
      <c r="E120" t="s">
        <v>136</v>
      </c>
      <c r="F120" t="s">
        <v>137</v>
      </c>
      <c r="G120" t="s">
        <v>95</v>
      </c>
      <c r="H120" t="s">
        <v>11</v>
      </c>
      <c r="I120" t="s">
        <v>7</v>
      </c>
      <c r="J120" t="s">
        <v>72</v>
      </c>
      <c r="K120" t="s">
        <v>64</v>
      </c>
      <c r="L120" t="s">
        <v>75</v>
      </c>
      <c r="M120">
        <v>1</v>
      </c>
    </row>
    <row r="121" spans="1:13" x14ac:dyDescent="0.25">
      <c r="A121" s="1">
        <v>46134</v>
      </c>
      <c r="B121" s="1" t="str">
        <f ca="1">IF(Información1[[#This Row],[Fecha]]='Ajuste de fechas'!$A$2,"Día actual","Día anterior")</f>
        <v>Día anterior</v>
      </c>
      <c r="C121" t="s">
        <v>38</v>
      </c>
      <c r="D121" t="s">
        <v>41</v>
      </c>
      <c r="E121" t="s">
        <v>136</v>
      </c>
      <c r="F121" t="s">
        <v>137</v>
      </c>
      <c r="G121" t="s">
        <v>95</v>
      </c>
      <c r="H121" t="s">
        <v>11</v>
      </c>
      <c r="I121" t="s">
        <v>7</v>
      </c>
      <c r="J121" t="s">
        <v>72</v>
      </c>
      <c r="K121" t="s">
        <v>39</v>
      </c>
      <c r="L121" t="s">
        <v>75</v>
      </c>
      <c r="M121">
        <v>1</v>
      </c>
    </row>
    <row r="122" spans="1:13" x14ac:dyDescent="0.25">
      <c r="A122" s="1">
        <v>46134</v>
      </c>
      <c r="B122" s="1" t="str">
        <f ca="1">IF(Información1[[#This Row],[Fecha]]='Ajuste de fechas'!$A$2,"Día actual","Día anterior")</f>
        <v>Día anterior</v>
      </c>
      <c r="C122" t="s">
        <v>8</v>
      </c>
      <c r="D122" t="s">
        <v>10</v>
      </c>
      <c r="E122" t="s">
        <v>185</v>
      </c>
      <c r="F122" t="s">
        <v>137</v>
      </c>
      <c r="G122" t="s">
        <v>95</v>
      </c>
      <c r="H122" t="s">
        <v>11</v>
      </c>
      <c r="I122" t="s">
        <v>7</v>
      </c>
      <c r="J122" t="s">
        <v>72</v>
      </c>
      <c r="K122" t="s">
        <v>14</v>
      </c>
      <c r="L122" t="s">
        <v>73</v>
      </c>
      <c r="M122">
        <v>1</v>
      </c>
    </row>
    <row r="123" spans="1:13" x14ac:dyDescent="0.25">
      <c r="A123" s="1">
        <v>46134</v>
      </c>
      <c r="B123" s="1" t="str">
        <f ca="1">IF(Información1[[#This Row],[Fecha]]='Ajuste de fechas'!$A$2,"Día actual","Día anterior")</f>
        <v>Día anterior</v>
      </c>
      <c r="C123" t="s">
        <v>38</v>
      </c>
      <c r="D123" t="s">
        <v>40</v>
      </c>
      <c r="E123" t="s">
        <v>186</v>
      </c>
      <c r="F123" t="s">
        <v>23</v>
      </c>
      <c r="G123" t="s">
        <v>187</v>
      </c>
      <c r="H123" t="s">
        <v>11</v>
      </c>
      <c r="I123" t="s">
        <v>7</v>
      </c>
      <c r="J123" t="s">
        <v>77</v>
      </c>
      <c r="K123" t="s">
        <v>64</v>
      </c>
      <c r="L123" t="s">
        <v>73</v>
      </c>
      <c r="M123">
        <v>1</v>
      </c>
    </row>
    <row r="124" spans="1:13" x14ac:dyDescent="0.25">
      <c r="A124" s="1">
        <v>46134</v>
      </c>
      <c r="B124" s="1" t="str">
        <f ca="1">IF(Información1[[#This Row],[Fecha]]='Ajuste de fechas'!$A$2,"Día actual","Día anterior")</f>
        <v>Día anterior</v>
      </c>
      <c r="C124" t="s">
        <v>8</v>
      </c>
      <c r="D124" t="s">
        <v>10</v>
      </c>
      <c r="E124" t="s">
        <v>188</v>
      </c>
      <c r="F124" t="s">
        <v>19</v>
      </c>
      <c r="G124" t="s">
        <v>88</v>
      </c>
      <c r="H124" t="s">
        <v>11</v>
      </c>
      <c r="I124" t="s">
        <v>7</v>
      </c>
      <c r="J124" t="s">
        <v>76</v>
      </c>
      <c r="K124" t="s">
        <v>14</v>
      </c>
      <c r="L124" t="s">
        <v>78</v>
      </c>
      <c r="M124">
        <v>1</v>
      </c>
    </row>
    <row r="125" spans="1:13" x14ac:dyDescent="0.25">
      <c r="A125" s="1">
        <v>46134</v>
      </c>
      <c r="B125" s="1" t="str">
        <f ca="1">IF(Información1[[#This Row],[Fecha]]='Ajuste de fechas'!$A$2,"Día actual","Día anterior")</f>
        <v>Día anterior</v>
      </c>
      <c r="C125" t="s">
        <v>8</v>
      </c>
      <c r="D125" t="s">
        <v>10</v>
      </c>
      <c r="E125" t="s">
        <v>110</v>
      </c>
      <c r="F125" t="s">
        <v>60</v>
      </c>
      <c r="G125" t="s">
        <v>88</v>
      </c>
      <c r="H125" t="s">
        <v>11</v>
      </c>
      <c r="I125" t="s">
        <v>7</v>
      </c>
      <c r="J125" t="s">
        <v>72</v>
      </c>
      <c r="K125" t="s">
        <v>14</v>
      </c>
      <c r="L125" t="s">
        <v>75</v>
      </c>
      <c r="M125">
        <v>1</v>
      </c>
    </row>
    <row r="126" spans="1:13" x14ac:dyDescent="0.25">
      <c r="A126" s="1">
        <v>46134</v>
      </c>
      <c r="B126" s="1" t="str">
        <f ca="1">IF(Información1[[#This Row],[Fecha]]='Ajuste de fechas'!$A$2,"Día actual","Día anterior")</f>
        <v>Día anterior</v>
      </c>
      <c r="C126" t="s">
        <v>38</v>
      </c>
      <c r="D126" t="s">
        <v>41</v>
      </c>
      <c r="E126" t="s">
        <v>189</v>
      </c>
      <c r="F126" t="s">
        <v>23</v>
      </c>
      <c r="G126" t="s">
        <v>190</v>
      </c>
      <c r="H126" t="s">
        <v>11</v>
      </c>
      <c r="I126" t="s">
        <v>7</v>
      </c>
      <c r="J126" t="s">
        <v>77</v>
      </c>
      <c r="K126" t="s">
        <v>39</v>
      </c>
      <c r="L126" t="s">
        <v>73</v>
      </c>
      <c r="M126">
        <v>1</v>
      </c>
    </row>
    <row r="127" spans="1:13" x14ac:dyDescent="0.25">
      <c r="A127" s="1">
        <v>46134</v>
      </c>
      <c r="B127" s="1" t="str">
        <f ca="1">IF(Información1[[#This Row],[Fecha]]='Ajuste de fechas'!$A$2,"Día actual","Día anterior")</f>
        <v>Día anterior</v>
      </c>
      <c r="C127" t="s">
        <v>38</v>
      </c>
      <c r="D127" t="s">
        <v>41</v>
      </c>
      <c r="E127" t="s">
        <v>191</v>
      </c>
      <c r="F127" t="s">
        <v>19</v>
      </c>
      <c r="G127" t="s">
        <v>192</v>
      </c>
      <c r="H127" t="s">
        <v>11</v>
      </c>
      <c r="I127" t="s">
        <v>7</v>
      </c>
      <c r="J127" t="s">
        <v>76</v>
      </c>
      <c r="K127" t="s">
        <v>39</v>
      </c>
      <c r="L127" t="s">
        <v>73</v>
      </c>
      <c r="M127">
        <v>1</v>
      </c>
    </row>
    <row r="128" spans="1:13" x14ac:dyDescent="0.25">
      <c r="A128" s="1">
        <v>46134</v>
      </c>
      <c r="B128" s="1" t="str">
        <f ca="1">IF(Información1[[#This Row],[Fecha]]='Ajuste de fechas'!$A$2,"Día actual","Día anterior")</f>
        <v>Día anterior</v>
      </c>
      <c r="C128" t="s">
        <v>38</v>
      </c>
      <c r="D128" t="s">
        <v>41</v>
      </c>
      <c r="E128" t="s">
        <v>193</v>
      </c>
      <c r="F128" t="s">
        <v>98</v>
      </c>
      <c r="G128" t="s">
        <v>194</v>
      </c>
      <c r="H128" t="s">
        <v>11</v>
      </c>
      <c r="I128" t="s">
        <v>7</v>
      </c>
      <c r="J128" t="s">
        <v>72</v>
      </c>
      <c r="K128" t="s">
        <v>39</v>
      </c>
      <c r="L128" t="s">
        <v>73</v>
      </c>
      <c r="M128">
        <v>1</v>
      </c>
    </row>
    <row r="129" spans="1:13" x14ac:dyDescent="0.25">
      <c r="A129" s="1">
        <v>46134</v>
      </c>
      <c r="B129" s="1" t="str">
        <f ca="1">IF(Información1[[#This Row],[Fecha]]='Ajuste de fechas'!$A$2,"Día actual","Día anterior")</f>
        <v>Día anterior</v>
      </c>
      <c r="C129" t="s">
        <v>8</v>
      </c>
      <c r="D129" t="s">
        <v>10</v>
      </c>
      <c r="E129" t="s">
        <v>195</v>
      </c>
      <c r="F129" t="s">
        <v>6</v>
      </c>
      <c r="G129" t="s">
        <v>196</v>
      </c>
      <c r="H129" t="s">
        <v>11</v>
      </c>
      <c r="I129" t="s">
        <v>27</v>
      </c>
      <c r="J129" t="s">
        <v>72</v>
      </c>
      <c r="K129" t="s">
        <v>9</v>
      </c>
      <c r="L129" t="s">
        <v>74</v>
      </c>
      <c r="M129">
        <v>1</v>
      </c>
    </row>
    <row r="130" spans="1:13" x14ac:dyDescent="0.25">
      <c r="A130" s="1">
        <v>46134</v>
      </c>
      <c r="B130" s="1" t="str">
        <f ca="1">IF(Información1[[#This Row],[Fecha]]='Ajuste de fechas'!$A$2,"Día actual","Día anterior")</f>
        <v>Día anterior</v>
      </c>
      <c r="C130" t="s">
        <v>8</v>
      </c>
      <c r="D130" t="s">
        <v>10</v>
      </c>
      <c r="E130" t="s">
        <v>197</v>
      </c>
      <c r="F130" t="s">
        <v>6</v>
      </c>
      <c r="G130" t="s">
        <v>196</v>
      </c>
      <c r="H130" t="s">
        <v>11</v>
      </c>
      <c r="I130" t="s">
        <v>27</v>
      </c>
      <c r="J130" t="s">
        <v>72</v>
      </c>
      <c r="K130" t="s">
        <v>9</v>
      </c>
      <c r="L130" t="s">
        <v>74</v>
      </c>
      <c r="M130">
        <v>1</v>
      </c>
    </row>
    <row r="131" spans="1:13" x14ac:dyDescent="0.25">
      <c r="A131" s="1">
        <v>46134</v>
      </c>
      <c r="B131" s="1" t="str">
        <f ca="1">IF(Información1[[#This Row],[Fecha]]='Ajuste de fechas'!$A$2,"Día actual","Día anterior")</f>
        <v>Día anterior</v>
      </c>
      <c r="C131" t="s">
        <v>38</v>
      </c>
      <c r="D131" t="s">
        <v>41</v>
      </c>
      <c r="E131" t="s">
        <v>198</v>
      </c>
      <c r="F131" t="s">
        <v>112</v>
      </c>
      <c r="G131" t="s">
        <v>101</v>
      </c>
      <c r="H131" t="s">
        <v>11</v>
      </c>
      <c r="I131" t="s">
        <v>7</v>
      </c>
      <c r="J131" t="s">
        <v>72</v>
      </c>
      <c r="K131" t="s">
        <v>39</v>
      </c>
      <c r="L131" t="s">
        <v>73</v>
      </c>
      <c r="M131">
        <v>1</v>
      </c>
    </row>
    <row r="132" spans="1:13" x14ac:dyDescent="0.25">
      <c r="A132" s="1">
        <v>46134</v>
      </c>
      <c r="B132" s="1" t="str">
        <f ca="1">IF(Información1[[#This Row],[Fecha]]='Ajuste de fechas'!$A$2,"Día actual","Día anterior")</f>
        <v>Día anterior</v>
      </c>
      <c r="C132" t="s">
        <v>8</v>
      </c>
      <c r="D132" t="s">
        <v>10</v>
      </c>
      <c r="E132" t="s">
        <v>199</v>
      </c>
      <c r="F132" t="s">
        <v>22</v>
      </c>
      <c r="G132" t="s">
        <v>147</v>
      </c>
      <c r="H132" t="s">
        <v>11</v>
      </c>
      <c r="I132" t="s">
        <v>7</v>
      </c>
      <c r="J132" t="s">
        <v>26</v>
      </c>
      <c r="K132" t="s">
        <v>14</v>
      </c>
      <c r="L132" t="s">
        <v>73</v>
      </c>
      <c r="M132">
        <v>1</v>
      </c>
    </row>
    <row r="133" spans="1:13" x14ac:dyDescent="0.25">
      <c r="A133" s="1">
        <v>46134</v>
      </c>
      <c r="B133" s="1" t="str">
        <f ca="1">IF(Información1[[#This Row],[Fecha]]='Ajuste de fechas'!$A$2,"Día actual","Día anterior")</f>
        <v>Día anterior</v>
      </c>
      <c r="C133" t="s">
        <v>8</v>
      </c>
      <c r="D133" t="s">
        <v>10</v>
      </c>
      <c r="E133" t="s">
        <v>200</v>
      </c>
      <c r="F133" t="s">
        <v>6</v>
      </c>
      <c r="G133" t="s">
        <v>201</v>
      </c>
      <c r="H133" t="s">
        <v>11</v>
      </c>
      <c r="I133" t="s">
        <v>27</v>
      </c>
      <c r="J133" t="s">
        <v>72</v>
      </c>
      <c r="K133" t="s">
        <v>9</v>
      </c>
      <c r="L133" t="s">
        <v>74</v>
      </c>
      <c r="M133">
        <v>1</v>
      </c>
    </row>
    <row r="134" spans="1:13" x14ac:dyDescent="0.25">
      <c r="A134" s="1">
        <v>46134</v>
      </c>
      <c r="B134" s="1" t="str">
        <f ca="1">IF(Información1[[#This Row],[Fecha]]='Ajuste de fechas'!$A$2,"Día actual","Día anterior")</f>
        <v>Día anterior</v>
      </c>
      <c r="C134" t="s">
        <v>8</v>
      </c>
      <c r="D134" t="s">
        <v>10</v>
      </c>
      <c r="E134" t="s">
        <v>202</v>
      </c>
      <c r="F134" t="s">
        <v>6</v>
      </c>
      <c r="G134" t="s">
        <v>104</v>
      </c>
      <c r="H134" t="s">
        <v>11</v>
      </c>
      <c r="I134" t="s">
        <v>12</v>
      </c>
      <c r="J134" t="s">
        <v>72</v>
      </c>
      <c r="K134" t="s">
        <v>9</v>
      </c>
      <c r="L134" t="s">
        <v>74</v>
      </c>
      <c r="M134">
        <v>1</v>
      </c>
    </row>
    <row r="135" spans="1:13" x14ac:dyDescent="0.25">
      <c r="A135" s="1">
        <v>46134</v>
      </c>
      <c r="B135" s="1" t="str">
        <f ca="1">IF(Información1[[#This Row],[Fecha]]='Ajuste de fechas'!$A$2,"Día actual","Día anterior")</f>
        <v>Día anterior</v>
      </c>
      <c r="C135" t="s">
        <v>8</v>
      </c>
      <c r="D135" t="s">
        <v>10</v>
      </c>
      <c r="E135" t="s">
        <v>203</v>
      </c>
      <c r="F135" t="s">
        <v>22</v>
      </c>
      <c r="G135" t="s">
        <v>152</v>
      </c>
      <c r="H135" t="s">
        <v>11</v>
      </c>
      <c r="I135" t="s">
        <v>7</v>
      </c>
      <c r="J135" t="s">
        <v>26</v>
      </c>
      <c r="K135" t="s">
        <v>14</v>
      </c>
      <c r="L135" t="s">
        <v>73</v>
      </c>
      <c r="M135">
        <v>1</v>
      </c>
    </row>
    <row r="136" spans="1:13" x14ac:dyDescent="0.25">
      <c r="A136" s="1">
        <v>46134</v>
      </c>
      <c r="B136" s="1" t="str">
        <f ca="1">IF(Información1[[#This Row],[Fecha]]='Ajuste de fechas'!$A$2,"Día actual","Día anterior")</f>
        <v>Día anterior</v>
      </c>
      <c r="C136" t="s">
        <v>38</v>
      </c>
      <c r="D136" t="s">
        <v>40</v>
      </c>
      <c r="E136" t="s">
        <v>204</v>
      </c>
      <c r="F136" t="s">
        <v>23</v>
      </c>
      <c r="G136" t="s">
        <v>85</v>
      </c>
      <c r="H136" t="s">
        <v>11</v>
      </c>
      <c r="I136" t="s">
        <v>7</v>
      </c>
      <c r="J136" t="s">
        <v>77</v>
      </c>
      <c r="K136" t="s">
        <v>64</v>
      </c>
      <c r="L136" t="s">
        <v>73</v>
      </c>
      <c r="M136">
        <v>1</v>
      </c>
    </row>
    <row r="137" spans="1:13" x14ac:dyDescent="0.25">
      <c r="A137" s="1">
        <v>46134</v>
      </c>
      <c r="B137" s="1" t="str">
        <f ca="1">IF(Información1[[#This Row],[Fecha]]='Ajuste de fechas'!$A$2,"Día actual","Día anterior")</f>
        <v>Día anterior</v>
      </c>
      <c r="C137" t="s">
        <v>34</v>
      </c>
      <c r="D137" t="s">
        <v>36</v>
      </c>
      <c r="E137" t="s">
        <v>97</v>
      </c>
      <c r="F137" t="s">
        <v>98</v>
      </c>
      <c r="G137" t="s">
        <v>85</v>
      </c>
      <c r="H137" t="s">
        <v>11</v>
      </c>
      <c r="I137" t="s">
        <v>7</v>
      </c>
      <c r="J137" t="s">
        <v>72</v>
      </c>
      <c r="K137" t="s">
        <v>35</v>
      </c>
      <c r="L137" t="s">
        <v>75</v>
      </c>
      <c r="M137">
        <v>1</v>
      </c>
    </row>
    <row r="138" spans="1:13" x14ac:dyDescent="0.25">
      <c r="A138" s="1">
        <v>46134</v>
      </c>
      <c r="B138" s="1" t="str">
        <f ca="1">IF(Información1[[#This Row],[Fecha]]='Ajuste de fechas'!$A$2,"Día actual","Día anterior")</f>
        <v>Día anterior</v>
      </c>
      <c r="C138" t="s">
        <v>38</v>
      </c>
      <c r="D138" t="s">
        <v>41</v>
      </c>
      <c r="E138" t="s">
        <v>205</v>
      </c>
      <c r="F138" t="s">
        <v>19</v>
      </c>
      <c r="G138" t="s">
        <v>85</v>
      </c>
      <c r="H138" t="s">
        <v>11</v>
      </c>
      <c r="I138" t="s">
        <v>7</v>
      </c>
      <c r="J138" t="s">
        <v>76</v>
      </c>
      <c r="K138" t="s">
        <v>39</v>
      </c>
      <c r="L138" t="s">
        <v>73</v>
      </c>
      <c r="M138">
        <v>1</v>
      </c>
    </row>
    <row r="139" spans="1:13" x14ac:dyDescent="0.25">
      <c r="A139" s="1">
        <v>46134</v>
      </c>
      <c r="B139" s="1" t="str">
        <f ca="1">IF(Información1[[#This Row],[Fecha]]='Ajuste de fechas'!$A$2,"Día actual","Día anterior")</f>
        <v>Día anterior</v>
      </c>
      <c r="C139" t="s">
        <v>38</v>
      </c>
      <c r="D139" t="s">
        <v>41</v>
      </c>
      <c r="E139" t="s">
        <v>206</v>
      </c>
      <c r="F139" t="s">
        <v>23</v>
      </c>
      <c r="G139" t="s">
        <v>207</v>
      </c>
      <c r="H139" t="s">
        <v>11</v>
      </c>
      <c r="I139" t="s">
        <v>27</v>
      </c>
      <c r="J139" t="s">
        <v>77</v>
      </c>
      <c r="K139" t="s">
        <v>39</v>
      </c>
      <c r="L139" t="s">
        <v>73</v>
      </c>
      <c r="M139">
        <v>1</v>
      </c>
    </row>
    <row r="140" spans="1:13" x14ac:dyDescent="0.25">
      <c r="A140" s="1">
        <v>46134</v>
      </c>
      <c r="B140" s="1" t="str">
        <f ca="1">IF(Información1[[#This Row],[Fecha]]='Ajuste de fechas'!$A$2,"Día actual","Día anterior")</f>
        <v>Día anterior</v>
      </c>
      <c r="C140" t="s">
        <v>8</v>
      </c>
      <c r="D140" t="s">
        <v>10</v>
      </c>
      <c r="E140" t="s">
        <v>208</v>
      </c>
      <c r="F140" t="s">
        <v>6</v>
      </c>
      <c r="G140" t="s">
        <v>209</v>
      </c>
      <c r="H140" t="s">
        <v>11</v>
      </c>
      <c r="I140" t="s">
        <v>27</v>
      </c>
      <c r="J140" t="s">
        <v>72</v>
      </c>
      <c r="K140" t="s">
        <v>9</v>
      </c>
      <c r="L140" t="s">
        <v>74</v>
      </c>
      <c r="M140">
        <v>1</v>
      </c>
    </row>
    <row r="141" spans="1:13" x14ac:dyDescent="0.25">
      <c r="A141" s="1">
        <v>46134</v>
      </c>
      <c r="B141" s="1" t="str">
        <f ca="1">IF(Información1[[#This Row],[Fecha]]='Ajuste de fechas'!$A$2,"Día actual","Día anterior")</f>
        <v>Día anterior</v>
      </c>
      <c r="C141" t="s">
        <v>38</v>
      </c>
      <c r="D141" t="s">
        <v>41</v>
      </c>
      <c r="E141" t="s">
        <v>210</v>
      </c>
      <c r="F141" t="s">
        <v>19</v>
      </c>
      <c r="G141" t="s">
        <v>211</v>
      </c>
      <c r="H141" t="s">
        <v>11</v>
      </c>
      <c r="I141" t="s">
        <v>7</v>
      </c>
      <c r="J141" t="s">
        <v>76</v>
      </c>
      <c r="K141" t="s">
        <v>39</v>
      </c>
      <c r="L141" t="s">
        <v>73</v>
      </c>
      <c r="M141">
        <v>1</v>
      </c>
    </row>
    <row r="142" spans="1:13" x14ac:dyDescent="0.25">
      <c r="A142" s="1">
        <v>46134</v>
      </c>
      <c r="B142" s="1" t="str">
        <f ca="1">IF(Información1[[#This Row],[Fecha]]='Ajuste de fechas'!$A$2,"Día actual","Día anterior")</f>
        <v>Día anterior</v>
      </c>
      <c r="C142" t="s">
        <v>8</v>
      </c>
      <c r="D142" t="s">
        <v>10</v>
      </c>
      <c r="E142" t="s">
        <v>212</v>
      </c>
      <c r="F142" t="s">
        <v>19</v>
      </c>
      <c r="G142" t="s">
        <v>29</v>
      </c>
      <c r="H142" t="s">
        <v>11</v>
      </c>
      <c r="I142" t="s">
        <v>27</v>
      </c>
      <c r="J142" t="s">
        <v>76</v>
      </c>
      <c r="K142" t="s">
        <v>9</v>
      </c>
      <c r="L142" t="s">
        <v>74</v>
      </c>
      <c r="M142">
        <v>1</v>
      </c>
    </row>
    <row r="143" spans="1:13" x14ac:dyDescent="0.25">
      <c r="A143" s="1">
        <v>46134</v>
      </c>
      <c r="B143" s="1" t="str">
        <f ca="1">IF(Información1[[#This Row],[Fecha]]='Ajuste de fechas'!$A$2,"Día actual","Día anterior")</f>
        <v>Día anterior</v>
      </c>
      <c r="C143" t="s">
        <v>8</v>
      </c>
      <c r="D143" t="s">
        <v>10</v>
      </c>
      <c r="E143" t="s">
        <v>213</v>
      </c>
      <c r="F143" t="s">
        <v>19</v>
      </c>
      <c r="G143" t="s">
        <v>29</v>
      </c>
      <c r="H143" t="s">
        <v>11</v>
      </c>
      <c r="I143" t="s">
        <v>27</v>
      </c>
      <c r="J143" t="s">
        <v>76</v>
      </c>
      <c r="K143" t="s">
        <v>9</v>
      </c>
      <c r="L143" t="s">
        <v>74</v>
      </c>
      <c r="M143">
        <v>1</v>
      </c>
    </row>
    <row r="144" spans="1:13" x14ac:dyDescent="0.25">
      <c r="A144" s="1">
        <v>46134</v>
      </c>
      <c r="B144" s="1" t="str">
        <f ca="1">IF(Información1[[#This Row],[Fecha]]='Ajuste de fechas'!$A$2,"Día actual","Día anterior")</f>
        <v>Día anterior</v>
      </c>
      <c r="C144" t="s">
        <v>34</v>
      </c>
      <c r="D144" t="s">
        <v>36</v>
      </c>
      <c r="E144" t="s">
        <v>214</v>
      </c>
      <c r="F144" t="s">
        <v>98</v>
      </c>
      <c r="G144" t="s">
        <v>94</v>
      </c>
      <c r="H144" t="s">
        <v>11</v>
      </c>
      <c r="I144" t="s">
        <v>7</v>
      </c>
      <c r="J144" t="s">
        <v>72</v>
      </c>
      <c r="K144" t="s">
        <v>35</v>
      </c>
      <c r="L144" t="s">
        <v>75</v>
      </c>
      <c r="M144">
        <v>1</v>
      </c>
    </row>
    <row r="145" spans="1:13" x14ac:dyDescent="0.25">
      <c r="A145" s="1">
        <v>46134</v>
      </c>
      <c r="B145" s="1" t="str">
        <f ca="1">IF(Información1[[#This Row],[Fecha]]='Ajuste de fechas'!$A$2,"Día actual","Día anterior")</f>
        <v>Día anterior</v>
      </c>
      <c r="C145" t="s">
        <v>38</v>
      </c>
      <c r="D145" t="s">
        <v>40</v>
      </c>
      <c r="E145" t="s">
        <v>215</v>
      </c>
      <c r="F145" t="s">
        <v>19</v>
      </c>
      <c r="G145" t="s">
        <v>216</v>
      </c>
      <c r="H145" t="s">
        <v>11</v>
      </c>
      <c r="I145" t="s">
        <v>7</v>
      </c>
      <c r="J145" t="s">
        <v>76</v>
      </c>
      <c r="K145" t="s">
        <v>64</v>
      </c>
      <c r="L145" t="s">
        <v>73</v>
      </c>
      <c r="M145">
        <v>1</v>
      </c>
    </row>
    <row r="146" spans="1:13" x14ac:dyDescent="0.25">
      <c r="A146" s="1">
        <v>46134</v>
      </c>
      <c r="B146" s="1" t="str">
        <f ca="1">IF(Información1[[#This Row],[Fecha]]='Ajuste de fechas'!$A$2,"Día actual","Día anterior")</f>
        <v>Día anterior</v>
      </c>
      <c r="C146" t="s">
        <v>34</v>
      </c>
      <c r="D146" t="s">
        <v>36</v>
      </c>
      <c r="E146" t="s">
        <v>99</v>
      </c>
      <c r="F146" t="s">
        <v>98</v>
      </c>
      <c r="G146" t="s">
        <v>100</v>
      </c>
      <c r="H146" t="s">
        <v>11</v>
      </c>
      <c r="I146" t="s">
        <v>7</v>
      </c>
      <c r="J146" t="s">
        <v>72</v>
      </c>
      <c r="K146" t="s">
        <v>35</v>
      </c>
      <c r="L146" t="s">
        <v>75</v>
      </c>
      <c r="M146">
        <v>1</v>
      </c>
    </row>
    <row r="147" spans="1:13" x14ac:dyDescent="0.25">
      <c r="A147" s="1">
        <v>46134</v>
      </c>
      <c r="B147" s="1" t="str">
        <f ca="1">IF(Información1[[#This Row],[Fecha]]='Ajuste de fechas'!$A$2,"Día actual","Día anterior")</f>
        <v>Día anterior</v>
      </c>
      <c r="C147" t="s">
        <v>38</v>
      </c>
      <c r="D147" t="s">
        <v>40</v>
      </c>
      <c r="E147" t="s">
        <v>217</v>
      </c>
      <c r="F147" t="s">
        <v>26</v>
      </c>
      <c r="G147" t="s">
        <v>165</v>
      </c>
      <c r="H147" t="s">
        <v>11</v>
      </c>
      <c r="I147" t="s">
        <v>7</v>
      </c>
      <c r="J147" t="s">
        <v>26</v>
      </c>
      <c r="K147" t="s">
        <v>64</v>
      </c>
      <c r="L147" t="s">
        <v>73</v>
      </c>
      <c r="M147">
        <v>1</v>
      </c>
    </row>
    <row r="148" spans="1:13" x14ac:dyDescent="0.25">
      <c r="A148" s="1">
        <v>46134</v>
      </c>
      <c r="B148" s="1" t="str">
        <f ca="1">IF(Información1[[#This Row],[Fecha]]='Ajuste de fechas'!$A$2,"Día actual","Día anterior")</f>
        <v>Día anterior</v>
      </c>
      <c r="C148" t="s">
        <v>38</v>
      </c>
      <c r="D148" t="s">
        <v>41</v>
      </c>
      <c r="E148" t="s">
        <v>218</v>
      </c>
      <c r="F148" t="s">
        <v>19</v>
      </c>
      <c r="G148" t="s">
        <v>219</v>
      </c>
      <c r="H148" t="s">
        <v>11</v>
      </c>
      <c r="I148" t="s">
        <v>7</v>
      </c>
      <c r="J148" t="s">
        <v>76</v>
      </c>
      <c r="K148" t="s">
        <v>39</v>
      </c>
      <c r="L148" t="s">
        <v>73</v>
      </c>
      <c r="M148">
        <v>1</v>
      </c>
    </row>
    <row r="149" spans="1:13" x14ac:dyDescent="0.25">
      <c r="A149" s="1">
        <v>46134</v>
      </c>
      <c r="B149" s="1" t="str">
        <f ca="1">IF(Información1[[#This Row],[Fecha]]='Ajuste de fechas'!$A$2,"Día actual","Día anterior")</f>
        <v>Día anterior</v>
      </c>
      <c r="C149" t="s">
        <v>8</v>
      </c>
      <c r="D149" t="s">
        <v>10</v>
      </c>
      <c r="E149" t="s">
        <v>220</v>
      </c>
      <c r="F149" t="s">
        <v>23</v>
      </c>
      <c r="G149" t="s">
        <v>105</v>
      </c>
      <c r="H149" t="s">
        <v>11</v>
      </c>
      <c r="I149" t="s">
        <v>7</v>
      </c>
      <c r="J149" t="s">
        <v>77</v>
      </c>
      <c r="K149" t="s">
        <v>14</v>
      </c>
      <c r="L149" t="s">
        <v>73</v>
      </c>
      <c r="M149">
        <v>1</v>
      </c>
    </row>
    <row r="150" spans="1:13" x14ac:dyDescent="0.25">
      <c r="A150" s="1">
        <v>46134</v>
      </c>
      <c r="B150" s="1" t="str">
        <f ca="1">IF(Información1[[#This Row],[Fecha]]='Ajuste de fechas'!$A$2,"Día actual","Día anterior")</f>
        <v>Día anterior</v>
      </c>
      <c r="C150" t="s">
        <v>8</v>
      </c>
      <c r="D150" t="s">
        <v>10</v>
      </c>
      <c r="E150" t="s">
        <v>221</v>
      </c>
      <c r="F150" t="s">
        <v>17</v>
      </c>
      <c r="G150" t="s">
        <v>222</v>
      </c>
      <c r="H150" t="s">
        <v>11</v>
      </c>
      <c r="I150" t="s">
        <v>27</v>
      </c>
      <c r="J150" t="s">
        <v>72</v>
      </c>
      <c r="K150" t="s">
        <v>9</v>
      </c>
      <c r="L150" t="s">
        <v>74</v>
      </c>
      <c r="M150">
        <v>1</v>
      </c>
    </row>
    <row r="151" spans="1:13" x14ac:dyDescent="0.25">
      <c r="A151" s="1">
        <v>46134</v>
      </c>
      <c r="B151" s="1" t="str">
        <f ca="1">IF(Información1[[#This Row],[Fecha]]='Ajuste de fechas'!$A$2,"Día actual","Día anterior")</f>
        <v>Día anterior</v>
      </c>
      <c r="C151" t="s">
        <v>38</v>
      </c>
      <c r="D151" t="s">
        <v>40</v>
      </c>
      <c r="E151" t="s">
        <v>223</v>
      </c>
      <c r="F151" t="s">
        <v>19</v>
      </c>
      <c r="G151" t="s">
        <v>115</v>
      </c>
      <c r="H151" t="s">
        <v>11</v>
      </c>
      <c r="I151" t="s">
        <v>7</v>
      </c>
      <c r="J151" t="s">
        <v>76</v>
      </c>
      <c r="K151" t="s">
        <v>64</v>
      </c>
      <c r="L151" t="s">
        <v>74</v>
      </c>
      <c r="M151">
        <v>1</v>
      </c>
    </row>
    <row r="152" spans="1:13" x14ac:dyDescent="0.25">
      <c r="A152" s="1">
        <v>46134</v>
      </c>
      <c r="B152" s="1" t="str">
        <f ca="1">IF(Información1[[#This Row],[Fecha]]='Ajuste de fechas'!$A$2,"Día actual","Día anterior")</f>
        <v>Día anterior</v>
      </c>
      <c r="C152" t="s">
        <v>34</v>
      </c>
      <c r="D152" t="s">
        <v>36</v>
      </c>
      <c r="E152" t="s">
        <v>111</v>
      </c>
      <c r="F152" t="s">
        <v>28</v>
      </c>
      <c r="G152" t="s">
        <v>108</v>
      </c>
      <c r="H152" t="s">
        <v>11</v>
      </c>
      <c r="I152" t="s">
        <v>7</v>
      </c>
      <c r="J152" t="s">
        <v>72</v>
      </c>
      <c r="K152" t="s">
        <v>35</v>
      </c>
      <c r="L152" t="s">
        <v>75</v>
      </c>
      <c r="M152">
        <v>1</v>
      </c>
    </row>
    <row r="153" spans="1:13" x14ac:dyDescent="0.25">
      <c r="A153" s="1">
        <v>46134</v>
      </c>
      <c r="B153" s="1" t="str">
        <f ca="1">IF(Información1[[#This Row],[Fecha]]='Ajuste de fechas'!$A$2,"Día actual","Día anterior")</f>
        <v>Día anterior</v>
      </c>
      <c r="C153" t="s">
        <v>8</v>
      </c>
      <c r="D153" t="s">
        <v>10</v>
      </c>
      <c r="E153" t="s">
        <v>116</v>
      </c>
      <c r="F153" t="s">
        <v>19</v>
      </c>
      <c r="G153" t="s">
        <v>117</v>
      </c>
      <c r="H153" t="s">
        <v>11</v>
      </c>
      <c r="I153" t="s">
        <v>27</v>
      </c>
      <c r="J153" t="s">
        <v>76</v>
      </c>
      <c r="K153" t="s">
        <v>9</v>
      </c>
      <c r="L153" t="s">
        <v>74</v>
      </c>
      <c r="M153">
        <v>1</v>
      </c>
    </row>
    <row r="154" spans="1:13" x14ac:dyDescent="0.25">
      <c r="A154" s="1">
        <v>46134</v>
      </c>
      <c r="B154" s="1" t="str">
        <f ca="1">IF(Información1[[#This Row],[Fecha]]='Ajuste de fechas'!$A$2,"Día actual","Día anterior")</f>
        <v>Día anterior</v>
      </c>
      <c r="C154" t="s">
        <v>38</v>
      </c>
      <c r="D154" t="s">
        <v>40</v>
      </c>
      <c r="E154" t="s">
        <v>224</v>
      </c>
      <c r="F154" t="s">
        <v>47</v>
      </c>
      <c r="G154" t="s">
        <v>225</v>
      </c>
      <c r="H154" t="s">
        <v>11</v>
      </c>
      <c r="I154" t="s">
        <v>7</v>
      </c>
      <c r="J154" t="s">
        <v>72</v>
      </c>
      <c r="K154" t="s">
        <v>64</v>
      </c>
      <c r="L154" t="s">
        <v>73</v>
      </c>
      <c r="M154">
        <v>1</v>
      </c>
    </row>
    <row r="155" spans="1:13" x14ac:dyDescent="0.25">
      <c r="A155" s="1">
        <v>46134</v>
      </c>
      <c r="B155" s="1" t="str">
        <f ca="1">IF(Información1[[#This Row],[Fecha]]='Ajuste de fechas'!$A$2,"Día actual","Día anterior")</f>
        <v>Día anterior</v>
      </c>
      <c r="C155" t="s">
        <v>38</v>
      </c>
      <c r="D155" t="s">
        <v>40</v>
      </c>
      <c r="E155" t="s">
        <v>226</v>
      </c>
      <c r="F155" t="s">
        <v>22</v>
      </c>
      <c r="G155" t="s">
        <v>227</v>
      </c>
      <c r="H155" t="s">
        <v>11</v>
      </c>
      <c r="I155" t="s">
        <v>7</v>
      </c>
      <c r="J155" t="s">
        <v>26</v>
      </c>
      <c r="K155" t="s">
        <v>64</v>
      </c>
      <c r="L155" t="s">
        <v>73</v>
      </c>
      <c r="M155">
        <v>1</v>
      </c>
    </row>
    <row r="156" spans="1:13" x14ac:dyDescent="0.25">
      <c r="A156" s="1">
        <v>46134</v>
      </c>
      <c r="B156" s="1" t="str">
        <f ca="1">IF(Información1[[#This Row],[Fecha]]='Ajuste de fechas'!$A$2,"Día actual","Día anterior")</f>
        <v>Día anterior</v>
      </c>
      <c r="C156" t="s">
        <v>8</v>
      </c>
      <c r="D156" t="s">
        <v>10</v>
      </c>
      <c r="E156" t="s">
        <v>228</v>
      </c>
      <c r="F156" t="s">
        <v>23</v>
      </c>
      <c r="G156" t="s">
        <v>118</v>
      </c>
      <c r="H156" t="s">
        <v>11</v>
      </c>
      <c r="I156" t="s">
        <v>7</v>
      </c>
      <c r="J156" t="s">
        <v>77</v>
      </c>
      <c r="K156" t="s">
        <v>14</v>
      </c>
      <c r="L156" t="s">
        <v>73</v>
      </c>
      <c r="M156">
        <v>1</v>
      </c>
    </row>
    <row r="157" spans="1:13" x14ac:dyDescent="0.25">
      <c r="A157" s="1">
        <v>46134</v>
      </c>
      <c r="B157" s="1" t="str">
        <f ca="1">IF(Información1[[#This Row],[Fecha]]='Ajuste de fechas'!$A$2,"Día actual","Día anterior")</f>
        <v>Día anterior</v>
      </c>
      <c r="C157" t="s">
        <v>38</v>
      </c>
      <c r="D157" t="s">
        <v>41</v>
      </c>
      <c r="E157" t="s">
        <v>229</v>
      </c>
      <c r="F157" t="s">
        <v>26</v>
      </c>
      <c r="G157" t="s">
        <v>230</v>
      </c>
      <c r="H157" t="s">
        <v>11</v>
      </c>
      <c r="I157" t="s">
        <v>7</v>
      </c>
      <c r="J157" t="s">
        <v>26</v>
      </c>
      <c r="K157" t="s">
        <v>39</v>
      </c>
      <c r="L157" t="s">
        <v>74</v>
      </c>
      <c r="M157">
        <v>1</v>
      </c>
    </row>
    <row r="158" spans="1:13" x14ac:dyDescent="0.25">
      <c r="A158" s="1">
        <v>46134</v>
      </c>
      <c r="B158" s="1" t="str">
        <f ca="1">IF(Información1[[#This Row],[Fecha]]='Ajuste de fechas'!$A$2,"Día actual","Día anterior")</f>
        <v>Día anterior</v>
      </c>
      <c r="C158" t="s">
        <v>38</v>
      </c>
      <c r="D158" t="s">
        <v>41</v>
      </c>
      <c r="E158" t="s">
        <v>231</v>
      </c>
      <c r="F158" t="s">
        <v>21</v>
      </c>
      <c r="G158" t="s">
        <v>230</v>
      </c>
      <c r="H158" t="s">
        <v>11</v>
      </c>
      <c r="I158" t="s">
        <v>7</v>
      </c>
      <c r="J158" t="s">
        <v>72</v>
      </c>
      <c r="K158" t="s">
        <v>39</v>
      </c>
      <c r="L158" t="s">
        <v>73</v>
      </c>
      <c r="M158">
        <v>1</v>
      </c>
    </row>
    <row r="159" spans="1:13" x14ac:dyDescent="0.25">
      <c r="A159" s="1">
        <v>46134</v>
      </c>
      <c r="B159" s="1" t="str">
        <f ca="1">IF(Información1[[#This Row],[Fecha]]='Ajuste de fechas'!$A$2,"Día actual","Día anterior")</f>
        <v>Día anterior</v>
      </c>
      <c r="C159" t="s">
        <v>38</v>
      </c>
      <c r="D159" t="s">
        <v>40</v>
      </c>
      <c r="E159" t="s">
        <v>232</v>
      </c>
      <c r="F159" t="s">
        <v>19</v>
      </c>
      <c r="G159" t="s">
        <v>233</v>
      </c>
      <c r="H159" t="s">
        <v>11</v>
      </c>
      <c r="I159" t="s">
        <v>7</v>
      </c>
      <c r="J159" t="s">
        <v>76</v>
      </c>
      <c r="K159" t="s">
        <v>64</v>
      </c>
      <c r="L159" t="s">
        <v>73</v>
      </c>
      <c r="M159">
        <v>1</v>
      </c>
    </row>
    <row r="160" spans="1:13" x14ac:dyDescent="0.25">
      <c r="A160" s="1">
        <v>46134</v>
      </c>
      <c r="B160" s="1" t="str">
        <f ca="1">IF(Información1[[#This Row],[Fecha]]='Ajuste de fechas'!$A$2,"Día actual","Día anterior")</f>
        <v>Día anterior</v>
      </c>
      <c r="C160" t="s">
        <v>57</v>
      </c>
      <c r="D160" t="s">
        <v>58</v>
      </c>
      <c r="E160" t="s">
        <v>234</v>
      </c>
      <c r="F160" t="s">
        <v>19</v>
      </c>
      <c r="G160" t="s">
        <v>46</v>
      </c>
      <c r="H160" t="s">
        <v>11</v>
      </c>
      <c r="I160" t="s">
        <v>7</v>
      </c>
      <c r="J160" t="s">
        <v>76</v>
      </c>
      <c r="K160" t="s">
        <v>59</v>
      </c>
      <c r="L160" t="s">
        <v>73</v>
      </c>
      <c r="M160">
        <v>1</v>
      </c>
    </row>
    <row r="161" spans="1:13" x14ac:dyDescent="0.25">
      <c r="A161" s="1">
        <v>46134</v>
      </c>
      <c r="B161" s="1" t="str">
        <f ca="1">IF(Información1[[#This Row],[Fecha]]='Ajuste de fechas'!$A$2,"Día actual","Día anterior")</f>
        <v>Día anterior</v>
      </c>
      <c r="C161" t="s">
        <v>57</v>
      </c>
      <c r="D161" t="s">
        <v>58</v>
      </c>
      <c r="E161" t="s">
        <v>235</v>
      </c>
      <c r="F161" t="s">
        <v>19</v>
      </c>
      <c r="G161" t="s">
        <v>46</v>
      </c>
      <c r="H161" t="s">
        <v>11</v>
      </c>
      <c r="I161" t="s">
        <v>7</v>
      </c>
      <c r="J161" t="s">
        <v>76</v>
      </c>
      <c r="K161" t="s">
        <v>59</v>
      </c>
      <c r="L161" t="s">
        <v>73</v>
      </c>
      <c r="M161">
        <v>1</v>
      </c>
    </row>
    <row r="162" spans="1:13" x14ac:dyDescent="0.25">
      <c r="A162" s="1">
        <v>46134</v>
      </c>
      <c r="B162" s="1" t="str">
        <f ca="1">IF(Información1[[#This Row],[Fecha]]='Ajuste de fechas'!$A$2,"Día actual","Día anterior")</f>
        <v>Día anterior</v>
      </c>
      <c r="C162" t="s">
        <v>57</v>
      </c>
      <c r="D162" t="s">
        <v>58</v>
      </c>
      <c r="E162" t="s">
        <v>236</v>
      </c>
      <c r="F162" t="s">
        <v>23</v>
      </c>
      <c r="G162" t="s">
        <v>46</v>
      </c>
      <c r="H162" t="s">
        <v>11</v>
      </c>
      <c r="I162" t="s">
        <v>7</v>
      </c>
      <c r="J162" t="s">
        <v>77</v>
      </c>
      <c r="K162" t="s">
        <v>59</v>
      </c>
      <c r="L162" t="s">
        <v>73</v>
      </c>
      <c r="M162">
        <v>1</v>
      </c>
    </row>
    <row r="163" spans="1:13" x14ac:dyDescent="0.25">
      <c r="A163" s="1">
        <v>46134</v>
      </c>
      <c r="B163" s="1" t="str">
        <f ca="1">IF(Información1[[#This Row],[Fecha]]='Ajuste de fechas'!$A$2,"Día actual","Día anterior")</f>
        <v>Día anterior</v>
      </c>
      <c r="C163" t="s">
        <v>57</v>
      </c>
      <c r="D163" t="s">
        <v>58</v>
      </c>
      <c r="E163" t="s">
        <v>237</v>
      </c>
      <c r="F163" t="s">
        <v>137</v>
      </c>
      <c r="G163" t="s">
        <v>95</v>
      </c>
      <c r="H163" t="s">
        <v>11</v>
      </c>
      <c r="I163" t="s">
        <v>7</v>
      </c>
      <c r="J163" t="s">
        <v>72</v>
      </c>
      <c r="K163" t="s">
        <v>59</v>
      </c>
      <c r="L163" t="s">
        <v>73</v>
      </c>
      <c r="M163">
        <v>1</v>
      </c>
    </row>
    <row r="164" spans="1:13" x14ac:dyDescent="0.25">
      <c r="A164" s="1">
        <v>46134</v>
      </c>
      <c r="B164" s="1" t="str">
        <f ca="1">IF(Información1[[#This Row],[Fecha]]='Ajuste de fechas'!$A$2,"Día actual","Día anterior")</f>
        <v>Día anterior</v>
      </c>
      <c r="C164" t="s">
        <v>57</v>
      </c>
      <c r="D164" t="s">
        <v>58</v>
      </c>
      <c r="E164" t="s">
        <v>238</v>
      </c>
      <c r="F164" t="s">
        <v>19</v>
      </c>
      <c r="G164" t="s">
        <v>96</v>
      </c>
      <c r="H164" t="s">
        <v>11</v>
      </c>
      <c r="I164" t="s">
        <v>7</v>
      </c>
      <c r="J164" t="s">
        <v>76</v>
      </c>
      <c r="K164" t="s">
        <v>59</v>
      </c>
      <c r="L164" t="s">
        <v>73</v>
      </c>
      <c r="M164">
        <v>1</v>
      </c>
    </row>
    <row r="165" spans="1:13" x14ac:dyDescent="0.25">
      <c r="A165" s="1">
        <v>46134</v>
      </c>
      <c r="B165" s="1" t="str">
        <f ca="1">IF(Información1[[#This Row],[Fecha]]='Ajuste de fechas'!$A$2,"Día actual","Día anterior")</f>
        <v>Día anterior</v>
      </c>
      <c r="C165" t="s">
        <v>57</v>
      </c>
      <c r="D165" t="s">
        <v>58</v>
      </c>
      <c r="E165" t="s">
        <v>239</v>
      </c>
      <c r="F165" t="s">
        <v>47</v>
      </c>
      <c r="G165" t="s">
        <v>240</v>
      </c>
      <c r="H165" t="s">
        <v>11</v>
      </c>
      <c r="I165" t="s">
        <v>7</v>
      </c>
      <c r="J165" t="s">
        <v>72</v>
      </c>
      <c r="K165" t="s">
        <v>59</v>
      </c>
      <c r="L165" t="s">
        <v>78</v>
      </c>
      <c r="M165">
        <v>1</v>
      </c>
    </row>
    <row r="166" spans="1:13" x14ac:dyDescent="0.25">
      <c r="A166" s="1">
        <v>46134</v>
      </c>
      <c r="B166" s="1" t="str">
        <f ca="1">IF(Información1[[#This Row],[Fecha]]='Ajuste de fechas'!$A$2,"Día actual","Día anterior")</f>
        <v>Día anterior</v>
      </c>
      <c r="C166" t="s">
        <v>57</v>
      </c>
      <c r="D166" t="s">
        <v>58</v>
      </c>
      <c r="E166" t="s">
        <v>241</v>
      </c>
      <c r="F166" t="s">
        <v>19</v>
      </c>
      <c r="G166" t="s">
        <v>122</v>
      </c>
      <c r="H166" t="s">
        <v>11</v>
      </c>
      <c r="I166" t="s">
        <v>7</v>
      </c>
      <c r="J166" t="s">
        <v>76</v>
      </c>
      <c r="K166" t="s">
        <v>59</v>
      </c>
      <c r="L166" t="s">
        <v>73</v>
      </c>
      <c r="M166">
        <v>1</v>
      </c>
    </row>
    <row r="167" spans="1:13" x14ac:dyDescent="0.25">
      <c r="A167" s="1">
        <v>46134</v>
      </c>
      <c r="B167" s="1" t="str">
        <f ca="1">IF(Información1[[#This Row],[Fecha]]='Ajuste de fechas'!$A$2,"Día actual","Día anterior")</f>
        <v>Día anterior</v>
      </c>
      <c r="C167" t="s">
        <v>57</v>
      </c>
      <c r="D167" t="s">
        <v>58</v>
      </c>
      <c r="E167" t="s">
        <v>242</v>
      </c>
      <c r="F167" t="s">
        <v>21</v>
      </c>
      <c r="G167" t="s">
        <v>107</v>
      </c>
      <c r="H167" t="s">
        <v>11</v>
      </c>
      <c r="I167" t="s">
        <v>7</v>
      </c>
      <c r="J167" t="s">
        <v>72</v>
      </c>
      <c r="K167" t="s">
        <v>59</v>
      </c>
      <c r="L167" t="s">
        <v>75</v>
      </c>
      <c r="M167">
        <v>1</v>
      </c>
    </row>
    <row r="168" spans="1:13" x14ac:dyDescent="0.25">
      <c r="A168" s="1">
        <v>46134</v>
      </c>
      <c r="B168" s="1" t="str">
        <f ca="1">IF(Información1[[#This Row],[Fecha]]='Ajuste de fechas'!$A$2,"Día actual","Día anterior")</f>
        <v>Día anterior</v>
      </c>
      <c r="C168" t="s">
        <v>57</v>
      </c>
      <c r="D168" t="s">
        <v>58</v>
      </c>
      <c r="E168" t="s">
        <v>243</v>
      </c>
      <c r="F168" t="s">
        <v>15</v>
      </c>
      <c r="G168" t="s">
        <v>244</v>
      </c>
      <c r="H168" t="s">
        <v>11</v>
      </c>
      <c r="I168" t="s">
        <v>7</v>
      </c>
      <c r="J168" t="s">
        <v>72</v>
      </c>
      <c r="K168" t="s">
        <v>59</v>
      </c>
      <c r="L168" t="s">
        <v>73</v>
      </c>
      <c r="M168">
        <v>1</v>
      </c>
    </row>
    <row r="169" spans="1:13" x14ac:dyDescent="0.25">
      <c r="A169" s="1">
        <v>46134</v>
      </c>
      <c r="B169" s="1" t="str">
        <f ca="1">IF(Información1[[#This Row],[Fecha]]='Ajuste de fechas'!$A$2,"Día actual","Día anterior")</f>
        <v>Día anterior</v>
      </c>
      <c r="C169" t="s">
        <v>57</v>
      </c>
      <c r="D169" t="s">
        <v>58</v>
      </c>
      <c r="E169" t="s">
        <v>245</v>
      </c>
      <c r="F169" t="s">
        <v>127</v>
      </c>
      <c r="G169" t="s">
        <v>85</v>
      </c>
      <c r="H169" t="s">
        <v>11</v>
      </c>
      <c r="I169" t="s">
        <v>7</v>
      </c>
      <c r="J169" t="s">
        <v>72</v>
      </c>
      <c r="K169" t="s">
        <v>59</v>
      </c>
      <c r="L169" t="s">
        <v>73</v>
      </c>
      <c r="M169">
        <v>1</v>
      </c>
    </row>
    <row r="170" spans="1:13" x14ac:dyDescent="0.25">
      <c r="A170" s="1">
        <v>46134</v>
      </c>
      <c r="B170" s="1" t="str">
        <f ca="1">IF(Información1[[#This Row],[Fecha]]='Ajuste de fechas'!$A$2,"Día actual","Día anterior")</f>
        <v>Día anterior</v>
      </c>
      <c r="C170" t="s">
        <v>57</v>
      </c>
      <c r="D170" t="s">
        <v>58</v>
      </c>
      <c r="E170" t="s">
        <v>246</v>
      </c>
      <c r="F170" t="s">
        <v>25</v>
      </c>
      <c r="G170" t="s">
        <v>160</v>
      </c>
      <c r="H170" t="s">
        <v>11</v>
      </c>
      <c r="I170" t="s">
        <v>7</v>
      </c>
      <c r="J170" t="s">
        <v>72</v>
      </c>
      <c r="K170" t="s">
        <v>59</v>
      </c>
      <c r="L170" t="s">
        <v>73</v>
      </c>
      <c r="M170">
        <v>1</v>
      </c>
    </row>
    <row r="171" spans="1:13" x14ac:dyDescent="0.25">
      <c r="A171" s="1">
        <v>46134</v>
      </c>
      <c r="B171" s="1" t="str">
        <f ca="1">IF(Información1[[#This Row],[Fecha]]='Ajuste de fechas'!$A$2,"Día actual","Día anterior")</f>
        <v>Día anterior</v>
      </c>
      <c r="C171" t="s">
        <v>57</v>
      </c>
      <c r="D171" t="s">
        <v>58</v>
      </c>
      <c r="E171" t="s">
        <v>247</v>
      </c>
      <c r="F171" t="s">
        <v>37</v>
      </c>
      <c r="G171" t="s">
        <v>248</v>
      </c>
      <c r="H171" t="s">
        <v>11</v>
      </c>
      <c r="I171" t="s">
        <v>27</v>
      </c>
      <c r="J171" t="s">
        <v>72</v>
      </c>
      <c r="K171" t="s">
        <v>9</v>
      </c>
      <c r="L171" t="s">
        <v>74</v>
      </c>
      <c r="M171">
        <v>1</v>
      </c>
    </row>
    <row r="172" spans="1:13" x14ac:dyDescent="0.25">
      <c r="A172" s="1">
        <v>46134</v>
      </c>
      <c r="B172" s="1" t="str">
        <f ca="1">IF(Información1[[#This Row],[Fecha]]='Ajuste de fechas'!$A$2,"Día actual","Día anterior")</f>
        <v>Día anterior</v>
      </c>
      <c r="C172" t="s">
        <v>57</v>
      </c>
      <c r="D172" t="s">
        <v>58</v>
      </c>
      <c r="E172" t="s">
        <v>249</v>
      </c>
      <c r="F172" t="s">
        <v>19</v>
      </c>
      <c r="G172" t="s">
        <v>106</v>
      </c>
      <c r="H172" t="s">
        <v>11</v>
      </c>
      <c r="I172" t="s">
        <v>7</v>
      </c>
      <c r="J172" t="s">
        <v>76</v>
      </c>
      <c r="K172" t="s">
        <v>59</v>
      </c>
      <c r="L172" t="s">
        <v>73</v>
      </c>
      <c r="M172">
        <v>1</v>
      </c>
    </row>
    <row r="173" spans="1:13" x14ac:dyDescent="0.25">
      <c r="A173" s="1">
        <v>46134</v>
      </c>
      <c r="B173" s="1" t="str">
        <f ca="1">IF(Información1[[#This Row],[Fecha]]='Ajuste de fechas'!$A$2,"Día actual","Día anterior")</f>
        <v>Día anterior</v>
      </c>
      <c r="C173" t="s">
        <v>57</v>
      </c>
      <c r="D173" t="s">
        <v>58</v>
      </c>
      <c r="E173" t="s">
        <v>250</v>
      </c>
      <c r="F173" t="s">
        <v>37</v>
      </c>
      <c r="G173" t="s">
        <v>251</v>
      </c>
      <c r="H173" t="s">
        <v>11</v>
      </c>
      <c r="I173" t="s">
        <v>27</v>
      </c>
      <c r="J173" t="s">
        <v>72</v>
      </c>
      <c r="K173" t="s">
        <v>59</v>
      </c>
      <c r="L173" t="s">
        <v>73</v>
      </c>
      <c r="M173">
        <v>1</v>
      </c>
    </row>
    <row r="174" spans="1:13" x14ac:dyDescent="0.25">
      <c r="A174" s="1">
        <v>46134</v>
      </c>
      <c r="B174" s="1" t="str">
        <f ca="1">IF(Información1[[#This Row],[Fecha]]='Ajuste de fechas'!$A$2,"Día actual","Día anterior")</f>
        <v>Día anterior</v>
      </c>
      <c r="C174" t="s">
        <v>57</v>
      </c>
      <c r="D174" t="s">
        <v>58</v>
      </c>
      <c r="E174" t="s">
        <v>252</v>
      </c>
      <c r="F174" t="s">
        <v>22</v>
      </c>
      <c r="G174" t="s">
        <v>62</v>
      </c>
      <c r="H174" t="s">
        <v>11</v>
      </c>
      <c r="I174" t="s">
        <v>7</v>
      </c>
      <c r="J174" t="s">
        <v>26</v>
      </c>
      <c r="K174" t="s">
        <v>59</v>
      </c>
      <c r="L174" t="s">
        <v>73</v>
      </c>
      <c r="M174">
        <v>1</v>
      </c>
    </row>
    <row r="175" spans="1:13" x14ac:dyDescent="0.25">
      <c r="A175" s="1">
        <v>46134</v>
      </c>
      <c r="B175" s="1" t="str">
        <f ca="1">IF(Información1[[#This Row],[Fecha]]='Ajuste de fechas'!$A$2,"Día actual","Día anterior")</f>
        <v>Día anterior</v>
      </c>
      <c r="C175" t="s">
        <v>57</v>
      </c>
      <c r="D175" t="s">
        <v>58</v>
      </c>
      <c r="E175" t="s">
        <v>253</v>
      </c>
      <c r="F175" t="s">
        <v>37</v>
      </c>
      <c r="G175" t="s">
        <v>254</v>
      </c>
      <c r="H175" t="s">
        <v>11</v>
      </c>
      <c r="I175" t="s">
        <v>27</v>
      </c>
      <c r="J175" t="s">
        <v>72</v>
      </c>
      <c r="K175" t="s">
        <v>59</v>
      </c>
      <c r="L175" t="s">
        <v>74</v>
      </c>
      <c r="M175">
        <v>1</v>
      </c>
    </row>
    <row r="176" spans="1:13" x14ac:dyDescent="0.25">
      <c r="A176" s="1">
        <v>46134</v>
      </c>
      <c r="B176" s="1" t="str">
        <f ca="1">IF(Información1[[#This Row],[Fecha]]='Ajuste de fechas'!$A$2,"Día actual","Día anterior")</f>
        <v>Día anterior</v>
      </c>
      <c r="C176" t="s">
        <v>57</v>
      </c>
      <c r="D176" t="s">
        <v>58</v>
      </c>
      <c r="E176" t="s">
        <v>255</v>
      </c>
      <c r="F176" t="s">
        <v>37</v>
      </c>
      <c r="G176" t="s">
        <v>254</v>
      </c>
      <c r="H176" t="s">
        <v>11</v>
      </c>
      <c r="I176" t="s">
        <v>7</v>
      </c>
      <c r="J176" t="s">
        <v>72</v>
      </c>
      <c r="K176" t="s">
        <v>59</v>
      </c>
      <c r="L176" t="s">
        <v>73</v>
      </c>
      <c r="M176">
        <v>1</v>
      </c>
    </row>
    <row r="177" spans="1:13" x14ac:dyDescent="0.25">
      <c r="A177" s="1">
        <v>46134</v>
      </c>
      <c r="B177" s="1" t="str">
        <f ca="1">IF(Información1[[#This Row],[Fecha]]='Ajuste de fechas'!$A$2,"Día actual","Día anterior")</f>
        <v>Día anterior</v>
      </c>
      <c r="C177" t="s">
        <v>57</v>
      </c>
      <c r="D177" t="s">
        <v>58</v>
      </c>
      <c r="E177" t="s">
        <v>256</v>
      </c>
      <c r="F177" t="s">
        <v>50</v>
      </c>
      <c r="G177" t="s">
        <v>257</v>
      </c>
      <c r="H177" t="s">
        <v>11</v>
      </c>
      <c r="I177" t="s">
        <v>7</v>
      </c>
      <c r="J177" t="s">
        <v>72</v>
      </c>
      <c r="K177" t="s">
        <v>59</v>
      </c>
      <c r="L177" t="s">
        <v>74</v>
      </c>
      <c r="M177">
        <v>1</v>
      </c>
    </row>
    <row r="178" spans="1:13" x14ac:dyDescent="0.25">
      <c r="A178" s="1">
        <v>46134</v>
      </c>
      <c r="B178" s="1" t="str">
        <f ca="1">IF(Información1[[#This Row],[Fecha]]='Ajuste de fechas'!$A$2,"Día actual","Día anterior")</f>
        <v>Día anterior</v>
      </c>
      <c r="C178" t="s">
        <v>57</v>
      </c>
      <c r="D178" t="s">
        <v>58</v>
      </c>
      <c r="E178" t="s">
        <v>258</v>
      </c>
      <c r="F178" t="s">
        <v>19</v>
      </c>
      <c r="G178" t="s">
        <v>46</v>
      </c>
      <c r="H178" t="s">
        <v>11</v>
      </c>
      <c r="I178" t="s">
        <v>7</v>
      </c>
      <c r="J178" t="s">
        <v>76</v>
      </c>
      <c r="K178" t="s">
        <v>59</v>
      </c>
      <c r="L178" t="s">
        <v>73</v>
      </c>
      <c r="M178">
        <v>1</v>
      </c>
    </row>
    <row r="179" spans="1:13" x14ac:dyDescent="0.25">
      <c r="A179" s="1">
        <v>46134</v>
      </c>
      <c r="B179" s="1" t="str">
        <f ca="1">IF(Información1[[#This Row],[Fecha]]='Ajuste de fechas'!$A$2,"Día actual","Día anterior")</f>
        <v>Día anterior</v>
      </c>
      <c r="C179" t="s">
        <v>57</v>
      </c>
      <c r="D179" t="s">
        <v>58</v>
      </c>
      <c r="E179" t="s">
        <v>259</v>
      </c>
      <c r="F179" t="s">
        <v>23</v>
      </c>
      <c r="G179" t="s">
        <v>260</v>
      </c>
      <c r="H179" t="s">
        <v>11</v>
      </c>
      <c r="I179" t="s">
        <v>7</v>
      </c>
      <c r="J179" t="s">
        <v>77</v>
      </c>
      <c r="K179" t="s">
        <v>59</v>
      </c>
      <c r="L179" t="s">
        <v>73</v>
      </c>
      <c r="M179">
        <v>1</v>
      </c>
    </row>
    <row r="180" spans="1:13" x14ac:dyDescent="0.25">
      <c r="A180" s="1">
        <v>46134</v>
      </c>
      <c r="B180" s="1" t="str">
        <f ca="1">IF(Información1[[#This Row],[Fecha]]='Ajuste de fechas'!$A$2,"Día actual","Día anterior")</f>
        <v>Día anterior</v>
      </c>
      <c r="C180" t="s">
        <v>57</v>
      </c>
      <c r="D180" t="s">
        <v>58</v>
      </c>
      <c r="E180" t="s">
        <v>261</v>
      </c>
      <c r="F180" t="s">
        <v>22</v>
      </c>
      <c r="G180" t="s">
        <v>227</v>
      </c>
      <c r="H180" t="s">
        <v>11</v>
      </c>
      <c r="I180" t="s">
        <v>7</v>
      </c>
      <c r="J180" t="s">
        <v>26</v>
      </c>
      <c r="K180" t="s">
        <v>59</v>
      </c>
      <c r="L180" t="s">
        <v>73</v>
      </c>
      <c r="M180">
        <v>1</v>
      </c>
    </row>
    <row r="181" spans="1:13" x14ac:dyDescent="0.25">
      <c r="A181" s="1">
        <v>46134</v>
      </c>
      <c r="B181" s="1" t="str">
        <f ca="1">IF(Información1[[#This Row],[Fecha]]='Ajuste de fechas'!$A$2,"Día actual","Día anterior")</f>
        <v>Día anterior</v>
      </c>
      <c r="C181" t="s">
        <v>48</v>
      </c>
      <c r="D181" t="s">
        <v>49</v>
      </c>
      <c r="E181" t="s">
        <v>262</v>
      </c>
      <c r="F181" t="s">
        <v>19</v>
      </c>
      <c r="G181" t="s">
        <v>90</v>
      </c>
      <c r="H181" t="s">
        <v>45</v>
      </c>
      <c r="I181" t="s">
        <v>7</v>
      </c>
      <c r="J181" t="s">
        <v>76</v>
      </c>
      <c r="K181" t="s">
        <v>9</v>
      </c>
      <c r="L181" t="s">
        <v>73</v>
      </c>
      <c r="M181">
        <v>1</v>
      </c>
    </row>
    <row r="182" spans="1:13" x14ac:dyDescent="0.25">
      <c r="A182" s="1">
        <v>46134</v>
      </c>
      <c r="B182" s="1" t="str">
        <f ca="1">IF(Información1[[#This Row],[Fecha]]='Ajuste de fechas'!$A$2,"Día actual","Día anterior")</f>
        <v>Día anterior</v>
      </c>
      <c r="C182" t="s">
        <v>48</v>
      </c>
      <c r="D182" t="s">
        <v>49</v>
      </c>
      <c r="E182" t="s">
        <v>263</v>
      </c>
      <c r="F182" t="s">
        <v>19</v>
      </c>
      <c r="G182" t="s">
        <v>87</v>
      </c>
      <c r="H182" t="s">
        <v>45</v>
      </c>
      <c r="I182" t="s">
        <v>27</v>
      </c>
      <c r="J182" t="s">
        <v>76</v>
      </c>
      <c r="K182" t="s">
        <v>30</v>
      </c>
      <c r="L182" t="s">
        <v>73</v>
      </c>
      <c r="M182">
        <v>1</v>
      </c>
    </row>
    <row r="183" spans="1:13" x14ac:dyDescent="0.25">
      <c r="A183" s="1">
        <v>46134</v>
      </c>
      <c r="B183" s="1" t="str">
        <f ca="1">IF(Información1[[#This Row],[Fecha]]='Ajuste de fechas'!$A$2,"Día actual","Día anterior")</f>
        <v>Día anterior</v>
      </c>
      <c r="C183" t="s">
        <v>48</v>
      </c>
      <c r="D183" t="s">
        <v>49</v>
      </c>
      <c r="E183" t="s">
        <v>264</v>
      </c>
      <c r="F183" t="s">
        <v>149</v>
      </c>
      <c r="G183" t="s">
        <v>150</v>
      </c>
      <c r="H183" t="s">
        <v>45</v>
      </c>
      <c r="I183" t="s">
        <v>7</v>
      </c>
      <c r="J183" t="s">
        <v>72</v>
      </c>
      <c r="K183" t="s">
        <v>30</v>
      </c>
      <c r="L183" t="s">
        <v>73</v>
      </c>
      <c r="M183">
        <v>1</v>
      </c>
    </row>
    <row r="184" spans="1:13" x14ac:dyDescent="0.25">
      <c r="A184" s="1">
        <v>46134</v>
      </c>
      <c r="B184" s="1" t="str">
        <f ca="1">IF(Información1[[#This Row],[Fecha]]='Ajuste de fechas'!$A$2,"Día actual","Día anterior")</f>
        <v>Día anterior</v>
      </c>
      <c r="C184" t="s">
        <v>48</v>
      </c>
      <c r="D184" t="s">
        <v>49</v>
      </c>
      <c r="E184" t="s">
        <v>265</v>
      </c>
      <c r="F184" t="s">
        <v>19</v>
      </c>
      <c r="G184" t="s">
        <v>46</v>
      </c>
      <c r="H184" t="s">
        <v>45</v>
      </c>
      <c r="I184" t="s">
        <v>7</v>
      </c>
      <c r="J184" t="s">
        <v>76</v>
      </c>
      <c r="K184" t="s">
        <v>30</v>
      </c>
      <c r="L184" t="s">
        <v>73</v>
      </c>
      <c r="M184">
        <v>1</v>
      </c>
    </row>
    <row r="185" spans="1:13" x14ac:dyDescent="0.25">
      <c r="A185" s="1">
        <v>46134</v>
      </c>
      <c r="B185" s="1" t="str">
        <f ca="1">IF(Información1[[#This Row],[Fecha]]='Ajuste de fechas'!$A$2,"Día actual","Día anterior")</f>
        <v>Día anterior</v>
      </c>
      <c r="C185" t="s">
        <v>48</v>
      </c>
      <c r="D185" t="s">
        <v>49</v>
      </c>
      <c r="E185" t="s">
        <v>266</v>
      </c>
      <c r="F185" t="s">
        <v>15</v>
      </c>
      <c r="G185" t="s">
        <v>267</v>
      </c>
      <c r="H185" t="s">
        <v>45</v>
      </c>
      <c r="I185" t="s">
        <v>7</v>
      </c>
      <c r="J185" t="s">
        <v>72</v>
      </c>
      <c r="K185" t="s">
        <v>30</v>
      </c>
      <c r="L185" t="s">
        <v>75</v>
      </c>
      <c r="M185">
        <v>1</v>
      </c>
    </row>
    <row r="186" spans="1:13" x14ac:dyDescent="0.25">
      <c r="A186" s="1">
        <v>46134</v>
      </c>
      <c r="B186" s="1" t="str">
        <f ca="1">IF(Información1[[#This Row],[Fecha]]='Ajuste de fechas'!$A$2,"Día actual","Día anterior")</f>
        <v>Día anterior</v>
      </c>
      <c r="C186" t="s">
        <v>48</v>
      </c>
      <c r="D186" t="s">
        <v>49</v>
      </c>
      <c r="E186" t="s">
        <v>268</v>
      </c>
      <c r="F186" t="s">
        <v>21</v>
      </c>
      <c r="G186" t="s">
        <v>158</v>
      </c>
      <c r="H186" t="s">
        <v>45</v>
      </c>
      <c r="I186" t="s">
        <v>7</v>
      </c>
      <c r="J186" t="s">
        <v>72</v>
      </c>
      <c r="K186" t="s">
        <v>30</v>
      </c>
      <c r="L186" t="s">
        <v>73</v>
      </c>
      <c r="M186">
        <v>1</v>
      </c>
    </row>
    <row r="187" spans="1:13" x14ac:dyDescent="0.25">
      <c r="A187" s="1">
        <v>46134</v>
      </c>
      <c r="B187" s="1" t="str">
        <f ca="1">IF(Información1[[#This Row],[Fecha]]='Ajuste de fechas'!$A$2,"Día actual","Día anterior")</f>
        <v>Día anterior</v>
      </c>
      <c r="C187" t="s">
        <v>48</v>
      </c>
      <c r="D187" t="s">
        <v>49</v>
      </c>
      <c r="E187" t="s">
        <v>269</v>
      </c>
      <c r="F187" t="s">
        <v>22</v>
      </c>
      <c r="G187" t="s">
        <v>147</v>
      </c>
      <c r="H187" t="s">
        <v>45</v>
      </c>
      <c r="I187" t="s">
        <v>7</v>
      </c>
      <c r="J187" t="s">
        <v>26</v>
      </c>
      <c r="K187" t="s">
        <v>30</v>
      </c>
      <c r="L187" t="s">
        <v>73</v>
      </c>
      <c r="M187">
        <v>1</v>
      </c>
    </row>
    <row r="188" spans="1:13" x14ac:dyDescent="0.25">
      <c r="A188" s="1">
        <v>46134</v>
      </c>
      <c r="B188" s="1" t="str">
        <f ca="1">IF(Información1[[#This Row],[Fecha]]='Ajuste de fechas'!$A$2,"Día actual","Día anterior")</f>
        <v>Día anterior</v>
      </c>
      <c r="C188" t="s">
        <v>48</v>
      </c>
      <c r="D188" t="s">
        <v>49</v>
      </c>
      <c r="E188" t="s">
        <v>270</v>
      </c>
      <c r="F188" t="s">
        <v>19</v>
      </c>
      <c r="G188" t="s">
        <v>93</v>
      </c>
      <c r="H188" t="s">
        <v>45</v>
      </c>
      <c r="I188" t="s">
        <v>7</v>
      </c>
      <c r="J188" t="s">
        <v>76</v>
      </c>
      <c r="K188" t="s">
        <v>30</v>
      </c>
      <c r="L188" t="s">
        <v>73</v>
      </c>
      <c r="M188">
        <v>1</v>
      </c>
    </row>
    <row r="189" spans="1:13" x14ac:dyDescent="0.25">
      <c r="A189" s="1">
        <v>46134</v>
      </c>
      <c r="B189" s="1" t="str">
        <f ca="1">IF(Información1[[#This Row],[Fecha]]='Ajuste de fechas'!$A$2,"Día actual","Día anterior")</f>
        <v>Día anterior</v>
      </c>
      <c r="C189" t="s">
        <v>48</v>
      </c>
      <c r="D189" t="s">
        <v>49</v>
      </c>
      <c r="E189" t="s">
        <v>271</v>
      </c>
      <c r="F189" t="s">
        <v>24</v>
      </c>
      <c r="G189" t="s">
        <v>95</v>
      </c>
      <c r="H189" t="s">
        <v>45</v>
      </c>
      <c r="I189" t="s">
        <v>7</v>
      </c>
      <c r="J189" t="s">
        <v>72</v>
      </c>
      <c r="K189" t="s">
        <v>30</v>
      </c>
      <c r="L189" t="s">
        <v>73</v>
      </c>
      <c r="M189">
        <v>1</v>
      </c>
    </row>
    <row r="190" spans="1:13" x14ac:dyDescent="0.25">
      <c r="A190" s="1">
        <v>46134</v>
      </c>
      <c r="B190" s="1" t="str">
        <f ca="1">IF(Información1[[#This Row],[Fecha]]='Ajuste de fechas'!$A$2,"Día actual","Día anterior")</f>
        <v>Día anterior</v>
      </c>
      <c r="C190" t="s">
        <v>48</v>
      </c>
      <c r="D190" t="s">
        <v>49</v>
      </c>
      <c r="E190" t="s">
        <v>272</v>
      </c>
      <c r="F190" t="s">
        <v>162</v>
      </c>
      <c r="G190" t="s">
        <v>273</v>
      </c>
      <c r="H190" t="s">
        <v>45</v>
      </c>
      <c r="I190" t="s">
        <v>7</v>
      </c>
      <c r="J190" t="s">
        <v>120</v>
      </c>
      <c r="K190" t="s">
        <v>30</v>
      </c>
      <c r="L190" t="s">
        <v>73</v>
      </c>
      <c r="M190">
        <v>1</v>
      </c>
    </row>
    <row r="191" spans="1:13" x14ac:dyDescent="0.25">
      <c r="A191" s="1">
        <v>46134</v>
      </c>
      <c r="B191" s="1" t="str">
        <f ca="1">IF(Información1[[#This Row],[Fecha]]='Ajuste de fechas'!$A$2,"Día actual","Día anterior")</f>
        <v>Día anterior</v>
      </c>
      <c r="C191" t="s">
        <v>48</v>
      </c>
      <c r="D191" t="s">
        <v>49</v>
      </c>
      <c r="E191" t="s">
        <v>242</v>
      </c>
      <c r="F191" t="s">
        <v>21</v>
      </c>
      <c r="G191" t="s">
        <v>107</v>
      </c>
      <c r="H191" t="s">
        <v>45</v>
      </c>
      <c r="I191" t="s">
        <v>7</v>
      </c>
      <c r="J191" t="s">
        <v>72</v>
      </c>
      <c r="K191" t="s">
        <v>9</v>
      </c>
      <c r="L191" t="s">
        <v>75</v>
      </c>
      <c r="M191">
        <v>1</v>
      </c>
    </row>
    <row r="192" spans="1:13" x14ac:dyDescent="0.25">
      <c r="A192" s="1">
        <v>46134</v>
      </c>
      <c r="B192" s="1" t="str">
        <f ca="1">IF(Información1[[#This Row],[Fecha]]='Ajuste de fechas'!$A$2,"Día actual","Día anterior")</f>
        <v>Día anterior</v>
      </c>
      <c r="C192" t="s">
        <v>48</v>
      </c>
      <c r="D192" t="s">
        <v>49</v>
      </c>
      <c r="E192" t="s">
        <v>274</v>
      </c>
      <c r="F192" t="s">
        <v>25</v>
      </c>
      <c r="G192" t="s">
        <v>275</v>
      </c>
      <c r="H192" t="s">
        <v>45</v>
      </c>
      <c r="I192" t="s">
        <v>7</v>
      </c>
      <c r="J192" t="s">
        <v>72</v>
      </c>
      <c r="K192" t="s">
        <v>9</v>
      </c>
      <c r="L192" t="s">
        <v>75</v>
      </c>
      <c r="M192">
        <v>1</v>
      </c>
    </row>
    <row r="193" spans="1:13" x14ac:dyDescent="0.25">
      <c r="A193" s="1">
        <v>46134</v>
      </c>
      <c r="B193" s="1" t="str">
        <f ca="1">IF(Información1[[#This Row],[Fecha]]='Ajuste de fechas'!$A$2,"Día actual","Día anterior")</f>
        <v>Día anterior</v>
      </c>
      <c r="C193" t="s">
        <v>48</v>
      </c>
      <c r="D193" t="s">
        <v>49</v>
      </c>
      <c r="E193" t="s">
        <v>276</v>
      </c>
      <c r="F193" t="s">
        <v>17</v>
      </c>
      <c r="G193" t="s">
        <v>277</v>
      </c>
      <c r="H193" t="s">
        <v>45</v>
      </c>
      <c r="I193" t="s">
        <v>7</v>
      </c>
      <c r="J193" t="s">
        <v>72</v>
      </c>
      <c r="K193" t="s">
        <v>9</v>
      </c>
      <c r="L193" t="s">
        <v>74</v>
      </c>
      <c r="M193">
        <v>1</v>
      </c>
    </row>
    <row r="194" spans="1:13" x14ac:dyDescent="0.25">
      <c r="A194" s="1">
        <v>46134</v>
      </c>
      <c r="B194" s="1" t="str">
        <f ca="1">IF(Información1[[#This Row],[Fecha]]='Ajuste de fechas'!$A$2,"Día actual","Día anterior")</f>
        <v>Día anterior</v>
      </c>
      <c r="C194" t="s">
        <v>48</v>
      </c>
      <c r="D194" t="s">
        <v>49</v>
      </c>
      <c r="E194" t="s">
        <v>278</v>
      </c>
      <c r="F194" t="s">
        <v>22</v>
      </c>
      <c r="G194" t="s">
        <v>227</v>
      </c>
      <c r="H194" t="s">
        <v>45</v>
      </c>
      <c r="I194" t="s">
        <v>7</v>
      </c>
      <c r="J194" t="s">
        <v>26</v>
      </c>
      <c r="K194" t="s">
        <v>30</v>
      </c>
      <c r="L194" t="s">
        <v>73</v>
      </c>
      <c r="M194">
        <v>1</v>
      </c>
    </row>
    <row r="195" spans="1:13" x14ac:dyDescent="0.25">
      <c r="A195" s="1">
        <v>46134</v>
      </c>
      <c r="B195" s="1" t="str">
        <f ca="1">IF(Información1[[#This Row],[Fecha]]='Ajuste de fechas'!$A$2,"Día actual","Día anterior")</f>
        <v>Día anterior</v>
      </c>
      <c r="C195" t="s">
        <v>42</v>
      </c>
      <c r="D195" t="s">
        <v>44</v>
      </c>
      <c r="E195" t="s">
        <v>333</v>
      </c>
      <c r="F195" t="s">
        <v>21</v>
      </c>
      <c r="G195" t="s">
        <v>334</v>
      </c>
      <c r="H195" t="s">
        <v>45</v>
      </c>
      <c r="I195" t="s">
        <v>7</v>
      </c>
      <c r="J195" t="s">
        <v>72</v>
      </c>
      <c r="K195" t="s">
        <v>43</v>
      </c>
      <c r="L195" t="s">
        <v>73</v>
      </c>
      <c r="M195">
        <v>1</v>
      </c>
    </row>
    <row r="196" spans="1:13" x14ac:dyDescent="0.25">
      <c r="A196" s="1">
        <v>46134</v>
      </c>
      <c r="B196" s="1" t="str">
        <f ca="1">IF(Información1[[#This Row],[Fecha]]='Ajuste de fechas'!$A$2,"Día actual","Día anterior")</f>
        <v>Día anterior</v>
      </c>
      <c r="C196" t="s">
        <v>42</v>
      </c>
      <c r="D196" t="s">
        <v>44</v>
      </c>
      <c r="E196" t="s">
        <v>335</v>
      </c>
      <c r="F196" t="s">
        <v>137</v>
      </c>
      <c r="G196" t="s">
        <v>95</v>
      </c>
      <c r="H196" t="s">
        <v>45</v>
      </c>
      <c r="I196" t="s">
        <v>7</v>
      </c>
      <c r="J196" t="s">
        <v>72</v>
      </c>
      <c r="K196" t="s">
        <v>43</v>
      </c>
      <c r="L196" t="s">
        <v>75</v>
      </c>
      <c r="M196">
        <v>1</v>
      </c>
    </row>
    <row r="197" spans="1:13" x14ac:dyDescent="0.25">
      <c r="A197" s="1">
        <v>46134</v>
      </c>
      <c r="B197" s="1" t="str">
        <f ca="1">IF(Información1[[#This Row],[Fecha]]='Ajuste de fechas'!$A$2,"Día actual","Día anterior")</f>
        <v>Día anterior</v>
      </c>
      <c r="C197" t="s">
        <v>42</v>
      </c>
      <c r="D197" t="s">
        <v>44</v>
      </c>
      <c r="E197" t="s">
        <v>336</v>
      </c>
      <c r="F197" t="s">
        <v>21</v>
      </c>
      <c r="G197" t="s">
        <v>158</v>
      </c>
      <c r="H197" t="s">
        <v>45</v>
      </c>
      <c r="I197" t="s">
        <v>7</v>
      </c>
      <c r="J197" t="s">
        <v>72</v>
      </c>
      <c r="K197" t="s">
        <v>43</v>
      </c>
      <c r="L197" t="s">
        <v>75</v>
      </c>
      <c r="M197">
        <v>1</v>
      </c>
    </row>
    <row r="198" spans="1:13" x14ac:dyDescent="0.25">
      <c r="A198" s="1">
        <v>46134</v>
      </c>
      <c r="B198" s="1" t="str">
        <f ca="1">IF(Información1[[#This Row],[Fecha]]='Ajuste de fechas'!$A$2,"Día actual","Día anterior")</f>
        <v>Día anterior</v>
      </c>
      <c r="C198" t="s">
        <v>42</v>
      </c>
      <c r="D198" t="s">
        <v>44</v>
      </c>
      <c r="E198" t="s">
        <v>337</v>
      </c>
      <c r="F198" t="s">
        <v>60</v>
      </c>
      <c r="G198" t="s">
        <v>145</v>
      </c>
      <c r="H198" t="s">
        <v>45</v>
      </c>
      <c r="I198" t="s">
        <v>7</v>
      </c>
      <c r="J198" t="s">
        <v>72</v>
      </c>
      <c r="K198" t="s">
        <v>43</v>
      </c>
      <c r="L198" t="s">
        <v>75</v>
      </c>
      <c r="M198">
        <v>1</v>
      </c>
    </row>
    <row r="199" spans="1:13" x14ac:dyDescent="0.25">
      <c r="A199" s="1">
        <v>46134</v>
      </c>
      <c r="B199" s="1" t="str">
        <f ca="1">IF(Información1[[#This Row],[Fecha]]='Ajuste de fechas'!$A$2,"Día actual","Día anterior")</f>
        <v>Día anterior</v>
      </c>
      <c r="C199" t="s">
        <v>42</v>
      </c>
      <c r="D199" t="s">
        <v>44</v>
      </c>
      <c r="E199" t="s">
        <v>242</v>
      </c>
      <c r="F199" t="s">
        <v>21</v>
      </c>
      <c r="G199" t="s">
        <v>107</v>
      </c>
      <c r="H199" t="s">
        <v>45</v>
      </c>
      <c r="I199" t="s">
        <v>7</v>
      </c>
      <c r="J199" t="s">
        <v>72</v>
      </c>
      <c r="K199" t="s">
        <v>43</v>
      </c>
      <c r="L199" t="s">
        <v>75</v>
      </c>
      <c r="M199">
        <v>1</v>
      </c>
    </row>
    <row r="200" spans="1:13" x14ac:dyDescent="0.25">
      <c r="A200" s="1">
        <v>46134</v>
      </c>
      <c r="B200" s="1" t="str">
        <f ca="1">IF(Información1[[#This Row],[Fecha]]='Ajuste de fechas'!$A$2,"Día actual","Día anterior")</f>
        <v>Día anterior</v>
      </c>
      <c r="C200" t="s">
        <v>42</v>
      </c>
      <c r="D200" t="s">
        <v>44</v>
      </c>
      <c r="E200" t="s">
        <v>338</v>
      </c>
      <c r="F200" t="s">
        <v>56</v>
      </c>
      <c r="G200" t="s">
        <v>339</v>
      </c>
      <c r="H200" t="s">
        <v>45</v>
      </c>
      <c r="I200" t="s">
        <v>7</v>
      </c>
      <c r="J200" t="s">
        <v>72</v>
      </c>
      <c r="K200" t="s">
        <v>43</v>
      </c>
      <c r="L200" t="s">
        <v>75</v>
      </c>
      <c r="M200">
        <v>1</v>
      </c>
    </row>
    <row r="201" spans="1:13" x14ac:dyDescent="0.25">
      <c r="A201" s="1">
        <v>46134</v>
      </c>
      <c r="B201" s="1" t="str">
        <f ca="1">IF(Información1[[#This Row],[Fecha]]='Ajuste de fechas'!$A$2,"Día actual","Día anterior")</f>
        <v>Día anterior</v>
      </c>
      <c r="C201" t="s">
        <v>42</v>
      </c>
      <c r="D201" t="s">
        <v>44</v>
      </c>
      <c r="E201" t="s">
        <v>274</v>
      </c>
      <c r="F201" t="s">
        <v>25</v>
      </c>
      <c r="G201" t="s">
        <v>160</v>
      </c>
      <c r="H201" t="s">
        <v>45</v>
      </c>
      <c r="I201" t="s">
        <v>7</v>
      </c>
      <c r="J201" t="s">
        <v>72</v>
      </c>
      <c r="K201" t="s">
        <v>43</v>
      </c>
      <c r="L201" t="s">
        <v>75</v>
      </c>
      <c r="M201">
        <v>1</v>
      </c>
    </row>
    <row r="202" spans="1:13" x14ac:dyDescent="0.25">
      <c r="A202" s="1">
        <v>46134</v>
      </c>
      <c r="B202" s="1" t="str">
        <f ca="1">IF(Información1[[#This Row],[Fecha]]='Ajuste de fechas'!$A$2,"Día actual","Día anterior")</f>
        <v>Día anterior</v>
      </c>
      <c r="C202" t="s">
        <v>42</v>
      </c>
      <c r="D202" t="s">
        <v>44</v>
      </c>
      <c r="E202" t="s">
        <v>266</v>
      </c>
      <c r="F202" t="s">
        <v>15</v>
      </c>
      <c r="G202" t="s">
        <v>267</v>
      </c>
      <c r="H202" t="s">
        <v>45</v>
      </c>
      <c r="I202" t="s">
        <v>7</v>
      </c>
      <c r="J202" t="s">
        <v>72</v>
      </c>
      <c r="K202" t="s">
        <v>43</v>
      </c>
      <c r="L202" t="s">
        <v>75</v>
      </c>
      <c r="M202">
        <v>1</v>
      </c>
    </row>
    <row r="203" spans="1:13" x14ac:dyDescent="0.25">
      <c r="A203" s="1">
        <v>46134</v>
      </c>
      <c r="B203" s="1" t="str">
        <f ca="1">IF(Información1[[#This Row],[Fecha]]='Ajuste de fechas'!$A$2,"Día actual","Día anterior")</f>
        <v>Día anterior</v>
      </c>
      <c r="C203" t="s">
        <v>42</v>
      </c>
      <c r="D203" t="s">
        <v>44</v>
      </c>
      <c r="E203" t="s">
        <v>340</v>
      </c>
      <c r="F203" t="s">
        <v>22</v>
      </c>
      <c r="G203" t="s">
        <v>227</v>
      </c>
      <c r="H203" t="s">
        <v>45</v>
      </c>
      <c r="I203" t="s">
        <v>7</v>
      </c>
      <c r="J203" t="s">
        <v>26</v>
      </c>
      <c r="K203" t="s">
        <v>43</v>
      </c>
      <c r="L203" t="s">
        <v>74</v>
      </c>
      <c r="M203">
        <v>1</v>
      </c>
    </row>
    <row r="204" spans="1:13" x14ac:dyDescent="0.25">
      <c r="A204" s="1">
        <v>46134</v>
      </c>
      <c r="B204" s="1" t="str">
        <f ca="1">IF(Información1[[#This Row],[Fecha]]='Ajuste de fechas'!$A$2,"Día actual","Día anterior")</f>
        <v>Día anterior</v>
      </c>
      <c r="C204" t="s">
        <v>42</v>
      </c>
      <c r="D204" t="s">
        <v>44</v>
      </c>
      <c r="E204" t="s">
        <v>341</v>
      </c>
      <c r="F204" t="s">
        <v>121</v>
      </c>
      <c r="G204" t="s">
        <v>342</v>
      </c>
      <c r="H204" t="s">
        <v>45</v>
      </c>
      <c r="I204" t="s">
        <v>7</v>
      </c>
      <c r="J204" t="s">
        <v>72</v>
      </c>
      <c r="K204" t="s">
        <v>43</v>
      </c>
      <c r="L204" t="s">
        <v>75</v>
      </c>
      <c r="M204">
        <v>1</v>
      </c>
    </row>
    <row r="205" spans="1:13" x14ac:dyDescent="0.25">
      <c r="A205" s="1">
        <v>46134</v>
      </c>
      <c r="B205" s="1" t="str">
        <f ca="1">IF(Información1[[#This Row],[Fecha]]='Ajuste de fechas'!$A$2,"Día actual","Día anterior")</f>
        <v>Día anterior</v>
      </c>
      <c r="C205" t="s">
        <v>42</v>
      </c>
      <c r="D205" t="s">
        <v>44</v>
      </c>
      <c r="E205" t="s">
        <v>343</v>
      </c>
      <c r="F205" t="s">
        <v>149</v>
      </c>
      <c r="G205" t="s">
        <v>344</v>
      </c>
      <c r="H205" t="s">
        <v>45</v>
      </c>
      <c r="I205" t="s">
        <v>7</v>
      </c>
      <c r="J205" t="s">
        <v>72</v>
      </c>
      <c r="K205" t="s">
        <v>43</v>
      </c>
      <c r="L205" t="s">
        <v>73</v>
      </c>
      <c r="M205">
        <v>1</v>
      </c>
    </row>
    <row r="206" spans="1:13" x14ac:dyDescent="0.25">
      <c r="A206" s="1">
        <v>46134</v>
      </c>
      <c r="B206" s="1" t="str">
        <f ca="1">IF(Información1[[#This Row],[Fecha]]='Ajuste de fechas'!$A$2,"Día actual","Día anterior")</f>
        <v>Día anterior</v>
      </c>
      <c r="C206" t="s">
        <v>42</v>
      </c>
      <c r="D206" t="s">
        <v>44</v>
      </c>
      <c r="E206" t="s">
        <v>345</v>
      </c>
      <c r="F206" t="s">
        <v>149</v>
      </c>
      <c r="G206" t="s">
        <v>346</v>
      </c>
      <c r="H206" t="s">
        <v>45</v>
      </c>
      <c r="I206" t="s">
        <v>7</v>
      </c>
      <c r="J206" t="s">
        <v>72</v>
      </c>
      <c r="K206" t="s">
        <v>43</v>
      </c>
      <c r="L206" t="s">
        <v>73</v>
      </c>
      <c r="M206">
        <v>1</v>
      </c>
    </row>
    <row r="207" spans="1:13" x14ac:dyDescent="0.25">
      <c r="A207" s="1">
        <v>46134</v>
      </c>
      <c r="B207" s="1" t="str">
        <f ca="1">IF(Información1[[#This Row],[Fecha]]='Ajuste de fechas'!$A$2,"Día actual","Día anterior")</f>
        <v>Día anterior</v>
      </c>
      <c r="C207" t="s">
        <v>42</v>
      </c>
      <c r="D207" t="s">
        <v>44</v>
      </c>
      <c r="E207" t="s">
        <v>347</v>
      </c>
      <c r="F207" t="s">
        <v>149</v>
      </c>
      <c r="G207" t="s">
        <v>150</v>
      </c>
      <c r="H207" t="s">
        <v>45</v>
      </c>
      <c r="I207" t="s">
        <v>7</v>
      </c>
      <c r="J207" t="s">
        <v>72</v>
      </c>
      <c r="K207" t="s">
        <v>43</v>
      </c>
      <c r="L207" t="s">
        <v>73</v>
      </c>
      <c r="M20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80</v>
      </c>
      <c r="B1" t="s">
        <v>81</v>
      </c>
    </row>
    <row r="2" spans="1:2" x14ac:dyDescent="0.25">
      <c r="A2" s="2">
        <f ca="1">TODAY()</f>
        <v>46135</v>
      </c>
      <c r="B2" s="2">
        <f ca="1">A2-1</f>
        <v>46134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2026-04-23T23:12:15Z</dcterms:modified>
</cp:coreProperties>
</file>