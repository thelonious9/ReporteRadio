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C7076777-2C0C-49E0-ACCE-3776D6A82425}"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122" i="2" l="1"/>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6" i="2"/>
  <c r="B207" i="2"/>
  <c r="B208" i="2"/>
  <c r="B10" i="2"/>
  <c r="B12" i="2"/>
  <c r="B14" i="2"/>
  <c r="B16" i="2"/>
  <c r="B18" i="2"/>
  <c r="B20" i="2"/>
  <c r="B22" i="2"/>
  <c r="B23" i="2"/>
  <c r="B25" i="2"/>
  <c r="B27" i="2"/>
  <c r="B29" i="2"/>
  <c r="B31" i="2"/>
  <c r="B33" i="2"/>
  <c r="B35" i="2"/>
  <c r="B37" i="2"/>
  <c r="B39" i="2"/>
  <c r="B41" i="2"/>
  <c r="B43" i="2"/>
  <c r="B45" i="2"/>
  <c r="B47" i="2"/>
  <c r="B49" i="2"/>
  <c r="B51" i="2"/>
  <c r="B53" i="2"/>
  <c r="B55" i="2"/>
  <c r="B57" i="2"/>
  <c r="B59" i="2"/>
  <c r="B61" i="2"/>
  <c r="B63" i="2"/>
  <c r="B65" i="2"/>
  <c r="B67" i="2"/>
  <c r="B69" i="2"/>
  <c r="B71" i="2"/>
  <c r="B74" i="2"/>
  <c r="B76" i="2"/>
  <c r="B78" i="2"/>
  <c r="B80" i="2"/>
  <c r="B82" i="2"/>
  <c r="B84" i="2"/>
  <c r="B86" i="2"/>
  <c r="B220" i="2"/>
  <c r="B222" i="2"/>
  <c r="B224" i="2"/>
  <c r="B226" i="2"/>
  <c r="B228" i="2"/>
  <c r="B229" i="2"/>
  <c r="B87" i="2"/>
  <c r="B89" i="2"/>
  <c r="B91" i="2"/>
  <c r="B93" i="2"/>
  <c r="B95" i="2"/>
  <c r="B97" i="2"/>
  <c r="B99" i="2"/>
  <c r="B101" i="2"/>
  <c r="B103" i="2"/>
  <c r="B104" i="2"/>
  <c r="B106" i="2"/>
  <c r="B108" i="2"/>
  <c r="B110" i="2"/>
  <c r="B112" i="2"/>
  <c r="B114" i="2"/>
  <c r="B116" i="2"/>
  <c r="B118" i="2"/>
  <c r="B119" i="2"/>
  <c r="B121" i="2"/>
  <c r="B205" i="2"/>
  <c r="B209" i="2"/>
  <c r="B210" i="2"/>
  <c r="B211" i="2"/>
  <c r="B212" i="2"/>
  <c r="B213" i="2"/>
  <c r="B214" i="2"/>
  <c r="B215" i="2"/>
  <c r="B216" i="2"/>
  <c r="B217" i="2"/>
  <c r="B218" i="2"/>
  <c r="B2" i="2"/>
  <c r="B3" i="2"/>
  <c r="B4" i="2"/>
  <c r="B5" i="2"/>
  <c r="B6" i="2"/>
  <c r="B7" i="2"/>
  <c r="B8" i="2"/>
  <c r="B9" i="2"/>
  <c r="B11" i="2"/>
  <c r="B13" i="2"/>
  <c r="B15" i="2"/>
  <c r="B17" i="2"/>
  <c r="B19" i="2"/>
  <c r="B21" i="2"/>
  <c r="B24" i="2"/>
  <c r="B26" i="2"/>
  <c r="B28" i="2"/>
  <c r="B30" i="2"/>
  <c r="B32" i="2"/>
  <c r="B34" i="2"/>
  <c r="B36" i="2"/>
  <c r="B38" i="2"/>
  <c r="B40" i="2"/>
  <c r="B42" i="2"/>
  <c r="B44" i="2"/>
  <c r="B46" i="2"/>
  <c r="B48" i="2"/>
  <c r="B50" i="2"/>
  <c r="B52" i="2"/>
  <c r="B54" i="2"/>
  <c r="B56" i="2"/>
  <c r="B58" i="2"/>
  <c r="B60" i="2"/>
  <c r="B62" i="2"/>
  <c r="B64" i="2"/>
  <c r="B66" i="2"/>
  <c r="B68" i="2"/>
  <c r="B70" i="2"/>
  <c r="B72" i="2"/>
  <c r="B73" i="2"/>
  <c r="B75" i="2"/>
  <c r="B77" i="2"/>
  <c r="B79" i="2"/>
  <c r="B81" i="2"/>
  <c r="B83" i="2"/>
  <c r="B85" i="2"/>
  <c r="B219" i="2"/>
  <c r="B221" i="2"/>
  <c r="B223" i="2"/>
  <c r="B225" i="2"/>
  <c r="B227" i="2"/>
  <c r="B230" i="2"/>
  <c r="B88" i="2"/>
  <c r="B90" i="2"/>
  <c r="B92" i="2"/>
  <c r="B94" i="2"/>
  <c r="B96" i="2"/>
  <c r="B98" i="2"/>
  <c r="B100" i="2"/>
  <c r="B102" i="2"/>
  <c r="B105" i="2"/>
  <c r="B107" i="2"/>
  <c r="B109" i="2"/>
  <c r="B111" i="2"/>
  <c r="B113" i="2"/>
  <c r="B115" i="2"/>
  <c r="B117" i="2"/>
  <c r="B120"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<sst xmlns="http://schemas.openxmlformats.org/spreadsheetml/2006/main" count="2305" uniqueCount="402">
  <si>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</si>
  <si>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</si>
  <si>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</si>
  <si>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</si>
  <si>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</si>
  <si>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</si>
  <si>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</si>
  <si>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</si>
  <si>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</si>
  <si>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</si>
  <si>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</si>
  <si>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</si>
  <si>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</si>
  <si>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</si>
  <si>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</si>
  <si>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</si>
  <si>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</si>
  <si>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</si>
  <si>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</si>
  <si>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</si>
  <si>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</si>
  <si>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</si>
  <si>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Congreso</t>
  </si>
  <si>
    <t>Presidencia</t>
  </si>
  <si>
    <t>SSPH</t>
  </si>
  <si>
    <t>SSH</t>
  </si>
  <si>
    <t>Otros</t>
  </si>
  <si>
    <t>Negativa</t>
  </si>
  <si>
    <t>Gobernador</t>
  </si>
  <si>
    <t>Luminarias</t>
  </si>
  <si>
    <t>Andrés Torres</t>
  </si>
  <si>
    <t>Ke Buena 106.7 FM</t>
  </si>
  <si>
    <t>David Cárdenas</t>
  </si>
  <si>
    <t>Noticias 106.7</t>
  </si>
  <si>
    <t>La Poderosa Tuxpan 93.1 FM</t>
  </si>
  <si>
    <t>Liz Argüelles</t>
  </si>
  <si>
    <t>NN Nuestras Noticias Zona Norte</t>
  </si>
  <si>
    <t>Turismo</t>
  </si>
  <si>
    <t>Súper Stéreo 100.5 FM</t>
  </si>
  <si>
    <t>Rodolfo López</t>
  </si>
  <si>
    <t>Enfoque Regional Meridiano</t>
  </si>
  <si>
    <t>Enfoque Regional Matutino</t>
  </si>
  <si>
    <t>TV Cable hidalguense Canal 6</t>
  </si>
  <si>
    <t>Juan Carlos Santamaria</t>
  </si>
  <si>
    <t>Contigo Noticias</t>
  </si>
  <si>
    <t>TV local</t>
  </si>
  <si>
    <t>Auxilio a la ciudadanía</t>
  </si>
  <si>
    <t>PGJEH</t>
  </si>
  <si>
    <t>Canal del Pueblo</t>
  </si>
  <si>
    <t>Vocales Radio</t>
  </si>
  <si>
    <t>Semarnath</t>
  </si>
  <si>
    <t>NQ 90.1 FM</t>
  </si>
  <si>
    <t>Jesús Riveros</t>
  </si>
  <si>
    <t>Enlace Hidalgo1</t>
  </si>
  <si>
    <t>Enlace Hidalgo2</t>
  </si>
  <si>
    <t>Radio Lobo 96.7 FM</t>
  </si>
  <si>
    <t>Planeación</t>
  </si>
  <si>
    <t>Ultra 102.9 FM</t>
  </si>
  <si>
    <t>Ultra Noticias1</t>
  </si>
  <si>
    <t>Daniel Martínez</t>
  </si>
  <si>
    <t>Cultura</t>
  </si>
  <si>
    <t>Eulalio Larrieta agradece a Carlos Gamiño por estar al pendiente de temas</t>
  </si>
  <si>
    <t>Iniciativa</t>
  </si>
  <si>
    <t>Atención Ciudadana</t>
  </si>
  <si>
    <t>Jesús González</t>
  </si>
  <si>
    <t>Eulalio Larrieta agradece Paola García y Lic. Sarahi Pineda, por estar atentas a los mensajes de la ciudadanía y por atenderlos.</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</si>
  <si>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</si>
  <si>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</si>
  <si>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</si>
  <si>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</si>
  <si>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</si>
  <si>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</si>
  <si>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</si>
  <si>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</si>
  <si>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</si>
  <si>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</si>
  <si>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</si>
  <si>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</si>
  <si>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</si>
  <si>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</si>
  <si>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</si>
  <si>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</si>
  <si>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Prevención De Riesgos</t>
  </si>
  <si>
    <t>Combate Al Narcomenudeo</t>
  </si>
  <si>
    <t>Rehabilitación Vial</t>
  </si>
  <si>
    <t>Mundial De Futbol</t>
  </si>
  <si>
    <t>Gusano barrenador</t>
  </si>
  <si>
    <t>Vía telefónica el reporte de Bombero y Protección Civil con Abner Yáñez informa que se atendieron diversas emergencias.</t>
  </si>
  <si>
    <t>Bienestar</t>
  </si>
  <si>
    <t>Ambulantaje</t>
  </si>
  <si>
    <t>Accidente de patrulla</t>
  </si>
  <si>
    <t>Concierto Sinfónico</t>
  </si>
  <si>
    <t>Jornada por la paz</t>
  </si>
  <si>
    <t>Becas De Posgrado</t>
  </si>
  <si>
    <t>Alcantarillado</t>
  </si>
  <si>
    <t>Inclusión</t>
  </si>
  <si>
    <t>Carril confinado</t>
  </si>
  <si>
    <t>Mosco Culex</t>
  </si>
  <si>
    <t>Detención</t>
  </si>
  <si>
    <t>Investigación académica</t>
  </si>
  <si>
    <t>Radiodifusoras</t>
  </si>
  <si>
    <t>Oficialía Mayor</t>
  </si>
  <si>
    <t>Mañanera de Hidalgo</t>
  </si>
  <si>
    <t>Boletín 716: SSPH desarticula bodega utilizada para almacenar autopartes y desmantelar vehículos robados en Cuautepec de Hinojosa</t>
  </si>
  <si>
    <t>Combate a la delincuencia</t>
  </si>
  <si>
    <t>Detención Feminicida</t>
  </si>
  <si>
    <t>Boletín 1048: Atención oportuna y gratuita, clave para contener al gusano barrenador del ganado</t>
  </si>
  <si>
    <t>CGCG</t>
  </si>
  <si>
    <t>Boletín: El Gobierno de Hidalgo anuncia la creación de un nuevo museo estatal en un inmueble emblemático recuperado en el Centro Histórico de Pachuca</t>
  </si>
  <si>
    <t>Museo de la Ciudad</t>
  </si>
  <si>
    <t>Día del Niño</t>
  </si>
  <si>
    <t>Enlace Noticias</t>
  </si>
  <si>
    <t>Gina Lorenzo</t>
  </si>
  <si>
    <t>Fuga De Agua</t>
  </si>
  <si>
    <t>Promoción De La Salud</t>
  </si>
  <si>
    <t>Capacitación</t>
  </si>
  <si>
    <t>Campeonato de robótica</t>
  </si>
  <si>
    <t>Reunión Gabinete De Seguridad</t>
  </si>
  <si>
    <t>El Ayuntamiento de Singuilucan implementó el programa "Florece con Huevos" como una iniciativa para fortalecer la economía familiar y fomentar el autoconsumo mediante la entrega de aves de postura. De acuerdo con información del 14 de abril de 2026, la primera etapa del programa "Florece con Huevos" ha llegado a su meta y se encuentra cerrada hasta nuevo aviso. Se recomienda estar pendientes de las redes sociales del Municipio de Singuilucan para futuras etapas.</t>
  </si>
  <si>
    <t>Impulso al agro</t>
  </si>
  <si>
    <t>Boletín 26: Invitan a jóvenes a participar en las convocatorias de becas del Citnova</t>
  </si>
  <si>
    <t>El presidente municipal de Emanuel Hernández presentó el programa SeguriChat, una nueva estrategia de seguridad que busca establecer comunicación directa y en tiempo real entre la ciudadanía y la policía municipal, con el objetivo de reducir los tiempos de respuesta ante reportes y hechos delictivos. El esquema comenzará a implementarse a través de las delegaciones municipales y contempla la integración de jefes de calle, colonias y barrios, así como la incorporación progresiva de sectores como transportistas, operadores del transporte público y comerciantes establecidos, fomentando una participación activa y coordinada de la sociedad. De acuerdo con el edil, SeguriChat permitirá mejorar la coordinación entre autoridades y ciudadanos, al tiempo que facilitará la atención inmediata de cualquier situación de riesgo. El sistema operará desde el Centro de Control y Comando y estará vinculado directamente con los mandos de seguridad y personal operativo en campo. Como parte de esta estrategia, el secretario de Seguridad Pública municipal iniciará recorridos en las comunidades, priorizando aquellas con mayor incidencia delictiva, con el fin de supervisar la implementación del programa y fortalecer la proximidad social. Los grupos de comunicación serán organizados por delegados municipales, quienes definirán la integración de vecinos participantes. La autoridad destacó que el conocimiento que tienen los habitantes sobre su entorno será clave para detectar actividades sospechosas y canalizar la información de forma responsable, anónima y efectiva.</t>
  </si>
  <si>
    <t>Prevención del delito</t>
  </si>
  <si>
    <t>La Dirección de Seguridad Pública Municipal de Cardonal notificó esta mañana a la ciudadanía sobre diversas fallas técnicas en su línea telefónica oficial, advirtiendo que el origen de las irregularidades podría tratarse de un presnto hackeo al número de contacto de la corporación. Ante el riesgo que representa esta vulneración, las autoridades hicieron un llamado urgente a la población para extremar precauciones. A través de un comunicado oficial, la dependencia exhortó a los habitantes a no responder llamadas ni mensajes provenientes del número 772 189 3640, además de solicitar que cualquier intento de contacto desde dicha línea sea reportado de inmediato. La corporación enfatizó la importancia de no proporcionar información personal ni datos sensibles a través de este canal mientras se realizan las revisiones técnicas para restablecer el servicio. La Dirección de Seguridad Pública garantizó que se notificará oportunamente a través de los canales oficiales una vez que la comunicación sea segura y el servicio se encuentre operando con normalidad.</t>
  </si>
  <si>
    <t>Hackeo</t>
  </si>
  <si>
    <t>Habitantes de la localidad de El Aguate, en el municipio de Jacala de Ledezma, colocaron una manta en la entrada de su comunidad para denunciar la falta de atención por parte del gobierno municipal en la rehabilitación de un tramo carretero que resultó afectado por un deslave ocurrido hace casi un año. Los pobladores señalaron que los daños se originaron tras las intensas lluvias registradas en octubre de 2025, a consecuencia del huracán Priscila, y que hasta la fecha no se han realizado las obras necesarias para restablecer las condiciones de seguridad en la zona. Los inconformes indicaron que, pese a que en su momento las autoridades anunciaron que se atendería la problemática, los trabajos no se han concretado, lo que mantiene en riesgo a quienes transitan por el lugar. Además, expresaron su preocupación ante la cercanía de su feria tradicional, ya que temen que el mal estado del camino afecte la movilidad de visitantes y las actividades programadas, por lo que exigieron una respuesta inmediata por parte de las autoridades municipales.</t>
  </si>
  <si>
    <t>Huracán Priscilla</t>
  </si>
  <si>
    <t>Boletín 42: Invierte Gobierno de Hidalgo más de 14 millones de pesos en tramo del camino Zundhó–Sifón–San Agustín, en Alfajayucan</t>
  </si>
  <si>
    <t>Boletín: Secretaría de Salud de Hidalgo realiza dos traslados aéreos urgentes para atención especializada</t>
  </si>
  <si>
    <t>Puente aéreo</t>
  </si>
  <si>
    <t>Boletín: Combaten la violencia de género durante la Jornada por la Paz y Bienestar del Pueblo</t>
  </si>
  <si>
    <t>Boletín 1050: Gabinete de Seguridad de Hidalgo asegura más de 10 mil estupefacientes y detiene a 32 personas:</t>
  </si>
  <si>
    <t>Vecinos de Cuautepec se reunieron el último tramo de rehabilitación de la carretera Cuautepec-Tulancingo, con la finalidad de exigir la apertura de un carril para agilizar la vialidad, aseguran que la empresa a cargo lleva dos meses de retardo. En el punto de reunión, se dio cita el alcalde Jorge Hernández Arauz quien se comprometió a que esta semana concluya la obra de pavimentación hidráulica con una posible apertura entre el viernes 24 y lunes 27 de abril. Los ahí presentes, recordaron que la intención es abrir un carril que aliviane un poco el flujo vehicular, ya que, aseguran, no hay intenciones de terminar el último tramo, además de que, la autoridad encargada ha sido omisa, pues la empresa encargada de la obra lleva dos meses de retraso, incluso los trabajadores tuvieron que retener la maquinaria por falta de pago.</t>
  </si>
  <si>
    <t>Rehabilitación carretera</t>
  </si>
  <si>
    <t>Tulancingo se alista para una de sus celebraciones más esperadas: la Feria de la Niñez 2026 “Infancias de Ayer y Hoy”, que se llevará a cabo este 26 de abril en la Unidad Deportiva Javier Rojo Gómez, con actividades pensadas para que niñas, niños y familias completas disfruten de un día lleno de convivencia y diversión. La jornada arrancará desde las 8:00 de la mañana con una carrera atlética infantil y continuará con una amplia oferta de entretenimiento en un ambiente seguro e inclusivo, coordinado por la Secretaría de Cultura, Educación, Deporte y Juventud, en conjunto con distintas dependencias municipales, el DIF y la CAAMT. Uno de los principales atractivos será la dinámica de los 14 stands temáticos, donde las y los asistentes deberán reunir cinco boletos de distintos colores para poder acceder a juegos mecánicos y recibir palomitas y algodones de azúcar sin costo. El evento también contará con una función de lucha libre, actividades científicas en la “Ruta de la Ciencia y las Estrellas” —incluyendo observación solar con telescopios—, talleres, dinámicas culinarias y espacios interactivos como simulaciones de esterilización con caninos de juguete. Además, habrá juegos tradicionales que buscan fortalecer la convivencia entre generaciones, así como actividades relacionadas con la seguridad y el Mundial de futbol. La presencia de personajes como las Guerreras K-Pop y Toy Story promete sumar entusiasmo entre los más pequeños. Con esta feria, el gobierno municipal reafirma su compromiso con el bienestar de la niñez, promoviendo espacios de recreación, aprendizaje y unión familiar.</t>
  </si>
  <si>
    <t>La Secretaría de Seguridad Ciudadana de Mineral de la Reforma informó la detención de una persona que contaba con una orden de aprehensión vigente por el delito de feminicidio en el estado de Hidalgo. Tras ser detenido por alterar el orden público e ingresar a un domicilio sin autorización en Pachuquilla, elementos de esta corporación aseguraron a quien se identificó con las iniciales S. A. A. S., de 40 años de edad, quien fue trasladado al área de barandillas. En dicho lugar, se confirmó, a través de la Plataforma México, que estaba involucrado en una causa penal vigente; derivado de lo anterior, fue solicitada la intervención de la Procuraduría General de Justicia del Estado de Hidalgo (PGJEH), por lo que agentes de investigación acudieron a la Secretaría de Seguridad Ciudadana para hacerse cargo del detenido para su traslado y continuar con los procedimientos legales correspondientes.</t>
  </si>
  <si>
    <t>El subsecretario de Protección Civil y Gestión de Riesgos, Román Bernal Díaz, advirtió que posiblemente se prolongue la temporada de estiaje, esto, debido al fenómeno meteorológico del niño. “Estamos en un proceso donde el cambio climático ha elevado las temperaturas en la tierra, estamos en el proceso de transición del fenómeno de la niña al de niño y esto está provocando un sobrecalentamiento e inestabilidad atmosférica”, sostuvo. Sin embargo, el funcionario estatal mencionó que en territorio estatal sí habrá lluvias “más cortas, pero que serán más fuertes. Es un pronóstico que tenemos, no es una regla, puede disminuir o aumentar la presencia de las precipitaciones”. De acuerdo con el subsecretario de Protección Civil, este proceso de transición del fenómeno meteorológico del niño se va a extender todo lo que resta del 2026 e incluso, dijo, los primeros meses de 2027. Pese a que se atraviesa por la temporada de calor, entre enero y marzo de este año, Hidalgo no registró ninguna condición de sequía, de acuerdo con el Monitor de Sequía México, lo que ubicó al estado entre las 21 entidades del país sin esta condición. Al corte del 31 de marzo de este año Hidalgo no presentó ningún tipo de sequía, desde la moderada, severa, extrema, ni excepcional en sus 84 municipios, tampoco condiciones de anormalmente seco. Los estados sin sequía en los primeros tres meses de 2056 son: Aguascalientes, Baja California, Baja California Sur, Campeche, Colima, Chiapas, Ciudad de México, Durango, Guanajuato, Guerrero, Hidalgo, Jalisco, Estado de México, Morelos, Nayarit, Puebla, Querétaro, San Luis Potosí, Tabasco, Tlaxcala y Zacatecas.</t>
  </si>
  <si>
    <t>Sequía</t>
  </si>
  <si>
    <t>Entrevista vía telefónica Marco Antonio Pérez Escalante, director del CBTa No. 152 de Apan - Habló sobre la Jornada Estatal Deportiva DGETAyCM que se realiza este 21 y 22 abril en el CBTa No. 152 de Apan, evento que reunirá a estudiantes de todos los planteles del Estado.</t>
  </si>
  <si>
    <t>Justa Deportiva</t>
  </si>
  <si>
    <t>Boletín 636: OSEH y Banda Sinfónica presentan doble jornada musical en Hidalgo</t>
  </si>
  <si>
    <t>Boletín 1632: Estudiantes de la UPP crean sistema inteligente para reducir consumo eléctrico en hogares</t>
  </si>
  <si>
    <t>Boletín 1050: Gabinete de Seguridad de Hidalgo asegura más de 10 mil estupefacientes y detiene a 32 personas</t>
  </si>
  <si>
    <t>Radioescucha reporta una coladera tapada en la calle Monterrey a la altura de 121 en la colonia Azoyatla y eso ocasiona que el agua se meta a varios lados. Ya se reportó a Caasim, pero no mandan a su personal</t>
  </si>
  <si>
    <t>Radioescucha reporta que la alimentadora 361 del Tuzobús ruta 17, conducida por una dama, pasó fuera del horario.</t>
  </si>
  <si>
    <t>Alimentadoras Tuzobús</t>
  </si>
  <si>
    <t>Vía telefónica Manuel Aranda Montero, titular de la Dirección General de Atención al Migrante en Hidalgo, detalla un cambio de estrategia para proteger y servir a la comunidad hidalguense (donde el 97% reside en EE. UU.) Habla de Digitalización y Seguridad: La Nueva Plataforma, debido a que las políticas migratorias actuales hacen peligroso convocar a reuniones masivas de paisanos en EE. UU., el gobierno lanzó la plataforma migranteshidalguenses.hidalgo.mx.Permite acceder a todos los servicios de la oficina de manera remota y segura. Jornadas de Atención en Territorio, para quienes ya están en Hidalgo o son familiares de migrantes, la oficina se desplaza físicamente a los municipios, el 21 de abril en Tlahuelilpan, para abril y mayo: Visitarán Nicolás Flores, Pacula, Zimapán, Tetepango, Acatlán, Juárez Hidalgo, Huehuetla, San Bartolo y Tenango de Doria, se nan atendido a cerca de 700 personas en los primeros 7 municipios visitados</t>
  </si>
  <si>
    <t>Atención A Migrantes</t>
  </si>
  <si>
    <t>La mañana de este martes 21 de abril, elementos de la Dirección de Protección Civil y Bomberos de Tula de Allende atendieron de manera inmediata el reporte de un incendio de tráiler sobre la autopista ArcoNorte, con dirección a Puebla, a la altura de la comunidad de San Francisco Bojay.</t>
  </si>
  <si>
    <t>Radioescucha pregunta ¿Que dia es el evento de la Villita y la Orquesta? Comenta conductor que es el día de mañana 22 de abril a las 18:00 horas al evento que se llevara acabo en la Parroquia Basílica de Santa María de Guadalupe. El concierto será interpretado por la Orquesta Filarmónica de Pachuca, en conjunto con el Coro de Pachuca y el Coro del Estado de Hidalgo, es completamente gratuito</t>
  </si>
  <si>
    <t>El Cruz Azul volvió a Hidalgo, la máquina volvió a sonar tras varios años de ausencia. El equipo llegó ayer a la ciudad cooperativa Cruz Azul, donde se realizó una práctica en el histórico estadio 10 de diciembre. La visita sin duda despertó el interés de la afición local, que pudo ver de cerca al conjunto celeste en uno de los escenarios más emblemáticos de su historia, ahí en sus raíces.Andrés Gudiño, quien jugó en la cancha del 10 de diciembre con Cruz Azul Hidalgo, consideró que regresar a las raíces es algo bueno para la máquina, es muy bonito, es muy emotivo también el venir y ver el apoyo de la gente aquí en Cruz Azul. AUDIO DE APOYO.</t>
  </si>
  <si>
    <t>Cruz Azul</t>
  </si>
  <si>
    <t>Pobladores de la comunidad de Trancas en el municipio de Zimapán retuvieron a trabajadores del IMSS en la clínica rural número 92. Esto en protesta por la falta de personal médico.Los inconformes señalan que desde hace más de un año no cuentan con médico ni enfermera, ya que el doctor asignado únicamente acudió a firmar su acta de presentación y no volvió a brindar servicio. Los pobladores exigen atención inmediata a sus demandas de salud.</t>
  </si>
  <si>
    <t>Déficit De Personal</t>
  </si>
  <si>
    <t>Hablando de aseguramientos, capturan en los límites de Puebla e Hidalgo a Roberto N., alias "El Bucanas", objetivo prioritario con recompensa en Veracruz. Su historial incluye huachicol, robo a transporte y violencia en el Triángulo Rojo.Fundador de "Sangre Nueva Zeta", operó durante una década en Puebla, Tlaxcala, Hidalgo y Veracruz. Según el gobierno poblano, además del combustible, lideró extorsiones y disputas contra grupos rivales.Él viene de ser un policía municipal que estuvo trabajando en la zona de las cumbres, maltrata, de música maltrata, y empieza su carrera cuando se incorpora al grupo de los Zetas. Después de que los Zetas son prácticamente ahí sí desmantelados, surgen otras decisiones como la nueva Sangre Zeta y de ahí viene, de ahí viene esta persona. ¿Qué hacía Héctor? No se puede explicar cómo peligrosos para el transporte de mercancías y todo, que son los límites de Puebla y Veracruz.Se empezó a especular en las últimas horas que la detención de Roberto N., alias El Bucanas, está relacionado con los operativos que se realizaron ayer lunes aquí en la región de Tula, estos tres que le presentaba tanto en Tepeji, dos en Tepeji y una a Atitalaquia. Veremos qué es lo que resulta de este aseguramiento, sobre todo los efectos que pudiera tener en la cadena de mando de esta organización delincuencial y también pues de los aseguramientos que se realizaron aquí en la región de Tula.</t>
  </si>
  <si>
    <t>Vía telefónica, Edda Vite, presidenta del Patronato del Sistema Dif Hidalgo, con el tema Día de la Niña y del Niño, habló de que ya están a punto de iniciar los festejos del mes de las infancias este viernes 24 y sábado 25 de abril en las instalaciones de la feria de 11 de la mañana a 5 de la tarde, en donde se brindarán muchas actividades con respecto al mundial, una diversidad de 30 actividades y atracciones, este evento es para todo público; pueden asistir por sus boletos a los 4 puntos: Hospital del Niño, CRIH, Junta General de Asistencia Social y Sistema DIF Hidalgo</t>
  </si>
  <si>
    <t>DIFH</t>
  </si>
  <si>
    <t>Entrevista pautada</t>
  </si>
  <si>
    <t>Radioescucha reporta fuga de agua en la colonia Santa Julia, en la esquina de la calle Ignacio Allende</t>
  </si>
  <si>
    <t>Radioescucha reporta fuga de agua en la calle Valle Dorado esquina con Encanto en Valle del Pamar</t>
  </si>
  <si>
    <t>Boletín 1049 :La cultura es un derecho: Hidalgo recupera espacios para el acceso de todas y todos</t>
  </si>
  <si>
    <t>El gobierno de Hidalgo impulsa la recuperación de espacios públicos para destinarlos al uso cultural y social, al destacar que la cultura es un derecho y no un privilegio. Autoridades estatales informaron que más de 385 inmuebles han sido incorporados o reincorporados al patrimonio estatal con el objetivo de garantizar su aprovechamiento en beneficio de la población.En este contexto, se dio a conocer el proceso legal para recuperar un inmueble en Pachuca, actualmente en posesión de una asociación civil, al detectarse actividades comerciales sin autorización en un bien público. El espacio será rehabilitado y transformado en museo y centro comunitario con actividades culturales, talleres y programas permanentes. Además, Hidalgo participará los días 9 y 10 de mayo en el Complejo Cultural Los Pinos con 600 representantes de todas sus regiones como parte de la promoción cultural a nivel nacional. AUDIO DE APOYO DE NNB.</t>
  </si>
  <si>
    <t>El oficial mayor del Gobierno de Hidalgo, Edgar Orlando Ángeles Pérez, informó que será durante el mes de mayo cuando comiencen a operar las nuevas unidades del sistema de transporte Tuzobús, como parte del proceso de modernización anunciado por el Ejecutivo estatal.</t>
  </si>
  <si>
    <t>Raúl Serret Lara, coordinador general jurídico de la Secretaría de Gobierno, en conferencia de prensa explicó la situación jurídica de un inmueble actualmente en posesión de la Fundación Arturo Herrera Cabañas A. C., el cual forma parte del patrimonio del Poder Ejecutivo estatal, AUDIO APOYO</t>
  </si>
  <si>
    <t>Se encienden las alarmas en todas las comunidades o todos los pueblos ribeños de la Presa Endho, a pesar de los esfuerzos que han realizado los tres niveles de gobierno, si han hecho un esfuerzo bastante fuerte, no ha sido suficiente.De nueva cuenta, la gente de comunidades de Tula, Tepetitlán, Tezontepec de Aldama, se quejan porque ya en las tardes - noches, es insoportable el mosco, hacen de todo los pobladores y hoy se van a reunir en el centro de Michimaloya para buscar solicion a eesta problemática que es insoportable ,AUDIO APOYO</t>
  </si>
  <si>
    <t>El alcalde de Mineral de la Reforma, Eduardo Medécigo, entregó la pavimentación con concreto hidráulico y la renovación de la red de agua potable en calles del fraccionamiento El Saucillo, como parte del programa “En Concreto”. La obra incluyó mejoras en Jacaranda, Cipreses y Sauce, con el objetivo de elevar la calidad de vida de las familias y reforzar la infraestructura básica en la zona.Además de la pavimentación, se instalaron más de 800 metros de tubería, tomas domiciliarias y otras acciones complementarias que beneficiarán a cerca de mil habitantes. Autoridades adelantaron que habrá más trabajos en la zona, destacando que estas obras forman parte de una estrategia para optimizar recursos y ampliar los beneficios en el municipio.</t>
  </si>
  <si>
    <t>Pavimentación hidráulica</t>
  </si>
  <si>
    <t>El subsecretario de Protección Civil del Estado, Román Bernal, habló de las afectaciones de las lluvias en la Sierra Hidalguense. Dijo que el Comité de Emergencia se mantiene en la alerta permanente ante los fenómenos del niño y de la niña. AUDIO DE APOYO</t>
  </si>
  <si>
    <t>Hidalgo se prepara para estar presente en el Festival Gastronómico México de Mis Sabores, que se va a llevar a cabo en Campo Marte, a un costado del Auditorio Nacional en la Ciudad de México. La Secretaría de Turismo Estatal, Liz Quintanar, explicó la logística de este festival. Informo que se desarrollan rutas mundialistas con la finalidad de atrae turistas a diferentes municipios del estado de Hidalgo, AUDIO APOYO</t>
  </si>
  <si>
    <t>Promoción turística</t>
  </si>
  <si>
    <t>Señora Marta Godínez Pérez de aquí de Tula de Barrio Alto, pide a los ciudadanos que no saquen su basura a los días que no pasa el camión allá en Barrio Alto, ya que lo dejan en la esquina, dejan sus bolsas y luego ya por la tarde o minutos después, pues resulta que están regadas por la carretera, así que ahí está el llamado de la señora Marta Godínez Pérez</t>
  </si>
  <si>
    <t>Recolección De Basura</t>
  </si>
  <si>
    <t>Radiescucha comenta: Con bombos y platillos anunciaron la reapertura de los trabajos de reconstrucción de la avenida del Tezontle de la colonia Venta Prieta, en Pachuca y el día de ayer estaba cerrada la calle.</t>
  </si>
  <si>
    <t>El gobernador Julio Menchaca Salazar informó que en Cuatepec fueron desmantelados cuatro predios usados para desarmar autos robados, con dos detenidos y siete unidades recuperadas. Además, autoridades lograron recuperar tractocamiones robados con más de 134 mil litros de combustible y 35 toneladas de sorgo tras un robo en la carretera México-Tuxpan. En acciones recientes, también se localizó a 12 personas con ficha de búsqueda, mientras que el programa Ciudad Policía llegó a más de 1.300 estudiantes con acciones preventivas.Finalmente, cuerpos de auxilio atendieron a una mujer embarazada tras un accidente en Pachuca y rescataron a una senderista que estuvo en Omitlán lesionada.</t>
  </si>
  <si>
    <t>En la reunión semanal del gabinete de seguridad encabezada por el gobernador Julio Menchaca, se informó que en materia de Protección Civil, se notificó que el Comité de Emergencias se mantiene en sesión permanente para atender cualquier situación derivada de fenómenos climatológicos; por ello, Julio Menchaca invitó a la población a usar los números 911 y 089 para solicitar atención de los cuerpos de seguridad y emergencias.En ese sentido, se reportó que en los últimos siete días se atendió la caída de una barda y cinco árboles, además de encharcamientos y derrumbes en los municipios de Huejutla, Mineral de la Reforma, Pachuca, Tianguistengo, Tlanchinol, Tulancingo y Zapotlán. También se sofocaron cuatro incendios en el mismo número de municipios, sumando 329 siniestros controlados en lo que va del año.En la última semana se localizó a 12 personas que contaban con ficha de búsqueda y se presentó el programa “Ciudad Policía” en tres municipios, impartiendo temas como prevención de abusos, bullying, equidad, seguridad en redes sociales y acoso escolar, junto a activaciones físicas, logrando impactar a mil 391 niñas y niños.Finalmente, se informó que la Unidad de Rescate y Urgencias Médicas de la Secretaría de Seguridad Pública de Hidalgo atendió en Pachuca a una mujer embarazada involucrada en un accidente de tránsito; mientras que en Omitlán se rescató a un senderista que cayó y sufrió fracturas.</t>
  </si>
  <si>
    <t>Radioescucha reporta que los semaforos que estan rumbo a Tulipanes por Chedraui, no funcioanan y eso puede causar un accidente</t>
  </si>
  <si>
    <t>Semaforización</t>
  </si>
  <si>
    <t>La Conagua informó que las obras de tecnificación en los distritos de Riego 003 Tula, 100 Alfajayucan y 112 Aljacuba registraron un avance físico global, dice la Conagua, de 90.70%. De acuerdo con el organismo, los trabajos de la red principal se encuentran prácticamente concluidos en cuanto al revestimiento de canales, quedando pendientes únicamente labores complementarias como el colado de losas en estructuras de conexión, entre ellas puentes, transiciones y tomas.</t>
  </si>
  <si>
    <t>Tecnificación De Riego</t>
  </si>
  <si>
    <t>Comenta conductor : “Lo que sí yo veo es un retraso en algunas obras, todos los días viajo de Tula para Cruz Azul, y ahí en San Marcos, es un verdadero relajo en la zona del canal.Cada que llega maquinaria pesada, mínimo tardas ahí 20, 30 minutos para poder pasar,sí vemos que hay un retraso, al menos en esta zona de San Marcos, y habrá que revisar otras zonas más”</t>
  </si>
  <si>
    <t>La ejecución del revestimiento en el canal de riego agrícola de la región de Tepango y Francisco I.Madero, enfrenta cuestionamientos por retrasos que han impactado en la actividad agrícola local.El titular de la dirección en Hidalgo de la Comisión Nacional del Agua Félix Brambila Mendoza, informó que se evalúa la posibilidad de proceder legalmente contra las empresas responsables de la obra, en caso de que no cumplan con los plazos establecidos, AUDIO APOYO</t>
  </si>
  <si>
    <t>La titular de Turismo en Hidalgo, Liz Quintanar, en entrevista exclusiva, comentó que se invertirán 5 millones de pesos para la zona arqueológica de Tula</t>
  </si>
  <si>
    <t>Zona Arqueológica</t>
  </si>
  <si>
    <t>La central de autobuses de Pachuca activó un nuevo protocolo para detectar y evitar el tráfico de menores de edad.Por ese motivo, los adultos que viajen con niñas, niños o adolescentes deben acreditar el parentesco. Las medidas se implementaron luego de la desaparición y posterior localización de la adolescente de 14 años</t>
  </si>
  <si>
    <t>Protección del menor</t>
  </si>
  <si>
    <t>Señor Fernando Santiago que se comunica vía telefónica con nosotros, nos reporta humareda por la zona de Iturbe, ojalá que los equipos de Protección Civil estén atentos ante esta situación, sabemos que nos escuchan en la presidencia municipal de Tula y que pudieran atender este reporte ciudadano.</t>
  </si>
  <si>
    <t>En otra información, durante la madrugada y la mañana de lunes autoridades federales desplegaron un operativo importante en Hidalgo con la ejecución de cateos coordinados en distintos municipios en los que participaron elementos de la Fiscalía Especializada en Materia de Delincuencia Organizada y personal de la Secretaría de Marina. De acuerdo con la información disponible, dos de las intervenciones se realizaron en el municipio de Tepeji del Río, en la colonia San Mateo y en la comunidad de Santa Ana Azcapotzolantongo. Un tercer cateo se llevó a cabo en la comunidad de Tlalminulpa en el municipio de Atitalaquia donde también se reportó una importante movilización de unidades oficiales y personal armado.Hasta este momento no se ha informado de manera oficial sobre si hay personas detenidas, el aseguramiento de objetos automóviles o también del objetivo específico de estos tres operativos desplegados aquí en la región de Tula.</t>
  </si>
  <si>
    <t>Radioescucha Sr. Fidel comenta: “Estoy bien en el lema de Morena y dice que primero el pueblo, primero los pobres”; entonces, ¿Por qué un solo día bachean el camino de Real de la Plata y en los barrios bajos y altos ni se asoman?</t>
  </si>
  <si>
    <t>Morena</t>
  </si>
  <si>
    <t>Partidos</t>
  </si>
  <si>
    <t>Radioescucha ahora que ya restringieron el invadir el carril del Tuzobús, ¿No analizan quitar la estación de Felipe Ángeles frente a los edificios de Plaza 2000? Todos los días obstruyen el carril lateral</t>
  </si>
  <si>
    <t>Radioescucha reporta un liquido derramado por un vehículo de Tuzobús por el retorno frente a la central, y eso puede causar un accidente</t>
  </si>
  <si>
    <t>Deficiencias Tuzobús</t>
  </si>
  <si>
    <t>Radioescucha reporta que en el Hospital General murió un paciente en la parte de afuera, que no lo quisieron atender porque ya no tenían oxígeno.</t>
  </si>
  <si>
    <t>Abasto De Insumos Médicos</t>
  </si>
  <si>
    <t>Las actividades en el Jardín de Niños “Emiliano Zapata”, ubicado en la colonia del mismo nombre, fueron suspendidas luego de que durante el fin de semana se registró el robo de cableado utilizado para el suministro de energía eléctrica del plantel. Este hecho ocurre semanas después de que se reportara un robo en la primaria de la misma colonia. Además, se han documentado casos similares en los fraccionamientos Villa Los Milagros, Haciendas de Tizayuca y Haciendas de Guadalupe. Padres de familia señalaron que, tras los robos registrados en ambos planteles, no hay personas detenidas ni se han implementado patrullajes en las escuelas para prevenir nuevos incidentes.</t>
  </si>
  <si>
    <t>Robo a escuela</t>
  </si>
  <si>
    <t>El operador de una unidad para transporte colectivo de pasajeros chocó contra la falda de un cerro, luego de que el vehículo que manejaba se saliera del camino, dejando como saldo dos personas lesionadas, una de ellas de gravedad. El accidente se registró sobre la carretera estatal Tepeapulco-Cuautepec, a la altura de la localidad de Los Cides. Policías estatales y municipales se hicieron cargo del hecho de tránsito y de la detención del chófer de la Urvan para deslindar su responsabilidad. Será a partir de las investigaciones respectivas como se determinen las responsabilidades en el accidente.</t>
  </si>
  <si>
    <t>Accidente transporte público</t>
  </si>
  <si>
    <t>Un hombre de 25 años murió hoy tras impactar la camioneta que conducía contra la parte posterior de un camión con plataforma en la carretera interestatal Apan – Calpulalpan, en los límites del municipio de Emiliano Zapata en Hidalgo y Calpulalpan Tlaxcala. En el lugar del choque policías municipales y estatales se hicieron cargo con el apoyo del ministerio público que realizó el rescate del occiso y levantamiento del cadaver.</t>
  </si>
  <si>
    <t>El presidente municipal de Ixmiquilpan, Emmanuel Hernández Pascual informó durante su conferencia mañanera que en días recientes fueron aseguradas 5 personas relacionadas con el robo en distintas modalidades en el municipio, de las cuales 4 son vecinos de la demarcacón y uno es de origen venezolano.</t>
  </si>
  <si>
    <t>Gabinete de Seguridad de Hidalgo asegura más de 10 mil estupefacientes y detiene a 32 personas</t>
  </si>
  <si>
    <t>Radioescucha: por qué si es una obra del estado (carretera Cuautepec- Tulancingo) es el alcalde de Cuautepec quien da la cara y da solución a la apertura debido a los retrasos, si el alcalde y su departamento técnico de Obras Públicas no tuvieron la capacidad de pedir que esos trabajos se hicieran de buena calidad, cómo van a encargarse de la apertura. Eso solo servirá para que la empresa se lave las manos a la hora de que salgan lo vicios ocultos de la obra tanto el trabajo que se trabaja actualmente como los terminados.</t>
  </si>
  <si>
    <t>Secretaría de Salud de Hidalgo realiza dos traslados aéreos urgentes para atención especializada</t>
  </si>
  <si>
    <t>El Ayuntamiento de Tulancingo aprobó, en el marco de la décima sexta sesión pública extraordinaria, que la presidenta, Lorena García Cázares, celebre un contrato de comodato con el Gobierno del Estado de Hidalgo. Gracias a este acuerdo, las bibliotecas municipales “Ingeniero Luis Alberto Roche Carrascosa”, en la colonia La Cañada; “Huapalcalco”; y “Licenciado Javier Rojo Gómez”, en Santa Ana Hueytlalpan, recibirán equipos de cómputo. Cabe recordar que, desde el año pasado, las autoridades estatales anunciaron que este equipamiento sería adquirido y asignado en comodato a través de la Red de Bibliotecas del Estado de Hidalgo.</t>
  </si>
  <si>
    <t>Comodato</t>
  </si>
  <si>
    <t>Aunque en 18 entidades del país ya se eliminó el examen de selección para ingresar a la educación media superior en el ciclo 2026-2027, Hidalgo continúa entre los 14 estados que aún conservan este mecanismo. Durante la conferencia matutina del Gobierno de México, la subsecretaria de Educación Superior, Tania Rodríguez Mora, presentó la plataforma “Mi derecho, mi lugar”, cuyo objetivo es garantizar espacios en bachillerato sin necesidad de examen de admisión, asignando planteles cercanos al domicilio de los estudiantes. De acuerdo con la funcionaria, en 2025 se registraron 272 mil 793 aspirantes en este esquema, de los cuales 89.5 por ciento obtuvo un lugar en su primera o segunda opción. Para este año, el registro cerró el 17 de abril y, solo en la zona metropolitana del Valle de México, se contabilizaron 307 mil 241 jóvenes inscritos. De ellos, 37 por ciento accedió con o sin examen, 15 por ciento eligió presentar la prueba, 40 por ciento obtuvo ingreso directo y 6 por ciento no definió modalidad.</t>
  </si>
  <si>
    <t>Examen de admisión</t>
  </si>
  <si>
    <t>Sin vigilancia ciudadana en obras públicas se detonan investigaciones</t>
  </si>
  <si>
    <t>Contraloría</t>
  </si>
  <si>
    <t>Contraloría Social</t>
  </si>
  <si>
    <t>Más de 385 inmuebles se han logrado incorporar y reincorporar al patrimonio de Hidalgo durante la actual administración estatal, informó el titular de la Oficialía Mayor del Gobierno de Hidalgo, Orlando Ángeles Pérez. Señaló que los inmuebles que forman parte del patrimonio estatal recuperados e incorporados al patrimonio estatal mediante diversas acciones que representan un incremento superior a mil 230 millones de pesos. El funcionario agregó que actualmente, se encuentran en proceso 25 procedimientos relacionados con 51 inmuebles, orientados a su regularización, recuperación y aprovechamiento. Ello con el objetivo de poner orden en bienes que durante años permanecieron en condiciones de incertidumbre o desaprovechamiento.</t>
  </si>
  <si>
    <t>Debido a la detección de una cafetería en su interior, actividad de carácter comercial que no cuenta con los permisos correspondientes, el Gobierno del Estado de Hidalgo decidió retirar el comodato del edificio actualmente en posesión de la Fundación Arturo Herrera Cabañas A. C. Lo anterior fue explicado por Raúl Serret Lara, coordinador general jurídico de la Secretaría de Gobierno, explicó la situación jurídica del inmueble, recordando que éste forma parte del patrimonio del Poder Ejecutivo estatal. Derivado de una inspección realizada en julio de 2025 por autoridades municipales y estatales en Pachuca, se detectó la operación de una cafetería dentro del inmueble, actividad de carácter comercial que no cuenta con los permisos correspondientes. Aunque la asociación civil promovió un amparo para evitar la clausura, en dicho recurso se reconoce la naturaleza mercantil de sus actividades. Ante ello, el 24 de marzo de 2026, el Poder Ejecutivo promovió la rescisión del contrato de comodato mediante la vía ordinaria civil, procedimiento radicado bajo el expediente 340/2026 en el Juzgado Primero Civil del distrito judicial de Pachuca.</t>
  </si>
  <si>
    <t>Estudiantes de la UPP crean sistema inteligente para reducir consumo eléctrico en hogares</t>
  </si>
  <si>
    <t>En menos de dos años, en Hidalgo al menos cuatro estudiantes se suicidaron; tres de secundaria y una de educación superior. Una maestra también intentó quitarse la vida al interior de una primaria. Al respecto, Natividad Castrejón Valdez, titular de la Secretaría de Educación Pública de Hidalgo (SEPH), indicó que la institución activa los protocolos y sigue trabajando en los temas de formación socioemocional que tanto se requieren actualmente. El pasado 17 de abril la SEPH confirmó la muerte de Angel Israel, alumno de la secundaria Eliza Acuña Rossetti de Tizayuca, quien presuntamente se quitó la vida. Las autoridades investigan si las causas están relacionadas con el bullying. Sin embargo, no es el único caso de estudiante se quita la vida, ya que el 28 de septiembre de 2025 se reportó el deceso de Perla Coral, alumna del Instituto de Ciencias y Estudios Superiores de Huejutla. Trascendió que fue víctima de hostigamiento digital.</t>
  </si>
  <si>
    <t>Atención Socioemocional</t>
  </si>
  <si>
    <t>El Congreso de Hidalgo pretende incrementar las penas hasta de 20 años de prisión a operadores del transporte público de pasajeros o escolares que derivado de accidentes causen la muerte a pasajeros, ya sea por omisiones o por falta en el deber de cuidado. De acuerdo con datos de la Secretaría de Salud de Hidalgo (SSH), durante en 2024 en el estado se registraron 255 muertes por accidentes de tránsito, lo que representa un incremento del 13.8 por ciento respecto a lo reportado durante 2023. Ante ese panorama, integrantes del grupo legislativo de Morena y Nueva Alianza Hidalgo presentaron la iniciativa que busca reformar el artículo 148 del Código Penal de Hidalgo, para que el homicidio culposo cometido por personal de transporte público de pasajeros o escolares sea considerado como un delito grave.</t>
  </si>
  <si>
    <t>En la zona nororiente de Tulancingo varias colonias se ven afectadas por la falta de agua, esto debido a que se realiza la reparación de una fuga en la red que viene de Hueyapan. No hay fecha para la reanudación del servicio.</t>
  </si>
  <si>
    <t>Reparación De Tubería</t>
  </si>
  <si>
    <t>Vecinos de los perímetros A y B del centro de la ciudad de Tulancingo solicitaron a las autoridades la colocación de luminarias, señalando que en semanas recientes se han registrado hechos delictivos, incluso robo de vehículos automotores aprovechando los delincuentes la falta de alumbrado público. La petición fue realizada durante la por una persona en nombre de vecinos de la zona citada, Jornada por la Paz y Bienestar del Pueblo, llevada a cabo este viernes 17 de abril, en el parque La Floresta, en el centro de la ciudad. En la petición presentada ante autoridades estatales y municipales, se señala que de acuerdo a recorridos realizados, se requieren por lo menos 70 luminarias públicas en el sector señalado. Al hacer uso de la palabra, la alcaldesa Lorena García Cázares reconoció la importancia y necesidad de contar con alumbrado público para garantizar la seguridad en las calles de Tulancingo.</t>
  </si>
  <si>
    <t>Vecinos de zonas como el Tepeyac, Pedregal y Tepantitla señalan que después de un año 7 meses del inicio de las obras de la segunda etapa de la rehabilitación de la carretera Tulancingo- Cuautepec , ya están molestos por los retrasos en la obra. De acuerdo a trabajadores de la obra los retrasos se deben a que la compañía no ha cubierto los pago en algunas ocasiones y por el clima. Ante la amenaza de los vecinos de ayer a las 6 de la tarde abrir por lo menos un carril para la circulación, acudió el alcalde Jorge Hernández acudió al lugar y se comprometió a que el jueves será abierta la carretera en por lo menos un carril.</t>
  </si>
  <si>
    <t>Personal de la Dirección municipal de Mercados y Centros de Abasto en Tulancingo, continuaron este fin de semana con avisos en tianguis para el retiro de materiales y líquidos calientes en puestos. También se incluye la revisión y en caso necesario, la reubicación adecuada de cilindros de gas usados en puestos donde se preparan alimentos para que no se encuentren cerca de fuentes de calor, que pueden provocar incluso una explosión. Los avisos se realizaron en los tianguis que se llevan a cabo en Napateco, en las colonias El Paraíso y Adolfo López Mateos, así como en el Tulantianguis y de la organización Flores Magón, cuyos puestos semifijos que operan en parque La Floresta. Los avisos iniciaron el pasado jueves 16 de abril a comerciantes que operan en el tianguis tradicional semanal que se realiza en el centro de la ciudad de Tulancingo.</t>
  </si>
  <si>
    <t>Prevención de accidentes</t>
  </si>
  <si>
    <t>Con el objetivo de evitar incidentes en establecimientos, especialmente tras un reciente accidente en el municipio, la dirección de Reglamentos y Espectáculos de Tulancingo ha intensificado los operativos de supervisión en distintos puntos de la ciudad. En entrevista, el titular del área, Oscar Javier Serrano Hernández, explicó que estas acciones se enfocan principalmente en negocios de alimentos, donde se utilizan cazos de carnitas, freidoras o recipientes con altas temperaturas, los cuales representan un riesgo si no se manejan adecuadamente. Destacó que, hasta el momento, los comerciantes han mostrado disposición para colaborar durante las revisiones. Los operativos se realizan de manera coordinada entre las áreas de Reglamentos, Protección Civil y Mercados, con la finalidad de verificar que se cumplan las medidas básicas de seguridad. Entre las irregularidades más comunes detectadas se encuentra la colocación de tanques de gas demasiado cerca de parrillas o zonas de calor, cuando deben mantenerse a una distancia mínima de tres metros.</t>
  </si>
  <si>
    <t>Invitan a jóvenes a participar en las convocatorias de becas del Citnova</t>
  </si>
  <si>
    <t>El día de ayer la Secretaria de Salud y la Secretaría de Seguridad Pública recibieron un reconocimiento por el tema de los helicópteros que están listo para los traslados aéreos en caso de emergencias. un reconocimiento para los pilotos, personal médico y de seguridad que participan en estos eventos.</t>
  </si>
  <si>
    <t>El Sistema DIF Mixquiahuala, en coordinación con la Biblioteca Central del Estado de Hidalgo Ricardo Garibay, invitan al Taller - Conferencia “Sensibilización y Acompañamiento a Personas con Discapacidad Visual”. Un espacio para aprender, sensibilizar y fomentar la inclusión el martes 21 de abril de 2026 a las 11:00 hrs, en la explanada del Jardín Municipal de Mixquiahuala</t>
  </si>
  <si>
    <t>El Congreso del Estado de Hidalgo fue sede de la clausura del Curso de Manejo para Trabajadores del Poder Legislativo, con el objetivo de reconocer la culminación exitosa de la capacitación teórica y práctica de 17 conductores institucionales, fortaleciendo la profesionalización y la seguridad en el servicio público, quienes recibieron un reconocimiento. La diputada Mónica Leanett Reyes Martínez, presidenta de la Comisión de Seguridad Ciudadana y Justicia, en representación del presidente de la Junta de Gobierno, diputado Andrés Velázquez Vázquez, reconoció la voluntad de capacitarse y asumir con seriedad una tarea que impacta en la seguridad de todas y todos. “Este curso impartido por la Secretaría de Seguridad Pública representa un esfuerzo valioso para fortalecer la cultura de la prevención, legalidad y respeto”.</t>
  </si>
  <si>
    <t>Curso de manejo</t>
  </si>
  <si>
    <t>Hasta el momento no se han presentado manifestaciones por parte de los comerciantes que fueron retirados de la Plaza Constitución en Pachuca y el espacio habilitado para su reubicación está abierto hasta para 150 comerciantes. sin embargo no se puede descartar alguna manifestación.</t>
  </si>
  <si>
    <t>Milton Cortés</t>
  </si>
  <si>
    <t>Milton Cortés informó que este fin de semana hubo una manifestación en protesta por el cierre de la Fundación Arturo Cabañas, pero esto ha sido a raíz de que espacios como estos han incumplido con las normas, así lo dio a cocnoer el alcalde Pachuca, Jorge Alberto Reyes.</t>
  </si>
  <si>
    <t>El alcalde de Pachuca, Jorge Alberto Reyes Hernández, informó que su administración destinará 20 millones de pesos para la rehabilitación de parques, con el objetivo de recuperar espacios públicos y fomentar la convivencia social; sin embargo, el anuncio generó inconformidad entre habitantes de distintas colonias que demandan que los recursos no se concentren únicamente en la zona centro. Durante la conferencia matutina de este lunes, el edil detalló que los trabajos arrancarán una vez concluidos los procesos administrativos en el primer semestre del año. Precisó que la intervención contempla espacios emblemáticos como el Parque Hidalgo, Parque Luis Pasteur, Jardín El Maestro y Parque de la Familia, además de algunos puntos adicionales como el parque de la colonia Morelos.</t>
  </si>
  <si>
    <t>Rehabilitación de espacios públicos</t>
  </si>
  <si>
    <t>Más de medio centenar de adultos mayores víctimas de fraude millonario cometido por una empleada de la sucursal del BBVA de este municipio de Zimapán, estado de Hidalgo, se aprestan a demandar a esta institución bancaria Los afectados, unidos entablarán demandas legales contra esta sucursal bancaria –por la presunta comisión del delito de fraude, además de abuso de confianza, uso ilegal de datos protegidos y lo que resulte– y la hoy exempleada, quien cuando estuvo en activo contó con todas las facilidades para tramitar préstamos a nombre de adultos mayores. Esos préstamos no se entregaron a los supuestos beneficiarios que hoy tienen deudas activas; se presume connivencia entre directivos y/o algunos empleados asociados a la defraudadora, por lo que los afectados emprenderán proceso legal contra BBVA; debe recordarse que, salvaguardar datos personales, es responsabilidad del banco. Las personas afectadas ya presentaron su denuncia ante el Ministerio Público y refieren falta de avance hasta el momento. Se iniciaron también procedimientos ante la Conducef.</t>
  </si>
  <si>
    <t>Fraude</t>
  </si>
  <si>
    <t>Andrés Torres informa que se quemó el transformador y no tienen electricidad, por lo que la señal del 1010 AM de El Vocero Huasteco está fuera del aire. Explica que por falta de recursos no se puede alimentar las plantas de energía y estarán fura del aire de manera indefinida, pero sí se escuchan en 92.7 FM. Son temas técnicos y administrativos que no tienen nada que ver con el personal.</t>
  </si>
  <si>
    <t>Columna a media semana - En la Escuela Americana de Pachuca, que vive una intensa crisis desde el año 2021, viven un momento sumamente difícil, pues de acuerdo con un escrito hecho llegar por los trabajadores, al momento se les adeudan 5 meses de salario y en diciembre, con diversos argumentos y pretextos se les negó su aguinaldo. Los denunciantes responsabilizan de la situación a la presidenta del patronato Herlinda Ordaz Hernández, a quien señalan de que tampoco realiza asambleas, juntas informativas ni rendición de cuentas, por lo que advierten del inicio de nuevos procedimientos legales para la defensa de sus derechos laborales. Afirman que muchos han tenido que irse a buscar otro empleo por la falta de pago.</t>
  </si>
  <si>
    <t>Abuso laboral</t>
  </si>
  <si>
    <t>Joel Sánchez</t>
  </si>
  <si>
    <t>Boletín 32: Entrega gobierno de Hidalgo apoyos agropecuarios en la región de Ajacuba</t>
  </si>
  <si>
    <t>Saderh</t>
  </si>
  <si>
    <t>Apoyo Al Agro</t>
  </si>
  <si>
    <t>Boletín 1634: UPFIM representará a México en competencias internacionales de robótica</t>
  </si>
  <si>
    <t>Con el objetivo de fortalecer la prevención y la respuesta ante emergencias, comerciantes del tianguis PST participaron en una capacitación sobre el uso y manejo de extintores en las instalaciones de Bomberos y Protección Civil de Tulancingo. La actividad forma parte de los acuerdos establecidos entre los dirigentes del tianguis y el Gobierno Municipal, enfocados en mejorar las condiciones de seguridad para comerciantes y visitantes. Durante la jornada, los tianguistas recibieron formación teórica y práctica, con énfasis en la correcta aplicación de medidas de seguridad en instalaciones de gas, uno de los principales riesgos en este tipo de espacios comerciales. Autoridades destacaron que estas acciones buscan fomentar una cultura permanente de prevención, asegurando que los comerciantes cuenten con las herramientas necesarias para actuar de manera oportuna ante cualquier eventualidad, contribuyendo así a un entorno más seguro para la población en general. Asimismo, se informó que estas capacitaciones están disponibles para otros tianguistas interesados. De igual forma, se hizo un llamado a los diferentes mercados sobre ruedas para que desarrollen planes de contingencia que contemplen protocolos claros y acciones coordinadas, permitiendo una respuesta eficaz en situaciones de emergencia.</t>
  </si>
  <si>
    <t>Capacitación Contra Incendios</t>
  </si>
  <si>
    <t>La noche de este martes se registró un despliegue de fuerzas de seguridad en el centro de Ixmiquilpan, lo que generó expectación entre habitantes de la zona. Las acciones se concentraron sobre la calle José María Assian, donde autoridades intervinieron un inmueble y un establecimiento comercial como parte de un operativo en curso. En el lugar participan elementos de la Procuraduría General de Justicia del Estado de Hidalgo (PGJEH), así como efectivos de la Policía Estatal y personal de la Secretaría de la Defensa Nacional, quienes realizan diligencias de cateo en la zona.</t>
  </si>
  <si>
    <t>Cateo</t>
  </si>
  <si>
    <t>Columna a media semana - El Centro de Acopio Lechero que pudo haber sido de gran beneficio para la actividad económica de Tulancingo, se encuentra inconcluso y completamente abandonado, en condiciones que están por cumplir 4 años, según lo han advertido integrantes de la Asociación de Ganaderos del Valle de Tulancingo, que agrupa a lecheros y queseros de la región; según explican, la Secretaría de Agricultura y Desarrollo Rural (SADER), presume que el proyecto está al 80%; lo cierto es que no hay avance en los trabajos, hace un lustro se decía que necesitaban 17 millones de pesos para terminarlo y ahora son 40 millones los que se requieren tan solo para continuar y aún falta la colocación de tanques, equipamiento y el laboratorio.</t>
  </si>
  <si>
    <t>Centro de acopio lechero</t>
  </si>
  <si>
    <t>Boletín 029: Gabinete de Seguridad detiene a generador de violencia en Tlaxcoapan</t>
  </si>
  <si>
    <t>Gabinete de Seguridad</t>
  </si>
  <si>
    <t>Autoridades de la Procuraduría General de Justicia del Estado de Hidalgo (PGJEH) llevaron a cabo un operativo en el municipio de Mixquiahuala de Juárez, que derivó en la detención de tres personas presuntamente relacionadas con la venta de narcóticos. La intervención se originó tras un reporte ciudadano que alertaba sobre actividades sospechosas en la calle 2 de enero, en la zona centro. Autoridades de la Procuraduría General de Justicia del Estado de Hidalgo (PGJEH) llevaron a cabo un operativo en el municipio de Mixquiahuala de Juárez, que derivó en la detención de tres personas presuntamente relacionadas con la venta de narcóticos. La intervención se originó tras un reporte ciudadano que alertaba sobre actividades sospechosas en la calle 2 de enero, en la zona centro. En respuesta, agentes de la División de Investigación de la Agencia de Investigación Criminal se trasladaron al lugar, donde ubicaron a dos hombres y una mujer, quienes habrían intentado evadir a la autoridad. Tras realizarles una revisión, los elementos aseguraron diversas sustancias con características similares a marihuana, droga sintética conocida como cristal y un polvo blanco que podría ser cocaína. Durante estas acciones también fueron confiscadas dos unidades sin placas de circulación: una motocicleta y una motoneta de la marca Italika. Los detenidos, junto con la droga y los vehículos, quedaron a disposición del Ministerio Público, instancia que continuará con las investigaciones para definir su situación jurídica.</t>
  </si>
  <si>
    <t>Columna a media semana - El próximo día 30, vence el plazo para que los aspirantes a convertirse en consejeros del Instituto Estatal Electoral de Hidalgo se registren como candidatos, proceso que se ha llevado a cabo durante los meses de marzo y abril, porque en mayo se realizarán las entrevistas correspondientes. El calendario establece que el 2 de noviembre de este año, deberán rendir protesta los dos nuevos integrantes que se sumarán al consejo general que preside María Magdalena González Escalona, quien seguramente buscará meter la mano en la designación; quienes busquen un lugar en el IEEH también deberán presentar ensayos, evaluaciones y someterse a entrevistas para probar su experiencia y conocimiento en esta materia.</t>
  </si>
  <si>
    <t>IEEH</t>
  </si>
  <si>
    <t>Consejeros Electorales</t>
  </si>
  <si>
    <t>Elementos de la Secretaría de Seguridad Ciudadana de Mineral de la Reforma, detuvieron a una persona dedicada a la venta de aves protegidas sobre el bulevar Providencia, a la altura del fraccionamiento San Luis I. El hombre ofrecía dichas especies sin el permiso correspondiente, por lo que luego del reporte ciudadano ante el C5i que alertaba sobre la presencia del hombre, la policía municipal implementó un operativo para su localización. Al llegar, fue ubicada la persona quien se identificó con las iniciales J.L.Z.C., de 33 años de edad, y en ese momento tenía en su poder dos crías de aves de la especie psitácidos mexicanos, conocidos como pericos de frente naranja, los cuales están protegidos ante la Norma Oficial Mexicana 0-59 y los ofrecía a la venta. Al no acreditas la legal procedencia y documentos para la transportación de estas especies, el sujeto fue detenido y el aseguramiento de los dos ejemplares de aves, para ser puestos a disposición del Ministerio Público de la Fiscalía General de la República (FGR).</t>
  </si>
  <si>
    <t>Entrevista vía telefónica Edna Vite Ramos, presidenta del Patronato del Sistema DIFH - Habló sobre la celebración del Día del Niño y la Niña que se realizará el próximo 24 y 25 de abril de 2026 en las instalaciones de la Feria, dicho evento se realizará con temática futbolera, pues además de contar con juegos mecánicos, retas de fútbol y talleres, se realizará la forma de autógrafos de jugadores y jugadoras del Club de Fútbol Pachuca. Cabe destacar que el evento es gratuito y se realizará en un horario de 11:00 a 17:00 horas.</t>
  </si>
  <si>
    <t>Boletín 637: “Loopa Sonora” destaca en la EMEH como propuesta innovadora en arte contemporáneo</t>
  </si>
  <si>
    <t>EMEH</t>
  </si>
  <si>
    <t>En sesión ordinaria, diputadas y diputados integrantes de la 66 legislatura avalaron con 25 votos a favor el acuerdo económico que exhorta a los 84 ayuntamientos a fortalecer la capacitación del personal de Protección Civil a través del Centro Nacional de Prevención de Desastres (Cenapred), promovido por la legisladora María del Rosario Guerrero Martínez (Morena).</t>
  </si>
  <si>
    <t>Exhorto</t>
  </si>
  <si>
    <t>Locutor Juan Carlos Santamaría informó que, la Secretaría del Trabajo y Previsión Social de Hidalgo a través del ICATHI realizará la firma de convenio de colaboración con la Fundación Alemana Senior Experten Service, la cita es a las 10:40 horas en Mineral del Monte.</t>
  </si>
  <si>
    <t>STPSH</t>
  </si>
  <si>
    <t>Firma De Convenio</t>
  </si>
  <si>
    <t>La posible salida de la Fundación Arturo Herrera Cabañas de su inmueble generó un intenso debate entre legisladores de Hidalgo, con posturas encontradas sobre el uso de espacios públicos y el valor de los proyectos culturales en la entidad. Durante la discusión, la diputada Tania Eréndira Meza Escorza señaló que el desalojo no puede verse solo desde lo legal, sino también desde la historia y el impacto social del movimiento cultural vinculado a la fundación. Advirtió que guardar silencio ante esta situación sería “traicionar” la lucha histórica de la izquierda en el estado. En contraste, la legisladora Mónica Leanett Reyes Martínez afirmó que no se está cancelando el trabajo cultural de la organización, sino que se busca evitar que los espacios públicos se manejen como privilegios. Subrayó que los integrantes del proyecto pueden continuar con sus actividades en otros espacios. La discusión también incluyó el planteamiento de revisar el esquema legal del inmueble. Meza Escorza propuso que, con voluntad política, podría generarse un nuevo comodato que permita la continuidad del proyecto comunitario. Por su parte, la diputada Lizbeth Iraís Ordaz Islas defendió la recuperación del inmueble al señalar que forma parte de una política para garantizar que los bienes públicos se utilicen conforme a su finalidad social y no con fines particulares. En el mismo sentido, Hilda Miranda Miranda sostuvo que el objetivo del gobierno es rescatar espacios para ponerlos al servicio de la sociedad y de la comunidad cultural en general. Sin embargo, otras voces como la de la diputada Cynthia Citlali Delgado Mendoza destacaron la trayectoria de la fundación, resaltando su papel en la promoción cultural y el impacto logrado sin financiamiento público. Desde la oposición, el diputado Marco Antonio Mendoza Bustamante pidió reconocer el legado de Arturo Herrera Cabañas, subrayando sus aportaciones al ámbito académico y cultural en Hidalgo y el país. El tema continúa generando debate, al poner sobre la mesa la relación entre legalidad, uso de espacios públicos y el valor de los proyectos culturales independientes.</t>
  </si>
  <si>
    <t>Fundación Herrera Cabañas</t>
  </si>
  <si>
    <t>Columna a media semana - Como un reconocimiento a su trayectoria y talento como intérprete, el tenor hidalguense Fausto Villagrán será galardonado este fin de semana, con la entrega de la máxima presea de la música ranchera, la medalla Aida Cuevas; el galardón destinado a las grandes voces de la canción, será entregada al pachuqueño en una ceremonia avalada por el gobierno del estado de Chihuahua y la administración municipal de Ciudad Juárez, donde se llevará a cabo el evento. El destacado cantante tiene una trayectoria de 20 años y ha cantado con el acompañamiento de más de 50 mariachis y 40 orquestas.</t>
  </si>
  <si>
    <t>Galardón</t>
  </si>
  <si>
    <t>La Secretaría de Salud de Hidalgo, confirmó el primer caso detectado de miasis en humano por gusano barrenador en la entidad, registrado en un paciente masculino de 57 años, originario del municipio de Tenango de Doria, quien actualmente recibe atención médica conforme a los protocolos establecidos. Derivado de este primer caso, se llevó a cabo la Segunda Sesión Extraordinaria del Consejo de Salud del Estado de Hidalgo (CSEH) 2026, donde se fortalecieron las estrategias de prevención y control con la participación de autoridades federales, estatales y diversos sectores.</t>
  </si>
  <si>
    <t>Las autoridades municipales de San Salvador, Hidalgo, emitieron una alerta urgente el 21 de abril de 2026 tras la detección de al menos un posible caso de gusano barrenador en el municipio. Se solicita a los productores agropecuarios y a la población en general revisar constantemente a su ganado y mascotas en busca de heridas infectadas</t>
  </si>
  <si>
    <t>Boletín 1633: Cobaeh realizará concurso de trajes típicos</t>
  </si>
  <si>
    <t>Justa Académica</t>
  </si>
  <si>
    <t>Boletín: Secretaría de Salud entrega licencias sanitarias a hospitales de IMSS-Bienestar en Hidalgo</t>
  </si>
  <si>
    <t>Licencias sanitarias</t>
  </si>
  <si>
    <t>Columna a media semana - A unos meses de haberse visto obligado a presentar su renuncia a la dirigencia del partido Nueva Alianza Hidalgo, este martes volvió a dar señales de vida el ex-diputado federal Sergio Hernández Hernández, quien por medio de un escrito dirigido a la actual dirigente Juana María Márquez Parrasales, pidió ser desafiliado, es decir, renuncia a su militancia. Aun no se sabe si su salida del partido turquesa signifique su retiro de la política o su buscará acomodo en otro instituto político, lo que no sería nuevo en él, ya que el ex-secretario del SNTE, ya ha militado en el PRI, el PRD y nueva transa, así que a nadie extrañaría que solo sea un cambio de camiseta.</t>
  </si>
  <si>
    <t>Panalh</t>
  </si>
  <si>
    <t>Militancia Partidista</t>
  </si>
  <si>
    <t>Fuentes cercanas a la familia del exgobernador hidalguense y extitular de la Procuraduría General de la República (PGR), Jesús Murillo Karam, desmintieron las versiones que circularon en redes sociales sobre su presunto fallecimiento. De acuerdo con la información, el político hidalguense continúa internado en un centro hospitalario bajo una condición de salud delicada pero estable. Murillo Karam se encuentra bajo estrecha vigilancia médica tras haber sufrido una complicación cerebrovascular. A pesar de los rumores que se difundieron durante las últimas horas, se precisó que el exprocurador sigue con vida, aunque su diagnóstico se mantiene como reservado.</t>
  </si>
  <si>
    <t>Noticias falsas</t>
  </si>
  <si>
    <t>El Colegio de Bachilleres del Estado de Hidalgo (COBAEH) anuncia su oferta educativa para el ciclo 2026, dirigida a estudiantes que están por concluir la secundaria y buscan continuar su formación en el nivel medio superior con opciones académicas y técnicas. Con presencia en 133 centros educativos distribuidos en 65 de los 84 municipios de la entidad, el COBAEH se posiciona como la institución de educación media superior más grande en Hidalgo, al ofrecer un modelo de bachillerato general con capacitación para el trabajo. El director general del organismo, Rubén López Valdez, destacó que anualmente egresan en promedio 9 mil estudiantes, muchos de los cuales continúan su formación en universidades, consolidándose como profesionistas que contribuyen al desarrollo del estado. Se invita a las y los interesados a acercarse a cualquiera de los planteles para iniciar su proceso de inscripción y formar parte de esta comunidad educativa, reiterando que el eje central de la institución son sus estudiantes y su desarrollo integral.</t>
  </si>
  <si>
    <t>Oferta educativa</t>
  </si>
  <si>
    <t>Con el objetivo de seguir fortaleciendo la infraestructura básica en las comunidades cuautepequenses, la administración que preside Jorge Hernández Araus dio inicio a los trabajos de pavimentación hidráulica en la calle Durango, en Tezoncualpan. Esta importante acción contempla una inversión de un millón 76 mi 494.77 pesos, que beneficiará de manera directa a 55 habitantes e indirectamente a más de 850 personas con mejores condiciones de movilidad y mayor seguridad en su entorno. El proyecto incluye la construcción de 660.41 metros cuadrados de pavimento de concreto hidráulico de alta resistencia, así como guarniciones, banquetas, aplicación de pintura de tránsito, renivelación de pozo de visita e instalación de mampara informativa. En el arranque de esta significativa mejora, el alcalde reconoció la participación y el respaldo de las y los vecinos de Tezoncualpan, destacando que el trabajo conjunto entre sociedad y gobierno es fundamental para lograr resultados que verdaderamente impacten en el bienestar de la población.</t>
  </si>
  <si>
    <t>Un grupo de turistas denunció una situación de alto riesgo durante su visita a las grutas de Xajhá, en Zimapán, luego de que la camioneta en la que eran trasladados presentara una falla mecánica en plena ruta, en una zona de curvas y barrancos. De acuerdo con el testimonio, la unidad —que presuntamente se encontraba en condiciones deplorables— estuvo a punto de caer a una barranca con varias personas a bordo, lo que generó momentos de gran riesgo. Los visitantes señalaron que las camionetas son asignadas directamente por personal del lugar, siendo el único medio para acceder al sitio, por lo que consideran indispensable que estas cuenten con mantenimiento adecuado y condiciones seguras para operar. Indicaron que lo ocurrido pudo haber derivado en una tragedia, por lo que hacen un llamado urgente a revisar el estado de las unidades y garantizar la seguridad de quienes acuden a este destino turístico. Asimismo, pidieron la intervención de las autoridades del Gobierno del Estado del área de Turismo para supervisar este tipo de servicios y evitar que situaciones similares vuelvan a repetirse.</t>
  </si>
  <si>
    <t>Queja de turistas</t>
  </si>
  <si>
    <t>Entrevista vía telefónica Mtra. Violeta Sosa Zamora Habló sobre el reciente lanzamiento del "Plan Nacional de Salud Mental para adolescentes", el cual, tiene como objetivo combatir el estrés, la violencia y los riesgos digitales.</t>
  </si>
  <si>
    <t>Salud Mental</t>
  </si>
  <si>
    <t>El próximo viernes 24 de abril, la ciudad de Pachuca vivirá un bloqueo vial que se espera no sea retirado hasta que los organizadores obtengan respuestas que satisfagan sus respectivas demandas, por lo que se espera haya mucho tráfico y caos durante el lapso de algunas horas consecutivas. Quien anunció la protesta se trata de integrantes del colectivo Voces H-Inocentes Mx, que se dedica a dar acompañamiento en procesos legales, principalmente en mujeres e infancias, que son dos de los grupos poblacionales mayormente afectados por lo que acusan como desigualdades y hasta abusos. Y aunque se aseveró que desde su instancia tratan de sacar adelante los casos que llegan, consideran que los medios de comunicación no dan suficiente cobertura, o bien, son selectivos según la presión social o la llamada virilidad que pueda obtener en las redes sociales, lo que entorpece su trabajo. Ante lo cual, se pidió que se realice un ejercicio periodístico objetivo e imparcial, sin seleccionar causas según criterios establecidos y por ello el próximo viernes 24 de abril buscarán llamar la atención con una marcha y bloqueo vial en la ciudad de Pachuca, llamando a la ciudadanía a participar. De acuerdo con el colectivo Voces H-Inocentes Mx, además de cobertura mediática a casos legales que han quedado prácticamente en el olvido o sin darse a conocer a la ciudadanía por no ser considerados relevantes, también se buscará que se dé una revisión a carpetas de investigación con igualdad. El colectivo insistió en que su objetivo es que se otorgue un trato justo a todas las personas involucradas en procesos legales, principalmente de mujeres e infancias, quienes padecen abusos, ataques, denigración y oros probables delitos que no han tenido justicia incluso desde hace ya mucho tiempo atrás. nte lo cual, se anunció una marcha pacífica el próximo viernes 24 de abril a las 9:30 horas, quizá antes o después, según el tiempo que participantes se organicen, quienes deben portar ropa blanca, partiendo desde el Centro de Justicia para Mujeres ubicado en la colonia San Carlos de Pachuca. Posteriormente, fue aseverado que se partirá a hacia una de las calles más importantes, donde se instalará un bloqueo que durará el tiempo necesario en lo que se comprometen soluciones, pero sin especificar el punto exacto, pero que podría ser el bulevar Ramón G Bonfil cercano, donde se portarán pancartas.</t>
  </si>
  <si>
    <t>Procuracion de justicia</t>
  </si>
  <si>
    <t>Eulalio Larrieta agradece a Edith Balderas de la Secretaria de Educación Pública.</t>
  </si>
  <si>
    <t>Radioescucha Raúl manda audio sobre el deceso que se tuvo en el hospital general, ya que no la atendieron y falleció en la parte de afuera. No es justo que el ciudadano que vaya a que le brinden el servicio y no lo atiendan; ojalá no quede impune.</t>
  </si>
  <si>
    <t>Atención médica</t>
  </si>
  <si>
    <t>Se registró un accidente en Apan, un tren impactó un vehículo que intentó ganarle el paso el conductor quien fue atendido de inmediato y trasladado para su atención médica.</t>
  </si>
  <si>
    <t>Radioescucha reporta que sigue el bache en el cruce peatonal, por la Federal 2</t>
  </si>
  <si>
    <t>Bacheo</t>
  </si>
  <si>
    <t>Continúa la búsqueda del menor de edad identificado como Dorian Calef Chiu quien fue visto por última vez el 15 de abril de 2025 en la localidad de Huiztnopala, municipio de Lolotla, en la sierra del estado de Hidalgo. A poco más de un año de su desaparición, su abuela María Bautista pide auxilio para encontrar a su nieto, quien llegó a Huiztnopala para pasar unos días de vacaciones en compañía de su familia sin saber que sería la última vez que lo verían. Desde entonces a la fecha los vecinos y familiares mantienen una búsqueda constante en compañía de cuerpos de seguridad de la Policía Estatal y Municipal, así como la Comisión de Búsqueda de Personas del Estado de Hidalgo.</t>
  </si>
  <si>
    <t>Búsqueda de personas</t>
  </si>
  <si>
    <t>Comenta el conductor Eulalio Larrieta que, hablando del tema de la Fundación Arturo Herrera Cabañas, no sabía que la casa hogar Ciudad de los Niños ya no funcionaba y eso fue desde la pandemia, y dicen que siguen llegando recursos, ropa y víveres a ese lugar y nos gustaría saber a dónde se va eso; ojalá alguna autoridad nos diga qué pasó.</t>
  </si>
  <si>
    <t>Centros asistenciales</t>
  </si>
  <si>
    <t>Como resultado de trabajos de inteligencia y coordinación institucional, el Gabinete de Seguridad del Gobierno del Estado de Hidalgo logró la detención en Tlaxcoapan de un hombre identificado con las iniciales J. C. A. A., considerado generador de violencia en Tlaxcoapan y municipios aledaños.La acción se llevó a cabo mediante un operativo táctico desarrollado por elementos de la Agencia de Investigación de la Procuraduría General de Justicia del Estado de Hidalgo (PGJEH) y la Secretaría de Seguridad Pública de Hidalgo (SSPH), derivado de investigaciones realizadas en esa zona del estado y frenan diversos actos delictivos que afectan a las familias en la región.</t>
  </si>
  <si>
    <t>El Gobierno mexicano ha desmantelado una red millonaria de extracción y venta ilegal de combustible, ha anunciado este miércoles el secretario de Seguridad federal, Omar García Harfuch. De acuerdo con las autoridades, la operación de los criminales tenía la capacidad de sustraer semanalmente hasta 1,5 millones de litros de hidrocarburo en los Estados de Hidalgo y Estado de México, en el centro del país. Siete personas han sido detenidas, entre ellas el presunto líder del grupo. Como parte de las investigaciones, se ejecutaron 20 órdenes de cateo, distribuidas de la siguiente manera:10 en el Estado de México, 10 en Hidalgo,AUDIO APOYO</t>
  </si>
  <si>
    <t>Combate Al Huachicol</t>
  </si>
  <si>
    <t>Entrevista Alicia Sanchéz corista con la invitación para hoy 22 de abril al concierto “Misa de Coronación” (KV 317) de Wolfgang Amadeus Mozart, a las 18:00 horas al evento que se llevara acabo en la Parroquia Basílica de Santa María de Guadalupe. El concierto será interpretado por la Orquesta Filarmónica de Pachuca, en conjunto con el Coro de Pachuca y el Coro del Estado de Hidalgo, reuniendo a más de 50 voces en escena, recordando igual que este recinto contará con acceso gratuito al público.</t>
  </si>
  <si>
    <t>Avanza el proceso de diálogo comunitario rumbo a la consulta indígena para la restauración ambiental de la presa de San Fernando. En la comunidad de Santa María Macuá se realizó una asamblea informativa para presentar el programa de restauración ecológica del área de influencia como parte de la fase previa a este ejercicio.Autoridades de la Secretaría de Medio Ambiente y Recursos Naturales y del Instituto Nacional de los Pueblos Indígenas detallaron que esta es la décima localidad donde se dialogó con pobladores con el objetivo de aclarar dudas y socializar el proyecto. El plan contempla acciones para combatir la contaminación hídrica como el tratamiento de aguas residuales y la reducción de descargas en los ríos Salado y Tula, además de programas de reforestación y recuperación de suelos. También se prevén medidas para mejorar la calidad del aire mediante la actualización de normas ambientales y el control de emisiones.</t>
  </si>
  <si>
    <t>Consulta Indígena</t>
  </si>
  <si>
    <t>Un policía resultó sin vida en Mixquiahuala, a la altura del Teñé, esto por un accidente en motocicleta.</t>
  </si>
  <si>
    <t>Deceso de policía</t>
  </si>
  <si>
    <t>Boletín 1051:Convoca Segobh al Foro de Derechos Humanos Inclusivos</t>
  </si>
  <si>
    <t>Derechos humanos</t>
  </si>
  <si>
    <t>Radioescucha pide a Caasim que le mande el bactor para realizar desazolve de una alcantarilla tapada en Villas del Alamo Fovissste</t>
  </si>
  <si>
    <t>Desazolve</t>
  </si>
  <si>
    <t>Radioescucha Aurora Ibarra Soto comenta que sigue pidiendo apoyo para el desazolve del canal del Fraccionamiento Renacimiento en la primera y segunda sección de Arquitectura.</t>
  </si>
  <si>
    <t>Para celebrar el Día del Niño, el gobierno de Hidalgo y el sistema de Hidalgo realizarán el evento Únete a la Reta. La información con Jocelyn Sánchez. En el marco del mes de las infancias, el sistema de Hidalgo anunció la cuarta diciembre festejando a las niñas y a los niños de Hidalgo, denominado Únete a la Reta, evento que se realizará los días veinticuatro y veinticinco de abril en las instalaciones de la feria de Pachuca.La presidenta del Patronato, Edda Vite, informó que durante ambos días, de once de la mañana a cinco de la tarde, se ofrecerán actividades gratuitas con enfoque deportivo, teniendo al fútbol como eje principal. Edda Vite destacó que los boletos son gratuitos y se distribuyen en distintos puntos del estado y reiteró la invitación a las familias a disfrutar de esta celebración enfocada en la convivencia y el bienestar infantil. Todos los niños de dos ochenta y cuatro municipios, tanto de los cercanos como de los lejanos, saben que los estamos esperando y nos va a dar muchísimo gusto recibirlos acá. Únanse a la reta, traigan su ven, pónganse la camiseta del equipo que más les guste porque ese es el objetivo, venir a jugar y a pasar momentos recreativos. La entrada es gratuita. Los esperamos, niños, niñas, traigan a sus papás y vengan a jugar, va a haber muchísima participación en cuanto a actividades relacionadas con el fútbol. Únanse a la reta en el sistema DIF. Para Enfoque Regional, informó Jocelyn Sánchez. AUDIO DE APOYO.</t>
  </si>
  <si>
    <t>Durante sesión ordinaria, diputadas y diputados de la LXVI Legislatura del Congreso de Hidalgo aprobaron por unanimidad —con 25 votos a favor— un acuerdo económico para exhortar a los 84 ayuntamientos de la entidad a reforzar la capacitación de su personal de Protección Civil.La iniciativa, promovida por la legisladora María del Rosario Guerrero Martínez y dictaminada por la Primera Comisión Permanente de Protección Civil y Gestión Integral de Riesgos, plantea que los municipios aprovechen los programas de formación del Centro Nacional de Prevención de Desastres.En tribuna, el diputado Francisco Javier Téllez Sánchez subrayó la importancia de establecer mecanismos de coordinación institucional con autoridades estatales y federales, a fin de facilitar el acceso del personal municipal a procesos de capacitación, certificación y actualización continua.</t>
  </si>
  <si>
    <t>Radioescucha reporta que siguen tirando agua en la colonia Valle del Palmar</t>
  </si>
  <si>
    <t>Fuga de agua</t>
  </si>
  <si>
    <t>Radioescucha agradece que ya repararaon una fuga de agua, que se habia reportado y agradece la difusión</t>
  </si>
  <si>
    <t>La diputada de Morena Tania Meza Escorza defendió la permanencia de la Fundación Arturo Herrera Cabañas y enmarcó su postura en la historia de la izquierda social en México,AUDIO APOYO</t>
  </si>
  <si>
    <t>En Hidalgo se investiga un posible caso de gusano barrenador en seres humanos de acuerdo a las fuentes federales, las autoridades del Servicio Nacional de Sanidad, Inocuidad y Calidad Agroalimentaria (Senasica), se encuentran analizando en el municipio de Tenango de Doria, Hidalgo un probable caso de gusano barrenador en un ser humano. Al corte del 16 de abril de 2026, la plaga tiene presencia confirmada en 45 municipios de Hidalgo, lo que representa el 53.5 por ciento del territorio estatal.</t>
  </si>
  <si>
    <t>La Administración Municipal de San Salvador encendió las alertas tras la detección de un posible caso de gusano barrenador, una plaga considerada de alto riesgo para la salud animal y humana; ya las autoridades locales informaron que se activaron protocolos de monitoreo preventivo en toda la demarcación, al tiempo que hicieron un llamado urgente a productores y ciudadanía a revisar constantemente a su ganado y mascotas, especialmente en heridas abiertas o zonas húmedas. Advirtieron que esta larva puede alimentarse de tejido vivo, lo que representa un peligro significativo si no se detecta a tiempo ante cualquier sospecha se pide reportar de inmediato a la Dirección de Desarrollo Agropecuario o al número 772 159 0050 hay que recordar que en San Salvador pues hay productores de leche de quesos, en ganado es importante el número de ganado que se tiene en este municipio y ya en esa región, en esa parte de la región del Valle del Mezquital.El gobierno municipal subrayó que la detección oportuna y la participación ciudadana serán clave para evitar la propagación de esta plaga y proteger tanto la actividad pecuaria como la salud pública en la región.</t>
  </si>
  <si>
    <t>El delito del huachicol, sigue en incremento. Concentra ya cinco estados los piquetes aductos de Pemex. De las nueve mil novecientas veintidós denuncias presentadas por tomas clandestinas entre dos mil veinticuatro y dos mil veinticinco, el sesenta punto nueve por ciento se concentró en apenas cinco entidades. Estamos hablando de Puebla, Estado de México, Guanajuato, Tamaulipas, e Hidalgo.Registros oficiales de Pemex detallan que Hidalgo encabezó la incidencia con mil setecientos noventa y dos denuncias. La información con Claudia Alcántara. Gracias, buenos días.Cada cincuenta minutos se detectó una toma clandestina en ductos de Pemex durante el dos mil veinticinco para el robo de combustible, de acuerdo con cifras oficiales. El número de perforaciones el año pasado fue de diez mil quinientas noventa y uno, según el estadístico de la petrolera solicitado vía transparencia. El fenómeno se mantuvo concentrado en el centro del país, con Hidalgo a la cabeza.</t>
  </si>
  <si>
    <t>Huachicol</t>
  </si>
  <si>
    <t>Radioescucha, reportar a los de Caasim que desde el 7 de abril fueron a realizar reconexiones del servicio, ya se reportó varias veces y siguen sin tener respuesta favorable. Comenta conductor que mandan todo su historial y lo mandamos directamente a Caasim</t>
  </si>
  <si>
    <t>Inatención</t>
  </si>
  <si>
    <t>El artista plástico Jasso, originario de Tula, explicó que su intervención gráfica forma parte de la restauración de la fachada de la primaria Melchor Ocampo, un proyecto iniciado hace dos años con apoyo de padres de familia, asociaciones y empresas. El mural, titulado “La Sinfonía Tolteca de la Vida”, está inspirado en la toltequidad, una filosofía prehispánica que promueve el equilibrio interno y externo del ser humano. La obra integra elementos como la biodiversidad, los atlantes, la niñez y la juventud, con un mensaje enfocado en el cuidado de la naturaleza y la reflexión personal</t>
  </si>
  <si>
    <t>Infraestructura escolar</t>
  </si>
  <si>
    <t>Radioescucha reporta lámparas fundidas en la calle Chabacano en Ampliación Santa Julia.</t>
  </si>
  <si>
    <t>Radioescucha reporta que en Jardín del Arte, donde está el monumento al maestro, está muy oscuro, ya que no funcionan algunas lámparas; comenta conductor que ojalá el ayuntamiento cheque ese asunto.</t>
  </si>
  <si>
    <t>Boletín 1049: La cultura es un derecho: Hidalgo recupera espacios para el acceso de todas y todos</t>
  </si>
  <si>
    <t>El alcalde Jorge Reyes Hernández anunció la próxima implementación de un sistema de multas electrónicas que permitirá a los conductores liquidar sus infracciones en el lugar de los hechos mediante tarjeta o transferencia, AUDIO APOYO</t>
  </si>
  <si>
    <t>Multa de tránsito</t>
  </si>
  <si>
    <t>Luego de que algunos medios nacionales dieran a conocer que el exgobernador de Hidalgo Jesús Murillo Karam había perdido la vida, Criterio Hidalgo consultó con fuentes cercanas al político. El abogado Javier López, defensor particular del exproducrador Jesús Murillo Karam, acusado en el caso Ayotzinapa, informó que es falsa la información sobre la supuesta muerte del exgobernador de Hidalgo.</t>
  </si>
  <si>
    <t>Ayer un importante operativo de seguridad se realizó en la zona en pleno centro a unos 50 metros de la presidencia municipal esto presuntamente un operativo contra el narcomenudeo veremos lo que dicen las autoridades en las próximas horas</t>
  </si>
  <si>
    <t>Operativo de Seguridad</t>
  </si>
  <si>
    <t>En el marco del día mundial del hígado, el Instituto Mexicano del Seguro Social (IMSS) en Hidalgo alerta a la población sobre el riesgo de acumular grasa en el organismo, particularmente en el hígado, ya que la inflamación de este vital órgano puede originar formación excesiva de tejido cicatricial lo que se traduce en cirrosis, hígado graso y en casos avanzados puede dar paso a tumores.</t>
  </si>
  <si>
    <t>Radioescucha reporta que las combis de Pitayas, se ponen muy groseros.</t>
  </si>
  <si>
    <t>Queja transporte público</t>
  </si>
  <si>
    <t>Comentó conductor Jessus Gonzales que ayer se recibieron varias llamadas de auditorio , para comentar que en comunidades y colonias de Tula, no habia pasado el camiñon de la basura, pero nos comentaron que fue por mantenimiento y que mañana se reanuda la recolección de basura.</t>
  </si>
  <si>
    <t>Un exfuncionario de la presidencia municipal de Atitalaquia fue sentenciado a 33 años y 4 meses de prisión, luego de que personal ministerial adscrito a la Procuraduría General de Justicia del Estado de Hidalgo, lograra acreditar la responsabilidad en los delitos de violación instrumentada equiparada agravada y abuso sexual equiparado agravado.Los hechos imputados tuvieron lugar entre los años 2018 y 2019, de acuerdo con la acusación, el sujeto agredió sexualmente a una niña de ocho años.</t>
  </si>
  <si>
    <t>Sentencia</t>
  </si>
  <si>
    <t>El Congreso del Estado de Hidalgo fue sede del Diálogo por el Bienestar y la Protección Animal, denominado “Por un Hidalgo sin maltrato animal”. El propósito fue establecer un foro institucional, plural e interdisciplinario para el análisis técnico, científico, jurídico y social. En este espacio, se reunieron especialistas, académicos, organizaciones de la sociedad civil y ciudadanos con el fin de aportar datos objetivos que enriquezcan el proceso legislativo y contribuyan a una deliberación bien informada.En el contexto de la iniciativa para prohibir las corridas de toros, el diputado Avelino Tovar Iglesias, coordinador del grupo legislativo del Partido Verde Ecologista de México, hizo referencia a una resolución de la Suprema Corte de Justicia de la Nación, AUDIO APOYO</t>
  </si>
  <si>
    <t>Tauromaquia</t>
  </si>
  <si>
    <t>De acuerdo con información de la Comisión Nacional del Agua (Conagua), al día de hoy, el avance físico global de las obras de tecnificación que lleva a cabo el Gobierno de México en los distritos de riego 003 Tula, 100 Alfajayucan y 112 Ajacuba es del 90.78 por ciento (%), considerando en conjunto los canales principales y las canaletas regadoras.Los avances en la red mayor corresponden a la conclusión del revestimiento de los canales, quedando únicamente pendientes los trabajos de colado de las losas de aproximación en estructuras como puentes, transiciones, represos y tomas granja. Se continúan trabajos de cimbrado y colado de estructuras de control y operación para su posterior instalación y prueba de compuertas deslizantes y radiales.</t>
  </si>
  <si>
    <t>Hasta el semestre pasado cuando inició el ciclo escolar dos mil veinticinco, dos mil veintiséis hasta el corte de diciembre de dos mil veinticinco sumaban ya más de trescientos nueve casos de violencia escolar. ¿Por qué le decimos estos datos? Porque muchas de las veces los niños replican este tipo de violencia, de bullying, de acoso escolar con sus compañeros por lo que viven en sus casas, por la situación tan compleja que se vive en sus hogares. Si es que se le puede llamar así, el trabajo coordinado entre maestros, docentes, administrativos con padres de familia debe ser muy intenso para evitar y sobre todo prevenir este tipo de situaciones.Por eso en los entornos seguros corresponden a los padres de familia y también a los maestros y profesores que en conjunto puedan brindarle orientación, puedan brindarle espacios seguros a los pequeños. Sin duda, muchos de los casos de violencia en la escuela son reflejo de la violencia que viven las niñas y los niños en sus casas.</t>
  </si>
  <si>
    <t>Violencia Escolar</t>
  </si>
  <si>
    <t>Hablar de violencia, la violencia a la que se enfrentan los pequeños, pues ya no es cosa menor, sobre todo la violencia escolar que dejó de ser un hecho aislado y hoy se perfila como una crisis creciente en nuestro estado y en nuestro país. Hay que decirlo, no es un problema exclusivo de Hidalgo, sino a nivel nacional. Especialistas y autoridades han advertido la necesidad urgente de reforzar la prevención y atención dentro y fuera de las aulas. De hecho, el secretario de Educación Pública en Hidalgo, Natividad Castrejón Valdés, reconoció que hay estudiantes que encuentran mayor seguridad en la escuela que en sus propios hogares, lo que sin duda evidencia un entorno familiar marcado por la violencia en algunos casos. En municipios como Tizayuca, los focos rojos se intensificaron tras amenazas de tiroteo vinculadas a casos de bullying, así como agresiones entre estudiantes que han quedado documentadas en video, evidenciando la falta de intervención oportuna. AUDIO DE APOYO DE NCV</t>
  </si>
  <si>
    <t>En la localidad de Santa María Michimaltongo, es reconocida como comunidad indígena en Tula, fue sede de la Asamblea Comunitaria que es parte del programa de ordenación de la Zona Metropolitana del Valle de México. Daniela López Hernández, directora de Planificación del Gobierno Municipal de Tula, explicó que Tula de Allende forma parte del polígono que configura hoy la Zona Metropolitana del Valle de México, la importancia de que existan estas zonas metropolitanas, es la conexión que existe entre una limítrofe y otra. A través del gobierno federal, gobierno estatal, en el caso del gobierno federal a través de la SEDATU, gobierno estatal a través de la Unión de Planeación y Prospectiva y en el gobierno municipal a través de la Dirección de Planeación es que se han hecho estos encuentros, AUDIO APOYO</t>
  </si>
  <si>
    <t>ZMVM</t>
  </si>
  <si>
    <t>Un hombre fue detenido por elementos de la Secretaría de Seguridad Pública, Tránsito y Vialidad de Pachuca tras ser sorprendido realizando pintas en mobiliario urbano dentro de la Plaza Constitución. De acuerdo con el reporte, los hechos ocurrieron durante un recorrido de vigilancia sobre la calle José María Morelos, a la altura del Mercado Primero de Mayo, donde los agentes detectaron al individuo dañando bancas de concreto que habían sido recientemente intervenidas.</t>
  </si>
  <si>
    <t>“Ciudad Policía” impulsa la cultura de la prevención en infancias de Mixquiahuala de Juárez</t>
  </si>
  <si>
    <t>Combaten la violencia de género durante la Jornada por la Paz y Bienestar del Pueblo</t>
  </si>
  <si>
    <t>OSEH y Banda Sinfónica presentan doble jornada musical en Hidalgo</t>
  </si>
  <si>
    <t>Invierte Gobierno de Hidalgo más de 14 millones de pesos en tramo del camino Zundhó–Sifón–San Agustín, en Alfajayucan</t>
  </si>
  <si>
    <t>Exigen rehabilitación vial</t>
  </si>
  <si>
    <t>El gobernador Julio Mechaca comparte en sus redes sociales: Tuve el gusto de conversar con Manuel Negrete, una de las grandes leyendas de la Selección Nacional de México. Coincidimos en la importancia de seguir fortaleciendo el deporte y ampliando las oportunidades para niñas, niños y jóvenes, especialmente ante lo que representa el próximo Mundial para nuestro país.</t>
  </si>
  <si>
    <t>Agenda futbolística coloca a Hidalgo en el plano global</t>
  </si>
  <si>
    <t>Impulsa Hidalgo inclusión con acompañamiento integral</t>
  </si>
  <si>
    <t>Un automovilista intentó ganarle el paso al tren que en ese momento circulaba sobre vías que cruzan por la cabecera municipal de Apan, durante la tarde del martes 21 de abril. El accidente se registró a la altura de la gasolinera cercana a las vías para la circulación del tren, con el saldo señalado. Al sitio acudieron elementos de atención a emergencias, localizando al automovilista, quien se encontraba al interior de la unidad automotora. Tras valorar su estado físico y de salud, se determinó trasladarlo para ofrecerle atención médica especializada a sus lesiones. En tanto, elementos policiacos acordonaron la zona para el inicio de las investigaciones respectivas para deslindar las responsabilidades respectivas.</t>
  </si>
  <si>
    <t>Este martes se registró el incendio de un vehículo de carga sobre la autopista Arco Norte, lo que generó afectaciones a la circulación en un tramo ubicado en la región de Tula. El siniestro ocurrió a la altura del kilómetro 74+500, en el segmento comprendido entre Tula 2 y Tula 1, con dirección hacia Texmelucan. De acuerdo con los primeros reportes, la unidad fue consumida en su totalidad por el fuego, quedando completamente calcinada sobre la carretera. La magnitud del incendio obligó a la movilización de cuerpos de emergencia, quienes acudieron al sitio para controlar las llamas y realizar labores de enfriamiento, así como la revisión de posibles riesgos adicionales en la zona.</t>
  </si>
  <si>
    <t>Milagrosamente, los ocupantes de un automóvil salvaron la vida, luego de que el vehículo donde viajaban quedó bajo una barra de contención sobre la carretera Pachuca-Ciudad Sahagún. El accidente se registró dentro del municipio de Zempoala, luego de que el auto compacto color blanco de salió de la cinta asfáltica y quedaron debajo de la barra metálica de contención. Testigos del accidente solicitaron el auxilio de las corporaciones de atención a emergencias, quienes acudieron junto con elementos policiacos para atender el reporte, logrando sacar con vida a los ocupantes del vehículo automotor. El perímetro donde se registró el accidente fue resguardado por elementos de la Guardia Nacional en tanto se atendía la situación, tras lo cual las personas involucradas fueron canalizados hacia instituciones de atención médica para su atención.</t>
  </si>
  <si>
    <t>Como resultado de trabajos de inteligencia y coordinación institucional, el Gabinete de Seguridad del Gobierno del Estado de Hidalgo logró la detención en Tlaxcoapan de un hombre identificado con las iniciales J. C. A. A., considerado generador de violencia en Tlaxcoapan y municipios aledaños. La acción se llevó a cabo mediante un operativo táctico desarrollado por elementos de la Agencia de Investigación de la Procuraduría General de Justicia del Estado de Hidalgo (PGJEH) y la Secretaría de Seguridad Pública de Hidalgo (SSPH), derivado de investigaciones realizadas en esa zona del estado y frenan diversos actos delictivos que afectan a las familias en la región. Durante la intervención, al imputado le fueron asegurados un arma de fuego calibre .45, dos cargadores y estupefacientes, indicios que quedaron a disposición de la autoridad ministerial como parte de la carpeta de investigación correspondiente.</t>
  </si>
  <si>
    <t>La Secretaría de Seguridad Ciudadana de Mineral de la Reforma informó la detención de un hombre que contaba con una orden de aprehensión vigente por el delito de feminicidio en el estado de Hidalgo, como resultado de acciones operativas realizadas en la zona de Pachuquilla. De acuerdo con el reporte oficial, el individuo fue asegurado inicialmente por elementos municipales tras ser señalado por alterar el orden público e ingresar sin autorización a un domicilio, lo que motivó su intervención y posterior traslado al área de barandillas. El detenido fue identificado con las iniciales S. A. A. S., de 40 años de edad, quien quedó a disposición de las autoridades administrativas mientras se realizaban las verificaciones correspondientes a su situación legal.</t>
  </si>
  <si>
    <t>En cabina Carmen Barranco del Colectivo Nacional De Mujeres Por La Igualdad EX HIJOS A.C. invita a la manifestación Nacional e internacional este 24 de Abril en punto de las 9:30 am, para replicar la igualdad entre hombres y mujeres así mismo externar el descontento de las denuncias falsas para impedir la unión de los padres con sus hijos destruyendo la familia y los valores de la sociedad, bajo el lema #𝗦𝗼𝘆𝗣𝗮𝗽á𝗡𝗼𝗖𝗿𝗶𝗺𝗶𝗻𝗮𝗹. La marcha partirá desde el Centro de Justicia para Mujeres del Estado de Hidalgo para culminar en el Procuraduría de Justicia del Estado de Hidalgo. Presentan testimonio del padre de una víctima de falsas denuncias por delitos de género y dice que confía en el Subsecretario de Gobierno y el Procurador de que se va a a hacer justicia en su caso.</t>
  </si>
  <si>
    <t>Procuración de justicia</t>
  </si>
  <si>
    <t>Ante la apertura de un nuevo programa, el Centro Especializado de Atención a la Violencia Familiar (CEAVIF), dependiente de la Secretaría de Desarrollo Humano y Social, convoca al público en general a formar parte del primer grupo con el que se trabajarán terapias grupales orientadas a fortalecer el bienestar emocional y promover la reconstrucción personal. El programa consiste en terapias grupales que se realizarán los viernes de cada semana, a partir de mayo. Con este trabajo integral, se pone al alcance de la ciudadanía un espacio seguro de acompañamiento, reflexión y aprendizaje para adquirir herramientas emocionales y fortalecer el proceso de empoderamiento. Durante el desarrollo de las sesiones, algunos de los temas a abordar serán: violencia vicaria, ansiedad y depresión, autoestima y codependencia, además de apoyo tanatológico; todo ello impartido por un equipo interdisciplinario de profesionales en salud mental.</t>
  </si>
  <si>
    <t>UPFIM representará a México en competencias internacionales de robótica</t>
  </si>
  <si>
    <t>La Subsecretaría de Protección Civil estatal prevé para los próximos meses se prologuen la época de estiaje y de lluvias fuertes, debido al fenómeno natural conocido como El Niño, así lo dio a conocer el encargado de dicha área, Román Bernal Díaz. Durante la conferencia mañanera de este lunes, el subsecretario dio a conocer que El Niño también afectará al territorio hidalguense, cabe mencionar que esta alteración climática se caracteriza por el sobrecalentamiento e inestabilidad atmosférica del planeta. “Posiblemente la temporada de estiaje se pueda prolongar, pero sí va a haber lluvias más cortas, pero más fuertes, es un pronóstico, no es una regla”, explicó Román Bernal Díaz y refirió que se trata de una estimación, pues pueden aumentar o disminuir las lluvias en la región. Bernal Díaz llamó a la ciudadanía a tomar las precauciones para evitar que tener consecuencias, “nuevamente por la presencia de las lluvias”, haciendo referencia a las lluvias de octubre del 2025, cuando se inundaron varias ciudades, se registraron derrumbes, 22 personas fallecieron y nueve más continúan desaparecidas.</t>
  </si>
  <si>
    <t>Prevención de riesgos</t>
  </si>
  <si>
    <t>Se ha detectado presencia de gusano barrenador con al menos un caso en los municipios de Alfajayucan, Tasquillo, Zimapán, Jacala, Nicolás Flores, Francisco I. Madero, Chapulhuacán y La Misión, confirmaron autoridades estatales. Ante la presencia de casos activos de gusano barrenador en municipios del Valle del Mezquital y la Sierra Gorda, autoridades municipales intensificaron las acciones de capacitación para la prevención y control de esta plaga. En Nicolás Flores, la Secretaría de Agricultura y Fomento Económico Municipal, en coordinación con el Comité Estatal de Fomento y Protección Pecuaria del Estado de Hidalgo, realizó capacitaciones en las comunidades de Bocua, Dothu, Iglesia Vieja y Villahermosa. Las autoridades señalaron que estas acciones forman parte de una estrategia para combatir y avanzar en la erradicación de la plaga, la cual representa un riesgo para la sanidad animal y la economía local.</t>
  </si>
  <si>
    <t>La Secretaría de Salud en Hidalgo (SSH) otorgó licencia de funcionamiento al Hospital General IMSS Bienestar en Tulancingo para otorgar el servicio de Rayos X. Previamente, en coordinación con la Comisión estatal para la Prevención de Riesgos Sanitarios (Copriseh), se realizó la inspección a las instalaciones del nosocomio para confirmar que cuenta con las instalaciones, infraestructura, personal y equipo necesario para otorgar el servicio de Rayos X a los pacientes que lo requieran. Vanesa Escalante Arroyo, titular de la SSH, reconoció el trabajo coordinado entre las instituciones de atención a la salud que operan en el Estado de Hidalgo para avanzar en la regularización y fortalecimiento de los servicios. Al contar con licencia los servicios de Rayos X en el Hospital General IMSS Bienestar de Tulancingo, los pacientes que lo requieran no deberán trasladarse a otras instituciones, agilizando la atención médica que requieran.</t>
  </si>
  <si>
    <t>Radioescucha: ¿no será que la falta de turismo es por el pase turístico?</t>
  </si>
  <si>
    <t>Pase turístico</t>
  </si>
  <si>
    <t>En las instalaciones de Bomberos y Protección Civil de Tulancingo, comerciantes del tianguis PST recibieron capacitación en el uso y manejo de extintores, como parte de los acuerdos establecidos entre dirigentes y el Gobierno Municipal de Tulancingo. Los tianguistas participaron en una sesión teórica y práctica sobre la aplicación de medidas de seguridad en instalaciones de gas. El objetivo de estas acciones es fomentar una cultura permanente de prevención, garantizando que los comerciantes estén preparados para atender emergencias y contribuir a un entorno seguro para la población.</t>
  </si>
  <si>
    <t>Un grupo de 15 visitantes estuvo a punto de sufrir un accidente grave mientras se dirigía a las Grutas de Xajhá, luego de que la camioneta en la que viajaban presuntamente se quedara sin frenos en una zona de curvas pronunciadas. El incidente ocurrió en el tramo de acceso hacia el sitio turístico, donde la unidad quedó al borde de un barranco. De acuerdo con los testimonios, el vehículo logró detenerse al atorarse entre piedras a la altura de un mirador, lo que evitó que cayera al vacío. Tras lo ocurrido, los afectados señalaron que el servicio de traslado es operado por ejidatarios, quienes cobran alrededor de 450 pesos por persona, incluyendo el acceso al lugar. Sin embargo, denunciaron que las unidades utilizadas presentan condiciones mecánicas deficientes, lo que representaría un riesgo para los usuarios. Hasta el momento no se reportan personas lesionadas, pero los visitantes hicieron un llamado a las autoridades de turismo y al gobierno municipal de Zimapán para que supervisen las condiciones en las que se brinda este servicio y se eviten posibles accidentes en el futuro.</t>
  </si>
  <si>
    <t>Regularización De Vehículos Turísticos</t>
  </si>
  <si>
    <t>Legisladores en el Congreso del Estado de Hidalgo presentaron iniciativa para realizar revisión a mochilas en planteles escolares, con objetivo de evitar el ingreso de objetos prohibidos, sobre todo de armas y sustancias ilícitas. Como argumento a la propuesta, la diputada local Yarabi González Martínez, puntualizó que durante el ciclo escolar 2024- 2025 en el Estado de Hidalgo se registraron 858 casos de violencia escolar, de los cuales una tercera parte correspondió a violencia física y 151 quejas por violencia sexual. Mientras que en lo que va del presente ciclo escolar se han registrado 309 incidentes de violencia en escuelas, en algunos casos con la detección de armas y objetos prohibidos o peligrosos, así como sustancias ilícitas.</t>
  </si>
  <si>
    <t>Daniel Martínez sobre las declaraciones de la titular de Turismo, Elizabeth Quintanar respecto a las cifras de la derrama económica y la ocupación hotelera durante la Semana Santa, señala que le parece que la secretaria solo está como tratando de salvar el tema porque dice sus cifras son con base en estadísticas del Inegi y como no queriendo aceptar que a final de cuentas los prestadores de servicios turísticos tienen muchísimo de razón en el sentido de que viven el día a día y en el día a día no vieron la cifras maravillosas que trae la Sectur Hidalgo.</t>
  </si>
  <si>
    <t>Semana Santa</t>
  </si>
  <si>
    <t>La titular de la Secretaría de Turismo de Hidalgo, Elizabeth Quintanar Gómez, señaló que las diferencias entre los indicadores oficiales y los reportados por la Asociación de Hoteles responden al tamaño de la muestra utilizada. Explicó que dicha agrupación contempla únicamente a 28 establecimientos, frente a un total de mil 260 opciones de hospedaje en la entidad, por lo que sus resultados representan solo una parte del sector. En ese sentido, el 57 por ciento de ocupación que reportan corresponde exclusivamente a sus afiliados. La funcionaria indicó que la dependencia estatal utiliza un esquema de inteligencia turística con bases metodológicas similares a las del Instituto Nacional de Estadística y Geografía, lo que permite obtener datos con un margen de error mínimo, estimado entre 0.02 y 0.05. Agregó que, mediante el sistema Datatur, se realizan auditorías y verificaciones directas, como llamadas aleatorias a hoteles, para validar información relacionada con ocupación, derrama económica y gasto promedio.</t>
  </si>
  <si>
    <t>Daniel Martínez comenta que continúan las quejas en el verificentro de Tulancingo, pues no respetan los horarios que dan en las citas por internet, por lo que se pregunta que para qué insisten en dar las citas si no van a respetar los turnos y para qué citan a las personas a las 8 de la mañana su abren hasta las 8:30</t>
  </si>
  <si>
    <t>Verificación vehicular</t>
  </si>
  <si>
    <t>Vía telefónica el reporte de Bombero y Protección Civil con Abner Yáñez informa que se atendieron diversas emergencias. Entre ellas 3 incendios de pasto en terrenos baldíos y uno de llantas.</t>
  </si>
  <si>
    <t>Luego del ataque registrado en la zona arqueológica de Teotihuacán, el gobierno federal ordenó intensificar las medidas de seguridad en estos espacios turísticos a nivel nacional. La presidenta de México, Claudia Sheinbaum Pardo, informó durante su conferencia matutina que instruyó a las áreas de seguridad y cultura a fortalecer la vigilancia, tras un hecho que calificó como inédito en el país. Como parte de las acciones inmediatas, se determinó el despliegue de más elementos de la Guardia Nacional en zonas arqueológicas, además de analizar la posible instalación de arcos detectores de metales en los accesos para prevenir riesgos. En Hidalgo, los principales puntos con afluencia turística incluyen Tula de Allende, donde se ubican los Atlantes; Pañhú; Huapalcalco y Xihuingo, sitios que ahora serán objeto de mayor resguardo.</t>
  </si>
  <si>
    <t>Ataque armado</t>
  </si>
  <si>
    <t>La presidenta del Colectivo de Protección Animal Jauría de Balu, identificada como Maestra Luisa, hizo un llamado a la población y a las autoridades para impulsar la aprobación de la ley antitauromaquia en el estado, al señalar que esta iniciativa lleva más de un año sin avances en el Congreso local. En entrevista con Ultra Noticias Hidalgo, destacó la importancia de generar conciencia social sobre la prevención de prácticas que involucren maltrato animal, y criticó que la propuesta legislativa permanezca “en la congeladora”, pese a que organizaciones defensoras han insistido en su discusión y aprobación desde hace una década. La activista subrayó que no solo la tauromaquia debe ser considerada dentro de esta ley, sino también eventos como la Santiagada, al argumentar que forman parte de una misma problemática al utilizar animales con fines de entretenimiento. En cuanto al proceso legislativo, explicó que en los últimos siete días han intensificado la recolección de firmas para exigir la emisión de dictámenes pendientes, los cuales no han sido entregados desde hace más de un año, situación que ha frenado el avance de la iniciativa. Finalmente, enfatizó que llevan aproximadamente 10 años trabajando por la aprobación de esta ley en Hidalgo, e hizo un llamado al gobernador Julio Menchaca para respaldar esta causa, al considerar que la tauromaquia no tiene cabida en una entidad que busca avanzar hacia una cultura de respeto y bienestar animal.</t>
  </si>
  <si>
    <t>Radioescucha: En el acceso a la colonia La Rovirosa una coladera está doblada, lo que representa un riesgo para quienes circulan por ahí Alberto Brandy. Piden a la presidencia municipal haga algo.</t>
  </si>
  <si>
    <t>Un accidente vial se presentó sobre el corredor de la Montaña a la altura de San Guillermo la Reforma, en el que se vio involucrada una patrulla de Mineral de la Reforma que al parecer conducía a exceso de velocidad. Llamó mucho la atención este hecho a los que circulaban por ahí y en las redes sociales.</t>
  </si>
  <si>
    <t>El día de hoy a las 10:45 de la mañana en el municipio de Real del Monte, el Instituto de Capacitación para el Trabajo del Estado de Hidalgo (ICATHI) realizará una firma de convenio de colaboración con la Fundación Alemana Senior Experten Service (SES) y la toma de protesta del patronato del ICATHI para el periodo 2026-2028.</t>
  </si>
  <si>
    <t>En Apan un sujeto intentó ganarle el paso al tren dejando como saldo a una persona lesionada. Al lugar llegó personal de paramédicos quienes trasladaron a la persona lesionada.</t>
  </si>
  <si>
    <t>Mujeres lideran transformación comunitaria con redes impulsadas por el IHM</t>
  </si>
  <si>
    <t>Redes comunitarias</t>
  </si>
  <si>
    <t>Con el objetivo de resaltar la riqueza cultural a través del arte popular y las técnicas artesanales, así como fortalecer el sentido de pertenencia regional, el Colegio de Bachilleres del Estado de Hidalgo (Cobaeh) realizará la tercera edición del “Concurso de Trajes Típicos Cobaeh 2026”. La convocatoria está dirigida a estudiantes de segundo y cuarto semestre, y se desarrollará del 8 al 29 de mayo en planteles ubicados en Zimapán, Santiago de Anaya, Zempoala, Tianguistengo y Huejutla. En esta edición, la temática central será un homenaje a la manta como textil milenario de México.</t>
  </si>
  <si>
    <t>En sesión ordinaria, diputadas y diputados integrantes de la LXVI Legislatura avalaron con 25 votos a favor, cero en contra y cero abstenciones, el acuerdo económico que exhorta a los 84 ayuntamientos a fortalecer la capacitación del personal de Protección Civil a través del Centro Nacional de Prevención de Desastres (Cenapred), promovido por la legisladora María del Rosario Guerrero Martínez (Morena) emitido por la primera Comisión Permanente de Protección Civil y Gestión Integral de Riesgos. El legislador Francisco Javier Téllez Sánchez (PT) precisó que se les solicita establecer mecanismos de coordinación institucional con autoridades estatales y federales para facilitar el acceso del personal municipal a programas de formación, certificación y capacitación continua.</t>
  </si>
  <si>
    <t>Un sujeto presuntamente bajo los efectos del alcohol, generó una intensa movilización en Mineral de la Reforma. De acuerdo con la policía municipal, el conductor de un vehículo particular manejaba de manera inapropiada y al no acatar las indicaciones de los elemento policiacos huyó generando un persecución que terminó en Las Palomas con su detención.</t>
  </si>
  <si>
    <t>En Ixmiquilpan la Secretaría de Seguridad Pública, la Procuraduría General de Justicia y la Policía Municipal realizaron un operativo de seguridad mediante el cual se detuvo al menos a10 personas involucradas en delitos como: Robos a mano armada y a casa habitación, asaltos a peatones y al transporte público y robo de motocicletas y vehículos.</t>
  </si>
  <si>
    <t>Sergio Hernández Hernández, expresidente del Comité Directivo Estatal de Nueva Alianza Hidalgo (PNAH), formalizó su salida del partido al presentar su solicitud de desincorporación. De acuerdo con la solicitud dirigida a la presidenta del Comité de Dirección Estatal, Juana María Márquez Parrasales, solicitó que se realicen los trámites correspondientes ante el partido y las autoridades electorales para hacer efectiva su baja como militante. en sus redes posteó “Mi amistad no cambia, pero en mi vida hay nuevos horizontes”, escribió en redes sociales el exdirigente. Claro mensaje para Said Vargas y otros.</t>
  </si>
  <si>
    <t>Renuncia</t>
  </si>
  <si>
    <t>Secretaría de Salud entrega licencias sanitarias a hospitales de IMSS-Bienestar en Hidalgo</t>
  </si>
  <si>
    <t>Licencia de Funcionamiento</t>
  </si>
  <si>
    <t>Radioescucha, Rod Mendoza: Ya están llegando las nuevas unidades del Tuzobús y mi pregunta es es si ustedes saben si también habrá un plan de logística, eficientización y reordenamiento en rutas donde los tiempos pudieran reducirse o solo será poner más unidades.</t>
  </si>
  <si>
    <t>Modernización Tuzobús</t>
  </si>
  <si>
    <t>El Congreso del Estado se convirtió en el epicentro de un amplio y diverso debate en torno al bienestar y la protección animal, al albergar el diálogo “Por un Hidalgo sin maltrato animal”, un ejercicio que reunió a especialistas, legisladores y sociedad civil para analizar uno de los temas más sensibles y polémicos de la agenda pública actual. Durante el encuentro, el presidente de la Junta de Gobierno, Andrés Velázquez Vázquez, destacó la importancia de abrir espacios donde converjan distintas posturas, con el objetivo de construir leyes informadas y cercanas a la ciudadanía. Subrayó que el Congreso debe ser un lugar de diálogo abierto que permita legislar con responsabilidad, conocimiento y de cara al pueblo. Uno de los puntos centrales fue la propuesta para prohibir las corridas de toros en la entidad. El diputado Avelino Tovar Iglesias enfatizó que el marco jurídico nacional ya establece límites claros, al recordar que la Suprema Corte de Justicia de la Nación ha determinado que ninguna práctica que implique maltrato animal puede justificarse bajo el argumento de la cultura o la tradición.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</si>
</sst>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30" tableType="queryTable" totalsRowShown="0">
  <autoFilter ref="A1:M230" xr:uid="{717AF3FA-E95C-4D17-A1C9-B8D7CBE34EF0}"/>
  <sortState xmlns:xlrd2="http://schemas.microsoft.com/office/spreadsheetml/2017/richdata2" ref="A2:M230">
    <sortCondition ref="B1:B230"/>
  </sortState>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30"/>
  <sheetViews>
    <sheetView tabSelected="1" workbookViewId="0">
      <selection activeCell="B2" sqref="B2"/>
    </sheetView>
  </sheetViews>
  <sheetFormatPr baseColWidth="10" defaultRowHeight="15" x14ac:dyDescent="0.25"/>
  <cols>
    <col min="1" max="1" width="10.42578125" bestFit="1" customWidth="1"/>
    <col min="2" max="2" width="11.42578125" bestFit="1" customWidth="1"/>
    <col min="3" max="3" width="27.28515625" bestFit="1" customWidth="1"/>
    <col min="4" max="4" width="30.7109375" bestFit="1" customWidth="1"/>
    <col min="5" max="5" width="81.140625" bestFit="1" customWidth="1"/>
    <col min="6" max="6" width="20.85546875" bestFit="1" customWidth="1"/>
    <col min="7" max="7" width="35.710937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66</v>
      </c>
      <c r="C1" t="s">
        <v>67</v>
      </c>
      <c r="D1" t="s">
        <v>68</v>
      </c>
      <c r="E1" t="s">
        <v>1</v>
      </c>
      <c r="F1" t="s">
        <v>2</v>
      </c>
      <c r="G1" t="s">
        <v>4</v>
      </c>
      <c r="H1" t="s">
        <v>3</v>
      </c>
      <c r="I1" t="s">
        <v>5</v>
      </c>
      <c r="J1" t="s">
        <v>69</v>
      </c>
      <c r="K1" t="s">
        <v>70</v>
      </c>
      <c r="L1" t="s">
        <v>71</v>
      </c>
      <c r="M1" t="s">
        <v>79</v>
      </c>
    </row>
    <row r="2" spans="1:13" x14ac:dyDescent="0.25">
      <c r="A2" s="1">
        <v>46134</v>
      </c>
      <c r="B2" s="1" t="str">
        <f ca="1">IF(Información1[[#This Row],[Fecha]]='Ajuste de fechas'!$A$2,"Día actual","Día anterior")</f>
        <v>Día actual</v>
      </c>
      <c r="C2" s="3" t="s">
        <v>51</v>
      </c>
      <c r="D2" t="s">
        <v>53</v>
      </c>
      <c r="E2" s="3" t="s">
        <v>237</v>
      </c>
      <c r="F2" s="3" t="s">
        <v>26</v>
      </c>
      <c r="G2" s="3" t="s">
        <v>238</v>
      </c>
      <c r="H2" s="3" t="s">
        <v>11</v>
      </c>
      <c r="I2" s="3" t="s">
        <v>27</v>
      </c>
      <c r="J2" s="3" t="s">
        <v>26</v>
      </c>
      <c r="K2" s="3" t="s">
        <v>239</v>
      </c>
      <c r="L2" s="3" t="s">
        <v>74</v>
      </c>
      <c r="M2">
        <v>1</v>
      </c>
    </row>
    <row r="3" spans="1:13" x14ac:dyDescent="0.25">
      <c r="A3" s="1">
        <v>46134</v>
      </c>
      <c r="B3" s="1" t="str">
        <f ca="1">IF(Información1[[#This Row],[Fecha]]='Ajuste de fechas'!$A$2,"Día actual","Día anterior")</f>
        <v>Día actual</v>
      </c>
      <c r="C3" s="3" t="s">
        <v>31</v>
      </c>
      <c r="D3" t="s">
        <v>33</v>
      </c>
      <c r="E3" s="3" t="s">
        <v>240</v>
      </c>
      <c r="F3" s="3" t="s">
        <v>241</v>
      </c>
      <c r="G3" s="3" t="s">
        <v>242</v>
      </c>
      <c r="H3" s="3" t="s">
        <v>11</v>
      </c>
      <c r="I3" s="3" t="s">
        <v>7</v>
      </c>
      <c r="J3" s="3" t="s">
        <v>72</v>
      </c>
      <c r="K3" s="3" t="s">
        <v>32</v>
      </c>
      <c r="L3" s="3" t="s">
        <v>75</v>
      </c>
      <c r="M3">
        <v>1</v>
      </c>
    </row>
    <row r="4" spans="1:13" x14ac:dyDescent="0.25">
      <c r="A4" s="1">
        <v>46134</v>
      </c>
      <c r="B4" s="1" t="str">
        <f ca="1">IF(Información1[[#This Row],[Fecha]]='Ajuste de fechas'!$A$2,"Día actual","Día anterior")</f>
        <v>Día actual</v>
      </c>
      <c r="C4" s="3" t="s">
        <v>51</v>
      </c>
      <c r="D4" t="s">
        <v>53</v>
      </c>
      <c r="E4" s="3" t="s">
        <v>243</v>
      </c>
      <c r="F4" s="3" t="s">
        <v>21</v>
      </c>
      <c r="G4" s="3" t="s">
        <v>116</v>
      </c>
      <c r="H4" s="3" t="s">
        <v>11</v>
      </c>
      <c r="I4" s="3" t="s">
        <v>7</v>
      </c>
      <c r="J4" s="3" t="s">
        <v>72</v>
      </c>
      <c r="K4" s="3" t="s">
        <v>43</v>
      </c>
      <c r="L4" s="3" t="s">
        <v>75</v>
      </c>
      <c r="M4">
        <v>1</v>
      </c>
    </row>
    <row r="5" spans="1:13" x14ac:dyDescent="0.25">
      <c r="A5" s="1">
        <v>46134</v>
      </c>
      <c r="B5" s="1" t="str">
        <f ca="1">IF(Información1[[#This Row],[Fecha]]='Ajuste de fechas'!$A$2,"Día actual","Día anterior")</f>
        <v>Día actual</v>
      </c>
      <c r="C5" s="3" t="s">
        <v>51</v>
      </c>
      <c r="D5" t="s">
        <v>53</v>
      </c>
      <c r="E5" s="3" t="s">
        <v>244</v>
      </c>
      <c r="F5" s="3" t="s">
        <v>19</v>
      </c>
      <c r="G5" s="3" t="s">
        <v>245</v>
      </c>
      <c r="H5" s="3" t="s">
        <v>11</v>
      </c>
      <c r="I5" s="3" t="s">
        <v>7</v>
      </c>
      <c r="J5" s="3" t="s">
        <v>76</v>
      </c>
      <c r="K5" s="3" t="s">
        <v>52</v>
      </c>
      <c r="L5" s="3" t="s">
        <v>73</v>
      </c>
      <c r="M5">
        <v>1</v>
      </c>
    </row>
    <row r="6" spans="1:13" x14ac:dyDescent="0.25">
      <c r="A6" s="1">
        <v>46134</v>
      </c>
      <c r="B6" s="1" t="str">
        <f ca="1">IF(Información1[[#This Row],[Fecha]]='Ajuste de fechas'!$A$2,"Día actual","Día anterior")</f>
        <v>Día actual</v>
      </c>
      <c r="C6" s="3" t="s">
        <v>31</v>
      </c>
      <c r="D6" t="s">
        <v>33</v>
      </c>
      <c r="E6" s="3" t="s">
        <v>246</v>
      </c>
      <c r="F6" s="3" t="s">
        <v>47</v>
      </c>
      <c r="G6" s="3" t="s">
        <v>247</v>
      </c>
      <c r="H6" s="3" t="s">
        <v>11</v>
      </c>
      <c r="I6" s="3" t="s">
        <v>7</v>
      </c>
      <c r="J6" s="3" t="s">
        <v>72</v>
      </c>
      <c r="K6" s="3" t="s">
        <v>32</v>
      </c>
      <c r="L6" s="3" t="s">
        <v>73</v>
      </c>
      <c r="M6">
        <v>1</v>
      </c>
    </row>
    <row r="7" spans="1:13" x14ac:dyDescent="0.25">
      <c r="A7" s="1">
        <v>46134</v>
      </c>
      <c r="B7" s="1" t="str">
        <f ca="1">IF(Información1[[#This Row],[Fecha]]='Ajuste de fechas'!$A$2,"Día actual","Día anterior")</f>
        <v>Día actual</v>
      </c>
      <c r="C7" s="3" t="s">
        <v>51</v>
      </c>
      <c r="D7" t="s">
        <v>53</v>
      </c>
      <c r="E7" s="3" t="s">
        <v>248</v>
      </c>
      <c r="F7" s="3" t="s">
        <v>241</v>
      </c>
      <c r="G7" s="3" t="s">
        <v>249</v>
      </c>
      <c r="H7" s="3" t="s">
        <v>11</v>
      </c>
      <c r="I7" s="3" t="s">
        <v>27</v>
      </c>
      <c r="J7" s="3" t="s">
        <v>72</v>
      </c>
      <c r="K7" s="3" t="s">
        <v>239</v>
      </c>
      <c r="L7" s="3" t="s">
        <v>74</v>
      </c>
      <c r="M7">
        <v>1</v>
      </c>
    </row>
    <row r="8" spans="1:13" x14ac:dyDescent="0.25">
      <c r="A8" s="1">
        <v>46134</v>
      </c>
      <c r="B8" s="1" t="str">
        <f ca="1">IF(Información1[[#This Row],[Fecha]]='Ajuste de fechas'!$A$2,"Día actual","Día anterior")</f>
        <v>Día actual</v>
      </c>
      <c r="C8" s="3" t="s">
        <v>31</v>
      </c>
      <c r="D8" t="s">
        <v>33</v>
      </c>
      <c r="E8" s="3" t="s">
        <v>250</v>
      </c>
      <c r="F8" s="3" t="s">
        <v>251</v>
      </c>
      <c r="G8" s="3" t="s">
        <v>104</v>
      </c>
      <c r="H8" s="3" t="s">
        <v>11</v>
      </c>
      <c r="I8" s="3" t="s">
        <v>7</v>
      </c>
      <c r="J8" s="3" t="s">
        <v>72</v>
      </c>
      <c r="K8" s="3" t="s">
        <v>32</v>
      </c>
      <c r="L8" s="3" t="s">
        <v>75</v>
      </c>
      <c r="M8">
        <v>1</v>
      </c>
    </row>
    <row r="9" spans="1:13" x14ac:dyDescent="0.25">
      <c r="A9" s="1">
        <v>46134</v>
      </c>
      <c r="B9" s="1" t="str">
        <f ca="1">IF(Información1[[#This Row],[Fecha]]='Ajuste de fechas'!$A$2,"Día actual","Día anterior")</f>
        <v>Día actual</v>
      </c>
      <c r="C9" s="3" t="s">
        <v>51</v>
      </c>
      <c r="D9" t="s">
        <v>53</v>
      </c>
      <c r="E9" s="3" t="s">
        <v>250</v>
      </c>
      <c r="F9" s="3" t="s">
        <v>251</v>
      </c>
      <c r="G9" s="3" t="s">
        <v>104</v>
      </c>
      <c r="H9" s="3" t="s">
        <v>11</v>
      </c>
      <c r="I9" s="3" t="s">
        <v>7</v>
      </c>
      <c r="J9" s="3" t="s">
        <v>72</v>
      </c>
      <c r="K9" s="3" t="s">
        <v>43</v>
      </c>
      <c r="L9" s="3" t="s">
        <v>75</v>
      </c>
      <c r="M9">
        <v>1</v>
      </c>
    </row>
    <row r="10" spans="1:13" x14ac:dyDescent="0.25">
      <c r="A10" s="1">
        <v>46134</v>
      </c>
      <c r="B10" s="1" t="str">
        <f ca="1">IF(Información1[[#This Row],[Fecha]]='Ajuste de fechas'!$A$2,"Día actual","Día anterior")</f>
        <v>Día actual</v>
      </c>
      <c r="C10" s="3" t="s">
        <v>51</v>
      </c>
      <c r="D10" t="s">
        <v>54</v>
      </c>
      <c r="E10" s="3" t="s">
        <v>252</v>
      </c>
      <c r="F10" s="3" t="s">
        <v>47</v>
      </c>
      <c r="G10" s="3" t="s">
        <v>83</v>
      </c>
      <c r="H10" s="3" t="s">
        <v>11</v>
      </c>
      <c r="I10" s="3" t="s">
        <v>7</v>
      </c>
      <c r="J10" s="3" t="s">
        <v>72</v>
      </c>
      <c r="K10" s="3" t="s">
        <v>52</v>
      </c>
      <c r="L10" s="3" t="s">
        <v>73</v>
      </c>
      <c r="M10">
        <v>1</v>
      </c>
    </row>
    <row r="11" spans="1:13" x14ac:dyDescent="0.25">
      <c r="A11" s="1">
        <v>46134</v>
      </c>
      <c r="B11" s="1" t="str">
        <f ca="1">IF(Información1[[#This Row],[Fecha]]='Ajuste de fechas'!$A$2,"Día actual","Día anterior")</f>
        <v>Día actual</v>
      </c>
      <c r="C11" s="3" t="s">
        <v>51</v>
      </c>
      <c r="D11" t="s">
        <v>53</v>
      </c>
      <c r="E11" s="3" t="s">
        <v>253</v>
      </c>
      <c r="F11" s="3" t="s">
        <v>254</v>
      </c>
      <c r="G11" s="3" t="s">
        <v>255</v>
      </c>
      <c r="H11" s="3" t="s">
        <v>11</v>
      </c>
      <c r="I11" s="3" t="s">
        <v>7</v>
      </c>
      <c r="J11" s="3" t="s">
        <v>26</v>
      </c>
      <c r="K11" s="3" t="s">
        <v>239</v>
      </c>
      <c r="L11" s="3" t="s">
        <v>74</v>
      </c>
      <c r="M11">
        <v>1</v>
      </c>
    </row>
    <row r="12" spans="1:13" x14ac:dyDescent="0.25">
      <c r="A12" s="1">
        <v>46134</v>
      </c>
      <c r="B12" s="1" t="str">
        <f ca="1">IF(Información1[[#This Row],[Fecha]]='Ajuste de fechas'!$A$2,"Día actual","Día anterior")</f>
        <v>Día actual</v>
      </c>
      <c r="C12" s="3" t="s">
        <v>51</v>
      </c>
      <c r="D12" t="s">
        <v>53</v>
      </c>
      <c r="E12" s="3" t="s">
        <v>256</v>
      </c>
      <c r="F12" s="3" t="s">
        <v>19</v>
      </c>
      <c r="G12" s="3" t="s">
        <v>98</v>
      </c>
      <c r="H12" s="3" t="s">
        <v>11</v>
      </c>
      <c r="I12" s="3" t="s">
        <v>7</v>
      </c>
      <c r="J12" s="3" t="s">
        <v>76</v>
      </c>
      <c r="K12" s="3" t="s">
        <v>52</v>
      </c>
      <c r="L12" s="3" t="s">
        <v>73</v>
      </c>
      <c r="M12">
        <v>1</v>
      </c>
    </row>
    <row r="13" spans="1:13" x14ac:dyDescent="0.25">
      <c r="A13" s="1">
        <v>46134</v>
      </c>
      <c r="B13" s="1" t="str">
        <f ca="1">IF(Información1[[#This Row],[Fecha]]='Ajuste de fechas'!$A$2,"Día actual","Día anterior")</f>
        <v>Día actual</v>
      </c>
      <c r="C13" s="3" t="s">
        <v>51</v>
      </c>
      <c r="D13" t="s">
        <v>53</v>
      </c>
      <c r="E13" s="3" t="s">
        <v>257</v>
      </c>
      <c r="F13" s="3" t="s">
        <v>156</v>
      </c>
      <c r="G13" s="3" t="s">
        <v>110</v>
      </c>
      <c r="H13" s="3" t="s">
        <v>11</v>
      </c>
      <c r="I13" s="3" t="s">
        <v>12</v>
      </c>
      <c r="J13" s="3" t="s">
        <v>72</v>
      </c>
      <c r="K13" s="3" t="s">
        <v>43</v>
      </c>
      <c r="L13" s="3" t="s">
        <v>157</v>
      </c>
      <c r="M13">
        <v>1</v>
      </c>
    </row>
    <row r="14" spans="1:13" x14ac:dyDescent="0.25">
      <c r="A14" s="1">
        <v>46134</v>
      </c>
      <c r="B14" s="1" t="str">
        <f ca="1">IF(Información1[[#This Row],[Fecha]]='Ajuste de fechas'!$A$2,"Día actual","Día anterior")</f>
        <v>Día actual</v>
      </c>
      <c r="C14" s="3" t="s">
        <v>51</v>
      </c>
      <c r="D14" t="s">
        <v>53</v>
      </c>
      <c r="E14" s="3" t="s">
        <v>258</v>
      </c>
      <c r="F14" s="3" t="s">
        <v>60</v>
      </c>
      <c r="G14" s="3" t="s">
        <v>259</v>
      </c>
      <c r="H14" s="3" t="s">
        <v>11</v>
      </c>
      <c r="I14" s="3" t="s">
        <v>7</v>
      </c>
      <c r="J14" s="3" t="s">
        <v>72</v>
      </c>
      <c r="K14" s="3" t="s">
        <v>43</v>
      </c>
      <c r="L14" s="3" t="s">
        <v>75</v>
      </c>
      <c r="M14">
        <v>1</v>
      </c>
    </row>
    <row r="15" spans="1:13" x14ac:dyDescent="0.25">
      <c r="A15" s="1">
        <v>46134</v>
      </c>
      <c r="B15" s="1" t="str">
        <f ca="1">IF(Información1[[#This Row],[Fecha]]='Ajuste de fechas'!$A$2,"Día actual","Día anterior")</f>
        <v>Día actual</v>
      </c>
      <c r="C15" s="3" t="s">
        <v>51</v>
      </c>
      <c r="D15" t="s">
        <v>53</v>
      </c>
      <c r="E15" s="3" t="s">
        <v>260</v>
      </c>
      <c r="F15" s="3" t="s">
        <v>22</v>
      </c>
      <c r="G15" s="3" t="s">
        <v>261</v>
      </c>
      <c r="H15" s="3" t="s">
        <v>11</v>
      </c>
      <c r="I15" s="3" t="s">
        <v>7</v>
      </c>
      <c r="J15" s="3" t="s">
        <v>26</v>
      </c>
      <c r="K15" s="3" t="s">
        <v>43</v>
      </c>
      <c r="L15" s="3" t="s">
        <v>73</v>
      </c>
      <c r="M15">
        <v>1</v>
      </c>
    </row>
    <row r="16" spans="1:13" x14ac:dyDescent="0.25">
      <c r="A16" s="1">
        <v>46134</v>
      </c>
      <c r="B16" s="1" t="str">
        <f ca="1">IF(Información1[[#This Row],[Fecha]]='Ajuste de fechas'!$A$2,"Día actual","Día anterior")</f>
        <v>Día actual</v>
      </c>
      <c r="C16" s="3" t="s">
        <v>51</v>
      </c>
      <c r="D16" t="s">
        <v>53</v>
      </c>
      <c r="E16" s="3" t="s">
        <v>262</v>
      </c>
      <c r="F16" s="3" t="s">
        <v>263</v>
      </c>
      <c r="G16" s="3" t="s">
        <v>264</v>
      </c>
      <c r="H16" s="3" t="s">
        <v>11</v>
      </c>
      <c r="I16" s="3" t="s">
        <v>7</v>
      </c>
      <c r="J16" s="3" t="s">
        <v>72</v>
      </c>
      <c r="K16" s="3" t="s">
        <v>43</v>
      </c>
      <c r="L16" s="3" t="s">
        <v>73</v>
      </c>
      <c r="M16">
        <v>1</v>
      </c>
    </row>
    <row r="17" spans="1:13" x14ac:dyDescent="0.25">
      <c r="A17" s="1">
        <v>46134</v>
      </c>
      <c r="B17" s="1" t="str">
        <f ca="1">IF(Información1[[#This Row],[Fecha]]='Ajuste de fechas'!$A$2,"Día actual","Día anterior")</f>
        <v>Día actual</v>
      </c>
      <c r="C17" s="3" t="s">
        <v>31</v>
      </c>
      <c r="D17" t="s">
        <v>33</v>
      </c>
      <c r="E17" s="3" t="s">
        <v>265</v>
      </c>
      <c r="F17" s="3" t="s">
        <v>22</v>
      </c>
      <c r="G17" s="3" t="s">
        <v>266</v>
      </c>
      <c r="H17" s="3" t="s">
        <v>11</v>
      </c>
      <c r="I17" s="3" t="s">
        <v>7</v>
      </c>
      <c r="J17" s="3" t="s">
        <v>26</v>
      </c>
      <c r="K17" s="3" t="s">
        <v>32</v>
      </c>
      <c r="L17" s="3" t="s">
        <v>73</v>
      </c>
      <c r="M17">
        <v>1</v>
      </c>
    </row>
    <row r="18" spans="1:13" x14ac:dyDescent="0.25">
      <c r="A18" s="1">
        <v>46134</v>
      </c>
      <c r="B18" s="1" t="str">
        <f ca="1">IF(Información1[[#This Row],[Fecha]]='Ajuste de fechas'!$A$2,"Día actual","Día anterior")</f>
        <v>Día actual</v>
      </c>
      <c r="C18" s="3" t="s">
        <v>51</v>
      </c>
      <c r="D18" t="s">
        <v>53</v>
      </c>
      <c r="E18" s="3" t="s">
        <v>267</v>
      </c>
      <c r="F18" s="3" t="s">
        <v>26</v>
      </c>
      <c r="G18" s="3" t="s">
        <v>268</v>
      </c>
      <c r="H18" s="3" t="s">
        <v>11</v>
      </c>
      <c r="I18" s="3" t="s">
        <v>12</v>
      </c>
      <c r="J18" s="3" t="s">
        <v>26</v>
      </c>
      <c r="K18" s="3" t="s">
        <v>239</v>
      </c>
      <c r="L18" s="3" t="s">
        <v>74</v>
      </c>
      <c r="M18">
        <v>1</v>
      </c>
    </row>
    <row r="19" spans="1:13" x14ac:dyDescent="0.25">
      <c r="A19" s="1">
        <v>46134</v>
      </c>
      <c r="B19" s="1" t="str">
        <f ca="1">IF(Información1[[#This Row],[Fecha]]='Ajuste de fechas'!$A$2,"Día actual","Día anterior")</f>
        <v>Día actual</v>
      </c>
      <c r="C19" s="3" t="s">
        <v>51</v>
      </c>
      <c r="D19" t="s">
        <v>54</v>
      </c>
      <c r="E19" s="3" t="s">
        <v>269</v>
      </c>
      <c r="F19" s="3" t="s">
        <v>25</v>
      </c>
      <c r="G19" s="3" t="s">
        <v>86</v>
      </c>
      <c r="H19" s="3" t="s">
        <v>11</v>
      </c>
      <c r="I19" s="3" t="s">
        <v>7</v>
      </c>
      <c r="J19" s="3" t="s">
        <v>72</v>
      </c>
      <c r="K19" s="3" t="s">
        <v>52</v>
      </c>
      <c r="L19" s="3" t="s">
        <v>73</v>
      </c>
      <c r="M19">
        <v>1</v>
      </c>
    </row>
    <row r="20" spans="1:13" x14ac:dyDescent="0.25">
      <c r="A20" s="1">
        <v>46134</v>
      </c>
      <c r="B20" s="1" t="str">
        <f ca="1">IF(Información1[[#This Row],[Fecha]]='Ajuste de fechas'!$A$2,"Día actual","Día anterior")</f>
        <v>Día actual</v>
      </c>
      <c r="C20" s="3" t="s">
        <v>31</v>
      </c>
      <c r="D20" t="s">
        <v>33</v>
      </c>
      <c r="E20" s="3" t="s">
        <v>270</v>
      </c>
      <c r="F20" s="3" t="s">
        <v>19</v>
      </c>
      <c r="G20" s="3" t="s">
        <v>86</v>
      </c>
      <c r="H20" s="3" t="s">
        <v>11</v>
      </c>
      <c r="I20" s="3" t="s">
        <v>7</v>
      </c>
      <c r="J20" s="3" t="s">
        <v>76</v>
      </c>
      <c r="K20" s="3" t="s">
        <v>32</v>
      </c>
      <c r="L20" s="3" t="s">
        <v>73</v>
      </c>
      <c r="M20">
        <v>1</v>
      </c>
    </row>
    <row r="21" spans="1:13" x14ac:dyDescent="0.25">
      <c r="A21" s="1">
        <v>46134</v>
      </c>
      <c r="B21" s="1" t="str">
        <f ca="1">IF(Información1[[#This Row],[Fecha]]='Ajuste de fechas'!$A$2,"Día actual","Día anterior")</f>
        <v>Día actual</v>
      </c>
      <c r="C21" s="3" t="s">
        <v>31</v>
      </c>
      <c r="D21" t="s">
        <v>33</v>
      </c>
      <c r="E21" s="3" t="s">
        <v>271</v>
      </c>
      <c r="F21" s="3" t="s">
        <v>21</v>
      </c>
      <c r="G21" s="3" t="s">
        <v>272</v>
      </c>
      <c r="H21" s="3" t="s">
        <v>11</v>
      </c>
      <c r="I21" s="3" t="s">
        <v>7</v>
      </c>
      <c r="J21" s="3" t="s">
        <v>72</v>
      </c>
      <c r="K21" s="3" t="s">
        <v>32</v>
      </c>
      <c r="L21" s="3" t="s">
        <v>75</v>
      </c>
      <c r="M21">
        <v>1</v>
      </c>
    </row>
    <row r="22" spans="1:13" x14ac:dyDescent="0.25">
      <c r="A22" s="1">
        <v>46134</v>
      </c>
      <c r="B22" s="1" t="str">
        <f ca="1">IF(Información1[[#This Row],[Fecha]]='Ajuste de fechas'!$A$2,"Día actual","Día anterior")</f>
        <v>Día actual</v>
      </c>
      <c r="C22" s="3" t="s">
        <v>31</v>
      </c>
      <c r="D22" t="s">
        <v>33</v>
      </c>
      <c r="E22" s="3" t="s">
        <v>273</v>
      </c>
      <c r="F22" s="3" t="s">
        <v>25</v>
      </c>
      <c r="G22" s="3" t="s">
        <v>274</v>
      </c>
      <c r="H22" s="3" t="s">
        <v>11</v>
      </c>
      <c r="I22" s="3" t="s">
        <v>7</v>
      </c>
      <c r="J22" s="3" t="s">
        <v>72</v>
      </c>
      <c r="K22" s="3" t="s">
        <v>32</v>
      </c>
      <c r="L22" s="3" t="s">
        <v>75</v>
      </c>
      <c r="M22">
        <v>1</v>
      </c>
    </row>
    <row r="23" spans="1:13" x14ac:dyDescent="0.25">
      <c r="A23" s="1">
        <v>46134</v>
      </c>
      <c r="B23" s="1" t="str">
        <f ca="1">IF(Información1[[#This Row],[Fecha]]='Ajuste de fechas'!$A$2,"Día actual","Día anterior")</f>
        <v>Día actual</v>
      </c>
      <c r="C23" s="3" t="s">
        <v>51</v>
      </c>
      <c r="D23" t="s">
        <v>53</v>
      </c>
      <c r="E23" s="3" t="s">
        <v>273</v>
      </c>
      <c r="F23" s="3" t="s">
        <v>25</v>
      </c>
      <c r="G23" s="3" t="s">
        <v>274</v>
      </c>
      <c r="H23" s="3" t="s">
        <v>11</v>
      </c>
      <c r="I23" s="3" t="s">
        <v>7</v>
      </c>
      <c r="J23" s="3" t="s">
        <v>72</v>
      </c>
      <c r="K23" s="3" t="s">
        <v>43</v>
      </c>
      <c r="L23" s="3" t="s">
        <v>75</v>
      </c>
      <c r="M23">
        <v>1</v>
      </c>
    </row>
    <row r="24" spans="1:13" x14ac:dyDescent="0.25">
      <c r="A24" s="1">
        <v>46134</v>
      </c>
      <c r="B24" s="1" t="str">
        <f ca="1">IF(Información1[[#This Row],[Fecha]]='Ajuste de fechas'!$A$2,"Día actual","Día anterior")</f>
        <v>Día actual</v>
      </c>
      <c r="C24" s="3" t="s">
        <v>51</v>
      </c>
      <c r="D24" t="s">
        <v>53</v>
      </c>
      <c r="E24" s="3" t="s">
        <v>275</v>
      </c>
      <c r="F24" s="3" t="s">
        <v>276</v>
      </c>
      <c r="G24" s="3" t="s">
        <v>277</v>
      </c>
      <c r="H24" s="3" t="s">
        <v>11</v>
      </c>
      <c r="I24" s="3" t="s">
        <v>7</v>
      </c>
      <c r="J24" s="3" t="s">
        <v>189</v>
      </c>
      <c r="K24" s="3" t="s">
        <v>239</v>
      </c>
      <c r="L24" s="3" t="s">
        <v>74</v>
      </c>
      <c r="M24">
        <v>1</v>
      </c>
    </row>
    <row r="25" spans="1:13" x14ac:dyDescent="0.25">
      <c r="A25" s="1">
        <v>46134</v>
      </c>
      <c r="B25" s="1" t="str">
        <f ca="1">IF(Información1[[#This Row],[Fecha]]='Ajuste de fechas'!$A$2,"Día actual","Día anterior")</f>
        <v>Día actual</v>
      </c>
      <c r="C25" s="3" t="s">
        <v>51</v>
      </c>
      <c r="D25" t="s">
        <v>54</v>
      </c>
      <c r="E25" s="3" t="s">
        <v>278</v>
      </c>
      <c r="F25" s="3" t="s">
        <v>26</v>
      </c>
      <c r="G25" s="3" t="s">
        <v>279</v>
      </c>
      <c r="H25" s="3" t="s">
        <v>11</v>
      </c>
      <c r="I25" s="3" t="s">
        <v>7</v>
      </c>
      <c r="J25" s="3" t="s">
        <v>26</v>
      </c>
      <c r="K25" s="3" t="s">
        <v>52</v>
      </c>
      <c r="L25" s="3" t="s">
        <v>73</v>
      </c>
      <c r="M25">
        <v>1</v>
      </c>
    </row>
    <row r="26" spans="1:13" x14ac:dyDescent="0.25">
      <c r="A26" s="1">
        <v>46134</v>
      </c>
      <c r="B26" s="1" t="str">
        <f ca="1">IF(Información1[[#This Row],[Fecha]]='Ajuste de fechas'!$A$2,"Día actual","Día anterior")</f>
        <v>Día actual</v>
      </c>
      <c r="C26" s="3" t="s">
        <v>31</v>
      </c>
      <c r="D26" t="s">
        <v>33</v>
      </c>
      <c r="E26" s="3" t="s">
        <v>280</v>
      </c>
      <c r="F26" s="3" t="s">
        <v>21</v>
      </c>
      <c r="G26" s="3" t="s">
        <v>281</v>
      </c>
      <c r="H26" s="3" t="s">
        <v>11</v>
      </c>
      <c r="I26" s="3" t="s">
        <v>7</v>
      </c>
      <c r="J26" s="3" t="s">
        <v>72</v>
      </c>
      <c r="K26" s="3" t="s">
        <v>32</v>
      </c>
      <c r="L26" s="3" t="s">
        <v>73</v>
      </c>
      <c r="M26">
        <v>1</v>
      </c>
    </row>
    <row r="27" spans="1:13" x14ac:dyDescent="0.25">
      <c r="A27" s="1">
        <v>46134</v>
      </c>
      <c r="B27" s="1" t="str">
        <f ca="1">IF(Información1[[#This Row],[Fecha]]='Ajuste de fechas'!$A$2,"Día actual","Día anterior")</f>
        <v>Día actual</v>
      </c>
      <c r="C27" s="3" t="s">
        <v>51</v>
      </c>
      <c r="D27" t="s">
        <v>54</v>
      </c>
      <c r="E27" s="3" t="s">
        <v>282</v>
      </c>
      <c r="F27" s="3" t="s">
        <v>19</v>
      </c>
      <c r="G27" s="3" t="s">
        <v>166</v>
      </c>
      <c r="H27" s="3" t="s">
        <v>11</v>
      </c>
      <c r="I27" s="3" t="s">
        <v>7</v>
      </c>
      <c r="J27" s="3" t="s">
        <v>76</v>
      </c>
      <c r="K27" s="3" t="s">
        <v>52</v>
      </c>
      <c r="L27" s="3" t="s">
        <v>73</v>
      </c>
      <c r="M27">
        <v>1</v>
      </c>
    </row>
    <row r="28" spans="1:13" x14ac:dyDescent="0.25">
      <c r="A28" s="1">
        <v>46134</v>
      </c>
      <c r="B28" s="1" t="str">
        <f ca="1">IF(Información1[[#This Row],[Fecha]]='Ajuste de fechas'!$A$2,"Día actual","Día anterior")</f>
        <v>Día actual</v>
      </c>
      <c r="C28" s="3" t="s">
        <v>31</v>
      </c>
      <c r="D28" t="s">
        <v>33</v>
      </c>
      <c r="E28" s="3" t="s">
        <v>283</v>
      </c>
      <c r="F28" s="3" t="s">
        <v>19</v>
      </c>
      <c r="G28" s="3" t="s">
        <v>284</v>
      </c>
      <c r="H28" s="3" t="s">
        <v>11</v>
      </c>
      <c r="I28" s="3" t="s">
        <v>27</v>
      </c>
      <c r="J28" s="3" t="s">
        <v>76</v>
      </c>
      <c r="K28" s="3" t="s">
        <v>32</v>
      </c>
      <c r="L28" s="3" t="s">
        <v>73</v>
      </c>
      <c r="M28">
        <v>1</v>
      </c>
    </row>
    <row r="29" spans="1:13" x14ac:dyDescent="0.25">
      <c r="A29" s="1">
        <v>46134</v>
      </c>
      <c r="B29" s="1" t="str">
        <f ca="1">IF(Información1[[#This Row],[Fecha]]='Ajuste de fechas'!$A$2,"Día actual","Día anterior")</f>
        <v>Día actual</v>
      </c>
      <c r="C29" s="3" t="s">
        <v>31</v>
      </c>
      <c r="D29" t="s">
        <v>33</v>
      </c>
      <c r="E29" s="3" t="s">
        <v>283</v>
      </c>
      <c r="F29" s="3" t="s">
        <v>37</v>
      </c>
      <c r="G29" s="3" t="s">
        <v>284</v>
      </c>
      <c r="H29" s="3" t="s">
        <v>11</v>
      </c>
      <c r="I29" s="3" t="s">
        <v>7</v>
      </c>
      <c r="J29" s="3" t="s">
        <v>72</v>
      </c>
      <c r="K29" s="3" t="s">
        <v>32</v>
      </c>
      <c r="L29" s="3" t="s">
        <v>73</v>
      </c>
      <c r="M29">
        <v>1</v>
      </c>
    </row>
    <row r="30" spans="1:13" x14ac:dyDescent="0.25">
      <c r="A30" s="1">
        <v>46134</v>
      </c>
      <c r="B30" s="1" t="str">
        <f ca="1">IF(Información1[[#This Row],[Fecha]]='Ajuste de fechas'!$A$2,"Día actual","Día anterior")</f>
        <v>Día actual</v>
      </c>
      <c r="C30" s="3" t="s">
        <v>31</v>
      </c>
      <c r="D30" t="s">
        <v>33</v>
      </c>
      <c r="E30" s="3" t="s">
        <v>285</v>
      </c>
      <c r="F30" s="3" t="s">
        <v>26</v>
      </c>
      <c r="G30" s="3" t="s">
        <v>286</v>
      </c>
      <c r="H30" s="3" t="s">
        <v>11</v>
      </c>
      <c r="I30" s="3" t="s">
        <v>7</v>
      </c>
      <c r="J30" s="3" t="s">
        <v>26</v>
      </c>
      <c r="K30" s="3" t="s">
        <v>32</v>
      </c>
      <c r="L30" s="3" t="s">
        <v>78</v>
      </c>
      <c r="M30">
        <v>1</v>
      </c>
    </row>
    <row r="31" spans="1:13" x14ac:dyDescent="0.25">
      <c r="A31" s="1">
        <v>46134</v>
      </c>
      <c r="B31" s="1" t="str">
        <f ca="1">IF(Información1[[#This Row],[Fecha]]='Ajuste de fechas'!$A$2,"Día actual","Día anterior")</f>
        <v>Día actual</v>
      </c>
      <c r="C31" s="3" t="s">
        <v>51</v>
      </c>
      <c r="D31" t="s">
        <v>54</v>
      </c>
      <c r="E31" s="3" t="s">
        <v>287</v>
      </c>
      <c r="F31" s="3" t="s">
        <v>26</v>
      </c>
      <c r="G31" s="3" t="s">
        <v>288</v>
      </c>
      <c r="H31" s="3" t="s">
        <v>11</v>
      </c>
      <c r="I31" s="3" t="s">
        <v>7</v>
      </c>
      <c r="J31" s="3" t="s">
        <v>26</v>
      </c>
      <c r="K31" s="3" t="s">
        <v>52</v>
      </c>
      <c r="L31" s="3" t="s">
        <v>73</v>
      </c>
      <c r="M31">
        <v>1</v>
      </c>
    </row>
    <row r="32" spans="1:13" x14ac:dyDescent="0.25">
      <c r="A32" s="1">
        <v>46134</v>
      </c>
      <c r="B32" s="1" t="str">
        <f ca="1">IF(Información1[[#This Row],[Fecha]]='Ajuste de fechas'!$A$2,"Día actual","Día anterior")</f>
        <v>Día actual</v>
      </c>
      <c r="C32" s="3" t="s">
        <v>34</v>
      </c>
      <c r="D32" t="s">
        <v>36</v>
      </c>
      <c r="E32" s="3" t="s">
        <v>240</v>
      </c>
      <c r="F32" s="3" t="s">
        <v>241</v>
      </c>
      <c r="G32" s="3" t="s">
        <v>242</v>
      </c>
      <c r="H32" s="3" t="s">
        <v>11</v>
      </c>
      <c r="I32" s="3" t="s">
        <v>7</v>
      </c>
      <c r="J32" s="3" t="s">
        <v>72</v>
      </c>
      <c r="K32" s="3" t="s">
        <v>35</v>
      </c>
      <c r="L32" s="3" t="s">
        <v>75</v>
      </c>
      <c r="M32">
        <v>1</v>
      </c>
    </row>
    <row r="33" spans="1:13" x14ac:dyDescent="0.25">
      <c r="A33" s="1">
        <v>46134</v>
      </c>
      <c r="B33" s="1" t="str">
        <f ca="1">IF(Información1[[#This Row],[Fecha]]='Ajuste de fechas'!$A$2,"Día actual","Día anterior")</f>
        <v>Día actual</v>
      </c>
      <c r="C33" s="3" t="s">
        <v>55</v>
      </c>
      <c r="D33" t="s">
        <v>111</v>
      </c>
      <c r="E33" s="3" t="s">
        <v>240</v>
      </c>
      <c r="F33" s="3" t="s">
        <v>241</v>
      </c>
      <c r="G33" s="3" t="s">
        <v>242</v>
      </c>
      <c r="H33" s="3" t="s">
        <v>11</v>
      </c>
      <c r="I33" s="3" t="s">
        <v>7</v>
      </c>
      <c r="J33" s="3" t="s">
        <v>72</v>
      </c>
      <c r="K33" s="3" t="s">
        <v>112</v>
      </c>
      <c r="L33" s="3" t="s">
        <v>75</v>
      </c>
      <c r="M33">
        <v>1</v>
      </c>
    </row>
    <row r="34" spans="1:13" x14ac:dyDescent="0.25">
      <c r="A34" s="1">
        <v>46134</v>
      </c>
      <c r="B34" s="1" t="str">
        <f ca="1">IF(Información1[[#This Row],[Fecha]]='Ajuste de fechas'!$A$2,"Día actual","Día anterior")</f>
        <v>Día actual</v>
      </c>
      <c r="C34" s="3" t="s">
        <v>38</v>
      </c>
      <c r="D34" t="s">
        <v>41</v>
      </c>
      <c r="E34" s="3" t="s">
        <v>240</v>
      </c>
      <c r="F34" s="3" t="s">
        <v>241</v>
      </c>
      <c r="G34" s="3" t="s">
        <v>242</v>
      </c>
      <c r="H34" s="3" t="s">
        <v>11</v>
      </c>
      <c r="I34" s="3" t="s">
        <v>7</v>
      </c>
      <c r="J34" s="3" t="s">
        <v>72</v>
      </c>
      <c r="K34" s="3" t="s">
        <v>39</v>
      </c>
      <c r="L34" s="3" t="s">
        <v>75</v>
      </c>
      <c r="M34">
        <v>1</v>
      </c>
    </row>
    <row r="35" spans="1:13" x14ac:dyDescent="0.25">
      <c r="A35" s="1">
        <v>46134</v>
      </c>
      <c r="B35" s="1" t="str">
        <f ca="1">IF(Información1[[#This Row],[Fecha]]='Ajuste de fechas'!$A$2,"Día actual","Día anterior")</f>
        <v>Día actual</v>
      </c>
      <c r="C35" s="3" t="s">
        <v>8</v>
      </c>
      <c r="D35" t="s">
        <v>10</v>
      </c>
      <c r="E35" s="3" t="s">
        <v>20</v>
      </c>
      <c r="F35" s="3" t="s">
        <v>19</v>
      </c>
      <c r="G35" s="3" t="s">
        <v>63</v>
      </c>
      <c r="H35" s="3" t="s">
        <v>11</v>
      </c>
      <c r="I35" s="3" t="s">
        <v>12</v>
      </c>
      <c r="J35" s="3" t="s">
        <v>76</v>
      </c>
      <c r="K35" s="3" t="s">
        <v>14</v>
      </c>
      <c r="L35" s="3" t="s">
        <v>74</v>
      </c>
      <c r="M35">
        <v>1</v>
      </c>
    </row>
    <row r="36" spans="1:13" x14ac:dyDescent="0.25">
      <c r="A36" s="1">
        <v>46134</v>
      </c>
      <c r="B36" s="1" t="str">
        <f ca="1">IF(Información1[[#This Row],[Fecha]]='Ajuste de fechas'!$A$2,"Día actual","Día anterior")</f>
        <v>Día actual</v>
      </c>
      <c r="C36" s="3" t="s">
        <v>8</v>
      </c>
      <c r="D36" t="s">
        <v>10</v>
      </c>
      <c r="E36" s="3" t="s">
        <v>18</v>
      </c>
      <c r="F36" s="3" t="s">
        <v>19</v>
      </c>
      <c r="G36" s="3" t="s">
        <v>63</v>
      </c>
      <c r="H36" s="3" t="s">
        <v>11</v>
      </c>
      <c r="I36" s="3" t="s">
        <v>12</v>
      </c>
      <c r="J36" s="3" t="s">
        <v>76</v>
      </c>
      <c r="K36" s="3" t="s">
        <v>14</v>
      </c>
      <c r="L36" s="3" t="s">
        <v>74</v>
      </c>
      <c r="M36">
        <v>1</v>
      </c>
    </row>
    <row r="37" spans="1:13" x14ac:dyDescent="0.25">
      <c r="A37" s="1">
        <v>46134</v>
      </c>
      <c r="B37" s="1" t="str">
        <f ca="1">IF(Información1[[#This Row],[Fecha]]='Ajuste de fechas'!$A$2,"Día actual","Día anterior")</f>
        <v>Día actual</v>
      </c>
      <c r="C37" s="3" t="s">
        <v>8</v>
      </c>
      <c r="D37" t="s">
        <v>10</v>
      </c>
      <c r="E37" s="3" t="s">
        <v>289</v>
      </c>
      <c r="F37" s="3" t="s">
        <v>21</v>
      </c>
      <c r="G37" s="3" t="s">
        <v>63</v>
      </c>
      <c r="H37" s="3" t="s">
        <v>11</v>
      </c>
      <c r="I37" s="3" t="s">
        <v>12</v>
      </c>
      <c r="J37" s="3" t="s">
        <v>72</v>
      </c>
      <c r="K37" s="3" t="s">
        <v>14</v>
      </c>
      <c r="L37" s="3" t="s">
        <v>74</v>
      </c>
      <c r="M37">
        <v>1</v>
      </c>
    </row>
    <row r="38" spans="1:13" x14ac:dyDescent="0.25">
      <c r="A38" s="1">
        <v>46134</v>
      </c>
      <c r="B38" s="1" t="str">
        <f ca="1">IF(Información1[[#This Row],[Fecha]]='Ajuste de fechas'!$A$2,"Día actual","Día anterior")</f>
        <v>Día actual</v>
      </c>
      <c r="C38" s="3" t="s">
        <v>8</v>
      </c>
      <c r="D38" t="s">
        <v>10</v>
      </c>
      <c r="E38" s="3" t="s">
        <v>13</v>
      </c>
      <c r="F38" s="3" t="s">
        <v>15</v>
      </c>
      <c r="G38" s="3" t="s">
        <v>63</v>
      </c>
      <c r="H38" s="3" t="s">
        <v>11</v>
      </c>
      <c r="I38" s="3" t="s">
        <v>12</v>
      </c>
      <c r="J38" s="3" t="s">
        <v>72</v>
      </c>
      <c r="K38" s="3" t="s">
        <v>14</v>
      </c>
      <c r="L38" s="3" t="s">
        <v>74</v>
      </c>
      <c r="M38">
        <v>1</v>
      </c>
    </row>
    <row r="39" spans="1:13" x14ac:dyDescent="0.25">
      <c r="A39" s="1">
        <v>46134</v>
      </c>
      <c r="B39" s="1" t="str">
        <f ca="1">IF(Información1[[#This Row],[Fecha]]='Ajuste de fechas'!$A$2,"Día actual","Día anterior")</f>
        <v>Día actual</v>
      </c>
      <c r="C39" s="3" t="s">
        <v>8</v>
      </c>
      <c r="D39" t="s">
        <v>10</v>
      </c>
      <c r="E39" s="3" t="s">
        <v>16</v>
      </c>
      <c r="F39" s="3" t="s">
        <v>17</v>
      </c>
      <c r="G39" s="3" t="s">
        <v>63</v>
      </c>
      <c r="H39" s="3" t="s">
        <v>11</v>
      </c>
      <c r="I39" s="3" t="s">
        <v>12</v>
      </c>
      <c r="J39" s="3" t="s">
        <v>72</v>
      </c>
      <c r="K39" s="3" t="s">
        <v>14</v>
      </c>
      <c r="L39" s="3" t="s">
        <v>74</v>
      </c>
      <c r="M39">
        <v>1</v>
      </c>
    </row>
    <row r="40" spans="1:13" x14ac:dyDescent="0.25">
      <c r="A40" s="1">
        <v>46134</v>
      </c>
      <c r="B40" s="1" t="str">
        <f ca="1">IF(Información1[[#This Row],[Fecha]]='Ajuste de fechas'!$A$2,"Día actual","Día anterior")</f>
        <v>Día actual</v>
      </c>
      <c r="C40" s="3" t="s">
        <v>8</v>
      </c>
      <c r="D40" t="s">
        <v>10</v>
      </c>
      <c r="E40" s="3" t="s">
        <v>65</v>
      </c>
      <c r="F40" s="3" t="s">
        <v>6</v>
      </c>
      <c r="G40" s="3" t="s">
        <v>63</v>
      </c>
      <c r="H40" s="3" t="s">
        <v>11</v>
      </c>
      <c r="I40" s="3" t="s">
        <v>12</v>
      </c>
      <c r="J40" s="3" t="s">
        <v>72</v>
      </c>
      <c r="K40" s="3" t="s">
        <v>14</v>
      </c>
      <c r="L40" s="3" t="s">
        <v>74</v>
      </c>
      <c r="M40">
        <v>1</v>
      </c>
    </row>
    <row r="41" spans="1:13" x14ac:dyDescent="0.25">
      <c r="A41" s="1">
        <v>46134</v>
      </c>
      <c r="B41" s="1" t="str">
        <f ca="1">IF(Información1[[#This Row],[Fecha]]='Ajuste de fechas'!$A$2,"Día actual","Día anterior")</f>
        <v>Día actual</v>
      </c>
      <c r="C41" s="3" t="s">
        <v>8</v>
      </c>
      <c r="D41" t="s">
        <v>10</v>
      </c>
      <c r="E41" s="3" t="s">
        <v>290</v>
      </c>
      <c r="F41" s="3" t="s">
        <v>25</v>
      </c>
      <c r="G41" s="3" t="s">
        <v>291</v>
      </c>
      <c r="H41" s="3" t="s">
        <v>11</v>
      </c>
      <c r="I41" s="3" t="s">
        <v>27</v>
      </c>
      <c r="J41" s="3" t="s">
        <v>72</v>
      </c>
      <c r="K41" s="3" t="s">
        <v>9</v>
      </c>
      <c r="L41" s="3" t="s">
        <v>74</v>
      </c>
      <c r="M41">
        <v>1</v>
      </c>
    </row>
    <row r="42" spans="1:13" x14ac:dyDescent="0.25">
      <c r="A42" s="1">
        <v>46134</v>
      </c>
      <c r="B42" s="1" t="str">
        <f ca="1">IF(Información1[[#This Row],[Fecha]]='Ajuste de fechas'!$A$2,"Día actual","Día anterior")</f>
        <v>Día actual</v>
      </c>
      <c r="C42" s="3" t="s">
        <v>38</v>
      </c>
      <c r="D42" t="s">
        <v>41</v>
      </c>
      <c r="E42" s="3" t="s">
        <v>292</v>
      </c>
      <c r="F42" s="3" t="s">
        <v>19</v>
      </c>
      <c r="G42" s="3" t="s">
        <v>46</v>
      </c>
      <c r="H42" s="3" t="s">
        <v>11</v>
      </c>
      <c r="I42" s="3" t="s">
        <v>7</v>
      </c>
      <c r="J42" s="3" t="s">
        <v>76</v>
      </c>
      <c r="K42" s="3" t="s">
        <v>39</v>
      </c>
      <c r="L42" s="3" t="s">
        <v>73</v>
      </c>
      <c r="M42">
        <v>1</v>
      </c>
    </row>
    <row r="43" spans="1:13" x14ac:dyDescent="0.25">
      <c r="A43" s="1">
        <v>46134</v>
      </c>
      <c r="B43" s="1" t="str">
        <f ca="1">IF(Información1[[#This Row],[Fecha]]='Ajuste de fechas'!$A$2,"Día actual","Día anterior")</f>
        <v>Día actual</v>
      </c>
      <c r="C43" s="3" t="s">
        <v>8</v>
      </c>
      <c r="D43" t="s">
        <v>10</v>
      </c>
      <c r="E43" s="3" t="s">
        <v>293</v>
      </c>
      <c r="F43" s="3" t="s">
        <v>19</v>
      </c>
      <c r="G43" s="3" t="s">
        <v>294</v>
      </c>
      <c r="H43" s="3" t="s">
        <v>11</v>
      </c>
      <c r="I43" s="3" t="s">
        <v>27</v>
      </c>
      <c r="J43" s="3" t="s">
        <v>76</v>
      </c>
      <c r="K43" s="3" t="s">
        <v>9</v>
      </c>
      <c r="L43" s="3" t="s">
        <v>74</v>
      </c>
      <c r="M43">
        <v>1</v>
      </c>
    </row>
    <row r="44" spans="1:13" x14ac:dyDescent="0.25">
      <c r="A44" s="1">
        <v>46134</v>
      </c>
      <c r="B44" s="1" t="str">
        <f ca="1">IF(Información1[[#This Row],[Fecha]]='Ajuste de fechas'!$A$2,"Día actual","Día anterior")</f>
        <v>Día actual</v>
      </c>
      <c r="C44" s="3" t="s">
        <v>38</v>
      </c>
      <c r="D44" t="s">
        <v>41</v>
      </c>
      <c r="E44" s="3" t="s">
        <v>295</v>
      </c>
      <c r="F44" s="3" t="s">
        <v>15</v>
      </c>
      <c r="G44" s="3" t="s">
        <v>296</v>
      </c>
      <c r="H44" s="3" t="s">
        <v>11</v>
      </c>
      <c r="I44" s="3" t="s">
        <v>7</v>
      </c>
      <c r="J44" s="3" t="s">
        <v>72</v>
      </c>
      <c r="K44" s="3" t="s">
        <v>39</v>
      </c>
      <c r="L44" s="3" t="s">
        <v>73</v>
      </c>
      <c r="M44">
        <v>1</v>
      </c>
    </row>
    <row r="45" spans="1:13" x14ac:dyDescent="0.25">
      <c r="A45" s="1">
        <v>46134</v>
      </c>
      <c r="B45" s="1" t="str">
        <f ca="1">IF(Información1[[#This Row],[Fecha]]='Ajuste de fechas'!$A$2,"Día actual","Día anterior")</f>
        <v>Día actual</v>
      </c>
      <c r="C45" s="3" t="s">
        <v>38</v>
      </c>
      <c r="D45" t="s">
        <v>40</v>
      </c>
      <c r="E45" s="3" t="s">
        <v>243</v>
      </c>
      <c r="F45" s="3" t="s">
        <v>21</v>
      </c>
      <c r="G45" s="3" t="s">
        <v>116</v>
      </c>
      <c r="H45" s="3" t="s">
        <v>11</v>
      </c>
      <c r="I45" s="3" t="s">
        <v>7</v>
      </c>
      <c r="J45" s="3" t="s">
        <v>72</v>
      </c>
      <c r="K45" s="3" t="s">
        <v>64</v>
      </c>
      <c r="L45" s="3" t="s">
        <v>75</v>
      </c>
      <c r="M45">
        <v>1</v>
      </c>
    </row>
    <row r="46" spans="1:13" x14ac:dyDescent="0.25">
      <c r="A46" s="1">
        <v>46134</v>
      </c>
      <c r="B46" s="1" t="str">
        <f ca="1">IF(Información1[[#This Row],[Fecha]]='Ajuste de fechas'!$A$2,"Día actual","Día anterior")</f>
        <v>Día actual</v>
      </c>
      <c r="C46" s="3" t="s">
        <v>8</v>
      </c>
      <c r="D46" t="s">
        <v>10</v>
      </c>
      <c r="E46" s="3" t="s">
        <v>297</v>
      </c>
      <c r="F46" s="3" t="s">
        <v>26</v>
      </c>
      <c r="G46" s="3" t="s">
        <v>298</v>
      </c>
      <c r="H46" s="3" t="s">
        <v>11</v>
      </c>
      <c r="I46" s="3" t="s">
        <v>7</v>
      </c>
      <c r="J46" s="3" t="s">
        <v>26</v>
      </c>
      <c r="K46" s="3" t="s">
        <v>14</v>
      </c>
      <c r="L46" s="3" t="s">
        <v>74</v>
      </c>
      <c r="M46">
        <v>1</v>
      </c>
    </row>
    <row r="47" spans="1:13" x14ac:dyDescent="0.25">
      <c r="A47" s="1">
        <v>46134</v>
      </c>
      <c r="B47" s="1" t="str">
        <f ca="1">IF(Información1[[#This Row],[Fecha]]='Ajuste de fechas'!$A$2,"Día actual","Día anterior")</f>
        <v>Día actual</v>
      </c>
      <c r="C47" s="3" t="s">
        <v>38</v>
      </c>
      <c r="D47" t="s">
        <v>40</v>
      </c>
      <c r="E47" s="3" t="s">
        <v>250</v>
      </c>
      <c r="F47" s="3" t="s">
        <v>251</v>
      </c>
      <c r="G47" s="3" t="s">
        <v>104</v>
      </c>
      <c r="H47" s="3" t="s">
        <v>11</v>
      </c>
      <c r="I47" s="3" t="s">
        <v>7</v>
      </c>
      <c r="J47" s="3" t="s">
        <v>72</v>
      </c>
      <c r="K47" s="3" t="s">
        <v>64</v>
      </c>
      <c r="L47" s="3" t="s">
        <v>75</v>
      </c>
      <c r="M47">
        <v>1</v>
      </c>
    </row>
    <row r="48" spans="1:13" x14ac:dyDescent="0.25">
      <c r="A48" s="1">
        <v>46134</v>
      </c>
      <c r="B48" s="1" t="str">
        <f ca="1">IF(Información1[[#This Row],[Fecha]]='Ajuste de fechas'!$A$2,"Día actual","Día anterior")</f>
        <v>Día actual</v>
      </c>
      <c r="C48" s="3" t="s">
        <v>38</v>
      </c>
      <c r="D48" t="s">
        <v>41</v>
      </c>
      <c r="E48" s="3" t="s">
        <v>250</v>
      </c>
      <c r="F48" s="3" t="s">
        <v>251</v>
      </c>
      <c r="G48" s="3" t="s">
        <v>104</v>
      </c>
      <c r="H48" s="3" t="s">
        <v>11</v>
      </c>
      <c r="I48" s="3" t="s">
        <v>7</v>
      </c>
      <c r="J48" s="3" t="s">
        <v>72</v>
      </c>
      <c r="K48" s="3" t="s">
        <v>39</v>
      </c>
      <c r="L48" s="3" t="s">
        <v>75</v>
      </c>
      <c r="M48">
        <v>1</v>
      </c>
    </row>
    <row r="49" spans="1:13" x14ac:dyDescent="0.25">
      <c r="A49" s="1">
        <v>46134</v>
      </c>
      <c r="B49" s="1" t="str">
        <f ca="1">IF(Información1[[#This Row],[Fecha]]='Ajuste de fechas'!$A$2,"Día actual","Día anterior")</f>
        <v>Día actual</v>
      </c>
      <c r="C49" s="3" t="s">
        <v>8</v>
      </c>
      <c r="D49" t="s">
        <v>10</v>
      </c>
      <c r="E49" s="3" t="s">
        <v>299</v>
      </c>
      <c r="F49" s="3" t="s">
        <v>251</v>
      </c>
      <c r="G49" s="3" t="s">
        <v>104</v>
      </c>
      <c r="H49" s="3" t="s">
        <v>11</v>
      </c>
      <c r="I49" s="3" t="s">
        <v>7</v>
      </c>
      <c r="J49" s="3" t="s">
        <v>72</v>
      </c>
      <c r="K49" s="3" t="s">
        <v>14</v>
      </c>
      <c r="L49" s="3" t="s">
        <v>73</v>
      </c>
      <c r="M49">
        <v>1</v>
      </c>
    </row>
    <row r="50" spans="1:13" x14ac:dyDescent="0.25">
      <c r="A50" s="1">
        <v>46134</v>
      </c>
      <c r="B50" s="1" t="str">
        <f ca="1">IF(Información1[[#This Row],[Fecha]]='Ajuste de fechas'!$A$2,"Día actual","Día anterior")</f>
        <v>Día actual</v>
      </c>
      <c r="C50" s="3" t="s">
        <v>38</v>
      </c>
      <c r="D50" t="s">
        <v>40</v>
      </c>
      <c r="E50" s="3" t="s">
        <v>300</v>
      </c>
      <c r="F50" s="3" t="s">
        <v>23</v>
      </c>
      <c r="G50" s="3" t="s">
        <v>301</v>
      </c>
      <c r="H50" s="3" t="s">
        <v>11</v>
      </c>
      <c r="I50" s="3" t="s">
        <v>7</v>
      </c>
      <c r="J50" s="3" t="s">
        <v>77</v>
      </c>
      <c r="K50" s="3" t="s">
        <v>64</v>
      </c>
      <c r="L50" s="3" t="s">
        <v>73</v>
      </c>
      <c r="M50">
        <v>1</v>
      </c>
    </row>
    <row r="51" spans="1:13" x14ac:dyDescent="0.25">
      <c r="A51" s="1">
        <v>46134</v>
      </c>
      <c r="B51" s="1" t="str">
        <f ca="1">IF(Información1[[#This Row],[Fecha]]='Ajuste de fechas'!$A$2,"Día actual","Día anterior")</f>
        <v>Día actual</v>
      </c>
      <c r="C51" s="3" t="s">
        <v>8</v>
      </c>
      <c r="D51" t="s">
        <v>10</v>
      </c>
      <c r="E51" s="3" t="s">
        <v>302</v>
      </c>
      <c r="F51" s="3" t="s">
        <v>19</v>
      </c>
      <c r="G51" s="3" t="s">
        <v>91</v>
      </c>
      <c r="H51" s="3" t="s">
        <v>11</v>
      </c>
      <c r="I51" s="3" t="s">
        <v>7</v>
      </c>
      <c r="J51" s="3" t="s">
        <v>76</v>
      </c>
      <c r="K51" s="3" t="s">
        <v>14</v>
      </c>
      <c r="L51" s="3" t="s">
        <v>78</v>
      </c>
      <c r="M51">
        <v>1</v>
      </c>
    </row>
    <row r="52" spans="1:13" x14ac:dyDescent="0.25">
      <c r="A52" s="1">
        <v>46134</v>
      </c>
      <c r="B52" s="1" t="str">
        <f ca="1">IF(Información1[[#This Row],[Fecha]]='Ajuste de fechas'!$A$2,"Día actual","Día anterior")</f>
        <v>Día actual</v>
      </c>
      <c r="C52" s="3" t="s">
        <v>8</v>
      </c>
      <c r="D52" t="s">
        <v>10</v>
      </c>
      <c r="E52" s="3" t="s">
        <v>140</v>
      </c>
      <c r="F52" s="3" t="s">
        <v>60</v>
      </c>
      <c r="G52" s="3" t="s">
        <v>91</v>
      </c>
      <c r="H52" s="3" t="s">
        <v>11</v>
      </c>
      <c r="I52" s="3" t="s">
        <v>7</v>
      </c>
      <c r="J52" s="3" t="s">
        <v>72</v>
      </c>
      <c r="K52" s="3" t="s">
        <v>14</v>
      </c>
      <c r="L52" s="3" t="s">
        <v>75</v>
      </c>
      <c r="M52">
        <v>1</v>
      </c>
    </row>
    <row r="53" spans="1:13" x14ac:dyDescent="0.25">
      <c r="A53" s="1">
        <v>46134</v>
      </c>
      <c r="B53" s="1" t="str">
        <f ca="1">IF(Información1[[#This Row],[Fecha]]='Ajuste de fechas'!$A$2,"Día actual","Día anterior")</f>
        <v>Día actual</v>
      </c>
      <c r="C53" s="3" t="s">
        <v>38</v>
      </c>
      <c r="D53" t="s">
        <v>41</v>
      </c>
      <c r="E53" s="3" t="s">
        <v>303</v>
      </c>
      <c r="F53" s="3" t="s">
        <v>23</v>
      </c>
      <c r="G53" s="3" t="s">
        <v>304</v>
      </c>
      <c r="H53" s="3" t="s">
        <v>11</v>
      </c>
      <c r="I53" s="3" t="s">
        <v>7</v>
      </c>
      <c r="J53" s="3" t="s">
        <v>77</v>
      </c>
      <c r="K53" s="3" t="s">
        <v>39</v>
      </c>
      <c r="L53" s="3" t="s">
        <v>73</v>
      </c>
      <c r="M53">
        <v>1</v>
      </c>
    </row>
    <row r="54" spans="1:13" x14ac:dyDescent="0.25">
      <c r="A54" s="1">
        <v>46134</v>
      </c>
      <c r="B54" s="1" t="str">
        <f ca="1">IF(Información1[[#This Row],[Fecha]]='Ajuste de fechas'!$A$2,"Día actual","Día anterior")</f>
        <v>Día actual</v>
      </c>
      <c r="C54" s="3" t="s">
        <v>38</v>
      </c>
      <c r="D54" t="s">
        <v>41</v>
      </c>
      <c r="E54" s="3" t="s">
        <v>305</v>
      </c>
      <c r="F54" s="3" t="s">
        <v>19</v>
      </c>
      <c r="G54" s="3" t="s">
        <v>306</v>
      </c>
      <c r="H54" s="3" t="s">
        <v>11</v>
      </c>
      <c r="I54" s="3" t="s">
        <v>7</v>
      </c>
      <c r="J54" s="3" t="s">
        <v>76</v>
      </c>
      <c r="K54" s="3" t="s">
        <v>39</v>
      </c>
      <c r="L54" s="3" t="s">
        <v>73</v>
      </c>
      <c r="M54">
        <v>1</v>
      </c>
    </row>
    <row r="55" spans="1:13" x14ac:dyDescent="0.25">
      <c r="A55" s="1">
        <v>46134</v>
      </c>
      <c r="B55" s="1" t="str">
        <f ca="1">IF(Información1[[#This Row],[Fecha]]='Ajuste de fechas'!$A$2,"Día actual","Día anterior")</f>
        <v>Día actual</v>
      </c>
      <c r="C55" s="3" t="s">
        <v>38</v>
      </c>
      <c r="D55" t="s">
        <v>41</v>
      </c>
      <c r="E55" s="3" t="s">
        <v>307</v>
      </c>
      <c r="F55" s="3" t="s">
        <v>107</v>
      </c>
      <c r="G55" s="3" t="s">
        <v>308</v>
      </c>
      <c r="H55" s="3" t="s">
        <v>11</v>
      </c>
      <c r="I55" s="3" t="s">
        <v>7</v>
      </c>
      <c r="J55" s="3" t="s">
        <v>72</v>
      </c>
      <c r="K55" s="3" t="s">
        <v>39</v>
      </c>
      <c r="L55" s="3" t="s">
        <v>73</v>
      </c>
      <c r="M55">
        <v>1</v>
      </c>
    </row>
    <row r="56" spans="1:13" x14ac:dyDescent="0.25">
      <c r="A56" s="1">
        <v>46134</v>
      </c>
      <c r="B56" s="1" t="str">
        <f ca="1">IF(Información1[[#This Row],[Fecha]]='Ajuste de fechas'!$A$2,"Día actual","Día anterior")</f>
        <v>Día actual</v>
      </c>
      <c r="C56" s="3" t="s">
        <v>8</v>
      </c>
      <c r="D56" t="s">
        <v>10</v>
      </c>
      <c r="E56" s="3" t="s">
        <v>309</v>
      </c>
      <c r="F56" s="3" t="s">
        <v>6</v>
      </c>
      <c r="G56" s="3" t="s">
        <v>310</v>
      </c>
      <c r="H56" s="3" t="s">
        <v>11</v>
      </c>
      <c r="I56" s="3" t="s">
        <v>27</v>
      </c>
      <c r="J56" s="3" t="s">
        <v>72</v>
      </c>
      <c r="K56" s="3" t="s">
        <v>9</v>
      </c>
      <c r="L56" s="3" t="s">
        <v>74</v>
      </c>
      <c r="M56">
        <v>1</v>
      </c>
    </row>
    <row r="57" spans="1:13" x14ac:dyDescent="0.25">
      <c r="A57" s="1">
        <v>46134</v>
      </c>
      <c r="B57" s="1" t="str">
        <f ca="1">IF(Información1[[#This Row],[Fecha]]='Ajuste de fechas'!$A$2,"Día actual","Día anterior")</f>
        <v>Día actual</v>
      </c>
      <c r="C57" s="3" t="s">
        <v>8</v>
      </c>
      <c r="D57" t="s">
        <v>10</v>
      </c>
      <c r="E57" s="3" t="s">
        <v>311</v>
      </c>
      <c r="F57" s="3" t="s">
        <v>6</v>
      </c>
      <c r="G57" s="3" t="s">
        <v>310</v>
      </c>
      <c r="H57" s="3" t="s">
        <v>11</v>
      </c>
      <c r="I57" s="3" t="s">
        <v>27</v>
      </c>
      <c r="J57" s="3" t="s">
        <v>72</v>
      </c>
      <c r="K57" s="3" t="s">
        <v>9</v>
      </c>
      <c r="L57" s="3" t="s">
        <v>74</v>
      </c>
      <c r="M57">
        <v>1</v>
      </c>
    </row>
    <row r="58" spans="1:13" x14ac:dyDescent="0.25">
      <c r="A58" s="1">
        <v>46134</v>
      </c>
      <c r="B58" s="1" t="str">
        <f ca="1">IF(Información1[[#This Row],[Fecha]]='Ajuste de fechas'!$A$2,"Día actual","Día anterior")</f>
        <v>Día actual</v>
      </c>
      <c r="C58" s="3" t="s">
        <v>38</v>
      </c>
      <c r="D58" t="s">
        <v>41</v>
      </c>
      <c r="E58" s="3" t="s">
        <v>312</v>
      </c>
      <c r="F58" s="3" t="s">
        <v>156</v>
      </c>
      <c r="G58" s="3" t="s">
        <v>110</v>
      </c>
      <c r="H58" s="3" t="s">
        <v>11</v>
      </c>
      <c r="I58" s="3" t="s">
        <v>7</v>
      </c>
      <c r="J58" s="3" t="s">
        <v>72</v>
      </c>
      <c r="K58" s="3" t="s">
        <v>39</v>
      </c>
      <c r="L58" s="3" t="s">
        <v>73</v>
      </c>
      <c r="M58">
        <v>1</v>
      </c>
    </row>
    <row r="59" spans="1:13" x14ac:dyDescent="0.25">
      <c r="A59" s="1">
        <v>46134</v>
      </c>
      <c r="B59" s="1" t="str">
        <f ca="1">IF(Información1[[#This Row],[Fecha]]='Ajuste de fechas'!$A$2,"Día actual","Día anterior")</f>
        <v>Día actual</v>
      </c>
      <c r="C59" s="3" t="s">
        <v>8</v>
      </c>
      <c r="D59" t="s">
        <v>10</v>
      </c>
      <c r="E59" s="3" t="s">
        <v>313</v>
      </c>
      <c r="F59" s="3" t="s">
        <v>22</v>
      </c>
      <c r="G59" s="3" t="s">
        <v>261</v>
      </c>
      <c r="H59" s="3" t="s">
        <v>11</v>
      </c>
      <c r="I59" s="3" t="s">
        <v>7</v>
      </c>
      <c r="J59" s="3" t="s">
        <v>26</v>
      </c>
      <c r="K59" s="3" t="s">
        <v>14</v>
      </c>
      <c r="L59" s="3" t="s">
        <v>73</v>
      </c>
      <c r="M59">
        <v>1</v>
      </c>
    </row>
    <row r="60" spans="1:13" x14ac:dyDescent="0.25">
      <c r="A60" s="1">
        <v>46134</v>
      </c>
      <c r="B60" s="1" t="str">
        <f ca="1">IF(Información1[[#This Row],[Fecha]]='Ajuste de fechas'!$A$2,"Día actual","Día anterior")</f>
        <v>Día actual</v>
      </c>
      <c r="C60" s="3" t="s">
        <v>8</v>
      </c>
      <c r="D60" t="s">
        <v>10</v>
      </c>
      <c r="E60" s="3" t="s">
        <v>314</v>
      </c>
      <c r="F60" s="3" t="s">
        <v>6</v>
      </c>
      <c r="G60" s="3" t="s">
        <v>315</v>
      </c>
      <c r="H60" s="3" t="s">
        <v>11</v>
      </c>
      <c r="I60" s="3" t="s">
        <v>27</v>
      </c>
      <c r="J60" s="3" t="s">
        <v>72</v>
      </c>
      <c r="K60" s="3" t="s">
        <v>9</v>
      </c>
      <c r="L60" s="3" t="s">
        <v>74</v>
      </c>
      <c r="M60">
        <v>1</v>
      </c>
    </row>
    <row r="61" spans="1:13" x14ac:dyDescent="0.25">
      <c r="A61" s="1">
        <v>46134</v>
      </c>
      <c r="B61" s="1" t="str">
        <f ca="1">IF(Información1[[#This Row],[Fecha]]='Ajuste de fechas'!$A$2,"Día actual","Día anterior")</f>
        <v>Día actual</v>
      </c>
      <c r="C61" s="3" t="s">
        <v>8</v>
      </c>
      <c r="D61" t="s">
        <v>10</v>
      </c>
      <c r="E61" s="3" t="s">
        <v>316</v>
      </c>
      <c r="F61" s="3" t="s">
        <v>6</v>
      </c>
      <c r="G61" s="3" t="s">
        <v>113</v>
      </c>
      <c r="H61" s="3" t="s">
        <v>11</v>
      </c>
      <c r="I61" s="3" t="s">
        <v>12</v>
      </c>
      <c r="J61" s="3" t="s">
        <v>72</v>
      </c>
      <c r="K61" s="3" t="s">
        <v>9</v>
      </c>
      <c r="L61" s="3" t="s">
        <v>74</v>
      </c>
      <c r="M61">
        <v>1</v>
      </c>
    </row>
    <row r="62" spans="1:13" x14ac:dyDescent="0.25">
      <c r="A62" s="1">
        <v>46134</v>
      </c>
      <c r="B62" s="1" t="str">
        <f ca="1">IF(Información1[[#This Row],[Fecha]]='Ajuste de fechas'!$A$2,"Día actual","Día anterior")</f>
        <v>Día actual</v>
      </c>
      <c r="C62" s="3" t="s">
        <v>8</v>
      </c>
      <c r="D62" t="s">
        <v>10</v>
      </c>
      <c r="E62" s="3" t="s">
        <v>317</v>
      </c>
      <c r="F62" s="3" t="s">
        <v>22</v>
      </c>
      <c r="G62" s="3" t="s">
        <v>266</v>
      </c>
      <c r="H62" s="3" t="s">
        <v>11</v>
      </c>
      <c r="I62" s="3" t="s">
        <v>7</v>
      </c>
      <c r="J62" s="3" t="s">
        <v>26</v>
      </c>
      <c r="K62" s="3" t="s">
        <v>14</v>
      </c>
      <c r="L62" s="3" t="s">
        <v>73</v>
      </c>
      <c r="M62">
        <v>1</v>
      </c>
    </row>
    <row r="63" spans="1:13" x14ac:dyDescent="0.25">
      <c r="A63" s="1">
        <v>46134</v>
      </c>
      <c r="B63" s="1" t="str">
        <f ca="1">IF(Información1[[#This Row],[Fecha]]='Ajuste de fechas'!$A$2,"Día actual","Día anterior")</f>
        <v>Día actual</v>
      </c>
      <c r="C63" s="3" t="s">
        <v>38</v>
      </c>
      <c r="D63" t="s">
        <v>40</v>
      </c>
      <c r="E63" s="3" t="s">
        <v>318</v>
      </c>
      <c r="F63" s="3" t="s">
        <v>23</v>
      </c>
      <c r="G63" s="3" t="s">
        <v>86</v>
      </c>
      <c r="H63" s="3" t="s">
        <v>11</v>
      </c>
      <c r="I63" s="3" t="s">
        <v>7</v>
      </c>
      <c r="J63" s="3" t="s">
        <v>77</v>
      </c>
      <c r="K63" s="3" t="s">
        <v>64</v>
      </c>
      <c r="L63" s="3" t="s">
        <v>73</v>
      </c>
      <c r="M63">
        <v>1</v>
      </c>
    </row>
    <row r="64" spans="1:13" x14ac:dyDescent="0.25">
      <c r="A64" s="1">
        <v>46134</v>
      </c>
      <c r="B64" s="1" t="str">
        <f ca="1">IF(Información1[[#This Row],[Fecha]]='Ajuste de fechas'!$A$2,"Día actual","Día anterior")</f>
        <v>Día actual</v>
      </c>
      <c r="C64" s="3" t="s">
        <v>34</v>
      </c>
      <c r="D64" t="s">
        <v>36</v>
      </c>
      <c r="E64" s="3" t="s">
        <v>106</v>
      </c>
      <c r="F64" s="3" t="s">
        <v>107</v>
      </c>
      <c r="G64" s="3" t="s">
        <v>86</v>
      </c>
      <c r="H64" s="3" t="s">
        <v>11</v>
      </c>
      <c r="I64" s="3" t="s">
        <v>7</v>
      </c>
      <c r="J64" s="3" t="s">
        <v>72</v>
      </c>
      <c r="K64" s="3" t="s">
        <v>35</v>
      </c>
      <c r="L64" s="3" t="s">
        <v>75</v>
      </c>
      <c r="M64">
        <v>1</v>
      </c>
    </row>
    <row r="65" spans="1:13" x14ac:dyDescent="0.25">
      <c r="A65" s="1">
        <v>46134</v>
      </c>
      <c r="B65" s="1" t="str">
        <f ca="1">IF(Información1[[#This Row],[Fecha]]='Ajuste de fechas'!$A$2,"Día actual","Día anterior")</f>
        <v>Día actual</v>
      </c>
      <c r="C65" s="3" t="s">
        <v>38</v>
      </c>
      <c r="D65" t="s">
        <v>41</v>
      </c>
      <c r="E65" s="3" t="s">
        <v>319</v>
      </c>
      <c r="F65" s="3" t="s">
        <v>19</v>
      </c>
      <c r="G65" s="3" t="s">
        <v>86</v>
      </c>
      <c r="H65" s="3" t="s">
        <v>11</v>
      </c>
      <c r="I65" s="3" t="s">
        <v>7</v>
      </c>
      <c r="J65" s="3" t="s">
        <v>76</v>
      </c>
      <c r="K65" s="3" t="s">
        <v>39</v>
      </c>
      <c r="L65" s="3" t="s">
        <v>73</v>
      </c>
      <c r="M65">
        <v>1</v>
      </c>
    </row>
    <row r="66" spans="1:13" x14ac:dyDescent="0.25">
      <c r="A66" s="1">
        <v>46134</v>
      </c>
      <c r="B66" s="1" t="str">
        <f ca="1">IF(Información1[[#This Row],[Fecha]]='Ajuste de fechas'!$A$2,"Día actual","Día anterior")</f>
        <v>Día actual</v>
      </c>
      <c r="C66" s="3" t="s">
        <v>38</v>
      </c>
      <c r="D66" t="s">
        <v>41</v>
      </c>
      <c r="E66" s="3" t="s">
        <v>320</v>
      </c>
      <c r="F66" s="3" t="s">
        <v>23</v>
      </c>
      <c r="G66" s="3" t="s">
        <v>321</v>
      </c>
      <c r="H66" s="3" t="s">
        <v>11</v>
      </c>
      <c r="I66" s="3" t="s">
        <v>27</v>
      </c>
      <c r="J66" s="3" t="s">
        <v>77</v>
      </c>
      <c r="K66" s="3" t="s">
        <v>39</v>
      </c>
      <c r="L66" s="3" t="s">
        <v>73</v>
      </c>
      <c r="M66">
        <v>1</v>
      </c>
    </row>
    <row r="67" spans="1:13" x14ac:dyDescent="0.25">
      <c r="A67" s="1">
        <v>46134</v>
      </c>
      <c r="B67" s="1" t="str">
        <f ca="1">IF(Información1[[#This Row],[Fecha]]='Ajuste de fechas'!$A$2,"Día actual","Día anterior")</f>
        <v>Día actual</v>
      </c>
      <c r="C67" s="3" t="s">
        <v>8</v>
      </c>
      <c r="D67" t="s">
        <v>10</v>
      </c>
      <c r="E67" s="3" t="s">
        <v>322</v>
      </c>
      <c r="F67" s="3" t="s">
        <v>6</v>
      </c>
      <c r="G67" s="3" t="s">
        <v>323</v>
      </c>
      <c r="H67" s="3" t="s">
        <v>11</v>
      </c>
      <c r="I67" s="3" t="s">
        <v>27</v>
      </c>
      <c r="J67" s="3" t="s">
        <v>72</v>
      </c>
      <c r="K67" s="3" t="s">
        <v>9</v>
      </c>
      <c r="L67" s="3" t="s">
        <v>74</v>
      </c>
      <c r="M67">
        <v>1</v>
      </c>
    </row>
    <row r="68" spans="1:13" x14ac:dyDescent="0.25">
      <c r="A68" s="1">
        <v>46134</v>
      </c>
      <c r="B68" s="1" t="str">
        <f ca="1">IF(Información1[[#This Row],[Fecha]]='Ajuste de fechas'!$A$2,"Día actual","Día anterior")</f>
        <v>Día actual</v>
      </c>
      <c r="C68" s="3" t="s">
        <v>38</v>
      </c>
      <c r="D68" t="s">
        <v>41</v>
      </c>
      <c r="E68" s="3" t="s">
        <v>324</v>
      </c>
      <c r="F68" s="3" t="s">
        <v>19</v>
      </c>
      <c r="G68" s="3" t="s">
        <v>325</v>
      </c>
      <c r="H68" s="3" t="s">
        <v>11</v>
      </c>
      <c r="I68" s="3" t="s">
        <v>7</v>
      </c>
      <c r="J68" s="3" t="s">
        <v>76</v>
      </c>
      <c r="K68" s="3" t="s">
        <v>39</v>
      </c>
      <c r="L68" s="3" t="s">
        <v>73</v>
      </c>
      <c r="M68">
        <v>1</v>
      </c>
    </row>
    <row r="69" spans="1:13" x14ac:dyDescent="0.25">
      <c r="A69" s="1">
        <v>46134</v>
      </c>
      <c r="B69" s="1" t="str">
        <f ca="1">IF(Información1[[#This Row],[Fecha]]='Ajuste de fechas'!$A$2,"Día actual","Día anterior")</f>
        <v>Día actual</v>
      </c>
      <c r="C69" s="3" t="s">
        <v>8</v>
      </c>
      <c r="D69" t="s">
        <v>10</v>
      </c>
      <c r="E69" s="3" t="s">
        <v>326</v>
      </c>
      <c r="F69" s="3" t="s">
        <v>19</v>
      </c>
      <c r="G69" s="3" t="s">
        <v>29</v>
      </c>
      <c r="H69" s="3" t="s">
        <v>11</v>
      </c>
      <c r="I69" s="3" t="s">
        <v>27</v>
      </c>
      <c r="J69" s="3" t="s">
        <v>76</v>
      </c>
      <c r="K69" s="3" t="s">
        <v>9</v>
      </c>
      <c r="L69" s="3" t="s">
        <v>74</v>
      </c>
      <c r="M69">
        <v>1</v>
      </c>
    </row>
    <row r="70" spans="1:13" x14ac:dyDescent="0.25">
      <c r="A70" s="1">
        <v>46134</v>
      </c>
      <c r="B70" s="1" t="str">
        <f ca="1">IF(Información1[[#This Row],[Fecha]]='Ajuste de fechas'!$A$2,"Día actual","Día anterior")</f>
        <v>Día actual</v>
      </c>
      <c r="C70" s="3" t="s">
        <v>8</v>
      </c>
      <c r="D70" t="s">
        <v>10</v>
      </c>
      <c r="E70" s="3" t="s">
        <v>327</v>
      </c>
      <c r="F70" s="3" t="s">
        <v>19</v>
      </c>
      <c r="G70" s="3" t="s">
        <v>29</v>
      </c>
      <c r="H70" s="3" t="s">
        <v>11</v>
      </c>
      <c r="I70" s="3" t="s">
        <v>27</v>
      </c>
      <c r="J70" s="3" t="s">
        <v>76</v>
      </c>
      <c r="K70" s="3" t="s">
        <v>9</v>
      </c>
      <c r="L70" s="3" t="s">
        <v>74</v>
      </c>
      <c r="M70">
        <v>1</v>
      </c>
    </row>
    <row r="71" spans="1:13" x14ac:dyDescent="0.25">
      <c r="A71" s="1">
        <v>46134</v>
      </c>
      <c r="B71" s="1" t="str">
        <f ca="1">IF(Información1[[#This Row],[Fecha]]='Ajuste de fechas'!$A$2,"Día actual","Día anterior")</f>
        <v>Día actual</v>
      </c>
      <c r="C71" s="3" t="s">
        <v>34</v>
      </c>
      <c r="D71" t="s">
        <v>36</v>
      </c>
      <c r="E71" s="3" t="s">
        <v>328</v>
      </c>
      <c r="F71" s="3" t="s">
        <v>107</v>
      </c>
      <c r="G71" s="3" t="s">
        <v>102</v>
      </c>
      <c r="H71" s="3" t="s">
        <v>11</v>
      </c>
      <c r="I71" s="3" t="s">
        <v>7</v>
      </c>
      <c r="J71" s="3" t="s">
        <v>72</v>
      </c>
      <c r="K71" s="3" t="s">
        <v>35</v>
      </c>
      <c r="L71" s="3" t="s">
        <v>75</v>
      </c>
      <c r="M71">
        <v>1</v>
      </c>
    </row>
    <row r="72" spans="1:13" x14ac:dyDescent="0.25">
      <c r="A72" s="1">
        <v>46134</v>
      </c>
      <c r="B72" s="1" t="str">
        <f ca="1">IF(Información1[[#This Row],[Fecha]]='Ajuste de fechas'!$A$2,"Día actual","Día anterior")</f>
        <v>Día actual</v>
      </c>
      <c r="C72" s="3" t="s">
        <v>38</v>
      </c>
      <c r="D72" t="s">
        <v>40</v>
      </c>
      <c r="E72" s="3" t="s">
        <v>329</v>
      </c>
      <c r="F72" s="3" t="s">
        <v>19</v>
      </c>
      <c r="G72" s="3" t="s">
        <v>330</v>
      </c>
      <c r="H72" s="3" t="s">
        <v>11</v>
      </c>
      <c r="I72" s="3" t="s">
        <v>7</v>
      </c>
      <c r="J72" s="3" t="s">
        <v>76</v>
      </c>
      <c r="K72" s="3" t="s">
        <v>64</v>
      </c>
      <c r="L72" s="3" t="s">
        <v>73</v>
      </c>
      <c r="M72">
        <v>1</v>
      </c>
    </row>
    <row r="73" spans="1:13" x14ac:dyDescent="0.25">
      <c r="A73" s="1">
        <v>46134</v>
      </c>
      <c r="B73" s="1" t="str">
        <f ca="1">IF(Información1[[#This Row],[Fecha]]='Ajuste de fechas'!$A$2,"Día actual","Día anterior")</f>
        <v>Día actual</v>
      </c>
      <c r="C73" s="3" t="s">
        <v>34</v>
      </c>
      <c r="D73" t="s">
        <v>36</v>
      </c>
      <c r="E73" s="3" t="s">
        <v>108</v>
      </c>
      <c r="F73" s="3" t="s">
        <v>107</v>
      </c>
      <c r="G73" s="3" t="s">
        <v>109</v>
      </c>
      <c r="H73" s="3" t="s">
        <v>11</v>
      </c>
      <c r="I73" s="3" t="s">
        <v>7</v>
      </c>
      <c r="J73" s="3" t="s">
        <v>72</v>
      </c>
      <c r="K73" s="3" t="s">
        <v>35</v>
      </c>
      <c r="L73" s="3" t="s">
        <v>75</v>
      </c>
      <c r="M73">
        <v>1</v>
      </c>
    </row>
    <row r="74" spans="1:13" x14ac:dyDescent="0.25">
      <c r="A74" s="1">
        <v>46134</v>
      </c>
      <c r="B74" s="1" t="str">
        <f ca="1">IF(Información1[[#This Row],[Fecha]]='Ajuste de fechas'!$A$2,"Día actual","Día anterior")</f>
        <v>Día actual</v>
      </c>
      <c r="C74" s="3" t="s">
        <v>38</v>
      </c>
      <c r="D74" t="s">
        <v>40</v>
      </c>
      <c r="E74" s="3" t="s">
        <v>331</v>
      </c>
      <c r="F74" s="3" t="s">
        <v>26</v>
      </c>
      <c r="G74" s="3" t="s">
        <v>279</v>
      </c>
      <c r="H74" s="3" t="s">
        <v>11</v>
      </c>
      <c r="I74" s="3" t="s">
        <v>7</v>
      </c>
      <c r="J74" s="3" t="s">
        <v>26</v>
      </c>
      <c r="K74" s="3" t="s">
        <v>64</v>
      </c>
      <c r="L74" s="3" t="s">
        <v>73</v>
      </c>
      <c r="M74">
        <v>1</v>
      </c>
    </row>
    <row r="75" spans="1:13" x14ac:dyDescent="0.25">
      <c r="A75" s="1">
        <v>46134</v>
      </c>
      <c r="B75" s="1" t="str">
        <f ca="1">IF(Información1[[#This Row],[Fecha]]='Ajuste de fechas'!$A$2,"Día actual","Día anterior")</f>
        <v>Día actual</v>
      </c>
      <c r="C75" s="3" t="s">
        <v>38</v>
      </c>
      <c r="D75" t="s">
        <v>41</v>
      </c>
      <c r="E75" s="3" t="s">
        <v>332</v>
      </c>
      <c r="F75" s="3" t="s">
        <v>19</v>
      </c>
      <c r="G75" s="3" t="s">
        <v>333</v>
      </c>
      <c r="H75" s="3" t="s">
        <v>11</v>
      </c>
      <c r="I75" s="3" t="s">
        <v>7</v>
      </c>
      <c r="J75" s="3" t="s">
        <v>76</v>
      </c>
      <c r="K75" s="3" t="s">
        <v>39</v>
      </c>
      <c r="L75" s="3" t="s">
        <v>73</v>
      </c>
      <c r="M75">
        <v>1</v>
      </c>
    </row>
    <row r="76" spans="1:13" x14ac:dyDescent="0.25">
      <c r="A76" s="1">
        <v>46134</v>
      </c>
      <c r="B76" s="1" t="str">
        <f ca="1">IF(Información1[[#This Row],[Fecha]]='Ajuste de fechas'!$A$2,"Día actual","Día anterior")</f>
        <v>Día actual</v>
      </c>
      <c r="C76" s="3" t="s">
        <v>8</v>
      </c>
      <c r="D76" t="s">
        <v>10</v>
      </c>
      <c r="E76" s="3" t="s">
        <v>334</v>
      </c>
      <c r="F76" s="3" t="s">
        <v>23</v>
      </c>
      <c r="G76" s="3" t="s">
        <v>114</v>
      </c>
      <c r="H76" s="3" t="s">
        <v>11</v>
      </c>
      <c r="I76" s="3" t="s">
        <v>7</v>
      </c>
      <c r="J76" s="3" t="s">
        <v>77</v>
      </c>
      <c r="K76" s="3" t="s">
        <v>14</v>
      </c>
      <c r="L76" s="3" t="s">
        <v>73</v>
      </c>
      <c r="M76">
        <v>1</v>
      </c>
    </row>
    <row r="77" spans="1:13" x14ac:dyDescent="0.25">
      <c r="A77" s="1">
        <v>46134</v>
      </c>
      <c r="B77" s="1" t="str">
        <f ca="1">IF(Información1[[#This Row],[Fecha]]='Ajuste de fechas'!$A$2,"Día actual","Día anterior")</f>
        <v>Día actual</v>
      </c>
      <c r="C77" s="3" t="s">
        <v>8</v>
      </c>
      <c r="D77" t="s">
        <v>10</v>
      </c>
      <c r="E77" s="3" t="s">
        <v>335</v>
      </c>
      <c r="F77" s="3" t="s">
        <v>17</v>
      </c>
      <c r="G77" s="3" t="s">
        <v>336</v>
      </c>
      <c r="H77" s="3" t="s">
        <v>11</v>
      </c>
      <c r="I77" s="3" t="s">
        <v>27</v>
      </c>
      <c r="J77" s="3" t="s">
        <v>72</v>
      </c>
      <c r="K77" s="3" t="s">
        <v>9</v>
      </c>
      <c r="L77" s="3" t="s">
        <v>74</v>
      </c>
      <c r="M77">
        <v>1</v>
      </c>
    </row>
    <row r="78" spans="1:13" x14ac:dyDescent="0.25">
      <c r="A78" s="1">
        <v>46134</v>
      </c>
      <c r="B78" s="1" t="str">
        <f ca="1">IF(Información1[[#This Row],[Fecha]]='Ajuste de fechas'!$A$2,"Día actual","Día anterior")</f>
        <v>Día actual</v>
      </c>
      <c r="C78" s="3" t="s">
        <v>38</v>
      </c>
      <c r="D78" t="s">
        <v>40</v>
      </c>
      <c r="E78" s="3" t="s">
        <v>337</v>
      </c>
      <c r="F78" s="3" t="s">
        <v>19</v>
      </c>
      <c r="G78" s="3" t="s">
        <v>171</v>
      </c>
      <c r="H78" s="3" t="s">
        <v>11</v>
      </c>
      <c r="I78" s="3" t="s">
        <v>7</v>
      </c>
      <c r="J78" s="3" t="s">
        <v>76</v>
      </c>
      <c r="K78" s="3" t="s">
        <v>64</v>
      </c>
      <c r="L78" s="3" t="s">
        <v>74</v>
      </c>
      <c r="M78">
        <v>1</v>
      </c>
    </row>
    <row r="79" spans="1:13" x14ac:dyDescent="0.25">
      <c r="A79" s="1">
        <v>46134</v>
      </c>
      <c r="B79" s="1" t="str">
        <f ca="1">IF(Información1[[#This Row],[Fecha]]='Ajuste de fechas'!$A$2,"Día actual","Día anterior")</f>
        <v>Día actual</v>
      </c>
      <c r="C79" s="3" t="s">
        <v>34</v>
      </c>
      <c r="D79" t="s">
        <v>36</v>
      </c>
      <c r="E79" s="3" t="s">
        <v>142</v>
      </c>
      <c r="F79" s="3" t="s">
        <v>28</v>
      </c>
      <c r="G79" s="3" t="s">
        <v>117</v>
      </c>
      <c r="H79" s="3" t="s">
        <v>11</v>
      </c>
      <c r="I79" s="3" t="s">
        <v>7</v>
      </c>
      <c r="J79" s="3" t="s">
        <v>72</v>
      </c>
      <c r="K79" s="3" t="s">
        <v>35</v>
      </c>
      <c r="L79" s="3" t="s">
        <v>75</v>
      </c>
      <c r="M79">
        <v>1</v>
      </c>
    </row>
    <row r="80" spans="1:13" x14ac:dyDescent="0.25">
      <c r="A80" s="1">
        <v>46134</v>
      </c>
      <c r="B80" s="1" t="str">
        <f ca="1">IF(Información1[[#This Row],[Fecha]]='Ajuste de fechas'!$A$2,"Día actual","Día anterior")</f>
        <v>Día actual</v>
      </c>
      <c r="C80" s="3" t="s">
        <v>8</v>
      </c>
      <c r="D80" t="s">
        <v>10</v>
      </c>
      <c r="E80" s="3" t="s">
        <v>175</v>
      </c>
      <c r="F80" s="3" t="s">
        <v>19</v>
      </c>
      <c r="G80" s="3" t="s">
        <v>176</v>
      </c>
      <c r="H80" s="3" t="s">
        <v>11</v>
      </c>
      <c r="I80" s="3" t="s">
        <v>27</v>
      </c>
      <c r="J80" s="3" t="s">
        <v>76</v>
      </c>
      <c r="K80" s="3" t="s">
        <v>9</v>
      </c>
      <c r="L80" s="3" t="s">
        <v>74</v>
      </c>
      <c r="M80">
        <v>1</v>
      </c>
    </row>
    <row r="81" spans="1:13" x14ac:dyDescent="0.25">
      <c r="A81" s="1">
        <v>46134</v>
      </c>
      <c r="B81" s="1" t="str">
        <f ca="1">IF(Información1[[#This Row],[Fecha]]='Ajuste de fechas'!$A$2,"Día actual","Día anterior")</f>
        <v>Día actual</v>
      </c>
      <c r="C81" s="3" t="s">
        <v>38</v>
      </c>
      <c r="D81" t="s">
        <v>40</v>
      </c>
      <c r="E81" s="3" t="s">
        <v>338</v>
      </c>
      <c r="F81" s="3" t="s">
        <v>47</v>
      </c>
      <c r="G81" s="3" t="s">
        <v>339</v>
      </c>
      <c r="H81" s="3" t="s">
        <v>11</v>
      </c>
      <c r="I81" s="3" t="s">
        <v>7</v>
      </c>
      <c r="J81" s="3" t="s">
        <v>72</v>
      </c>
      <c r="K81" s="3" t="s">
        <v>64</v>
      </c>
      <c r="L81" s="3" t="s">
        <v>73</v>
      </c>
      <c r="M81">
        <v>1</v>
      </c>
    </row>
    <row r="82" spans="1:13" x14ac:dyDescent="0.25">
      <c r="A82" s="1">
        <v>46134</v>
      </c>
      <c r="B82" s="1" t="str">
        <f ca="1">IF(Información1[[#This Row],[Fecha]]='Ajuste de fechas'!$A$2,"Día actual","Día anterior")</f>
        <v>Día actual</v>
      </c>
      <c r="C82" s="3" t="s">
        <v>38</v>
      </c>
      <c r="D82" t="s">
        <v>40</v>
      </c>
      <c r="E82" s="3" t="s">
        <v>340</v>
      </c>
      <c r="F82" s="3" t="s">
        <v>22</v>
      </c>
      <c r="G82" s="3" t="s">
        <v>341</v>
      </c>
      <c r="H82" s="3" t="s">
        <v>11</v>
      </c>
      <c r="I82" s="3" t="s">
        <v>7</v>
      </c>
      <c r="J82" s="3" t="s">
        <v>26</v>
      </c>
      <c r="K82" s="3" t="s">
        <v>64</v>
      </c>
      <c r="L82" s="3" t="s">
        <v>73</v>
      </c>
      <c r="M82">
        <v>1</v>
      </c>
    </row>
    <row r="83" spans="1:13" x14ac:dyDescent="0.25">
      <c r="A83" s="1">
        <v>46134</v>
      </c>
      <c r="B83" s="1" t="str">
        <f ca="1">IF(Información1[[#This Row],[Fecha]]='Ajuste de fechas'!$A$2,"Día actual","Día anterior")</f>
        <v>Día actual</v>
      </c>
      <c r="C83" s="3" t="s">
        <v>8</v>
      </c>
      <c r="D83" t="s">
        <v>10</v>
      </c>
      <c r="E83" s="3" t="s">
        <v>342</v>
      </c>
      <c r="F83" s="3" t="s">
        <v>23</v>
      </c>
      <c r="G83" s="3" t="s">
        <v>178</v>
      </c>
      <c r="H83" s="3" t="s">
        <v>11</v>
      </c>
      <c r="I83" s="3" t="s">
        <v>7</v>
      </c>
      <c r="J83" s="3" t="s">
        <v>77</v>
      </c>
      <c r="K83" s="3" t="s">
        <v>14</v>
      </c>
      <c r="L83" s="3" t="s">
        <v>73</v>
      </c>
      <c r="M83">
        <v>1</v>
      </c>
    </row>
    <row r="84" spans="1:13" x14ac:dyDescent="0.25">
      <c r="A84" s="1">
        <v>46134</v>
      </c>
      <c r="B84" s="1" t="str">
        <f ca="1">IF(Información1[[#This Row],[Fecha]]='Ajuste de fechas'!$A$2,"Día actual","Día anterior")</f>
        <v>Día actual</v>
      </c>
      <c r="C84" s="3" t="s">
        <v>38</v>
      </c>
      <c r="D84" t="s">
        <v>41</v>
      </c>
      <c r="E84" s="3" t="s">
        <v>343</v>
      </c>
      <c r="F84" s="3" t="s">
        <v>26</v>
      </c>
      <c r="G84" s="3" t="s">
        <v>344</v>
      </c>
      <c r="H84" s="3" t="s">
        <v>11</v>
      </c>
      <c r="I84" s="3" t="s">
        <v>7</v>
      </c>
      <c r="J84" s="3" t="s">
        <v>26</v>
      </c>
      <c r="K84" s="3" t="s">
        <v>39</v>
      </c>
      <c r="L84" s="3" t="s">
        <v>74</v>
      </c>
      <c r="M84">
        <v>1</v>
      </c>
    </row>
    <row r="85" spans="1:13" x14ac:dyDescent="0.25">
      <c r="A85" s="1">
        <v>46134</v>
      </c>
      <c r="B85" s="1" t="str">
        <f ca="1">IF(Información1[[#This Row],[Fecha]]='Ajuste de fechas'!$A$2,"Día actual","Día anterior")</f>
        <v>Día actual</v>
      </c>
      <c r="C85" s="3" t="s">
        <v>38</v>
      </c>
      <c r="D85" t="s">
        <v>41</v>
      </c>
      <c r="E85" s="3" t="s">
        <v>345</v>
      </c>
      <c r="F85" s="3" t="s">
        <v>21</v>
      </c>
      <c r="G85" s="3" t="s">
        <v>344</v>
      </c>
      <c r="H85" s="3" t="s">
        <v>11</v>
      </c>
      <c r="I85" s="3" t="s">
        <v>7</v>
      </c>
      <c r="J85" s="3" t="s">
        <v>72</v>
      </c>
      <c r="K85" s="3" t="s">
        <v>39</v>
      </c>
      <c r="L85" s="3" t="s">
        <v>73</v>
      </c>
      <c r="M85">
        <v>1</v>
      </c>
    </row>
    <row r="86" spans="1:13" x14ac:dyDescent="0.25">
      <c r="A86" s="1">
        <v>46134</v>
      </c>
      <c r="B86" s="1" t="str">
        <f ca="1">IF(Información1[[#This Row],[Fecha]]='Ajuste de fechas'!$A$2,"Día actual","Día anterior")</f>
        <v>Día actual</v>
      </c>
      <c r="C86" s="3" t="s">
        <v>38</v>
      </c>
      <c r="D86" t="s">
        <v>40</v>
      </c>
      <c r="E86" s="3" t="s">
        <v>346</v>
      </c>
      <c r="F86" s="3" t="s">
        <v>19</v>
      </c>
      <c r="G86" s="3" t="s">
        <v>347</v>
      </c>
      <c r="H86" s="3" t="s">
        <v>11</v>
      </c>
      <c r="I86" s="3" t="s">
        <v>7</v>
      </c>
      <c r="J86" s="3" t="s">
        <v>76</v>
      </c>
      <c r="K86" s="3" t="s">
        <v>64</v>
      </c>
      <c r="L86" s="3" t="s">
        <v>73</v>
      </c>
      <c r="M86">
        <v>1</v>
      </c>
    </row>
    <row r="87" spans="1:13" x14ac:dyDescent="0.25">
      <c r="A87" s="1">
        <v>46134</v>
      </c>
      <c r="B87" s="1" t="str">
        <f ca="1">IF(Información1[[#This Row],[Fecha]]='Ajuste de fechas'!$A$2,"Día actual","Día anterior")</f>
        <v>Día actual</v>
      </c>
      <c r="C87" s="3" t="s">
        <v>57</v>
      </c>
      <c r="D87" t="s">
        <v>58</v>
      </c>
      <c r="E87" s="3" t="s">
        <v>357</v>
      </c>
      <c r="F87" s="3" t="s">
        <v>19</v>
      </c>
      <c r="G87" s="3" t="s">
        <v>46</v>
      </c>
      <c r="H87" s="3" t="s">
        <v>11</v>
      </c>
      <c r="I87" s="3" t="s">
        <v>7</v>
      </c>
      <c r="J87" s="3" t="s">
        <v>76</v>
      </c>
      <c r="K87" s="3" t="s">
        <v>59</v>
      </c>
      <c r="L87" s="3" t="s">
        <v>73</v>
      </c>
      <c r="M87">
        <v>1</v>
      </c>
    </row>
    <row r="88" spans="1:13" x14ac:dyDescent="0.25">
      <c r="A88" s="1">
        <v>46134</v>
      </c>
      <c r="B88" s="1" t="str">
        <f ca="1">IF(Información1[[#This Row],[Fecha]]='Ajuste de fechas'!$A$2,"Día actual","Día anterior")</f>
        <v>Día actual</v>
      </c>
      <c r="C88" s="3" t="s">
        <v>57</v>
      </c>
      <c r="D88" t="s">
        <v>58</v>
      </c>
      <c r="E88" s="3" t="s">
        <v>358</v>
      </c>
      <c r="F88" s="3" t="s">
        <v>19</v>
      </c>
      <c r="G88" s="3" t="s">
        <v>46</v>
      </c>
      <c r="H88" s="3" t="s">
        <v>11</v>
      </c>
      <c r="I88" s="3" t="s">
        <v>7</v>
      </c>
      <c r="J88" s="3" t="s">
        <v>76</v>
      </c>
      <c r="K88" s="3" t="s">
        <v>59</v>
      </c>
      <c r="L88" s="3" t="s">
        <v>73</v>
      </c>
      <c r="M88">
        <v>1</v>
      </c>
    </row>
    <row r="89" spans="1:13" x14ac:dyDescent="0.25">
      <c r="A89" s="1">
        <v>46134</v>
      </c>
      <c r="B89" s="1" t="str">
        <f ca="1">IF(Información1[[#This Row],[Fecha]]='Ajuste de fechas'!$A$2,"Día actual","Día anterior")</f>
        <v>Día actual</v>
      </c>
      <c r="C89" s="3" t="s">
        <v>57</v>
      </c>
      <c r="D89" t="s">
        <v>58</v>
      </c>
      <c r="E89" s="3" t="s">
        <v>359</v>
      </c>
      <c r="F89" s="3" t="s">
        <v>23</v>
      </c>
      <c r="G89" s="3" t="s">
        <v>46</v>
      </c>
      <c r="H89" s="3" t="s">
        <v>11</v>
      </c>
      <c r="I89" s="3" t="s">
        <v>7</v>
      </c>
      <c r="J89" s="3" t="s">
        <v>77</v>
      </c>
      <c r="K89" s="3" t="s">
        <v>59</v>
      </c>
      <c r="L89" s="3" t="s">
        <v>73</v>
      </c>
      <c r="M89">
        <v>1</v>
      </c>
    </row>
    <row r="90" spans="1:13" x14ac:dyDescent="0.25">
      <c r="A90" s="1">
        <v>46134</v>
      </c>
      <c r="B90" s="1" t="str">
        <f ca="1">IF(Información1[[#This Row],[Fecha]]='Ajuste de fechas'!$A$2,"Día actual","Día anterior")</f>
        <v>Día actual</v>
      </c>
      <c r="C90" s="3" t="s">
        <v>57</v>
      </c>
      <c r="D90" t="s">
        <v>58</v>
      </c>
      <c r="E90" s="3" t="s">
        <v>360</v>
      </c>
      <c r="F90" s="3" t="s">
        <v>251</v>
      </c>
      <c r="G90" s="3" t="s">
        <v>104</v>
      </c>
      <c r="H90" s="3" t="s">
        <v>11</v>
      </c>
      <c r="I90" s="3" t="s">
        <v>7</v>
      </c>
      <c r="J90" s="3" t="s">
        <v>72</v>
      </c>
      <c r="K90" s="3" t="s">
        <v>59</v>
      </c>
      <c r="L90" s="3" t="s">
        <v>73</v>
      </c>
      <c r="M90">
        <v>1</v>
      </c>
    </row>
    <row r="91" spans="1:13" x14ac:dyDescent="0.25">
      <c r="A91" s="1">
        <v>46134</v>
      </c>
      <c r="B91" s="1" t="str">
        <f ca="1">IF(Información1[[#This Row],[Fecha]]='Ajuste de fechas'!$A$2,"Día actual","Día anterior")</f>
        <v>Día actual</v>
      </c>
      <c r="C91" s="3" t="s">
        <v>57</v>
      </c>
      <c r="D91" t="s">
        <v>58</v>
      </c>
      <c r="E91" s="3" t="s">
        <v>361</v>
      </c>
      <c r="F91" s="3" t="s">
        <v>19</v>
      </c>
      <c r="G91" s="3" t="s">
        <v>105</v>
      </c>
      <c r="H91" s="3" t="s">
        <v>11</v>
      </c>
      <c r="I91" s="3" t="s">
        <v>7</v>
      </c>
      <c r="J91" s="3" t="s">
        <v>76</v>
      </c>
      <c r="K91" s="3" t="s">
        <v>59</v>
      </c>
      <c r="L91" s="3" t="s">
        <v>73</v>
      </c>
      <c r="M91">
        <v>1</v>
      </c>
    </row>
    <row r="92" spans="1:13" x14ac:dyDescent="0.25">
      <c r="A92" s="1">
        <v>46134</v>
      </c>
      <c r="B92" s="1" t="str">
        <f ca="1">IF(Información1[[#This Row],[Fecha]]='Ajuste de fechas'!$A$2,"Día actual","Día anterior")</f>
        <v>Día actual</v>
      </c>
      <c r="C92" s="3" t="s">
        <v>57</v>
      </c>
      <c r="D92" t="s">
        <v>58</v>
      </c>
      <c r="E92" s="3" t="s">
        <v>362</v>
      </c>
      <c r="F92" s="3" t="s">
        <v>47</v>
      </c>
      <c r="G92" s="3" t="s">
        <v>363</v>
      </c>
      <c r="H92" s="3" t="s">
        <v>11</v>
      </c>
      <c r="I92" s="3" t="s">
        <v>7</v>
      </c>
      <c r="J92" s="3" t="s">
        <v>72</v>
      </c>
      <c r="K92" s="3" t="s">
        <v>59</v>
      </c>
      <c r="L92" s="3" t="s">
        <v>78</v>
      </c>
      <c r="M92">
        <v>1</v>
      </c>
    </row>
    <row r="93" spans="1:13" x14ac:dyDescent="0.25">
      <c r="A93" s="1">
        <v>46134</v>
      </c>
      <c r="B93" s="1" t="str">
        <f ca="1">IF(Información1[[#This Row],[Fecha]]='Ajuste de fechas'!$A$2,"Día actual","Día anterior")</f>
        <v>Día actual</v>
      </c>
      <c r="C93" s="3" t="s">
        <v>57</v>
      </c>
      <c r="D93" t="s">
        <v>58</v>
      </c>
      <c r="E93" s="3" t="s">
        <v>364</v>
      </c>
      <c r="F93" s="3" t="s">
        <v>19</v>
      </c>
      <c r="G93" s="3" t="s">
        <v>215</v>
      </c>
      <c r="H93" s="3" t="s">
        <v>11</v>
      </c>
      <c r="I93" s="3" t="s">
        <v>7</v>
      </c>
      <c r="J93" s="3" t="s">
        <v>76</v>
      </c>
      <c r="K93" s="3" t="s">
        <v>59</v>
      </c>
      <c r="L93" s="3" t="s">
        <v>73</v>
      </c>
      <c r="M93">
        <v>1</v>
      </c>
    </row>
    <row r="94" spans="1:13" x14ac:dyDescent="0.25">
      <c r="A94" s="1">
        <v>46134</v>
      </c>
      <c r="B94" s="1" t="str">
        <f ca="1">IF(Información1[[#This Row],[Fecha]]='Ajuste de fechas'!$A$2,"Día actual","Día anterior")</f>
        <v>Día actual</v>
      </c>
      <c r="C94" s="3" t="s">
        <v>57</v>
      </c>
      <c r="D94" t="s">
        <v>58</v>
      </c>
      <c r="E94" s="3" t="s">
        <v>365</v>
      </c>
      <c r="F94" s="3" t="s">
        <v>21</v>
      </c>
      <c r="G94" s="3" t="s">
        <v>116</v>
      </c>
      <c r="H94" s="3" t="s">
        <v>11</v>
      </c>
      <c r="I94" s="3" t="s">
        <v>7</v>
      </c>
      <c r="J94" s="3" t="s">
        <v>72</v>
      </c>
      <c r="K94" s="3" t="s">
        <v>59</v>
      </c>
      <c r="L94" s="3" t="s">
        <v>75</v>
      </c>
      <c r="M94">
        <v>1</v>
      </c>
    </row>
    <row r="95" spans="1:13" x14ac:dyDescent="0.25">
      <c r="A95" s="1">
        <v>46134</v>
      </c>
      <c r="B95" s="1" t="str">
        <f ca="1">IF(Información1[[#This Row],[Fecha]]='Ajuste de fechas'!$A$2,"Día actual","Día anterior")</f>
        <v>Día actual</v>
      </c>
      <c r="C95" s="3" t="s">
        <v>57</v>
      </c>
      <c r="D95" t="s">
        <v>58</v>
      </c>
      <c r="E95" s="3" t="s">
        <v>366</v>
      </c>
      <c r="F95" s="3" t="s">
        <v>15</v>
      </c>
      <c r="G95" s="3" t="s">
        <v>367</v>
      </c>
      <c r="H95" s="3" t="s">
        <v>11</v>
      </c>
      <c r="I95" s="3" t="s">
        <v>7</v>
      </c>
      <c r="J95" s="3" t="s">
        <v>72</v>
      </c>
      <c r="K95" s="3" t="s">
        <v>59</v>
      </c>
      <c r="L95" s="3" t="s">
        <v>73</v>
      </c>
      <c r="M95">
        <v>1</v>
      </c>
    </row>
    <row r="96" spans="1:13" x14ac:dyDescent="0.25">
      <c r="A96" s="1">
        <v>46134</v>
      </c>
      <c r="B96" s="1" t="str">
        <f ca="1">IF(Información1[[#This Row],[Fecha]]='Ajuste de fechas'!$A$2,"Día actual","Día anterior")</f>
        <v>Día actual</v>
      </c>
      <c r="C96" s="3" t="s">
        <v>57</v>
      </c>
      <c r="D96" t="s">
        <v>58</v>
      </c>
      <c r="E96" s="3" t="s">
        <v>368</v>
      </c>
      <c r="F96" s="3" t="s">
        <v>241</v>
      </c>
      <c r="G96" s="3" t="s">
        <v>86</v>
      </c>
      <c r="H96" s="3" t="s">
        <v>11</v>
      </c>
      <c r="I96" s="3" t="s">
        <v>7</v>
      </c>
      <c r="J96" s="3" t="s">
        <v>72</v>
      </c>
      <c r="K96" s="3" t="s">
        <v>59</v>
      </c>
      <c r="L96" s="3" t="s">
        <v>73</v>
      </c>
      <c r="M96">
        <v>1</v>
      </c>
    </row>
    <row r="97" spans="1:13" x14ac:dyDescent="0.25">
      <c r="A97" s="1">
        <v>46134</v>
      </c>
      <c r="B97" s="1" t="str">
        <f ca="1">IF(Información1[[#This Row],[Fecha]]='Ajuste de fechas'!$A$2,"Día actual","Día anterior")</f>
        <v>Día actual</v>
      </c>
      <c r="C97" s="3" t="s">
        <v>57</v>
      </c>
      <c r="D97" t="s">
        <v>58</v>
      </c>
      <c r="E97" s="3" t="s">
        <v>369</v>
      </c>
      <c r="F97" s="3" t="s">
        <v>25</v>
      </c>
      <c r="G97" s="3" t="s">
        <v>274</v>
      </c>
      <c r="H97" s="3" t="s">
        <v>11</v>
      </c>
      <c r="I97" s="3" t="s">
        <v>7</v>
      </c>
      <c r="J97" s="3" t="s">
        <v>72</v>
      </c>
      <c r="K97" s="3" t="s">
        <v>59</v>
      </c>
      <c r="L97" s="3" t="s">
        <v>73</v>
      </c>
      <c r="M97">
        <v>1</v>
      </c>
    </row>
    <row r="98" spans="1:13" x14ac:dyDescent="0.25">
      <c r="A98" s="1">
        <v>46134</v>
      </c>
      <c r="B98" s="1" t="str">
        <f ca="1">IF(Información1[[#This Row],[Fecha]]='Ajuste de fechas'!$A$2,"Día actual","Día anterior")</f>
        <v>Día actual</v>
      </c>
      <c r="C98" s="3" t="s">
        <v>57</v>
      </c>
      <c r="D98" t="s">
        <v>58</v>
      </c>
      <c r="E98" s="3" t="s">
        <v>370</v>
      </c>
      <c r="F98" s="3" t="s">
        <v>37</v>
      </c>
      <c r="G98" s="3" t="s">
        <v>371</v>
      </c>
      <c r="H98" s="3" t="s">
        <v>11</v>
      </c>
      <c r="I98" s="3" t="s">
        <v>27</v>
      </c>
      <c r="J98" s="3" t="s">
        <v>72</v>
      </c>
      <c r="K98" s="3" t="s">
        <v>9</v>
      </c>
      <c r="L98" s="3" t="s">
        <v>74</v>
      </c>
      <c r="M98">
        <v>1</v>
      </c>
    </row>
    <row r="99" spans="1:13" x14ac:dyDescent="0.25">
      <c r="A99" s="1">
        <v>46134</v>
      </c>
      <c r="B99" s="1" t="str">
        <f ca="1">IF(Información1[[#This Row],[Fecha]]='Ajuste de fechas'!$A$2,"Día actual","Día anterior")</f>
        <v>Día actual</v>
      </c>
      <c r="C99" s="3" t="s">
        <v>57</v>
      </c>
      <c r="D99" t="s">
        <v>58</v>
      </c>
      <c r="E99" s="3" t="s">
        <v>372</v>
      </c>
      <c r="F99" s="3" t="s">
        <v>19</v>
      </c>
      <c r="G99" s="3" t="s">
        <v>115</v>
      </c>
      <c r="H99" s="3" t="s">
        <v>11</v>
      </c>
      <c r="I99" s="3" t="s">
        <v>7</v>
      </c>
      <c r="J99" s="3" t="s">
        <v>76</v>
      </c>
      <c r="K99" s="3" t="s">
        <v>59</v>
      </c>
      <c r="L99" s="3" t="s">
        <v>73</v>
      </c>
      <c r="M99">
        <v>1</v>
      </c>
    </row>
    <row r="100" spans="1:13" x14ac:dyDescent="0.25">
      <c r="A100" s="1">
        <v>46134</v>
      </c>
      <c r="B100" s="1" t="str">
        <f ca="1">IF(Información1[[#This Row],[Fecha]]='Ajuste de fechas'!$A$2,"Día actual","Día anterior")</f>
        <v>Día actual</v>
      </c>
      <c r="C100" s="3" t="s">
        <v>57</v>
      </c>
      <c r="D100" t="s">
        <v>58</v>
      </c>
      <c r="E100" s="3" t="s">
        <v>373</v>
      </c>
      <c r="F100" s="3" t="s">
        <v>37</v>
      </c>
      <c r="G100" s="3" t="s">
        <v>374</v>
      </c>
      <c r="H100" s="3" t="s">
        <v>11</v>
      </c>
      <c r="I100" s="3" t="s">
        <v>27</v>
      </c>
      <c r="J100" s="3" t="s">
        <v>72</v>
      </c>
      <c r="K100" s="3" t="s">
        <v>59</v>
      </c>
      <c r="L100" s="3" t="s">
        <v>73</v>
      </c>
      <c r="M100">
        <v>1</v>
      </c>
    </row>
    <row r="101" spans="1:13" x14ac:dyDescent="0.25">
      <c r="A101" s="1">
        <v>46134</v>
      </c>
      <c r="B101" s="1" t="str">
        <f ca="1">IF(Información1[[#This Row],[Fecha]]='Ajuste de fechas'!$A$2,"Día actual","Día anterior")</f>
        <v>Día actual</v>
      </c>
      <c r="C101" s="3" t="s">
        <v>57</v>
      </c>
      <c r="D101" t="s">
        <v>58</v>
      </c>
      <c r="E101" s="3" t="s">
        <v>375</v>
      </c>
      <c r="F101" s="3" t="s">
        <v>22</v>
      </c>
      <c r="G101" s="3" t="s">
        <v>62</v>
      </c>
      <c r="H101" s="3" t="s">
        <v>11</v>
      </c>
      <c r="I101" s="3" t="s">
        <v>7</v>
      </c>
      <c r="J101" s="3" t="s">
        <v>26</v>
      </c>
      <c r="K101" s="3" t="s">
        <v>59</v>
      </c>
      <c r="L101" s="3" t="s">
        <v>73</v>
      </c>
      <c r="M101">
        <v>1</v>
      </c>
    </row>
    <row r="102" spans="1:13" x14ac:dyDescent="0.25">
      <c r="A102" s="1">
        <v>46134</v>
      </c>
      <c r="B102" s="1" t="str">
        <f ca="1">IF(Información1[[#This Row],[Fecha]]='Ajuste de fechas'!$A$2,"Día actual","Día anterior")</f>
        <v>Día actual</v>
      </c>
      <c r="C102" s="3" t="s">
        <v>57</v>
      </c>
      <c r="D102" t="s">
        <v>58</v>
      </c>
      <c r="E102" s="3" t="s">
        <v>376</v>
      </c>
      <c r="F102" s="3" t="s">
        <v>37</v>
      </c>
      <c r="G102" s="3" t="s">
        <v>377</v>
      </c>
      <c r="H102" s="3" t="s">
        <v>11</v>
      </c>
      <c r="I102" s="3" t="s">
        <v>27</v>
      </c>
      <c r="J102" s="3" t="s">
        <v>72</v>
      </c>
      <c r="K102" s="3" t="s">
        <v>59</v>
      </c>
      <c r="L102" s="3" t="s">
        <v>74</v>
      </c>
      <c r="M102">
        <v>1</v>
      </c>
    </row>
    <row r="103" spans="1:13" x14ac:dyDescent="0.25">
      <c r="A103" s="1">
        <v>46134</v>
      </c>
      <c r="B103" s="1" t="str">
        <f ca="1">IF(Información1[[#This Row],[Fecha]]='Ajuste de fechas'!$A$2,"Día actual","Día anterior")</f>
        <v>Día actual</v>
      </c>
      <c r="C103" s="3" t="s">
        <v>57</v>
      </c>
      <c r="D103" t="s">
        <v>58</v>
      </c>
      <c r="E103" s="3" t="s">
        <v>378</v>
      </c>
      <c r="F103" s="3" t="s">
        <v>37</v>
      </c>
      <c r="G103" s="3" t="s">
        <v>377</v>
      </c>
      <c r="H103" s="3" t="s">
        <v>11</v>
      </c>
      <c r="I103" s="3" t="s">
        <v>7</v>
      </c>
      <c r="J103" s="3" t="s">
        <v>72</v>
      </c>
      <c r="K103" s="3" t="s">
        <v>59</v>
      </c>
      <c r="L103" s="3" t="s">
        <v>73</v>
      </c>
      <c r="M103">
        <v>1</v>
      </c>
    </row>
    <row r="104" spans="1:13" x14ac:dyDescent="0.25">
      <c r="A104" s="1">
        <v>46134</v>
      </c>
      <c r="B104" s="1" t="str">
        <f ca="1">IF(Información1[[#This Row],[Fecha]]='Ajuste de fechas'!$A$2,"Día actual","Día anterior")</f>
        <v>Día actual</v>
      </c>
      <c r="C104" s="3" t="s">
        <v>57</v>
      </c>
      <c r="D104" t="s">
        <v>58</v>
      </c>
      <c r="E104" s="3" t="s">
        <v>379</v>
      </c>
      <c r="F104" s="3" t="s">
        <v>50</v>
      </c>
      <c r="G104" s="3" t="s">
        <v>380</v>
      </c>
      <c r="H104" s="3" t="s">
        <v>11</v>
      </c>
      <c r="I104" s="3" t="s">
        <v>7</v>
      </c>
      <c r="J104" s="3" t="s">
        <v>72</v>
      </c>
      <c r="K104" s="3" t="s">
        <v>59</v>
      </c>
      <c r="L104" s="3" t="s">
        <v>74</v>
      </c>
      <c r="M104">
        <v>1</v>
      </c>
    </row>
    <row r="105" spans="1:13" x14ac:dyDescent="0.25">
      <c r="A105" s="1">
        <v>46134</v>
      </c>
      <c r="B105" s="1" t="str">
        <f ca="1">IF(Información1[[#This Row],[Fecha]]='Ajuste de fechas'!$A$2,"Día actual","Día anterior")</f>
        <v>Día actual</v>
      </c>
      <c r="C105" s="3" t="s">
        <v>57</v>
      </c>
      <c r="D105" t="s">
        <v>58</v>
      </c>
      <c r="E105" s="3" t="s">
        <v>381</v>
      </c>
      <c r="F105" s="3" t="s">
        <v>19</v>
      </c>
      <c r="G105" s="3" t="s">
        <v>46</v>
      </c>
      <c r="H105" s="3" t="s">
        <v>11</v>
      </c>
      <c r="I105" s="3" t="s">
        <v>7</v>
      </c>
      <c r="J105" s="3" t="s">
        <v>76</v>
      </c>
      <c r="K105" s="3" t="s">
        <v>59</v>
      </c>
      <c r="L105" s="3" t="s">
        <v>73</v>
      </c>
      <c r="M105">
        <v>1</v>
      </c>
    </row>
    <row r="106" spans="1:13" x14ac:dyDescent="0.25">
      <c r="A106" s="1">
        <v>46134</v>
      </c>
      <c r="B106" s="1" t="str">
        <f ca="1">IF(Información1[[#This Row],[Fecha]]='Ajuste de fechas'!$A$2,"Día actual","Día anterior")</f>
        <v>Día actual</v>
      </c>
      <c r="C106" s="3" t="s">
        <v>57</v>
      </c>
      <c r="D106" t="s">
        <v>58</v>
      </c>
      <c r="E106" s="3" t="s">
        <v>382</v>
      </c>
      <c r="F106" s="3" t="s">
        <v>23</v>
      </c>
      <c r="G106" s="3" t="s">
        <v>383</v>
      </c>
      <c r="H106" s="3" t="s">
        <v>11</v>
      </c>
      <c r="I106" s="3" t="s">
        <v>7</v>
      </c>
      <c r="J106" s="3" t="s">
        <v>77</v>
      </c>
      <c r="K106" s="3" t="s">
        <v>59</v>
      </c>
      <c r="L106" s="3" t="s">
        <v>73</v>
      </c>
      <c r="M106">
        <v>1</v>
      </c>
    </row>
    <row r="107" spans="1:13" x14ac:dyDescent="0.25">
      <c r="A107" s="1">
        <v>46134</v>
      </c>
      <c r="B107" s="1" t="str">
        <f ca="1">IF(Información1[[#This Row],[Fecha]]='Ajuste de fechas'!$A$2,"Día actual","Día anterior")</f>
        <v>Día actual</v>
      </c>
      <c r="C107" s="3" t="s">
        <v>57</v>
      </c>
      <c r="D107" t="s">
        <v>58</v>
      </c>
      <c r="E107" s="3" t="s">
        <v>384</v>
      </c>
      <c r="F107" s="3" t="s">
        <v>22</v>
      </c>
      <c r="G107" s="3" t="s">
        <v>341</v>
      </c>
      <c r="H107" s="3" t="s">
        <v>11</v>
      </c>
      <c r="I107" s="3" t="s">
        <v>7</v>
      </c>
      <c r="J107" s="3" t="s">
        <v>26</v>
      </c>
      <c r="K107" s="3" t="s">
        <v>59</v>
      </c>
      <c r="L107" s="3" t="s">
        <v>73</v>
      </c>
      <c r="M107">
        <v>1</v>
      </c>
    </row>
    <row r="108" spans="1:13" x14ac:dyDescent="0.25">
      <c r="A108" s="1">
        <v>46134</v>
      </c>
      <c r="B108" s="1" t="str">
        <f ca="1">IF(Información1[[#This Row],[Fecha]]='Ajuste de fechas'!$A$2,"Día actual","Día anterior")</f>
        <v>Día actual</v>
      </c>
      <c r="C108" s="3" t="s">
        <v>48</v>
      </c>
      <c r="D108" t="s">
        <v>49</v>
      </c>
      <c r="E108" s="3" t="s">
        <v>385</v>
      </c>
      <c r="F108" s="3" t="s">
        <v>19</v>
      </c>
      <c r="G108" s="3" t="s">
        <v>94</v>
      </c>
      <c r="H108" s="3" t="s">
        <v>45</v>
      </c>
      <c r="I108" s="3" t="s">
        <v>7</v>
      </c>
      <c r="J108" s="3" t="s">
        <v>76</v>
      </c>
      <c r="K108" s="3" t="s">
        <v>9</v>
      </c>
      <c r="L108" s="3" t="s">
        <v>73</v>
      </c>
      <c r="M108">
        <v>1</v>
      </c>
    </row>
    <row r="109" spans="1:13" x14ac:dyDescent="0.25">
      <c r="A109" s="1">
        <v>46134</v>
      </c>
      <c r="B109" s="1" t="str">
        <f ca="1">IF(Información1[[#This Row],[Fecha]]='Ajuste de fechas'!$A$2,"Día actual","Día anterior")</f>
        <v>Día actual</v>
      </c>
      <c r="C109" s="3" t="s">
        <v>48</v>
      </c>
      <c r="D109" t="s">
        <v>49</v>
      </c>
      <c r="E109" s="3" t="s">
        <v>386</v>
      </c>
      <c r="F109" s="3" t="s">
        <v>19</v>
      </c>
      <c r="G109" s="3" t="s">
        <v>90</v>
      </c>
      <c r="H109" s="3" t="s">
        <v>45</v>
      </c>
      <c r="I109" s="3" t="s">
        <v>27</v>
      </c>
      <c r="J109" s="3" t="s">
        <v>76</v>
      </c>
      <c r="K109" s="3" t="s">
        <v>30</v>
      </c>
      <c r="L109" s="3" t="s">
        <v>73</v>
      </c>
      <c r="M109">
        <v>1</v>
      </c>
    </row>
    <row r="110" spans="1:13" x14ac:dyDescent="0.25">
      <c r="A110" s="1">
        <v>46134</v>
      </c>
      <c r="B110" s="1" t="str">
        <f ca="1">IF(Información1[[#This Row],[Fecha]]='Ajuste de fechas'!$A$2,"Día actual","Día anterior")</f>
        <v>Día actual</v>
      </c>
      <c r="C110" s="3" t="s">
        <v>48</v>
      </c>
      <c r="D110" t="s">
        <v>49</v>
      </c>
      <c r="E110" s="3" t="s">
        <v>387</v>
      </c>
      <c r="F110" s="3" t="s">
        <v>263</v>
      </c>
      <c r="G110" s="3" t="s">
        <v>264</v>
      </c>
      <c r="H110" s="3" t="s">
        <v>45</v>
      </c>
      <c r="I110" s="3" t="s">
        <v>7</v>
      </c>
      <c r="J110" s="3" t="s">
        <v>72</v>
      </c>
      <c r="K110" s="3" t="s">
        <v>30</v>
      </c>
      <c r="L110" s="3" t="s">
        <v>73</v>
      </c>
      <c r="M110">
        <v>1</v>
      </c>
    </row>
    <row r="111" spans="1:13" x14ac:dyDescent="0.25">
      <c r="A111" s="1">
        <v>46134</v>
      </c>
      <c r="B111" s="1" t="str">
        <f ca="1">IF(Información1[[#This Row],[Fecha]]='Ajuste de fechas'!$A$2,"Día actual","Día anterior")</f>
        <v>Día actual</v>
      </c>
      <c r="C111" s="3" t="s">
        <v>48</v>
      </c>
      <c r="D111" t="s">
        <v>49</v>
      </c>
      <c r="E111" s="3" t="s">
        <v>388</v>
      </c>
      <c r="F111" s="3" t="s">
        <v>19</v>
      </c>
      <c r="G111" s="3" t="s">
        <v>46</v>
      </c>
      <c r="H111" s="3" t="s">
        <v>45</v>
      </c>
      <c r="I111" s="3" t="s">
        <v>7</v>
      </c>
      <c r="J111" s="3" t="s">
        <v>76</v>
      </c>
      <c r="K111" s="3" t="s">
        <v>30</v>
      </c>
      <c r="L111" s="3" t="s">
        <v>73</v>
      </c>
      <c r="M111">
        <v>1</v>
      </c>
    </row>
    <row r="112" spans="1:13" x14ac:dyDescent="0.25">
      <c r="A112" s="1">
        <v>46134</v>
      </c>
      <c r="B112" s="1" t="str">
        <f ca="1">IF(Información1[[#This Row],[Fecha]]='Ajuste de fechas'!$A$2,"Día actual","Día anterior")</f>
        <v>Día actual</v>
      </c>
      <c r="C112" s="3" t="s">
        <v>48</v>
      </c>
      <c r="D112" t="s">
        <v>49</v>
      </c>
      <c r="E112" s="3" t="s">
        <v>389</v>
      </c>
      <c r="F112" s="3" t="s">
        <v>15</v>
      </c>
      <c r="G112" s="3" t="s">
        <v>390</v>
      </c>
      <c r="H112" s="3" t="s">
        <v>45</v>
      </c>
      <c r="I112" s="3" t="s">
        <v>7</v>
      </c>
      <c r="J112" s="3" t="s">
        <v>72</v>
      </c>
      <c r="K112" s="3" t="s">
        <v>30</v>
      </c>
      <c r="L112" s="3" t="s">
        <v>75</v>
      </c>
      <c r="M112">
        <v>1</v>
      </c>
    </row>
    <row r="113" spans="1:13" x14ac:dyDescent="0.25">
      <c r="A113" s="1">
        <v>46134</v>
      </c>
      <c r="B113" s="1" t="str">
        <f ca="1">IF(Información1[[#This Row],[Fecha]]='Ajuste de fechas'!$A$2,"Día actual","Día anterior")</f>
        <v>Día actual</v>
      </c>
      <c r="C113" s="3" t="s">
        <v>48</v>
      </c>
      <c r="D113" t="s">
        <v>49</v>
      </c>
      <c r="E113" s="3" t="s">
        <v>391</v>
      </c>
      <c r="F113" s="3" t="s">
        <v>21</v>
      </c>
      <c r="G113" s="3" t="s">
        <v>272</v>
      </c>
      <c r="H113" s="3" t="s">
        <v>45</v>
      </c>
      <c r="I113" s="3" t="s">
        <v>7</v>
      </c>
      <c r="J113" s="3" t="s">
        <v>72</v>
      </c>
      <c r="K113" s="3" t="s">
        <v>30</v>
      </c>
      <c r="L113" s="3" t="s">
        <v>73</v>
      </c>
      <c r="M113">
        <v>1</v>
      </c>
    </row>
    <row r="114" spans="1:13" x14ac:dyDescent="0.25">
      <c r="A114" s="1">
        <v>46134</v>
      </c>
      <c r="B114" s="1" t="str">
        <f ca="1">IF(Información1[[#This Row],[Fecha]]='Ajuste de fechas'!$A$2,"Día actual","Día anterior")</f>
        <v>Día actual</v>
      </c>
      <c r="C114" s="3" t="s">
        <v>48</v>
      </c>
      <c r="D114" t="s">
        <v>49</v>
      </c>
      <c r="E114" s="3" t="s">
        <v>392</v>
      </c>
      <c r="F114" s="3" t="s">
        <v>22</v>
      </c>
      <c r="G114" s="3" t="s">
        <v>261</v>
      </c>
      <c r="H114" s="3" t="s">
        <v>45</v>
      </c>
      <c r="I114" s="3" t="s">
        <v>7</v>
      </c>
      <c r="J114" s="3" t="s">
        <v>26</v>
      </c>
      <c r="K114" s="3" t="s">
        <v>30</v>
      </c>
      <c r="L114" s="3" t="s">
        <v>73</v>
      </c>
      <c r="M114">
        <v>1</v>
      </c>
    </row>
    <row r="115" spans="1:13" x14ac:dyDescent="0.25">
      <c r="A115" s="1">
        <v>46134</v>
      </c>
      <c r="B115" s="1" t="str">
        <f ca="1">IF(Información1[[#This Row],[Fecha]]='Ajuste de fechas'!$A$2,"Día actual","Día anterior")</f>
        <v>Día actual</v>
      </c>
      <c r="C115" s="3" t="s">
        <v>48</v>
      </c>
      <c r="D115" t="s">
        <v>49</v>
      </c>
      <c r="E115" s="3" t="s">
        <v>393</v>
      </c>
      <c r="F115" s="3" t="s">
        <v>19</v>
      </c>
      <c r="G115" s="3" t="s">
        <v>98</v>
      </c>
      <c r="H115" s="3" t="s">
        <v>45</v>
      </c>
      <c r="I115" s="3" t="s">
        <v>7</v>
      </c>
      <c r="J115" s="3" t="s">
        <v>76</v>
      </c>
      <c r="K115" s="3" t="s">
        <v>30</v>
      </c>
      <c r="L115" s="3" t="s">
        <v>73</v>
      </c>
      <c r="M115">
        <v>1</v>
      </c>
    </row>
    <row r="116" spans="1:13" x14ac:dyDescent="0.25">
      <c r="A116" s="1">
        <v>46134</v>
      </c>
      <c r="B116" s="1" t="str">
        <f ca="1">IF(Información1[[#This Row],[Fecha]]='Ajuste de fechas'!$A$2,"Día actual","Día anterior")</f>
        <v>Día actual</v>
      </c>
      <c r="C116" s="3" t="s">
        <v>48</v>
      </c>
      <c r="D116" t="s">
        <v>49</v>
      </c>
      <c r="E116" s="3" t="s">
        <v>394</v>
      </c>
      <c r="F116" s="3" t="s">
        <v>24</v>
      </c>
      <c r="G116" s="3" t="s">
        <v>104</v>
      </c>
      <c r="H116" s="3" t="s">
        <v>45</v>
      </c>
      <c r="I116" s="3" t="s">
        <v>7</v>
      </c>
      <c r="J116" s="3" t="s">
        <v>72</v>
      </c>
      <c r="K116" s="3" t="s">
        <v>30</v>
      </c>
      <c r="L116" s="3" t="s">
        <v>73</v>
      </c>
      <c r="M116">
        <v>1</v>
      </c>
    </row>
    <row r="117" spans="1:13" x14ac:dyDescent="0.25">
      <c r="A117" s="1">
        <v>46134</v>
      </c>
      <c r="B117" s="1" t="str">
        <f ca="1">IF(Información1[[#This Row],[Fecha]]='Ajuste de fechas'!$A$2,"Día actual","Día anterior")</f>
        <v>Día actual</v>
      </c>
      <c r="C117" s="3" t="s">
        <v>48</v>
      </c>
      <c r="D117" t="s">
        <v>49</v>
      </c>
      <c r="E117" s="3" t="s">
        <v>395</v>
      </c>
      <c r="F117" s="3" t="s">
        <v>276</v>
      </c>
      <c r="G117" s="3" t="s">
        <v>396</v>
      </c>
      <c r="H117" s="3" t="s">
        <v>45</v>
      </c>
      <c r="I117" s="3" t="s">
        <v>7</v>
      </c>
      <c r="J117" s="3" t="s">
        <v>189</v>
      </c>
      <c r="K117" s="3" t="s">
        <v>30</v>
      </c>
      <c r="L117" s="3" t="s">
        <v>73</v>
      </c>
      <c r="M117">
        <v>1</v>
      </c>
    </row>
    <row r="118" spans="1:13" x14ac:dyDescent="0.25">
      <c r="A118" s="1">
        <v>46134</v>
      </c>
      <c r="B118" s="1" t="str">
        <f ca="1">IF(Información1[[#This Row],[Fecha]]='Ajuste de fechas'!$A$2,"Día actual","Día anterior")</f>
        <v>Día actual</v>
      </c>
      <c r="C118" s="3" t="s">
        <v>48</v>
      </c>
      <c r="D118" t="s">
        <v>49</v>
      </c>
      <c r="E118" s="3" t="s">
        <v>365</v>
      </c>
      <c r="F118" s="3" t="s">
        <v>21</v>
      </c>
      <c r="G118" s="3" t="s">
        <v>116</v>
      </c>
      <c r="H118" s="3" t="s">
        <v>45</v>
      </c>
      <c r="I118" s="3" t="s">
        <v>7</v>
      </c>
      <c r="J118" s="3" t="s">
        <v>72</v>
      </c>
      <c r="K118" s="3" t="s">
        <v>9</v>
      </c>
      <c r="L118" s="3" t="s">
        <v>75</v>
      </c>
      <c r="M118">
        <v>1</v>
      </c>
    </row>
    <row r="119" spans="1:13" x14ac:dyDescent="0.25">
      <c r="A119" s="1">
        <v>46134</v>
      </c>
      <c r="B119" s="1" t="str">
        <f ca="1">IF(Información1[[#This Row],[Fecha]]='Ajuste de fechas'!$A$2,"Día actual","Día anterior")</f>
        <v>Día actual</v>
      </c>
      <c r="C119" s="3" t="s">
        <v>48</v>
      </c>
      <c r="D119" t="s">
        <v>49</v>
      </c>
      <c r="E119" s="3" t="s">
        <v>397</v>
      </c>
      <c r="F119" s="3" t="s">
        <v>25</v>
      </c>
      <c r="G119" s="3" t="s">
        <v>398</v>
      </c>
      <c r="H119" s="3" t="s">
        <v>45</v>
      </c>
      <c r="I119" s="3" t="s">
        <v>7</v>
      </c>
      <c r="J119" s="3" t="s">
        <v>72</v>
      </c>
      <c r="K119" s="3" t="s">
        <v>9</v>
      </c>
      <c r="L119" s="3" t="s">
        <v>75</v>
      </c>
      <c r="M119">
        <v>1</v>
      </c>
    </row>
    <row r="120" spans="1:13" x14ac:dyDescent="0.25">
      <c r="A120" s="1">
        <v>46134</v>
      </c>
      <c r="B120" s="1" t="str">
        <f ca="1">IF(Información1[[#This Row],[Fecha]]='Ajuste de fechas'!$A$2,"Día actual","Día anterior")</f>
        <v>Día actual</v>
      </c>
      <c r="C120" s="3" t="s">
        <v>48</v>
      </c>
      <c r="D120" t="s">
        <v>49</v>
      </c>
      <c r="E120" s="3" t="s">
        <v>399</v>
      </c>
      <c r="F120" s="3" t="s">
        <v>17</v>
      </c>
      <c r="G120" s="3" t="s">
        <v>400</v>
      </c>
      <c r="H120" s="3" t="s">
        <v>45</v>
      </c>
      <c r="I120" s="3" t="s">
        <v>7</v>
      </c>
      <c r="J120" s="3" t="s">
        <v>72</v>
      </c>
      <c r="K120" s="3" t="s">
        <v>9</v>
      </c>
      <c r="L120" s="3" t="s">
        <v>74</v>
      </c>
      <c r="M120">
        <v>1</v>
      </c>
    </row>
    <row r="121" spans="1:13" x14ac:dyDescent="0.25">
      <c r="A121" s="1">
        <v>46134</v>
      </c>
      <c r="B121" s="1" t="str">
        <f ca="1">IF(Información1[[#This Row],[Fecha]]='Ajuste de fechas'!$A$2,"Día actual","Día anterior")</f>
        <v>Día actual</v>
      </c>
      <c r="C121" s="3" t="s">
        <v>48</v>
      </c>
      <c r="D121" t="s">
        <v>49</v>
      </c>
      <c r="E121" s="3" t="s">
        <v>401</v>
      </c>
      <c r="F121" s="3" t="s">
        <v>22</v>
      </c>
      <c r="G121" s="3" t="s">
        <v>341</v>
      </c>
      <c r="H121" s="3" t="s">
        <v>45</v>
      </c>
      <c r="I121" s="3" t="s">
        <v>7</v>
      </c>
      <c r="J121" s="3" t="s">
        <v>26</v>
      </c>
      <c r="K121" s="3" t="s">
        <v>30</v>
      </c>
      <c r="L121" s="3" t="s">
        <v>73</v>
      </c>
      <c r="M121">
        <v>1</v>
      </c>
    </row>
    <row r="122" spans="1:13" x14ac:dyDescent="0.25">
      <c r="A122" s="1">
        <v>46133</v>
      </c>
      <c r="B122" s="1" t="str">
        <f ca="1">IF(Información1[[#This Row],[Fecha]]='Ajuste de fechas'!$A$2,"Día actual","Día anterior")</f>
        <v>Día anterior</v>
      </c>
      <c r="C122" s="3" t="s">
        <v>51</v>
      </c>
      <c r="D122" t="s">
        <v>54</v>
      </c>
      <c r="E122" s="3" t="s">
        <v>118</v>
      </c>
      <c r="F122" s="3" t="s">
        <v>19</v>
      </c>
      <c r="G122" s="3" t="s">
        <v>119</v>
      </c>
      <c r="H122" s="3" t="s">
        <v>11</v>
      </c>
      <c r="I122" s="3" t="s">
        <v>7</v>
      </c>
      <c r="J122" s="3" t="s">
        <v>76</v>
      </c>
      <c r="K122" s="3" t="s">
        <v>52</v>
      </c>
      <c r="L122" s="3" t="s">
        <v>73</v>
      </c>
      <c r="M122">
        <v>1</v>
      </c>
    </row>
    <row r="123" spans="1:13" x14ac:dyDescent="0.25">
      <c r="A123" s="1">
        <v>46133</v>
      </c>
      <c r="B123" s="1" t="str">
        <f ca="1">IF(Información1[[#This Row],[Fecha]]='Ajuste de fechas'!$A$2,"Día actual","Día anterior")</f>
        <v>Día anterior</v>
      </c>
      <c r="C123" s="3" t="s">
        <v>51</v>
      </c>
      <c r="D123" t="s">
        <v>54</v>
      </c>
      <c r="E123" s="3" t="s">
        <v>120</v>
      </c>
      <c r="F123" s="3" t="s">
        <v>56</v>
      </c>
      <c r="G123" s="3" t="s">
        <v>93</v>
      </c>
      <c r="H123" s="3" t="s">
        <v>11</v>
      </c>
      <c r="I123" s="3" t="s">
        <v>7</v>
      </c>
      <c r="J123" s="3" t="s">
        <v>72</v>
      </c>
      <c r="K123" s="3" t="s">
        <v>52</v>
      </c>
      <c r="L123" s="3" t="s">
        <v>75</v>
      </c>
      <c r="M123">
        <v>1</v>
      </c>
    </row>
    <row r="124" spans="1:13" x14ac:dyDescent="0.25">
      <c r="A124" s="1">
        <v>46133</v>
      </c>
      <c r="B124" s="1" t="str">
        <f ca="1">IF(Información1[[#This Row],[Fecha]]='Ajuste de fechas'!$A$2,"Día actual","Día anterior")</f>
        <v>Día anterior</v>
      </c>
      <c r="C124" s="3" t="s">
        <v>31</v>
      </c>
      <c r="D124" t="s">
        <v>33</v>
      </c>
      <c r="E124" s="3" t="s">
        <v>121</v>
      </c>
      <c r="F124" s="3" t="s">
        <v>19</v>
      </c>
      <c r="G124" s="3" t="s">
        <v>122</v>
      </c>
      <c r="H124" s="3" t="s">
        <v>11</v>
      </c>
      <c r="I124" s="3" t="s">
        <v>7</v>
      </c>
      <c r="J124" s="3" t="s">
        <v>76</v>
      </c>
      <c r="K124" s="3" t="s">
        <v>32</v>
      </c>
      <c r="L124" s="3" t="s">
        <v>73</v>
      </c>
      <c r="M124">
        <v>1</v>
      </c>
    </row>
    <row r="125" spans="1:13" x14ac:dyDescent="0.25">
      <c r="A125" s="1">
        <v>46133</v>
      </c>
      <c r="B125" s="1" t="str">
        <f ca="1">IF(Información1[[#This Row],[Fecha]]='Ajuste de fechas'!$A$2,"Día actual","Día anterior")</f>
        <v>Día anterior</v>
      </c>
      <c r="C125" s="3" t="s">
        <v>31</v>
      </c>
      <c r="D125" t="s">
        <v>33</v>
      </c>
      <c r="E125" s="3" t="s">
        <v>123</v>
      </c>
      <c r="F125" s="3" t="s">
        <v>19</v>
      </c>
      <c r="G125" s="3" t="s">
        <v>124</v>
      </c>
      <c r="H125" s="3" t="s">
        <v>11</v>
      </c>
      <c r="I125" s="3" t="s">
        <v>7</v>
      </c>
      <c r="J125" s="3" t="s">
        <v>76</v>
      </c>
      <c r="K125" s="3" t="s">
        <v>32</v>
      </c>
      <c r="L125" s="3" t="s">
        <v>73</v>
      </c>
      <c r="M125">
        <v>1</v>
      </c>
    </row>
    <row r="126" spans="1:13" x14ac:dyDescent="0.25">
      <c r="A126" s="1">
        <v>46133</v>
      </c>
      <c r="B126" s="1" t="str">
        <f ca="1">IF(Información1[[#This Row],[Fecha]]='Ajuste de fechas'!$A$2,"Día actual","Día anterior")</f>
        <v>Día anterior</v>
      </c>
      <c r="C126" s="3" t="s">
        <v>31</v>
      </c>
      <c r="D126" t="s">
        <v>33</v>
      </c>
      <c r="E126" s="3" t="s">
        <v>125</v>
      </c>
      <c r="F126" s="3" t="s">
        <v>19</v>
      </c>
      <c r="G126" s="3" t="s">
        <v>126</v>
      </c>
      <c r="H126" s="3" t="s">
        <v>11</v>
      </c>
      <c r="I126" s="3" t="s">
        <v>27</v>
      </c>
      <c r="J126" s="3" t="s">
        <v>76</v>
      </c>
      <c r="K126" s="3" t="s">
        <v>32</v>
      </c>
      <c r="L126" s="3" t="s">
        <v>73</v>
      </c>
      <c r="M126">
        <v>1</v>
      </c>
    </row>
    <row r="127" spans="1:13" x14ac:dyDescent="0.25">
      <c r="A127" s="1">
        <v>46133</v>
      </c>
      <c r="B127" s="1" t="str">
        <f ca="1">IF(Información1[[#This Row],[Fecha]]='Ajuste de fechas'!$A$2,"Día actual","Día anterior")</f>
        <v>Día anterior</v>
      </c>
      <c r="C127" s="3" t="s">
        <v>31</v>
      </c>
      <c r="D127" t="s">
        <v>33</v>
      </c>
      <c r="E127" s="3" t="s">
        <v>127</v>
      </c>
      <c r="F127" s="3" t="s">
        <v>6</v>
      </c>
      <c r="G127" s="3" t="s">
        <v>84</v>
      </c>
      <c r="H127" s="3" t="s">
        <v>11</v>
      </c>
      <c r="I127" s="3" t="s">
        <v>7</v>
      </c>
      <c r="J127" s="3" t="s">
        <v>72</v>
      </c>
      <c r="K127" s="3" t="s">
        <v>32</v>
      </c>
      <c r="L127" s="3" t="s">
        <v>75</v>
      </c>
      <c r="M127">
        <v>1</v>
      </c>
    </row>
    <row r="128" spans="1:13" x14ac:dyDescent="0.25">
      <c r="A128" s="1">
        <v>46133</v>
      </c>
      <c r="B128" s="1" t="str">
        <f ca="1">IF(Información1[[#This Row],[Fecha]]='Ajuste de fechas'!$A$2,"Día actual","Día anterior")</f>
        <v>Día anterior</v>
      </c>
      <c r="C128" s="3" t="s">
        <v>31</v>
      </c>
      <c r="D128" t="s">
        <v>33</v>
      </c>
      <c r="E128" s="3" t="s">
        <v>128</v>
      </c>
      <c r="F128" s="3" t="s">
        <v>25</v>
      </c>
      <c r="G128" s="3" t="s">
        <v>129</v>
      </c>
      <c r="H128" s="3" t="s">
        <v>11</v>
      </c>
      <c r="I128" s="3" t="s">
        <v>7</v>
      </c>
      <c r="J128" s="3" t="s">
        <v>72</v>
      </c>
      <c r="K128" s="3" t="s">
        <v>32</v>
      </c>
      <c r="L128" s="3" t="s">
        <v>75</v>
      </c>
      <c r="M128">
        <v>1</v>
      </c>
    </row>
    <row r="129" spans="1:13" x14ac:dyDescent="0.25">
      <c r="A129" s="1">
        <v>46133</v>
      </c>
      <c r="B129" s="1" t="str">
        <f ca="1">IF(Información1[[#This Row],[Fecha]]='Ajuste de fechas'!$A$2,"Día actual","Día anterior")</f>
        <v>Día anterior</v>
      </c>
      <c r="C129" s="3" t="s">
        <v>31</v>
      </c>
      <c r="D129" t="s">
        <v>33</v>
      </c>
      <c r="E129" s="3" t="s">
        <v>130</v>
      </c>
      <c r="F129" s="3" t="s">
        <v>15</v>
      </c>
      <c r="G129" s="3" t="s">
        <v>92</v>
      </c>
      <c r="H129" s="3" t="s">
        <v>11</v>
      </c>
      <c r="I129" s="3" t="s">
        <v>7</v>
      </c>
      <c r="J129" s="3" t="s">
        <v>72</v>
      </c>
      <c r="K129" s="3" t="s">
        <v>32</v>
      </c>
      <c r="L129" s="3" t="s">
        <v>75</v>
      </c>
      <c r="M129">
        <v>1</v>
      </c>
    </row>
    <row r="130" spans="1:13" x14ac:dyDescent="0.25">
      <c r="A130" s="1">
        <v>46133</v>
      </c>
      <c r="B130" s="1" t="str">
        <f ca="1">IF(Información1[[#This Row],[Fecha]]='Ajuste de fechas'!$A$2,"Día actual","Día anterior")</f>
        <v>Día anterior</v>
      </c>
      <c r="C130" s="3" t="s">
        <v>31</v>
      </c>
      <c r="D130" t="s">
        <v>33</v>
      </c>
      <c r="E130" s="3" t="s">
        <v>131</v>
      </c>
      <c r="F130" s="3" t="s">
        <v>28</v>
      </c>
      <c r="G130" s="3" t="s">
        <v>117</v>
      </c>
      <c r="H130" s="3" t="s">
        <v>11</v>
      </c>
      <c r="I130" s="3" t="s">
        <v>7</v>
      </c>
      <c r="J130" s="3" t="s">
        <v>72</v>
      </c>
      <c r="K130" s="3" t="s">
        <v>32</v>
      </c>
      <c r="L130" s="3" t="s">
        <v>75</v>
      </c>
      <c r="M130">
        <v>1</v>
      </c>
    </row>
    <row r="131" spans="1:13" x14ac:dyDescent="0.25">
      <c r="A131" s="1">
        <v>46133</v>
      </c>
      <c r="B131" s="1" t="str">
        <f ca="1">IF(Información1[[#This Row],[Fecha]]='Ajuste de fechas'!$A$2,"Día actual","Día anterior")</f>
        <v>Día anterior</v>
      </c>
      <c r="C131" s="3" t="s">
        <v>51</v>
      </c>
      <c r="D131" t="s">
        <v>53</v>
      </c>
      <c r="E131" s="3" t="s">
        <v>132</v>
      </c>
      <c r="F131" s="3" t="s">
        <v>19</v>
      </c>
      <c r="G131" s="3" t="s">
        <v>133</v>
      </c>
      <c r="H131" s="3" t="s">
        <v>11</v>
      </c>
      <c r="I131" s="3" t="s">
        <v>7</v>
      </c>
      <c r="J131" s="3" t="s">
        <v>76</v>
      </c>
      <c r="K131" s="3" t="s">
        <v>52</v>
      </c>
      <c r="L131" s="3" t="s">
        <v>73</v>
      </c>
      <c r="M131">
        <v>1</v>
      </c>
    </row>
    <row r="132" spans="1:13" x14ac:dyDescent="0.25">
      <c r="A132" s="1">
        <v>46133</v>
      </c>
      <c r="B132" s="1" t="str">
        <f ca="1">IF(Información1[[#This Row],[Fecha]]='Ajuste de fechas'!$A$2,"Día actual","Día anterior")</f>
        <v>Día anterior</v>
      </c>
      <c r="C132" s="3" t="s">
        <v>51</v>
      </c>
      <c r="D132" t="s">
        <v>53</v>
      </c>
      <c r="E132" s="3" t="s">
        <v>134</v>
      </c>
      <c r="F132" s="3" t="s">
        <v>19</v>
      </c>
      <c r="G132" s="3" t="s">
        <v>110</v>
      </c>
      <c r="H132" s="3" t="s">
        <v>11</v>
      </c>
      <c r="I132" s="3" t="s">
        <v>7</v>
      </c>
      <c r="J132" s="3" t="s">
        <v>76</v>
      </c>
      <c r="K132" s="3" t="s">
        <v>52</v>
      </c>
      <c r="L132" s="3" t="s">
        <v>73</v>
      </c>
      <c r="M132">
        <v>1</v>
      </c>
    </row>
    <row r="133" spans="1:13" x14ac:dyDescent="0.25">
      <c r="A133" s="1">
        <v>46133</v>
      </c>
      <c r="B133" s="1" t="str">
        <f ca="1">IF(Información1[[#This Row],[Fecha]]='Ajuste de fechas'!$A$2,"Día actual","Día anterior")</f>
        <v>Día anterior</v>
      </c>
      <c r="C133" s="3" t="s">
        <v>51</v>
      </c>
      <c r="D133" t="s">
        <v>53</v>
      </c>
      <c r="E133" s="3" t="s">
        <v>135</v>
      </c>
      <c r="F133" s="3" t="s">
        <v>19</v>
      </c>
      <c r="G133" s="3" t="s">
        <v>105</v>
      </c>
      <c r="H133" s="3" t="s">
        <v>11</v>
      </c>
      <c r="I133" s="3" t="s">
        <v>7</v>
      </c>
      <c r="J133" s="3" t="s">
        <v>76</v>
      </c>
      <c r="K133" s="3" t="s">
        <v>43</v>
      </c>
      <c r="L133" s="3" t="s">
        <v>73</v>
      </c>
      <c r="M133">
        <v>1</v>
      </c>
    </row>
    <row r="134" spans="1:13" x14ac:dyDescent="0.25">
      <c r="A134" s="1">
        <v>46133</v>
      </c>
      <c r="B134" s="1" t="str">
        <f ca="1">IF(Información1[[#This Row],[Fecha]]='Ajuste de fechas'!$A$2,"Día actual","Día anterior")</f>
        <v>Día anterior</v>
      </c>
      <c r="C134" s="3" t="s">
        <v>51</v>
      </c>
      <c r="D134" t="s">
        <v>53</v>
      </c>
      <c r="E134" s="3" t="s">
        <v>132</v>
      </c>
      <c r="F134" s="3" t="s">
        <v>6</v>
      </c>
      <c r="G134" s="3" t="s">
        <v>133</v>
      </c>
      <c r="H134" s="3" t="s">
        <v>11</v>
      </c>
      <c r="I134" s="3" t="s">
        <v>27</v>
      </c>
      <c r="J134" s="3" t="s">
        <v>72</v>
      </c>
      <c r="K134" s="3" t="s">
        <v>52</v>
      </c>
      <c r="L134" s="3" t="s">
        <v>73</v>
      </c>
      <c r="M134">
        <v>1</v>
      </c>
    </row>
    <row r="135" spans="1:13" x14ac:dyDescent="0.25">
      <c r="A135" s="1">
        <v>46133</v>
      </c>
      <c r="B135" s="1" t="str">
        <f ca="1">IF(Información1[[#This Row],[Fecha]]='Ajuste de fechas'!$A$2,"Día actual","Día anterior")</f>
        <v>Día anterior</v>
      </c>
      <c r="C135" s="3" t="s">
        <v>51</v>
      </c>
      <c r="D135" t="s">
        <v>53</v>
      </c>
      <c r="E135" s="3" t="s">
        <v>136</v>
      </c>
      <c r="F135" s="3" t="s">
        <v>15</v>
      </c>
      <c r="G135" s="3" t="s">
        <v>137</v>
      </c>
      <c r="H135" s="3" t="s">
        <v>11</v>
      </c>
      <c r="I135" s="3" t="s">
        <v>7</v>
      </c>
      <c r="J135" s="3" t="s">
        <v>72</v>
      </c>
      <c r="K135" s="3" t="s">
        <v>52</v>
      </c>
      <c r="L135" s="3" t="s">
        <v>73</v>
      </c>
      <c r="M135">
        <v>1</v>
      </c>
    </row>
    <row r="136" spans="1:13" x14ac:dyDescent="0.25">
      <c r="A136" s="1">
        <v>46133</v>
      </c>
      <c r="B136" s="1" t="str">
        <f ca="1">IF(Información1[[#This Row],[Fecha]]='Ajuste de fechas'!$A$2,"Día actual","Día anterior")</f>
        <v>Día anterior</v>
      </c>
      <c r="C136" s="3" t="s">
        <v>51</v>
      </c>
      <c r="D136" t="s">
        <v>53</v>
      </c>
      <c r="E136" s="3" t="s">
        <v>138</v>
      </c>
      <c r="F136" s="3" t="s">
        <v>21</v>
      </c>
      <c r="G136" s="3" t="s">
        <v>139</v>
      </c>
      <c r="H136" s="3" t="s">
        <v>11</v>
      </c>
      <c r="I136" s="3" t="s">
        <v>7</v>
      </c>
      <c r="J136" s="3" t="s">
        <v>72</v>
      </c>
      <c r="K136" s="3" t="s">
        <v>43</v>
      </c>
      <c r="L136" s="3" t="s">
        <v>78</v>
      </c>
      <c r="M136">
        <v>1</v>
      </c>
    </row>
    <row r="137" spans="1:13" x14ac:dyDescent="0.25">
      <c r="A137" s="1">
        <v>46133</v>
      </c>
      <c r="B137" s="1" t="str">
        <f ca="1">IF(Información1[[#This Row],[Fecha]]='Ajuste de fechas'!$A$2,"Día actual","Día anterior")</f>
        <v>Día anterior</v>
      </c>
      <c r="C137" s="3" t="s">
        <v>51</v>
      </c>
      <c r="D137" t="s">
        <v>53</v>
      </c>
      <c r="E137" s="3" t="s">
        <v>140</v>
      </c>
      <c r="F137" s="3" t="s">
        <v>60</v>
      </c>
      <c r="G137" s="3" t="s">
        <v>91</v>
      </c>
      <c r="H137" s="3" t="s">
        <v>11</v>
      </c>
      <c r="I137" s="3" t="s">
        <v>7</v>
      </c>
      <c r="J137" s="3" t="s">
        <v>72</v>
      </c>
      <c r="K137" s="3" t="s">
        <v>43</v>
      </c>
      <c r="L137" s="3" t="s">
        <v>75</v>
      </c>
      <c r="M137">
        <v>1</v>
      </c>
    </row>
    <row r="138" spans="1:13" x14ac:dyDescent="0.25">
      <c r="A138" s="1">
        <v>46133</v>
      </c>
      <c r="B138" s="1" t="str">
        <f ca="1">IF(Información1[[#This Row],[Fecha]]='Ajuste de fechas'!$A$2,"Día actual","Día anterior")</f>
        <v>Día anterior</v>
      </c>
      <c r="C138" s="3" t="s">
        <v>51</v>
      </c>
      <c r="D138" t="s">
        <v>53</v>
      </c>
      <c r="E138" s="3" t="s">
        <v>141</v>
      </c>
      <c r="F138" s="3" t="s">
        <v>21</v>
      </c>
      <c r="G138" s="3" t="s">
        <v>99</v>
      </c>
      <c r="H138" s="3" t="s">
        <v>11</v>
      </c>
      <c r="I138" s="3" t="s">
        <v>7</v>
      </c>
      <c r="J138" s="3" t="s">
        <v>72</v>
      </c>
      <c r="K138" s="3" t="s">
        <v>43</v>
      </c>
      <c r="L138" s="3" t="s">
        <v>75</v>
      </c>
      <c r="M138">
        <v>1</v>
      </c>
    </row>
    <row r="139" spans="1:13" x14ac:dyDescent="0.25">
      <c r="A139" s="1">
        <v>46133</v>
      </c>
      <c r="B139" s="1" t="str">
        <f ca="1">IF(Información1[[#This Row],[Fecha]]='Ajuste de fechas'!$A$2,"Día actual","Día anterior")</f>
        <v>Día anterior</v>
      </c>
      <c r="C139" s="3" t="s">
        <v>51</v>
      </c>
      <c r="D139" t="s">
        <v>53</v>
      </c>
      <c r="E139" s="3" t="s">
        <v>142</v>
      </c>
      <c r="F139" s="3" t="s">
        <v>28</v>
      </c>
      <c r="G139" s="3" t="s">
        <v>117</v>
      </c>
      <c r="H139" s="3" t="s">
        <v>11</v>
      </c>
      <c r="I139" s="3" t="s">
        <v>7</v>
      </c>
      <c r="J139" s="3" t="s">
        <v>72</v>
      </c>
      <c r="K139" s="3" t="s">
        <v>43</v>
      </c>
      <c r="L139" s="3" t="s">
        <v>75</v>
      </c>
      <c r="M139">
        <v>1</v>
      </c>
    </row>
    <row r="140" spans="1:13" x14ac:dyDescent="0.25">
      <c r="A140" s="1">
        <v>46133</v>
      </c>
      <c r="B140" s="1" t="str">
        <f ca="1">IF(Información1[[#This Row],[Fecha]]='Ajuste de fechas'!$A$2,"Día actual","Día anterior")</f>
        <v>Día anterior</v>
      </c>
      <c r="C140" s="3" t="s">
        <v>8</v>
      </c>
      <c r="D140" t="s">
        <v>10</v>
      </c>
      <c r="E140" s="3" t="s">
        <v>143</v>
      </c>
      <c r="F140" s="3" t="s">
        <v>6</v>
      </c>
      <c r="G140" s="3" t="s">
        <v>94</v>
      </c>
      <c r="H140" s="3" t="s">
        <v>11</v>
      </c>
      <c r="I140" s="3" t="s">
        <v>27</v>
      </c>
      <c r="J140" s="3" t="s">
        <v>72</v>
      </c>
      <c r="K140" s="3" t="s">
        <v>9</v>
      </c>
      <c r="L140" s="3" t="s">
        <v>74</v>
      </c>
      <c r="M140">
        <v>1</v>
      </c>
    </row>
    <row r="141" spans="1:13" x14ac:dyDescent="0.25">
      <c r="A141" s="1">
        <v>46133</v>
      </c>
      <c r="B141" s="1" t="str">
        <f ca="1">IF(Información1[[#This Row],[Fecha]]='Ajuste de fechas'!$A$2,"Día actual","Día anterior")</f>
        <v>Día anterior</v>
      </c>
      <c r="C141" s="3" t="s">
        <v>8</v>
      </c>
      <c r="D141" t="s">
        <v>10</v>
      </c>
      <c r="E141" s="3" t="s">
        <v>144</v>
      </c>
      <c r="F141" s="3" t="s">
        <v>17</v>
      </c>
      <c r="G141" s="3" t="s">
        <v>145</v>
      </c>
      <c r="H141" s="3" t="s">
        <v>11</v>
      </c>
      <c r="I141" s="3" t="s">
        <v>27</v>
      </c>
      <c r="J141" s="3" t="s">
        <v>72</v>
      </c>
      <c r="K141" s="3" t="s">
        <v>9</v>
      </c>
      <c r="L141" s="3" t="s">
        <v>74</v>
      </c>
      <c r="M141">
        <v>1</v>
      </c>
    </row>
    <row r="142" spans="1:13" x14ac:dyDescent="0.25">
      <c r="A142" s="1">
        <v>46133</v>
      </c>
      <c r="B142" s="1" t="str">
        <f ca="1">IF(Información1[[#This Row],[Fecha]]='Ajuste de fechas'!$A$2,"Día actual","Día anterior")</f>
        <v>Día anterior</v>
      </c>
      <c r="C142" s="3" t="s">
        <v>38</v>
      </c>
      <c r="D142" t="s">
        <v>41</v>
      </c>
      <c r="E142" s="3" t="s">
        <v>146</v>
      </c>
      <c r="F142" s="3" t="s">
        <v>88</v>
      </c>
      <c r="G142" s="3" t="s">
        <v>147</v>
      </c>
      <c r="H142" s="3" t="s">
        <v>11</v>
      </c>
      <c r="I142" s="3" t="s">
        <v>7</v>
      </c>
      <c r="J142" s="3" t="s">
        <v>72</v>
      </c>
      <c r="K142" s="3" t="s">
        <v>39</v>
      </c>
      <c r="L142" s="3" t="s">
        <v>78</v>
      </c>
      <c r="M142">
        <v>1</v>
      </c>
    </row>
    <row r="143" spans="1:13" x14ac:dyDescent="0.25">
      <c r="A143" s="1">
        <v>46133</v>
      </c>
      <c r="B143" s="1" t="str">
        <f ca="1">IF(Información1[[#This Row],[Fecha]]='Ajuste de fechas'!$A$2,"Día actual","Día anterior")</f>
        <v>Día anterior</v>
      </c>
      <c r="C143" s="3" t="s">
        <v>8</v>
      </c>
      <c r="D143" t="s">
        <v>10</v>
      </c>
      <c r="E143" s="3" t="s">
        <v>20</v>
      </c>
      <c r="F143" s="3" t="s">
        <v>19</v>
      </c>
      <c r="G143" s="3" t="s">
        <v>63</v>
      </c>
      <c r="H143" s="3" t="s">
        <v>11</v>
      </c>
      <c r="I143" s="3" t="s">
        <v>12</v>
      </c>
      <c r="J143" s="3" t="s">
        <v>76</v>
      </c>
      <c r="K143" s="3" t="s">
        <v>14</v>
      </c>
      <c r="L143" s="3" t="s">
        <v>74</v>
      </c>
      <c r="M143">
        <v>1</v>
      </c>
    </row>
    <row r="144" spans="1:13" x14ac:dyDescent="0.25">
      <c r="A144" s="1">
        <v>46133</v>
      </c>
      <c r="B144" s="1" t="str">
        <f ca="1">IF(Información1[[#This Row],[Fecha]]='Ajuste de fechas'!$A$2,"Día actual","Día anterior")</f>
        <v>Día anterior</v>
      </c>
      <c r="C144" s="3" t="s">
        <v>8</v>
      </c>
      <c r="D144" t="s">
        <v>10</v>
      </c>
      <c r="E144" s="3" t="s">
        <v>18</v>
      </c>
      <c r="F144" s="3" t="s">
        <v>19</v>
      </c>
      <c r="G144" s="3" t="s">
        <v>63</v>
      </c>
      <c r="H144" s="3" t="s">
        <v>11</v>
      </c>
      <c r="I144" s="3" t="s">
        <v>12</v>
      </c>
      <c r="J144" s="3" t="s">
        <v>76</v>
      </c>
      <c r="K144" s="3" t="s">
        <v>14</v>
      </c>
      <c r="L144" s="3" t="s">
        <v>74</v>
      </c>
      <c r="M144">
        <v>1</v>
      </c>
    </row>
    <row r="145" spans="1:13" x14ac:dyDescent="0.25">
      <c r="A145" s="1">
        <v>46133</v>
      </c>
      <c r="B145" s="1" t="str">
        <f ca="1">IF(Información1[[#This Row],[Fecha]]='Ajuste de fechas'!$A$2,"Día actual","Día anterior")</f>
        <v>Día anterior</v>
      </c>
      <c r="C145" s="3" t="s">
        <v>8</v>
      </c>
      <c r="D145" t="s">
        <v>10</v>
      </c>
      <c r="E145" s="3" t="s">
        <v>61</v>
      </c>
      <c r="F145" s="3" t="s">
        <v>22</v>
      </c>
      <c r="G145" s="3" t="s">
        <v>63</v>
      </c>
      <c r="H145" s="3" t="s">
        <v>11</v>
      </c>
      <c r="I145" s="3" t="s">
        <v>12</v>
      </c>
      <c r="J145" s="3" t="s">
        <v>26</v>
      </c>
      <c r="K145" s="3" t="s">
        <v>14</v>
      </c>
      <c r="L145" s="3" t="s">
        <v>74</v>
      </c>
      <c r="M145">
        <v>1</v>
      </c>
    </row>
    <row r="146" spans="1:13" x14ac:dyDescent="0.25">
      <c r="A146" s="1">
        <v>46133</v>
      </c>
      <c r="B146" s="1" t="str">
        <f ca="1">IF(Información1[[#This Row],[Fecha]]='Ajuste de fechas'!$A$2,"Día actual","Día anterior")</f>
        <v>Día anterior</v>
      </c>
      <c r="C146" s="3" t="s">
        <v>8</v>
      </c>
      <c r="D146" t="s">
        <v>10</v>
      </c>
      <c r="E146" s="3" t="s">
        <v>13</v>
      </c>
      <c r="F146" s="3" t="s">
        <v>15</v>
      </c>
      <c r="G146" s="3" t="s">
        <v>63</v>
      </c>
      <c r="H146" s="3" t="s">
        <v>11</v>
      </c>
      <c r="I146" s="3" t="s">
        <v>12</v>
      </c>
      <c r="J146" s="3" t="s">
        <v>72</v>
      </c>
      <c r="K146" s="3" t="s">
        <v>14</v>
      </c>
      <c r="L146" s="3" t="s">
        <v>74</v>
      </c>
      <c r="M146">
        <v>1</v>
      </c>
    </row>
    <row r="147" spans="1:13" x14ac:dyDescent="0.25">
      <c r="A147" s="1">
        <v>46133</v>
      </c>
      <c r="B147" s="1" t="str">
        <f ca="1">IF(Información1[[#This Row],[Fecha]]='Ajuste de fechas'!$A$2,"Día actual","Día anterior")</f>
        <v>Día anterior</v>
      </c>
      <c r="C147" s="3" t="s">
        <v>8</v>
      </c>
      <c r="D147" t="s">
        <v>10</v>
      </c>
      <c r="E147" s="3" t="s">
        <v>16</v>
      </c>
      <c r="F147" s="3" t="s">
        <v>17</v>
      </c>
      <c r="G147" s="3" t="s">
        <v>63</v>
      </c>
      <c r="H147" s="3" t="s">
        <v>11</v>
      </c>
      <c r="I147" s="3" t="s">
        <v>12</v>
      </c>
      <c r="J147" s="3" t="s">
        <v>72</v>
      </c>
      <c r="K147" s="3" t="s">
        <v>14</v>
      </c>
      <c r="L147" s="3" t="s">
        <v>74</v>
      </c>
      <c r="M147">
        <v>1</v>
      </c>
    </row>
    <row r="148" spans="1:13" x14ac:dyDescent="0.25">
      <c r="A148" s="1">
        <v>46133</v>
      </c>
      <c r="B148" s="1" t="str">
        <f ca="1">IF(Información1[[#This Row],[Fecha]]='Ajuste de fechas'!$A$2,"Día actual","Día anterior")</f>
        <v>Día anterior</v>
      </c>
      <c r="C148" s="3" t="s">
        <v>8</v>
      </c>
      <c r="D148" t="s">
        <v>10</v>
      </c>
      <c r="E148" s="3" t="s">
        <v>65</v>
      </c>
      <c r="F148" s="3" t="s">
        <v>6</v>
      </c>
      <c r="G148" s="3" t="s">
        <v>63</v>
      </c>
      <c r="H148" s="3" t="s">
        <v>11</v>
      </c>
      <c r="I148" s="3" t="s">
        <v>12</v>
      </c>
      <c r="J148" s="3" t="s">
        <v>72</v>
      </c>
      <c r="K148" s="3" t="s">
        <v>14</v>
      </c>
      <c r="L148" s="3" t="s">
        <v>74</v>
      </c>
      <c r="M148">
        <v>1</v>
      </c>
    </row>
    <row r="149" spans="1:13" x14ac:dyDescent="0.25">
      <c r="A149" s="1">
        <v>46133</v>
      </c>
      <c r="B149" s="1" t="str">
        <f ca="1">IF(Información1[[#This Row],[Fecha]]='Ajuste de fechas'!$A$2,"Día actual","Día anterior")</f>
        <v>Día anterior</v>
      </c>
      <c r="C149" s="3" t="s">
        <v>38</v>
      </c>
      <c r="D149" t="s">
        <v>40</v>
      </c>
      <c r="E149" s="3" t="s">
        <v>148</v>
      </c>
      <c r="F149" s="3" t="s">
        <v>19</v>
      </c>
      <c r="G149" s="3" t="s">
        <v>46</v>
      </c>
      <c r="H149" s="3" t="s">
        <v>11</v>
      </c>
      <c r="I149" s="3" t="s">
        <v>7</v>
      </c>
      <c r="J149" s="3" t="s">
        <v>76</v>
      </c>
      <c r="K149" s="3" t="s">
        <v>64</v>
      </c>
      <c r="L149" s="3" t="s">
        <v>73</v>
      </c>
      <c r="M149">
        <v>1</v>
      </c>
    </row>
    <row r="150" spans="1:13" x14ac:dyDescent="0.25">
      <c r="A150" s="1">
        <v>46133</v>
      </c>
      <c r="B150" s="1" t="str">
        <f ca="1">IF(Información1[[#This Row],[Fecha]]='Ajuste de fechas'!$A$2,"Día actual","Día anterior")</f>
        <v>Día anterior</v>
      </c>
      <c r="C150" s="3" t="s">
        <v>8</v>
      </c>
      <c r="D150" t="s">
        <v>10</v>
      </c>
      <c r="E150" s="3" t="s">
        <v>103</v>
      </c>
      <c r="F150" s="3" t="s">
        <v>24</v>
      </c>
      <c r="G150" s="3" t="s">
        <v>104</v>
      </c>
      <c r="H150" s="3" t="s">
        <v>11</v>
      </c>
      <c r="I150" s="3" t="s">
        <v>7</v>
      </c>
      <c r="J150" s="3" t="s">
        <v>72</v>
      </c>
      <c r="K150" s="3" t="s">
        <v>14</v>
      </c>
      <c r="L150" s="3" t="s">
        <v>75</v>
      </c>
      <c r="M150">
        <v>1</v>
      </c>
    </row>
    <row r="151" spans="1:13" x14ac:dyDescent="0.25">
      <c r="A151" s="1">
        <v>46133</v>
      </c>
      <c r="B151" s="1" t="str">
        <f ca="1">IF(Información1[[#This Row],[Fecha]]='Ajuste de fechas'!$A$2,"Día actual","Día anterior")</f>
        <v>Día anterior</v>
      </c>
      <c r="C151" s="3" t="s">
        <v>8</v>
      </c>
      <c r="D151" t="s">
        <v>10</v>
      </c>
      <c r="E151" s="3" t="s">
        <v>149</v>
      </c>
      <c r="F151" s="3" t="s">
        <v>19</v>
      </c>
      <c r="G151" s="3" t="s">
        <v>91</v>
      </c>
      <c r="H151" s="3" t="s">
        <v>11</v>
      </c>
      <c r="I151" s="3" t="s">
        <v>7</v>
      </c>
      <c r="J151" s="3" t="s">
        <v>76</v>
      </c>
      <c r="K151" s="3" t="s">
        <v>9</v>
      </c>
      <c r="L151" s="3" t="s">
        <v>74</v>
      </c>
      <c r="M151">
        <v>1</v>
      </c>
    </row>
    <row r="152" spans="1:13" x14ac:dyDescent="0.25">
      <c r="A152" s="1">
        <v>46133</v>
      </c>
      <c r="B152" s="1" t="str">
        <f ca="1">IF(Información1[[#This Row],[Fecha]]='Ajuste de fechas'!$A$2,"Día actual","Día anterior")</f>
        <v>Día anterior</v>
      </c>
      <c r="C152" s="3" t="s">
        <v>38</v>
      </c>
      <c r="D152" t="s">
        <v>40</v>
      </c>
      <c r="E152" s="3" t="s">
        <v>150</v>
      </c>
      <c r="F152" s="3" t="s">
        <v>26</v>
      </c>
      <c r="G152" s="3" t="s">
        <v>151</v>
      </c>
      <c r="H152" s="3" t="s">
        <v>11</v>
      </c>
      <c r="I152" s="3" t="s">
        <v>7</v>
      </c>
      <c r="J152" s="3" t="s">
        <v>26</v>
      </c>
      <c r="K152" s="3" t="s">
        <v>64</v>
      </c>
      <c r="L152" s="3" t="s">
        <v>73</v>
      </c>
      <c r="M152">
        <v>1</v>
      </c>
    </row>
    <row r="153" spans="1:13" x14ac:dyDescent="0.25">
      <c r="A153" s="1">
        <v>46133</v>
      </c>
      <c r="B153" s="1" t="str">
        <f ca="1">IF(Información1[[#This Row],[Fecha]]='Ajuste de fechas'!$A$2,"Día actual","Día anterior")</f>
        <v>Día anterior</v>
      </c>
      <c r="C153" s="3" t="s">
        <v>38</v>
      </c>
      <c r="D153" t="s">
        <v>41</v>
      </c>
      <c r="E153" s="3" t="s">
        <v>150</v>
      </c>
      <c r="F153" s="3" t="s">
        <v>26</v>
      </c>
      <c r="G153" s="3" t="s">
        <v>151</v>
      </c>
      <c r="H153" s="3" t="s">
        <v>11</v>
      </c>
      <c r="I153" s="3" t="s">
        <v>7</v>
      </c>
      <c r="J153" s="3" t="s">
        <v>26</v>
      </c>
      <c r="K153" s="3" t="s">
        <v>39</v>
      </c>
      <c r="L153" s="3" t="s">
        <v>73</v>
      </c>
      <c r="M153">
        <v>1</v>
      </c>
    </row>
    <row r="154" spans="1:13" x14ac:dyDescent="0.25">
      <c r="A154" s="1">
        <v>46133</v>
      </c>
      <c r="B154" s="1" t="str">
        <f ca="1">IF(Información1[[#This Row],[Fecha]]='Ajuste de fechas'!$A$2,"Día actual","Día anterior")</f>
        <v>Día anterior</v>
      </c>
      <c r="C154" s="3" t="s">
        <v>38</v>
      </c>
      <c r="D154" t="s">
        <v>41</v>
      </c>
      <c r="E154" s="3" t="s">
        <v>152</v>
      </c>
      <c r="F154" s="3" t="s">
        <v>23</v>
      </c>
      <c r="G154" s="3" t="s">
        <v>153</v>
      </c>
      <c r="H154" s="3" t="s">
        <v>11</v>
      </c>
      <c r="I154" s="3" t="s">
        <v>7</v>
      </c>
      <c r="J154" s="3" t="s">
        <v>77</v>
      </c>
      <c r="K154" s="3" t="s">
        <v>39</v>
      </c>
      <c r="L154" s="3" t="s">
        <v>73</v>
      </c>
      <c r="M154">
        <v>1</v>
      </c>
    </row>
    <row r="155" spans="1:13" x14ac:dyDescent="0.25">
      <c r="A155" s="1">
        <v>46133</v>
      </c>
      <c r="B155" s="1" t="str">
        <f ca="1">IF(Información1[[#This Row],[Fecha]]='Ajuste de fechas'!$A$2,"Día actual","Día anterior")</f>
        <v>Día anterior</v>
      </c>
      <c r="C155" s="3" t="s">
        <v>38</v>
      </c>
      <c r="D155" t="s">
        <v>41</v>
      </c>
      <c r="E155" s="3" t="s">
        <v>154</v>
      </c>
      <c r="F155" s="3" t="s">
        <v>24</v>
      </c>
      <c r="G155" s="3" t="s">
        <v>98</v>
      </c>
      <c r="H155" s="3" t="s">
        <v>11</v>
      </c>
      <c r="I155" s="3" t="s">
        <v>7</v>
      </c>
      <c r="J155" s="3" t="s">
        <v>72</v>
      </c>
      <c r="K155" s="3" t="s">
        <v>39</v>
      </c>
      <c r="L155" s="3" t="s">
        <v>73</v>
      </c>
      <c r="M155">
        <v>1</v>
      </c>
    </row>
    <row r="156" spans="1:13" x14ac:dyDescent="0.25">
      <c r="A156" s="1">
        <v>46133</v>
      </c>
      <c r="B156" s="1" t="str">
        <f ca="1">IF(Información1[[#This Row],[Fecha]]='Ajuste de fechas'!$A$2,"Día actual","Día anterior")</f>
        <v>Día anterior</v>
      </c>
      <c r="C156" s="3" t="s">
        <v>8</v>
      </c>
      <c r="D156" t="s">
        <v>10</v>
      </c>
      <c r="E156" s="3" t="s">
        <v>155</v>
      </c>
      <c r="F156" s="3" t="s">
        <v>156</v>
      </c>
      <c r="G156" s="3" t="s">
        <v>110</v>
      </c>
      <c r="H156" s="3" t="s">
        <v>11</v>
      </c>
      <c r="I156" s="3" t="s">
        <v>12</v>
      </c>
      <c r="J156" s="3" t="s">
        <v>72</v>
      </c>
      <c r="K156" s="3" t="s">
        <v>14</v>
      </c>
      <c r="L156" s="3" t="s">
        <v>157</v>
      </c>
      <c r="M156">
        <v>1</v>
      </c>
    </row>
    <row r="157" spans="1:13" x14ac:dyDescent="0.25">
      <c r="A157" s="1">
        <v>46133</v>
      </c>
      <c r="B157" s="1" t="str">
        <f ca="1">IF(Información1[[#This Row],[Fecha]]='Ajuste de fechas'!$A$2,"Día actual","Día anterior")</f>
        <v>Día anterior</v>
      </c>
      <c r="C157" s="3" t="s">
        <v>8</v>
      </c>
      <c r="D157" t="s">
        <v>10</v>
      </c>
      <c r="E157" s="3" t="s">
        <v>158</v>
      </c>
      <c r="F157" s="3" t="s">
        <v>6</v>
      </c>
      <c r="G157" s="3" t="s">
        <v>113</v>
      </c>
      <c r="H157" s="3" t="s">
        <v>11</v>
      </c>
      <c r="I157" s="3" t="s">
        <v>27</v>
      </c>
      <c r="J157" s="3" t="s">
        <v>72</v>
      </c>
      <c r="K157" s="3" t="s">
        <v>9</v>
      </c>
      <c r="L157" s="3" t="s">
        <v>74</v>
      </c>
      <c r="M157">
        <v>1</v>
      </c>
    </row>
    <row r="158" spans="1:13" x14ac:dyDescent="0.25">
      <c r="A158" s="1">
        <v>46133</v>
      </c>
      <c r="B158" s="1" t="str">
        <f ca="1">IF(Información1[[#This Row],[Fecha]]='Ajuste de fechas'!$A$2,"Día actual","Día anterior")</f>
        <v>Día anterior</v>
      </c>
      <c r="C158" s="3" t="s">
        <v>8</v>
      </c>
      <c r="D158" t="s">
        <v>10</v>
      </c>
      <c r="E158" s="3" t="s">
        <v>159</v>
      </c>
      <c r="F158" s="3" t="s">
        <v>6</v>
      </c>
      <c r="G158" s="3" t="s">
        <v>113</v>
      </c>
      <c r="H158" s="3" t="s">
        <v>11</v>
      </c>
      <c r="I158" s="3" t="s">
        <v>27</v>
      </c>
      <c r="J158" s="3" t="s">
        <v>72</v>
      </c>
      <c r="K158" s="3" t="s">
        <v>9</v>
      </c>
      <c r="L158" s="3" t="s">
        <v>74</v>
      </c>
      <c r="M158">
        <v>1</v>
      </c>
    </row>
    <row r="159" spans="1:13" x14ac:dyDescent="0.25">
      <c r="A159" s="1">
        <v>46133</v>
      </c>
      <c r="B159" s="1" t="str">
        <f ca="1">IF(Información1[[#This Row],[Fecha]]='Ajuste de fechas'!$A$2,"Día actual","Día anterior")</f>
        <v>Día anterior</v>
      </c>
      <c r="C159" s="3" t="s">
        <v>55</v>
      </c>
      <c r="D159" t="s">
        <v>111</v>
      </c>
      <c r="E159" s="3" t="s">
        <v>160</v>
      </c>
      <c r="F159" s="3" t="s">
        <v>107</v>
      </c>
      <c r="G159" s="3" t="s">
        <v>102</v>
      </c>
      <c r="H159" s="3" t="s">
        <v>11</v>
      </c>
      <c r="I159" s="3" t="s">
        <v>7</v>
      </c>
      <c r="J159" s="3" t="s">
        <v>72</v>
      </c>
      <c r="K159" s="3" t="s">
        <v>107</v>
      </c>
      <c r="L159" s="3" t="s">
        <v>75</v>
      </c>
      <c r="M159">
        <v>1</v>
      </c>
    </row>
    <row r="160" spans="1:13" x14ac:dyDescent="0.25">
      <c r="A160" s="1">
        <v>46133</v>
      </c>
      <c r="B160" s="1" t="str">
        <f ca="1">IF(Información1[[#This Row],[Fecha]]='Ajuste de fechas'!$A$2,"Día actual","Día anterior")</f>
        <v>Día anterior</v>
      </c>
      <c r="C160" s="3" t="s">
        <v>38</v>
      </c>
      <c r="D160" t="s">
        <v>41</v>
      </c>
      <c r="E160" s="3" t="s">
        <v>161</v>
      </c>
      <c r="F160" s="3" t="s">
        <v>60</v>
      </c>
      <c r="G160" s="3" t="s">
        <v>102</v>
      </c>
      <c r="H160" s="3" t="s">
        <v>11</v>
      </c>
      <c r="I160" s="3" t="s">
        <v>7</v>
      </c>
      <c r="J160" s="3" t="s">
        <v>72</v>
      </c>
      <c r="K160" s="3" t="s">
        <v>39</v>
      </c>
      <c r="L160" s="3" t="s">
        <v>73</v>
      </c>
      <c r="M160">
        <v>1</v>
      </c>
    </row>
    <row r="161" spans="1:13" x14ac:dyDescent="0.25">
      <c r="A161" s="1">
        <v>46133</v>
      </c>
      <c r="B161" s="1" t="str">
        <f ca="1">IF(Información1[[#This Row],[Fecha]]='Ajuste de fechas'!$A$2,"Día actual","Día anterior")</f>
        <v>Día anterior</v>
      </c>
      <c r="C161" s="3" t="s">
        <v>8</v>
      </c>
      <c r="D161" t="s">
        <v>10</v>
      </c>
      <c r="E161" s="3" t="s">
        <v>162</v>
      </c>
      <c r="F161" s="3" t="s">
        <v>101</v>
      </c>
      <c r="G161" s="3" t="s">
        <v>102</v>
      </c>
      <c r="H161" s="3" t="s">
        <v>11</v>
      </c>
      <c r="I161" s="3" t="s">
        <v>7</v>
      </c>
      <c r="J161" s="3" t="s">
        <v>72</v>
      </c>
      <c r="K161" s="3" t="s">
        <v>14</v>
      </c>
      <c r="L161" s="3" t="s">
        <v>73</v>
      </c>
      <c r="M161">
        <v>1</v>
      </c>
    </row>
    <row r="162" spans="1:13" x14ac:dyDescent="0.25">
      <c r="A162" s="1">
        <v>46133</v>
      </c>
      <c r="B162" s="1" t="str">
        <f ca="1">IF(Información1[[#This Row],[Fecha]]='Ajuste de fechas'!$A$2,"Día actual","Día anterior")</f>
        <v>Día anterior</v>
      </c>
      <c r="C162" s="3" t="s">
        <v>8</v>
      </c>
      <c r="D162" t="s">
        <v>10</v>
      </c>
      <c r="E162" s="3" t="s">
        <v>163</v>
      </c>
      <c r="F162" s="3" t="s">
        <v>15</v>
      </c>
      <c r="G162" s="3" t="s">
        <v>102</v>
      </c>
      <c r="H162" s="3" t="s">
        <v>11</v>
      </c>
      <c r="I162" s="3" t="s">
        <v>7</v>
      </c>
      <c r="J162" s="3" t="s">
        <v>72</v>
      </c>
      <c r="K162" s="3" t="s">
        <v>14</v>
      </c>
      <c r="L162" s="3" t="s">
        <v>73</v>
      </c>
      <c r="M162">
        <v>1</v>
      </c>
    </row>
    <row r="163" spans="1:13" x14ac:dyDescent="0.25">
      <c r="A163" s="1">
        <v>46133</v>
      </c>
      <c r="B163" s="1" t="str">
        <f ca="1">IF(Información1[[#This Row],[Fecha]]='Ajuste de fechas'!$A$2,"Día actual","Día anterior")</f>
        <v>Día anterior</v>
      </c>
      <c r="C163" s="3" t="s">
        <v>38</v>
      </c>
      <c r="D163" t="s">
        <v>40</v>
      </c>
      <c r="E163" s="3" t="s">
        <v>164</v>
      </c>
      <c r="F163" s="3" t="s">
        <v>26</v>
      </c>
      <c r="G163" s="3" t="s">
        <v>97</v>
      </c>
      <c r="H163" s="3" t="s">
        <v>11</v>
      </c>
      <c r="I163" s="3" t="s">
        <v>7</v>
      </c>
      <c r="J163" s="3" t="s">
        <v>26</v>
      </c>
      <c r="K163" s="3" t="s">
        <v>64</v>
      </c>
      <c r="L163" s="3" t="s">
        <v>73</v>
      </c>
      <c r="M163">
        <v>1</v>
      </c>
    </row>
    <row r="164" spans="1:13" x14ac:dyDescent="0.25">
      <c r="A164" s="1">
        <v>46133</v>
      </c>
      <c r="B164" s="1" t="str">
        <f ca="1">IF(Información1[[#This Row],[Fecha]]='Ajuste de fechas'!$A$2,"Día actual","Día anterior")</f>
        <v>Día anterior</v>
      </c>
      <c r="C164" s="3" t="s">
        <v>8</v>
      </c>
      <c r="D164" t="s">
        <v>10</v>
      </c>
      <c r="E164" s="3" t="s">
        <v>108</v>
      </c>
      <c r="F164" s="3" t="s">
        <v>107</v>
      </c>
      <c r="G164" s="3" t="s">
        <v>109</v>
      </c>
      <c r="H164" s="3" t="s">
        <v>11</v>
      </c>
      <c r="I164" s="3" t="s">
        <v>7</v>
      </c>
      <c r="J164" s="3" t="s">
        <v>72</v>
      </c>
      <c r="K164" s="3" t="s">
        <v>14</v>
      </c>
      <c r="L164" s="3" t="s">
        <v>75</v>
      </c>
      <c r="M164">
        <v>1</v>
      </c>
    </row>
    <row r="165" spans="1:13" x14ac:dyDescent="0.25">
      <c r="A165" s="1">
        <v>46133</v>
      </c>
      <c r="B165" s="1" t="str">
        <f ca="1">IF(Información1[[#This Row],[Fecha]]='Ajuste de fechas'!$A$2,"Día actual","Día anterior")</f>
        <v>Día anterior</v>
      </c>
      <c r="C165" s="3" t="s">
        <v>8</v>
      </c>
      <c r="D165" t="s">
        <v>10</v>
      </c>
      <c r="E165" s="3" t="s">
        <v>165</v>
      </c>
      <c r="F165" s="3" t="s">
        <v>19</v>
      </c>
      <c r="G165" s="3" t="s">
        <v>166</v>
      </c>
      <c r="H165" s="3" t="s">
        <v>11</v>
      </c>
      <c r="I165" s="3" t="s">
        <v>7</v>
      </c>
      <c r="J165" s="3" t="s">
        <v>76</v>
      </c>
      <c r="K165" s="3" t="s">
        <v>14</v>
      </c>
      <c r="L165" s="3" t="s">
        <v>73</v>
      </c>
      <c r="M165">
        <v>1</v>
      </c>
    </row>
    <row r="166" spans="1:13" x14ac:dyDescent="0.25">
      <c r="A166" s="1">
        <v>46133</v>
      </c>
      <c r="B166" s="1" t="str">
        <f ca="1">IF(Información1[[#This Row],[Fecha]]='Ajuste de fechas'!$A$2,"Día actual","Día anterior")</f>
        <v>Día anterior</v>
      </c>
      <c r="C166" s="3" t="s">
        <v>38</v>
      </c>
      <c r="D166" t="s">
        <v>41</v>
      </c>
      <c r="E166" s="3" t="s">
        <v>167</v>
      </c>
      <c r="F166" s="3" t="s">
        <v>15</v>
      </c>
      <c r="G166" s="3" t="s">
        <v>82</v>
      </c>
      <c r="H166" s="3" t="s">
        <v>11</v>
      </c>
      <c r="I166" s="3" t="s">
        <v>7</v>
      </c>
      <c r="J166" s="3" t="s">
        <v>72</v>
      </c>
      <c r="K166" s="3" t="s">
        <v>39</v>
      </c>
      <c r="L166" s="3" t="s">
        <v>73</v>
      </c>
      <c r="M166">
        <v>1</v>
      </c>
    </row>
    <row r="167" spans="1:13" x14ac:dyDescent="0.25">
      <c r="A167" s="1">
        <v>46133</v>
      </c>
      <c r="B167" s="1" t="str">
        <f ca="1">IF(Información1[[#This Row],[Fecha]]='Ajuste de fechas'!$A$2,"Día actual","Día anterior")</f>
        <v>Día anterior</v>
      </c>
      <c r="C167" s="3" t="s">
        <v>38</v>
      </c>
      <c r="D167" t="s">
        <v>40</v>
      </c>
      <c r="E167" s="3" t="s">
        <v>168</v>
      </c>
      <c r="F167" s="3" t="s">
        <v>37</v>
      </c>
      <c r="G167" s="3" t="s">
        <v>169</v>
      </c>
      <c r="H167" s="3" t="s">
        <v>11</v>
      </c>
      <c r="I167" s="3" t="s">
        <v>7</v>
      </c>
      <c r="J167" s="3" t="s">
        <v>72</v>
      </c>
      <c r="K167" s="3" t="s">
        <v>64</v>
      </c>
      <c r="L167" s="3" t="s">
        <v>73</v>
      </c>
      <c r="M167">
        <v>1</v>
      </c>
    </row>
    <row r="168" spans="1:13" x14ac:dyDescent="0.25">
      <c r="A168" s="1">
        <v>46133</v>
      </c>
      <c r="B168" s="1" t="str">
        <f ca="1">IF(Información1[[#This Row],[Fecha]]='Ajuste de fechas'!$A$2,"Día actual","Día anterior")</f>
        <v>Día anterior</v>
      </c>
      <c r="C168" s="3" t="s">
        <v>38</v>
      </c>
      <c r="D168" t="s">
        <v>40</v>
      </c>
      <c r="E168" s="3" t="s">
        <v>128</v>
      </c>
      <c r="F168" s="3" t="s">
        <v>25</v>
      </c>
      <c r="G168" s="3" t="s">
        <v>129</v>
      </c>
      <c r="H168" s="3" t="s">
        <v>11</v>
      </c>
      <c r="I168" s="3" t="s">
        <v>7</v>
      </c>
      <c r="J168" s="3" t="s">
        <v>72</v>
      </c>
      <c r="K168" s="3" t="s">
        <v>64</v>
      </c>
      <c r="L168" s="3" t="s">
        <v>75</v>
      </c>
      <c r="M168">
        <v>1</v>
      </c>
    </row>
    <row r="169" spans="1:13" x14ac:dyDescent="0.25">
      <c r="A169" s="1">
        <v>46133</v>
      </c>
      <c r="B169" s="1" t="str">
        <f ca="1">IF(Información1[[#This Row],[Fecha]]='Ajuste de fechas'!$A$2,"Día actual","Día anterior")</f>
        <v>Día anterior</v>
      </c>
      <c r="C169" s="3" t="s">
        <v>38</v>
      </c>
      <c r="D169" t="s">
        <v>41</v>
      </c>
      <c r="E169" s="3" t="s">
        <v>170</v>
      </c>
      <c r="F169" s="3" t="s">
        <v>19</v>
      </c>
      <c r="G169" s="3" t="s">
        <v>171</v>
      </c>
      <c r="H169" s="3" t="s">
        <v>11</v>
      </c>
      <c r="I169" s="3" t="s">
        <v>7</v>
      </c>
      <c r="J169" s="3" t="s">
        <v>76</v>
      </c>
      <c r="K169" s="3" t="s">
        <v>39</v>
      </c>
      <c r="L169" s="3" t="s">
        <v>74</v>
      </c>
      <c r="M169">
        <v>1</v>
      </c>
    </row>
    <row r="170" spans="1:13" x14ac:dyDescent="0.25">
      <c r="A170" s="1">
        <v>46133</v>
      </c>
      <c r="B170" s="1" t="str">
        <f ca="1">IF(Información1[[#This Row],[Fecha]]='Ajuste de fechas'!$A$2,"Día actual","Día anterior")</f>
        <v>Día anterior</v>
      </c>
      <c r="C170" s="3" t="s">
        <v>8</v>
      </c>
      <c r="D170" t="s">
        <v>10</v>
      </c>
      <c r="E170" s="3" t="s">
        <v>172</v>
      </c>
      <c r="F170" s="3" t="s">
        <v>6</v>
      </c>
      <c r="G170" s="3" t="s">
        <v>84</v>
      </c>
      <c r="H170" s="3" t="s">
        <v>11</v>
      </c>
      <c r="I170" s="3" t="s">
        <v>27</v>
      </c>
      <c r="J170" s="3" t="s">
        <v>72</v>
      </c>
      <c r="K170" s="3" t="s">
        <v>9</v>
      </c>
      <c r="L170" s="3" t="s">
        <v>74</v>
      </c>
      <c r="M170">
        <v>1</v>
      </c>
    </row>
    <row r="171" spans="1:13" x14ac:dyDescent="0.25">
      <c r="A171" s="1">
        <v>46133</v>
      </c>
      <c r="B171" s="1" t="str">
        <f ca="1">IF(Información1[[#This Row],[Fecha]]='Ajuste de fechas'!$A$2,"Día actual","Día anterior")</f>
        <v>Día anterior</v>
      </c>
      <c r="C171" s="3" t="s">
        <v>38</v>
      </c>
      <c r="D171" t="s">
        <v>40</v>
      </c>
      <c r="E171" s="3" t="s">
        <v>142</v>
      </c>
      <c r="F171" s="3" t="s">
        <v>28</v>
      </c>
      <c r="G171" s="3" t="s">
        <v>117</v>
      </c>
      <c r="H171" s="3" t="s">
        <v>11</v>
      </c>
      <c r="I171" s="3" t="s">
        <v>7</v>
      </c>
      <c r="J171" s="3" t="s">
        <v>72</v>
      </c>
      <c r="K171" s="3" t="s">
        <v>64</v>
      </c>
      <c r="L171" s="3" t="s">
        <v>75</v>
      </c>
      <c r="M171">
        <v>1</v>
      </c>
    </row>
    <row r="172" spans="1:13" x14ac:dyDescent="0.25">
      <c r="A172" s="1">
        <v>46133</v>
      </c>
      <c r="B172" s="1" t="str">
        <f ca="1">IF(Información1[[#This Row],[Fecha]]='Ajuste de fechas'!$A$2,"Día actual","Día anterior")</f>
        <v>Día anterior</v>
      </c>
      <c r="C172" s="3" t="s">
        <v>38</v>
      </c>
      <c r="D172" t="s">
        <v>41</v>
      </c>
      <c r="E172" s="3" t="s">
        <v>173</v>
      </c>
      <c r="F172" s="3" t="s">
        <v>28</v>
      </c>
      <c r="G172" s="3" t="s">
        <v>117</v>
      </c>
      <c r="H172" s="3" t="s">
        <v>11</v>
      </c>
      <c r="I172" s="3" t="s">
        <v>7</v>
      </c>
      <c r="J172" s="3" t="s">
        <v>72</v>
      </c>
      <c r="K172" s="3" t="s">
        <v>39</v>
      </c>
      <c r="L172" s="3" t="s">
        <v>73</v>
      </c>
      <c r="M172">
        <v>1</v>
      </c>
    </row>
    <row r="173" spans="1:13" x14ac:dyDescent="0.25">
      <c r="A173" s="1">
        <v>46133</v>
      </c>
      <c r="B173" s="1" t="str">
        <f ca="1">IF(Información1[[#This Row],[Fecha]]='Ajuste de fechas'!$A$2,"Día actual","Día anterior")</f>
        <v>Día anterior</v>
      </c>
      <c r="C173" s="3" t="s">
        <v>8</v>
      </c>
      <c r="D173" t="s">
        <v>10</v>
      </c>
      <c r="E173" s="3" t="s">
        <v>174</v>
      </c>
      <c r="F173" s="3" t="s">
        <v>28</v>
      </c>
      <c r="G173" s="3" t="s">
        <v>117</v>
      </c>
      <c r="H173" s="3" t="s">
        <v>11</v>
      </c>
      <c r="I173" s="3" t="s">
        <v>7</v>
      </c>
      <c r="J173" s="3" t="s">
        <v>72</v>
      </c>
      <c r="K173" s="3" t="s">
        <v>14</v>
      </c>
      <c r="L173" s="3" t="s">
        <v>73</v>
      </c>
      <c r="M173">
        <v>1</v>
      </c>
    </row>
    <row r="174" spans="1:13" x14ac:dyDescent="0.25">
      <c r="A174" s="1">
        <v>46133</v>
      </c>
      <c r="B174" s="1" t="str">
        <f ca="1">IF(Información1[[#This Row],[Fecha]]='Ajuste de fechas'!$A$2,"Día actual","Día anterior")</f>
        <v>Día anterior</v>
      </c>
      <c r="C174" s="3" t="s">
        <v>8</v>
      </c>
      <c r="D174" t="s">
        <v>10</v>
      </c>
      <c r="E174" s="3" t="s">
        <v>175</v>
      </c>
      <c r="F174" s="3" t="s">
        <v>19</v>
      </c>
      <c r="G174" s="3" t="s">
        <v>176</v>
      </c>
      <c r="H174" s="3" t="s">
        <v>11</v>
      </c>
      <c r="I174" s="3" t="s">
        <v>27</v>
      </c>
      <c r="J174" s="3" t="s">
        <v>76</v>
      </c>
      <c r="K174" s="3" t="s">
        <v>9</v>
      </c>
      <c r="L174" s="3" t="s">
        <v>74</v>
      </c>
      <c r="M174">
        <v>1</v>
      </c>
    </row>
    <row r="175" spans="1:13" x14ac:dyDescent="0.25">
      <c r="A175" s="1">
        <v>46133</v>
      </c>
      <c r="B175" s="1" t="str">
        <f ca="1">IF(Información1[[#This Row],[Fecha]]='Ajuste de fechas'!$A$2,"Día actual","Día anterior")</f>
        <v>Día anterior</v>
      </c>
      <c r="C175" s="3" t="s">
        <v>38</v>
      </c>
      <c r="D175" t="s">
        <v>40</v>
      </c>
      <c r="E175" s="3" t="s">
        <v>177</v>
      </c>
      <c r="F175" s="3" t="s">
        <v>23</v>
      </c>
      <c r="G175" s="3" t="s">
        <v>178</v>
      </c>
      <c r="H175" s="3" t="s">
        <v>11</v>
      </c>
      <c r="I175" s="3" t="s">
        <v>7</v>
      </c>
      <c r="J175" s="3" t="s">
        <v>77</v>
      </c>
      <c r="K175" s="3" t="s">
        <v>64</v>
      </c>
      <c r="L175" s="3" t="s">
        <v>73</v>
      </c>
      <c r="M175">
        <v>1</v>
      </c>
    </row>
    <row r="176" spans="1:13" x14ac:dyDescent="0.25">
      <c r="A176" s="1">
        <v>46133</v>
      </c>
      <c r="B176" s="1" t="str">
        <f ca="1">IF(Información1[[#This Row],[Fecha]]='Ajuste de fechas'!$A$2,"Día actual","Día anterior")</f>
        <v>Día anterior</v>
      </c>
      <c r="C176" s="3" t="s">
        <v>38</v>
      </c>
      <c r="D176" t="s">
        <v>40</v>
      </c>
      <c r="E176" s="3" t="s">
        <v>179</v>
      </c>
      <c r="F176" s="3" t="s">
        <v>23</v>
      </c>
      <c r="G176" s="3" t="s">
        <v>178</v>
      </c>
      <c r="H176" s="3" t="s">
        <v>11</v>
      </c>
      <c r="I176" s="3" t="s">
        <v>7</v>
      </c>
      <c r="J176" s="3" t="s">
        <v>77</v>
      </c>
      <c r="K176" s="3" t="s">
        <v>64</v>
      </c>
      <c r="L176" s="3" t="s">
        <v>74</v>
      </c>
      <c r="M176">
        <v>1</v>
      </c>
    </row>
    <row r="177" spans="1:13" x14ac:dyDescent="0.25">
      <c r="A177" s="1">
        <v>46133</v>
      </c>
      <c r="B177" s="1" t="str">
        <f ca="1">IF(Información1[[#This Row],[Fecha]]='Ajuste de fechas'!$A$2,"Día actual","Día anterior")</f>
        <v>Día anterior</v>
      </c>
      <c r="C177" s="3" t="s">
        <v>38</v>
      </c>
      <c r="D177" t="s">
        <v>40</v>
      </c>
      <c r="E177" s="3" t="s">
        <v>180</v>
      </c>
      <c r="F177" s="3" t="s">
        <v>23</v>
      </c>
      <c r="G177" s="3" t="s">
        <v>178</v>
      </c>
      <c r="H177" s="3" t="s">
        <v>11</v>
      </c>
      <c r="I177" s="3" t="s">
        <v>7</v>
      </c>
      <c r="J177" s="3" t="s">
        <v>77</v>
      </c>
      <c r="K177" s="3" t="s">
        <v>64</v>
      </c>
      <c r="L177" s="3" t="s">
        <v>73</v>
      </c>
      <c r="M177">
        <v>1</v>
      </c>
    </row>
    <row r="178" spans="1:13" x14ac:dyDescent="0.25">
      <c r="A178" s="1">
        <v>46133</v>
      </c>
      <c r="B178" s="1" t="str">
        <f ca="1">IF(Información1[[#This Row],[Fecha]]='Ajuste de fechas'!$A$2,"Día actual","Día anterior")</f>
        <v>Día anterior</v>
      </c>
      <c r="C178" s="3" t="s">
        <v>38</v>
      </c>
      <c r="D178" t="s">
        <v>40</v>
      </c>
      <c r="E178" s="3" t="s">
        <v>181</v>
      </c>
      <c r="F178" s="3" t="s">
        <v>37</v>
      </c>
      <c r="G178" s="3" t="s">
        <v>182</v>
      </c>
      <c r="H178" s="3" t="s">
        <v>11</v>
      </c>
      <c r="I178" s="3" t="s">
        <v>7</v>
      </c>
      <c r="J178" s="3" t="s">
        <v>72</v>
      </c>
      <c r="K178" s="3" t="s">
        <v>64</v>
      </c>
      <c r="L178" s="3" t="s">
        <v>73</v>
      </c>
      <c r="M178">
        <v>1</v>
      </c>
    </row>
    <row r="179" spans="1:13" x14ac:dyDescent="0.25">
      <c r="A179" s="1">
        <v>46133</v>
      </c>
      <c r="B179" s="1" t="str">
        <f ca="1">IF(Información1[[#This Row],[Fecha]]='Ajuste de fechas'!$A$2,"Día actual","Día anterior")</f>
        <v>Día anterior</v>
      </c>
      <c r="C179" s="3" t="s">
        <v>38</v>
      </c>
      <c r="D179" t="s">
        <v>40</v>
      </c>
      <c r="E179" s="3" t="s">
        <v>183</v>
      </c>
      <c r="F179" s="3" t="s">
        <v>26</v>
      </c>
      <c r="G179" s="3" t="s">
        <v>184</v>
      </c>
      <c r="H179" s="3" t="s">
        <v>11</v>
      </c>
      <c r="I179" s="3" t="s">
        <v>7</v>
      </c>
      <c r="J179" s="3" t="s">
        <v>26</v>
      </c>
      <c r="K179" s="3" t="s">
        <v>64</v>
      </c>
      <c r="L179" s="3" t="s">
        <v>73</v>
      </c>
      <c r="M179">
        <v>1</v>
      </c>
    </row>
    <row r="180" spans="1:13" x14ac:dyDescent="0.25">
      <c r="A180" s="1">
        <v>46133</v>
      </c>
      <c r="B180" s="1" t="str">
        <f ca="1">IF(Información1[[#This Row],[Fecha]]='Ajuste de fechas'!$A$2,"Día actual","Día anterior")</f>
        <v>Día anterior</v>
      </c>
      <c r="C180" s="3" t="s">
        <v>38</v>
      </c>
      <c r="D180" t="s">
        <v>41</v>
      </c>
      <c r="E180" s="3" t="s">
        <v>185</v>
      </c>
      <c r="F180" s="3" t="s">
        <v>19</v>
      </c>
      <c r="G180" s="3" t="s">
        <v>82</v>
      </c>
      <c r="H180" s="3" t="s">
        <v>11</v>
      </c>
      <c r="I180" s="3" t="s">
        <v>7</v>
      </c>
      <c r="J180" s="3" t="s">
        <v>76</v>
      </c>
      <c r="K180" s="3" t="s">
        <v>39</v>
      </c>
      <c r="L180" s="3" t="s">
        <v>74</v>
      </c>
      <c r="M180">
        <v>1</v>
      </c>
    </row>
    <row r="181" spans="1:13" x14ac:dyDescent="0.25">
      <c r="A181" s="1">
        <v>46133</v>
      </c>
      <c r="B181" s="1" t="str">
        <f ca="1">IF(Información1[[#This Row],[Fecha]]='Ajuste de fechas'!$A$2,"Día actual","Día anterior")</f>
        <v>Día anterior</v>
      </c>
      <c r="C181" s="3" t="s">
        <v>38</v>
      </c>
      <c r="D181" t="s">
        <v>41</v>
      </c>
      <c r="E181" s="3" t="s">
        <v>186</v>
      </c>
      <c r="F181" s="3" t="s">
        <v>23</v>
      </c>
      <c r="G181" s="3" t="s">
        <v>104</v>
      </c>
      <c r="H181" s="3" t="s">
        <v>11</v>
      </c>
      <c r="I181" s="3" t="s">
        <v>7</v>
      </c>
      <c r="J181" s="3" t="s">
        <v>77</v>
      </c>
      <c r="K181" s="3" t="s">
        <v>39</v>
      </c>
      <c r="L181" s="3" t="s">
        <v>73</v>
      </c>
      <c r="M181">
        <v>1</v>
      </c>
    </row>
    <row r="182" spans="1:13" x14ac:dyDescent="0.25">
      <c r="A182" s="1">
        <v>46133</v>
      </c>
      <c r="B182" s="1" t="str">
        <f ca="1">IF(Información1[[#This Row],[Fecha]]='Ajuste de fechas'!$A$2,"Día actual","Día anterior")</f>
        <v>Día anterior</v>
      </c>
      <c r="C182" s="3" t="s">
        <v>8</v>
      </c>
      <c r="D182" t="s">
        <v>10</v>
      </c>
      <c r="E182" s="3" t="s">
        <v>187</v>
      </c>
      <c r="F182" s="3" t="s">
        <v>188</v>
      </c>
      <c r="G182" s="3" t="s">
        <v>84</v>
      </c>
      <c r="H182" s="3" t="s">
        <v>11</v>
      </c>
      <c r="I182" s="3" t="s">
        <v>27</v>
      </c>
      <c r="J182" s="3" t="s">
        <v>189</v>
      </c>
      <c r="K182" s="3" t="s">
        <v>9</v>
      </c>
      <c r="L182" s="3" t="s">
        <v>74</v>
      </c>
      <c r="M182">
        <v>1</v>
      </c>
    </row>
    <row r="183" spans="1:13" x14ac:dyDescent="0.25">
      <c r="A183" s="1">
        <v>46133</v>
      </c>
      <c r="B183" s="1" t="str">
        <f ca="1">IF(Información1[[#This Row],[Fecha]]='Ajuste de fechas'!$A$2,"Día actual","Día anterior")</f>
        <v>Día anterior</v>
      </c>
      <c r="C183" s="3" t="s">
        <v>8</v>
      </c>
      <c r="D183" t="s">
        <v>10</v>
      </c>
      <c r="E183" s="3" t="s">
        <v>190</v>
      </c>
      <c r="F183" s="3" t="s">
        <v>17</v>
      </c>
      <c r="G183" s="3" t="s">
        <v>96</v>
      </c>
      <c r="H183" s="3" t="s">
        <v>11</v>
      </c>
      <c r="I183" s="3" t="s">
        <v>27</v>
      </c>
      <c r="J183" s="3" t="s">
        <v>72</v>
      </c>
      <c r="K183" s="3" t="s">
        <v>9</v>
      </c>
      <c r="L183" s="3" t="s">
        <v>74</v>
      </c>
      <c r="M183">
        <v>1</v>
      </c>
    </row>
    <row r="184" spans="1:13" x14ac:dyDescent="0.25">
      <c r="A184" s="1">
        <v>46133</v>
      </c>
      <c r="B184" s="1" t="str">
        <f ca="1">IF(Información1[[#This Row],[Fecha]]='Ajuste de fechas'!$A$2,"Día actual","Día anterior")</f>
        <v>Día anterior</v>
      </c>
      <c r="C184" s="3" t="s">
        <v>8</v>
      </c>
      <c r="D184" t="s">
        <v>10</v>
      </c>
      <c r="E184" s="3" t="s">
        <v>191</v>
      </c>
      <c r="F184" s="3" t="s">
        <v>17</v>
      </c>
      <c r="G184" s="3" t="s">
        <v>192</v>
      </c>
      <c r="H184" s="3" t="s">
        <v>11</v>
      </c>
      <c r="I184" s="3" t="s">
        <v>27</v>
      </c>
      <c r="J184" s="3" t="s">
        <v>72</v>
      </c>
      <c r="K184" s="3" t="s">
        <v>9</v>
      </c>
      <c r="L184" s="3" t="s">
        <v>74</v>
      </c>
      <c r="M184">
        <v>1</v>
      </c>
    </row>
    <row r="185" spans="1:13" x14ac:dyDescent="0.25">
      <c r="A185" s="1">
        <v>46133</v>
      </c>
      <c r="B185" s="1" t="str">
        <f ca="1">IF(Información1[[#This Row],[Fecha]]='Ajuste de fechas'!$A$2,"Día actual","Día anterior")</f>
        <v>Día anterior</v>
      </c>
      <c r="C185" s="3" t="s">
        <v>8</v>
      </c>
      <c r="D185" t="s">
        <v>10</v>
      </c>
      <c r="E185" s="3" t="s">
        <v>193</v>
      </c>
      <c r="F185" s="3" t="s">
        <v>25</v>
      </c>
      <c r="G185" s="3" t="s">
        <v>194</v>
      </c>
      <c r="H185" s="3" t="s">
        <v>11</v>
      </c>
      <c r="I185" s="3" t="s">
        <v>27</v>
      </c>
      <c r="J185" s="3" t="s">
        <v>72</v>
      </c>
      <c r="K185" s="3" t="s">
        <v>9</v>
      </c>
      <c r="L185" s="3" t="s">
        <v>74</v>
      </c>
      <c r="M185">
        <v>1</v>
      </c>
    </row>
    <row r="186" spans="1:13" x14ac:dyDescent="0.25">
      <c r="A186" s="1">
        <v>46133</v>
      </c>
      <c r="B186" s="1" t="str">
        <f ca="1">IF(Información1[[#This Row],[Fecha]]='Ajuste de fechas'!$A$2,"Día actual","Día anterior")</f>
        <v>Día anterior</v>
      </c>
      <c r="C186" s="3" t="s">
        <v>57</v>
      </c>
      <c r="D186" t="s">
        <v>58</v>
      </c>
      <c r="E186" s="3" t="s">
        <v>195</v>
      </c>
      <c r="F186" s="3" t="s">
        <v>21</v>
      </c>
      <c r="G186" s="3" t="s">
        <v>196</v>
      </c>
      <c r="H186" s="3" t="s">
        <v>11</v>
      </c>
      <c r="I186" s="3" t="s">
        <v>27</v>
      </c>
      <c r="J186" s="3" t="s">
        <v>72</v>
      </c>
      <c r="K186" s="3" t="s">
        <v>59</v>
      </c>
      <c r="L186" s="3" t="s">
        <v>73</v>
      </c>
      <c r="M186">
        <v>1</v>
      </c>
    </row>
    <row r="187" spans="1:13" x14ac:dyDescent="0.25">
      <c r="A187" s="1">
        <v>46133</v>
      </c>
      <c r="B187" s="1" t="str">
        <f ca="1">IF(Información1[[#This Row],[Fecha]]='Ajuste de fechas'!$A$2,"Día actual","Día anterior")</f>
        <v>Día anterior</v>
      </c>
      <c r="C187" s="3" t="s">
        <v>57</v>
      </c>
      <c r="D187" t="s">
        <v>58</v>
      </c>
      <c r="E187" s="3" t="s">
        <v>197</v>
      </c>
      <c r="F187" s="3" t="s">
        <v>24</v>
      </c>
      <c r="G187" s="3" t="s">
        <v>198</v>
      </c>
      <c r="H187" s="3" t="s">
        <v>11</v>
      </c>
      <c r="I187" s="3" t="s">
        <v>7</v>
      </c>
      <c r="J187" s="3" t="s">
        <v>72</v>
      </c>
      <c r="K187" s="3" t="s">
        <v>59</v>
      </c>
      <c r="L187" s="3" t="s">
        <v>73</v>
      </c>
      <c r="M187">
        <v>1</v>
      </c>
    </row>
    <row r="188" spans="1:13" x14ac:dyDescent="0.25">
      <c r="A188" s="1">
        <v>46133</v>
      </c>
      <c r="B188" s="1" t="str">
        <f ca="1">IF(Información1[[#This Row],[Fecha]]='Ajuste de fechas'!$A$2,"Día actual","Día anterior")</f>
        <v>Día anterior</v>
      </c>
      <c r="C188" s="3" t="s">
        <v>57</v>
      </c>
      <c r="D188" t="s">
        <v>58</v>
      </c>
      <c r="E188" s="3" t="s">
        <v>199</v>
      </c>
      <c r="F188" s="3" t="s">
        <v>24</v>
      </c>
      <c r="G188" s="3" t="s">
        <v>46</v>
      </c>
      <c r="H188" s="3" t="s">
        <v>11</v>
      </c>
      <c r="I188" s="3" t="s">
        <v>7</v>
      </c>
      <c r="J188" s="3" t="s">
        <v>72</v>
      </c>
      <c r="K188" s="3" t="s">
        <v>59</v>
      </c>
      <c r="L188" s="3" t="s">
        <v>73</v>
      </c>
      <c r="M188">
        <v>1</v>
      </c>
    </row>
    <row r="189" spans="1:13" x14ac:dyDescent="0.25">
      <c r="A189" s="1">
        <v>46133</v>
      </c>
      <c r="B189" s="1" t="str">
        <f ca="1">IF(Información1[[#This Row],[Fecha]]='Ajuste de fechas'!$A$2,"Día actual","Día anterior")</f>
        <v>Día anterior</v>
      </c>
      <c r="C189" s="3" t="s">
        <v>57</v>
      </c>
      <c r="D189" t="s">
        <v>58</v>
      </c>
      <c r="E189" s="3" t="s">
        <v>200</v>
      </c>
      <c r="F189" s="3" t="s">
        <v>19</v>
      </c>
      <c r="G189" s="3" t="s">
        <v>104</v>
      </c>
      <c r="H189" s="3" t="s">
        <v>11</v>
      </c>
      <c r="I189" s="3" t="s">
        <v>7</v>
      </c>
      <c r="J189" s="3" t="s">
        <v>76</v>
      </c>
      <c r="K189" s="3" t="s">
        <v>59</v>
      </c>
      <c r="L189" s="3" t="s">
        <v>73</v>
      </c>
      <c r="M189">
        <v>1</v>
      </c>
    </row>
    <row r="190" spans="1:13" x14ac:dyDescent="0.25">
      <c r="A190" s="1">
        <v>46133</v>
      </c>
      <c r="B190" s="1" t="str">
        <f ca="1">IF(Información1[[#This Row],[Fecha]]='Ajuste de fechas'!$A$2,"Día actual","Día anterior")</f>
        <v>Día anterior</v>
      </c>
      <c r="C190" s="3" t="s">
        <v>57</v>
      </c>
      <c r="D190" t="s">
        <v>58</v>
      </c>
      <c r="E190" s="3" t="s">
        <v>201</v>
      </c>
      <c r="F190" s="3" t="s">
        <v>28</v>
      </c>
      <c r="G190" s="3" t="s">
        <v>117</v>
      </c>
      <c r="H190" s="3" t="s">
        <v>11</v>
      </c>
      <c r="I190" s="3" t="s">
        <v>7</v>
      </c>
      <c r="J190" s="3" t="s">
        <v>72</v>
      </c>
      <c r="K190" s="3" t="s">
        <v>59</v>
      </c>
      <c r="L190" s="3" t="s">
        <v>75</v>
      </c>
      <c r="M190">
        <v>1</v>
      </c>
    </row>
    <row r="191" spans="1:13" x14ac:dyDescent="0.25">
      <c r="A191" s="1">
        <v>46133</v>
      </c>
      <c r="B191" s="1" t="str">
        <f ca="1">IF(Información1[[#This Row],[Fecha]]='Ajuste de fechas'!$A$2,"Día actual","Día anterior")</f>
        <v>Día anterior</v>
      </c>
      <c r="C191" s="3" t="s">
        <v>57</v>
      </c>
      <c r="D191" t="s">
        <v>58</v>
      </c>
      <c r="E191" s="3" t="s">
        <v>202</v>
      </c>
      <c r="F191" s="3" t="s">
        <v>6</v>
      </c>
      <c r="G191" s="3" t="s">
        <v>133</v>
      </c>
      <c r="H191" s="3" t="s">
        <v>11</v>
      </c>
      <c r="I191" s="3" t="s">
        <v>27</v>
      </c>
      <c r="J191" s="3" t="s">
        <v>72</v>
      </c>
      <c r="K191" s="3" t="s">
        <v>9</v>
      </c>
      <c r="L191" s="3" t="s">
        <v>74</v>
      </c>
      <c r="M191">
        <v>1</v>
      </c>
    </row>
    <row r="192" spans="1:13" x14ac:dyDescent="0.25">
      <c r="A192" s="1">
        <v>46133</v>
      </c>
      <c r="B192" s="1" t="str">
        <f ca="1">IF(Información1[[#This Row],[Fecha]]='Ajuste de fechas'!$A$2,"Día actual","Día anterior")</f>
        <v>Día anterior</v>
      </c>
      <c r="C192" s="3" t="s">
        <v>57</v>
      </c>
      <c r="D192" t="s">
        <v>58</v>
      </c>
      <c r="E192" s="3" t="s">
        <v>203</v>
      </c>
      <c r="F192" s="3" t="s">
        <v>25</v>
      </c>
      <c r="G192" s="3" t="s">
        <v>129</v>
      </c>
      <c r="H192" s="3" t="s">
        <v>11</v>
      </c>
      <c r="I192" s="3" t="s">
        <v>7</v>
      </c>
      <c r="J192" s="3" t="s">
        <v>72</v>
      </c>
      <c r="K192" s="3" t="s">
        <v>59</v>
      </c>
      <c r="L192" s="3" t="s">
        <v>75</v>
      </c>
      <c r="M192">
        <v>1</v>
      </c>
    </row>
    <row r="193" spans="1:13" x14ac:dyDescent="0.25">
      <c r="A193" s="1">
        <v>46133</v>
      </c>
      <c r="B193" s="1" t="str">
        <f ca="1">IF(Información1[[#This Row],[Fecha]]='Ajuste de fechas'!$A$2,"Día actual","Día anterior")</f>
        <v>Día anterior</v>
      </c>
      <c r="C193" s="3" t="s">
        <v>57</v>
      </c>
      <c r="D193" t="s">
        <v>58</v>
      </c>
      <c r="E193" s="3" t="s">
        <v>204</v>
      </c>
      <c r="F193" s="3" t="s">
        <v>19</v>
      </c>
      <c r="G193" s="3" t="s">
        <v>205</v>
      </c>
      <c r="H193" s="3" t="s">
        <v>11</v>
      </c>
      <c r="I193" s="3" t="s">
        <v>7</v>
      </c>
      <c r="J193" s="3" t="s">
        <v>76</v>
      </c>
      <c r="K193" s="3" t="s">
        <v>59</v>
      </c>
      <c r="L193" s="3" t="s">
        <v>73</v>
      </c>
      <c r="M193">
        <v>1</v>
      </c>
    </row>
    <row r="194" spans="1:13" x14ac:dyDescent="0.25">
      <c r="A194" s="1">
        <v>46133</v>
      </c>
      <c r="B194" s="1" t="str">
        <f ca="1">IF(Información1[[#This Row],[Fecha]]='Ajuste de fechas'!$A$2,"Día actual","Día anterior")</f>
        <v>Día anterior</v>
      </c>
      <c r="C194" s="3" t="s">
        <v>57</v>
      </c>
      <c r="D194" t="s">
        <v>58</v>
      </c>
      <c r="E194" s="3" t="s">
        <v>206</v>
      </c>
      <c r="F194" s="3" t="s">
        <v>23</v>
      </c>
      <c r="G194" s="3" t="s">
        <v>207</v>
      </c>
      <c r="H194" s="3" t="s">
        <v>11</v>
      </c>
      <c r="I194" s="3" t="s">
        <v>7</v>
      </c>
      <c r="J194" s="3" t="s">
        <v>77</v>
      </c>
      <c r="K194" s="3" t="s">
        <v>59</v>
      </c>
      <c r="L194" s="3" t="s">
        <v>73</v>
      </c>
      <c r="M194">
        <v>1</v>
      </c>
    </row>
    <row r="195" spans="1:13" x14ac:dyDescent="0.25">
      <c r="A195" s="1">
        <v>46133</v>
      </c>
      <c r="B195" s="1" t="str">
        <f ca="1">IF(Información1[[#This Row],[Fecha]]='Ajuste de fechas'!$A$2,"Día actual","Día anterior")</f>
        <v>Día anterior</v>
      </c>
      <c r="C195" s="3" t="s">
        <v>57</v>
      </c>
      <c r="D195" t="s">
        <v>58</v>
      </c>
      <c r="E195" s="3" t="s">
        <v>208</v>
      </c>
      <c r="F195" s="3" t="s">
        <v>209</v>
      </c>
      <c r="G195" s="3" t="s">
        <v>210</v>
      </c>
      <c r="H195" s="3" t="s">
        <v>11</v>
      </c>
      <c r="I195" s="3" t="s">
        <v>7</v>
      </c>
      <c r="J195" s="3" t="s">
        <v>72</v>
      </c>
      <c r="K195" s="3" t="s">
        <v>59</v>
      </c>
      <c r="L195" s="3" t="s">
        <v>75</v>
      </c>
      <c r="M195">
        <v>1</v>
      </c>
    </row>
    <row r="196" spans="1:13" x14ac:dyDescent="0.25">
      <c r="A196" s="1">
        <v>46133</v>
      </c>
      <c r="B196" s="1" t="str">
        <f ca="1">IF(Información1[[#This Row],[Fecha]]='Ajuste de fechas'!$A$2,"Día actual","Día anterior")</f>
        <v>Día anterior</v>
      </c>
      <c r="C196" s="3" t="s">
        <v>57</v>
      </c>
      <c r="D196" t="s">
        <v>58</v>
      </c>
      <c r="E196" s="3" t="s">
        <v>211</v>
      </c>
      <c r="F196" s="3" t="s">
        <v>101</v>
      </c>
      <c r="G196" s="3" t="s">
        <v>102</v>
      </c>
      <c r="H196" s="3" t="s">
        <v>11</v>
      </c>
      <c r="I196" s="3" t="s">
        <v>7</v>
      </c>
      <c r="J196" s="3" t="s">
        <v>72</v>
      </c>
      <c r="K196" s="3" t="s">
        <v>59</v>
      </c>
      <c r="L196" s="3" t="s">
        <v>73</v>
      </c>
      <c r="M196">
        <v>1</v>
      </c>
    </row>
    <row r="197" spans="1:13" x14ac:dyDescent="0.25">
      <c r="A197" s="1">
        <v>46133</v>
      </c>
      <c r="B197" s="1" t="str">
        <f ca="1">IF(Información1[[#This Row],[Fecha]]='Ajuste de fechas'!$A$2,"Día actual","Día anterior")</f>
        <v>Día anterior</v>
      </c>
      <c r="C197" s="3" t="s">
        <v>57</v>
      </c>
      <c r="D197" t="s">
        <v>58</v>
      </c>
      <c r="E197" s="3" t="s">
        <v>212</v>
      </c>
      <c r="F197" s="3" t="s">
        <v>15</v>
      </c>
      <c r="G197" s="3" t="s">
        <v>109</v>
      </c>
      <c r="H197" s="3" t="s">
        <v>11</v>
      </c>
      <c r="I197" s="3" t="s">
        <v>7</v>
      </c>
      <c r="J197" s="3" t="s">
        <v>72</v>
      </c>
      <c r="K197" s="3" t="s">
        <v>59</v>
      </c>
      <c r="L197" s="3" t="s">
        <v>73</v>
      </c>
      <c r="M197">
        <v>1</v>
      </c>
    </row>
    <row r="198" spans="1:13" x14ac:dyDescent="0.25">
      <c r="A198" s="1">
        <v>46133</v>
      </c>
      <c r="B198" s="1" t="str">
        <f ca="1">IF(Información1[[#This Row],[Fecha]]='Ajuste de fechas'!$A$2,"Día actual","Día anterior")</f>
        <v>Día anterior</v>
      </c>
      <c r="C198" s="3" t="s">
        <v>57</v>
      </c>
      <c r="D198" t="s">
        <v>58</v>
      </c>
      <c r="E198" s="3" t="s">
        <v>213</v>
      </c>
      <c r="F198" s="3" t="s">
        <v>21</v>
      </c>
      <c r="G198" s="3" t="s">
        <v>99</v>
      </c>
      <c r="H198" s="3" t="s">
        <v>11</v>
      </c>
      <c r="I198" s="3" t="s">
        <v>7</v>
      </c>
      <c r="J198" s="3" t="s">
        <v>72</v>
      </c>
      <c r="K198" s="3" t="s">
        <v>59</v>
      </c>
      <c r="L198" s="3" t="s">
        <v>75</v>
      </c>
      <c r="M198">
        <v>1</v>
      </c>
    </row>
    <row r="199" spans="1:13" x14ac:dyDescent="0.25">
      <c r="A199" s="1">
        <v>46133</v>
      </c>
      <c r="B199" s="1" t="str">
        <f ca="1">IF(Información1[[#This Row],[Fecha]]='Ajuste de fechas'!$A$2,"Día actual","Día anterior")</f>
        <v>Día anterior</v>
      </c>
      <c r="C199" s="3" t="s">
        <v>57</v>
      </c>
      <c r="D199" t="s">
        <v>58</v>
      </c>
      <c r="E199" s="3" t="s">
        <v>214</v>
      </c>
      <c r="F199" s="3" t="s">
        <v>21</v>
      </c>
      <c r="G199" s="3" t="s">
        <v>215</v>
      </c>
      <c r="H199" s="3" t="s">
        <v>11</v>
      </c>
      <c r="I199" s="3" t="s">
        <v>7</v>
      </c>
      <c r="J199" s="3" t="s">
        <v>72</v>
      </c>
      <c r="K199" s="3" t="s">
        <v>59</v>
      </c>
      <c r="L199" s="3" t="s">
        <v>73</v>
      </c>
      <c r="M199">
        <v>1</v>
      </c>
    </row>
    <row r="200" spans="1:13" x14ac:dyDescent="0.25">
      <c r="A200" s="1">
        <v>46133</v>
      </c>
      <c r="B200" s="1" t="str">
        <f ca="1">IF(Información1[[#This Row],[Fecha]]='Ajuste de fechas'!$A$2,"Día actual","Día anterior")</f>
        <v>Día anterior</v>
      </c>
      <c r="C200" s="3" t="s">
        <v>57</v>
      </c>
      <c r="D200" t="s">
        <v>58</v>
      </c>
      <c r="E200" s="3" t="s">
        <v>216</v>
      </c>
      <c r="F200" s="3" t="s">
        <v>22</v>
      </c>
      <c r="G200" s="3" t="s">
        <v>62</v>
      </c>
      <c r="H200" s="3" t="s">
        <v>11</v>
      </c>
      <c r="I200" s="3" t="s">
        <v>7</v>
      </c>
      <c r="J200" s="3" t="s">
        <v>26</v>
      </c>
      <c r="K200" s="3" t="s">
        <v>59</v>
      </c>
      <c r="L200" s="3" t="s">
        <v>73</v>
      </c>
      <c r="M200">
        <v>1</v>
      </c>
    </row>
    <row r="201" spans="1:13" x14ac:dyDescent="0.25">
      <c r="A201" s="1">
        <v>46133</v>
      </c>
      <c r="B201" s="1" t="str">
        <f ca="1">IF(Información1[[#This Row],[Fecha]]='Ajuste de fechas'!$A$2,"Día actual","Día anterior")</f>
        <v>Día anterior</v>
      </c>
      <c r="C201" s="3" t="s">
        <v>57</v>
      </c>
      <c r="D201" t="s">
        <v>58</v>
      </c>
      <c r="E201" s="3" t="s">
        <v>217</v>
      </c>
      <c r="F201" s="3" t="s">
        <v>19</v>
      </c>
      <c r="G201" s="3" t="s">
        <v>218</v>
      </c>
      <c r="H201" s="3" t="s">
        <v>11</v>
      </c>
      <c r="I201" s="3" t="s">
        <v>7</v>
      </c>
      <c r="J201" s="3" t="s">
        <v>76</v>
      </c>
      <c r="K201" s="3" t="s">
        <v>59</v>
      </c>
      <c r="L201" s="3" t="s">
        <v>73</v>
      </c>
      <c r="M201">
        <v>1</v>
      </c>
    </row>
    <row r="202" spans="1:13" x14ac:dyDescent="0.25">
      <c r="A202" s="1">
        <v>46133</v>
      </c>
      <c r="B202" s="1" t="str">
        <f ca="1">IF(Información1[[#This Row],[Fecha]]='Ajuste de fechas'!$A$2,"Día actual","Día anterior")</f>
        <v>Día anterior</v>
      </c>
      <c r="C202" s="3" t="s">
        <v>57</v>
      </c>
      <c r="D202" t="s">
        <v>58</v>
      </c>
      <c r="E202" s="3" t="s">
        <v>87</v>
      </c>
      <c r="F202" s="3" t="s">
        <v>19</v>
      </c>
      <c r="G202" s="3" t="s">
        <v>46</v>
      </c>
      <c r="H202" s="3" t="s">
        <v>11</v>
      </c>
      <c r="I202" s="3" t="s">
        <v>7</v>
      </c>
      <c r="J202" s="3" t="s">
        <v>76</v>
      </c>
      <c r="K202" s="3" t="s">
        <v>59</v>
      </c>
      <c r="L202" s="3" t="s">
        <v>73</v>
      </c>
      <c r="M202">
        <v>1</v>
      </c>
    </row>
    <row r="203" spans="1:13" x14ac:dyDescent="0.25">
      <c r="A203" s="1">
        <v>46133</v>
      </c>
      <c r="B203" s="1" t="str">
        <f ca="1">IF(Información1[[#This Row],[Fecha]]='Ajuste de fechas'!$A$2,"Día actual","Día anterior")</f>
        <v>Día anterior</v>
      </c>
      <c r="C203" s="3" t="s">
        <v>57</v>
      </c>
      <c r="D203" t="s">
        <v>58</v>
      </c>
      <c r="E203" s="3" t="s">
        <v>219</v>
      </c>
      <c r="F203" s="3" t="s">
        <v>19</v>
      </c>
      <c r="G203" s="3" t="s">
        <v>29</v>
      </c>
      <c r="H203" s="3" t="s">
        <v>11</v>
      </c>
      <c r="I203" s="3" t="s">
        <v>7</v>
      </c>
      <c r="J203" s="3" t="s">
        <v>76</v>
      </c>
      <c r="K203" s="3" t="s">
        <v>59</v>
      </c>
      <c r="L203" s="3" t="s">
        <v>73</v>
      </c>
      <c r="M203">
        <v>1</v>
      </c>
    </row>
    <row r="204" spans="1:13" x14ac:dyDescent="0.25">
      <c r="A204" s="1">
        <v>46133</v>
      </c>
      <c r="B204" s="1" t="str">
        <f ca="1">IF(Información1[[#This Row],[Fecha]]='Ajuste de fechas'!$A$2,"Día actual","Día anterior")</f>
        <v>Día anterior</v>
      </c>
      <c r="C204" s="3" t="s">
        <v>57</v>
      </c>
      <c r="D204" t="s">
        <v>58</v>
      </c>
      <c r="E204" s="3" t="s">
        <v>220</v>
      </c>
      <c r="F204" s="3" t="s">
        <v>19</v>
      </c>
      <c r="G204" s="3" t="s">
        <v>133</v>
      </c>
      <c r="H204" s="3" t="s">
        <v>11</v>
      </c>
      <c r="I204" s="3" t="s">
        <v>7</v>
      </c>
      <c r="J204" s="3" t="s">
        <v>76</v>
      </c>
      <c r="K204" s="3" t="s">
        <v>59</v>
      </c>
      <c r="L204" s="3" t="s">
        <v>73</v>
      </c>
      <c r="M204">
        <v>1</v>
      </c>
    </row>
    <row r="205" spans="1:13" x14ac:dyDescent="0.25">
      <c r="A205" s="1">
        <v>46133</v>
      </c>
      <c r="B205" s="1" t="str">
        <f ca="1">IF(Información1[[#This Row],[Fecha]]='Ajuste de fechas'!$A$2,"Día actual","Día anterior")</f>
        <v>Día anterior</v>
      </c>
      <c r="C205" s="3" t="s">
        <v>57</v>
      </c>
      <c r="D205" t="s">
        <v>58</v>
      </c>
      <c r="E205" s="3" t="s">
        <v>221</v>
      </c>
      <c r="F205" s="3" t="s">
        <v>19</v>
      </c>
      <c r="G205" s="3" t="s">
        <v>222</v>
      </c>
      <c r="H205" s="3" t="s">
        <v>11</v>
      </c>
      <c r="I205" s="3" t="s">
        <v>7</v>
      </c>
      <c r="J205" s="3" t="s">
        <v>76</v>
      </c>
      <c r="K205" s="3" t="s">
        <v>59</v>
      </c>
      <c r="L205" s="3" t="s">
        <v>73</v>
      </c>
      <c r="M205">
        <v>1</v>
      </c>
    </row>
    <row r="206" spans="1:13" x14ac:dyDescent="0.25">
      <c r="A206" s="1">
        <v>46133</v>
      </c>
      <c r="B206" s="1" t="str">
        <f ca="1">IF(Información1[[#This Row],[Fecha]]='Ajuste de fechas'!$A$2,"Día actual","Día anterior")</f>
        <v>Día anterior</v>
      </c>
      <c r="C206" s="3" t="s">
        <v>57</v>
      </c>
      <c r="D206" t="s">
        <v>58</v>
      </c>
      <c r="E206" s="3" t="s">
        <v>223</v>
      </c>
      <c r="F206" s="3" t="s">
        <v>19</v>
      </c>
      <c r="G206" s="3" t="s">
        <v>222</v>
      </c>
      <c r="H206" s="3" t="s">
        <v>11</v>
      </c>
      <c r="I206" s="3" t="s">
        <v>7</v>
      </c>
      <c r="J206" s="3" t="s">
        <v>76</v>
      </c>
      <c r="K206" s="3" t="s">
        <v>59</v>
      </c>
      <c r="L206" s="3" t="s">
        <v>73</v>
      </c>
      <c r="M206">
        <v>1</v>
      </c>
    </row>
    <row r="207" spans="1:13" x14ac:dyDescent="0.25">
      <c r="A207" s="1">
        <v>46133</v>
      </c>
      <c r="B207" s="1" t="str">
        <f ca="1">IF(Información1[[#This Row],[Fecha]]='Ajuste de fechas'!$A$2,"Día actual","Día anterior")</f>
        <v>Día anterior</v>
      </c>
      <c r="C207" s="3" t="s">
        <v>48</v>
      </c>
      <c r="D207" t="s">
        <v>49</v>
      </c>
      <c r="E207" s="3" t="s">
        <v>224</v>
      </c>
      <c r="F207" s="3" t="s">
        <v>56</v>
      </c>
      <c r="G207" s="3" t="s">
        <v>93</v>
      </c>
      <c r="H207" s="3" t="s">
        <v>45</v>
      </c>
      <c r="I207" s="3" t="s">
        <v>7</v>
      </c>
      <c r="J207" s="3" t="s">
        <v>72</v>
      </c>
      <c r="K207" s="3" t="s">
        <v>30</v>
      </c>
      <c r="L207" s="3" t="s">
        <v>75</v>
      </c>
      <c r="M207">
        <v>1</v>
      </c>
    </row>
    <row r="208" spans="1:13" x14ac:dyDescent="0.25">
      <c r="A208" s="1">
        <v>46133</v>
      </c>
      <c r="B208" s="1" t="str">
        <f ca="1">IF(Información1[[#This Row],[Fecha]]='Ajuste de fechas'!$A$2,"Día actual","Día anterior")</f>
        <v>Día anterior</v>
      </c>
      <c r="C208" s="3" t="s">
        <v>48</v>
      </c>
      <c r="D208" t="s">
        <v>49</v>
      </c>
      <c r="E208" s="3" t="s">
        <v>225</v>
      </c>
      <c r="F208" s="3" t="s">
        <v>24</v>
      </c>
      <c r="G208" s="3" t="s">
        <v>129</v>
      </c>
      <c r="H208" s="3" t="s">
        <v>45</v>
      </c>
      <c r="I208" s="3" t="s">
        <v>12</v>
      </c>
      <c r="J208" s="3" t="s">
        <v>72</v>
      </c>
      <c r="K208" s="3" t="s">
        <v>30</v>
      </c>
      <c r="L208" s="3" t="s">
        <v>73</v>
      </c>
      <c r="M208">
        <v>1</v>
      </c>
    </row>
    <row r="209" spans="1:13" x14ac:dyDescent="0.25">
      <c r="A209" s="1">
        <v>46133</v>
      </c>
      <c r="B209" s="1" t="str">
        <f ca="1">IF(Información1[[#This Row],[Fecha]]='Ajuste de fechas'!$A$2,"Día actual","Día anterior")</f>
        <v>Día anterior</v>
      </c>
      <c r="C209" s="3" t="s">
        <v>48</v>
      </c>
      <c r="D209" t="s">
        <v>49</v>
      </c>
      <c r="E209" s="3" t="s">
        <v>225</v>
      </c>
      <c r="F209" s="3" t="s">
        <v>25</v>
      </c>
      <c r="G209" s="3" t="s">
        <v>129</v>
      </c>
      <c r="H209" s="3" t="s">
        <v>45</v>
      </c>
      <c r="I209" s="3" t="s">
        <v>12</v>
      </c>
      <c r="J209" s="3" t="s">
        <v>72</v>
      </c>
      <c r="K209" s="3" t="s">
        <v>30</v>
      </c>
      <c r="L209" s="3" t="s">
        <v>73</v>
      </c>
      <c r="M209">
        <v>1</v>
      </c>
    </row>
    <row r="210" spans="1:13" x14ac:dyDescent="0.25">
      <c r="A210" s="1">
        <v>46133</v>
      </c>
      <c r="B210" s="1" t="str">
        <f ca="1">IF(Información1[[#This Row],[Fecha]]='Ajuste de fechas'!$A$2,"Día actual","Día anterior")</f>
        <v>Día anterior</v>
      </c>
      <c r="C210" s="3" t="s">
        <v>48</v>
      </c>
      <c r="D210" t="s">
        <v>49</v>
      </c>
      <c r="E210" s="3" t="s">
        <v>226</v>
      </c>
      <c r="F210" s="3" t="s">
        <v>19</v>
      </c>
      <c r="G210" s="3" t="s">
        <v>95</v>
      </c>
      <c r="H210" s="3" t="s">
        <v>45</v>
      </c>
      <c r="I210" s="3" t="s">
        <v>7</v>
      </c>
      <c r="J210" s="3" t="s">
        <v>76</v>
      </c>
      <c r="K210" s="3" t="s">
        <v>30</v>
      </c>
      <c r="L210" s="3" t="s">
        <v>73</v>
      </c>
      <c r="M210">
        <v>1</v>
      </c>
    </row>
    <row r="211" spans="1:13" x14ac:dyDescent="0.25">
      <c r="A211" s="1">
        <v>46133</v>
      </c>
      <c r="B211" s="1" t="str">
        <f ca="1">IF(Información1[[#This Row],[Fecha]]='Ajuste de fechas'!$A$2,"Día actual","Día anterior")</f>
        <v>Día anterior</v>
      </c>
      <c r="C211" s="3" t="s">
        <v>48</v>
      </c>
      <c r="D211" t="s">
        <v>49</v>
      </c>
      <c r="E211" s="3" t="s">
        <v>213</v>
      </c>
      <c r="F211" s="3" t="s">
        <v>21</v>
      </c>
      <c r="G211" s="3" t="s">
        <v>99</v>
      </c>
      <c r="H211" s="3" t="s">
        <v>45</v>
      </c>
      <c r="I211" s="3" t="s">
        <v>7</v>
      </c>
      <c r="J211" s="3" t="s">
        <v>72</v>
      </c>
      <c r="K211" s="3" t="s">
        <v>30</v>
      </c>
      <c r="L211" s="3" t="s">
        <v>75</v>
      </c>
      <c r="M211">
        <v>1</v>
      </c>
    </row>
    <row r="212" spans="1:13" x14ac:dyDescent="0.25">
      <c r="A212" s="1">
        <v>46133</v>
      </c>
      <c r="B212" s="1" t="str">
        <f ca="1">IF(Información1[[#This Row],[Fecha]]='Ajuste de fechas'!$A$2,"Día actual","Día anterior")</f>
        <v>Día anterior</v>
      </c>
      <c r="C212" s="3" t="s">
        <v>48</v>
      </c>
      <c r="D212" t="s">
        <v>49</v>
      </c>
      <c r="E212" s="3" t="s">
        <v>227</v>
      </c>
      <c r="F212" s="3" t="s">
        <v>22</v>
      </c>
      <c r="G212" s="3" t="s">
        <v>228</v>
      </c>
      <c r="H212" s="3" t="s">
        <v>45</v>
      </c>
      <c r="I212" s="3" t="s">
        <v>7</v>
      </c>
      <c r="J212" s="3" t="s">
        <v>26</v>
      </c>
      <c r="K212" s="3" t="s">
        <v>30</v>
      </c>
      <c r="L212" s="3" t="s">
        <v>73</v>
      </c>
      <c r="M212">
        <v>1</v>
      </c>
    </row>
    <row r="213" spans="1:13" x14ac:dyDescent="0.25">
      <c r="A213" s="1">
        <v>46133</v>
      </c>
      <c r="B213" s="1" t="str">
        <f ca="1">IF(Información1[[#This Row],[Fecha]]='Ajuste de fechas'!$A$2,"Día actual","Día anterior")</f>
        <v>Día anterior</v>
      </c>
      <c r="C213" s="3" t="s">
        <v>48</v>
      </c>
      <c r="D213" t="s">
        <v>49</v>
      </c>
      <c r="E213" s="3" t="s">
        <v>229</v>
      </c>
      <c r="F213" s="3" t="s">
        <v>19</v>
      </c>
      <c r="G213" s="3" t="s">
        <v>89</v>
      </c>
      <c r="H213" s="3" t="s">
        <v>45</v>
      </c>
      <c r="I213" s="3" t="s">
        <v>7</v>
      </c>
      <c r="J213" s="3" t="s">
        <v>76</v>
      </c>
      <c r="K213" s="3" t="s">
        <v>230</v>
      </c>
      <c r="L213" s="3" t="s">
        <v>73</v>
      </c>
      <c r="M213">
        <v>1</v>
      </c>
    </row>
    <row r="214" spans="1:13" x14ac:dyDescent="0.25">
      <c r="A214" s="1">
        <v>46133</v>
      </c>
      <c r="B214" s="1" t="str">
        <f ca="1">IF(Información1[[#This Row],[Fecha]]='Ajuste de fechas'!$A$2,"Día actual","Día anterior")</f>
        <v>Día anterior</v>
      </c>
      <c r="C214" s="3" t="s">
        <v>48</v>
      </c>
      <c r="D214" t="s">
        <v>49</v>
      </c>
      <c r="E214" s="3" t="s">
        <v>231</v>
      </c>
      <c r="F214" s="3" t="s">
        <v>19</v>
      </c>
      <c r="G214" s="3" t="s">
        <v>109</v>
      </c>
      <c r="H214" s="3" t="s">
        <v>45</v>
      </c>
      <c r="I214" s="3" t="s">
        <v>7</v>
      </c>
      <c r="J214" s="3" t="s">
        <v>76</v>
      </c>
      <c r="K214" s="3" t="s">
        <v>230</v>
      </c>
      <c r="L214" s="3" t="s">
        <v>73</v>
      </c>
      <c r="M214">
        <v>1</v>
      </c>
    </row>
    <row r="215" spans="1:13" x14ac:dyDescent="0.25">
      <c r="A215" s="1">
        <v>46133</v>
      </c>
      <c r="B215" s="1" t="str">
        <f ca="1">IF(Información1[[#This Row],[Fecha]]='Ajuste de fechas'!$A$2,"Día actual","Día anterior")</f>
        <v>Día anterior</v>
      </c>
      <c r="C215" s="3" t="s">
        <v>48</v>
      </c>
      <c r="D215" t="s">
        <v>49</v>
      </c>
      <c r="E215" s="3" t="s">
        <v>232</v>
      </c>
      <c r="F215" s="3" t="s">
        <v>19</v>
      </c>
      <c r="G215" s="3" t="s">
        <v>233</v>
      </c>
      <c r="H215" s="3" t="s">
        <v>45</v>
      </c>
      <c r="I215" s="3" t="s">
        <v>7</v>
      </c>
      <c r="J215" s="3" t="s">
        <v>76</v>
      </c>
      <c r="K215" s="3" t="s">
        <v>230</v>
      </c>
      <c r="L215" s="3" t="s">
        <v>73</v>
      </c>
      <c r="M215">
        <v>1</v>
      </c>
    </row>
    <row r="216" spans="1:13" x14ac:dyDescent="0.25">
      <c r="A216" s="1">
        <v>46133</v>
      </c>
      <c r="B216" s="1" t="str">
        <f ca="1">IF(Información1[[#This Row],[Fecha]]='Ajuste de fechas'!$A$2,"Día actual","Día anterior")</f>
        <v>Día anterior</v>
      </c>
      <c r="C216" s="3" t="s">
        <v>48</v>
      </c>
      <c r="D216" t="s">
        <v>49</v>
      </c>
      <c r="E216" s="3" t="s">
        <v>234</v>
      </c>
      <c r="F216" s="3" t="s">
        <v>47</v>
      </c>
      <c r="G216" s="3" t="s">
        <v>235</v>
      </c>
      <c r="H216" s="3" t="s">
        <v>45</v>
      </c>
      <c r="I216" s="3" t="s">
        <v>7</v>
      </c>
      <c r="J216" s="3" t="s">
        <v>72</v>
      </c>
      <c r="K216" s="3" t="s">
        <v>30</v>
      </c>
      <c r="L216" s="3" t="s">
        <v>73</v>
      </c>
      <c r="M216">
        <v>1</v>
      </c>
    </row>
    <row r="217" spans="1:13" x14ac:dyDescent="0.25">
      <c r="A217" s="1">
        <v>46133</v>
      </c>
      <c r="B217" s="1" t="str">
        <f ca="1">IF(Información1[[#This Row],[Fecha]]='Ajuste de fechas'!$A$2,"Día actual","Día anterior")</f>
        <v>Día anterior</v>
      </c>
      <c r="C217" s="3" t="s">
        <v>48</v>
      </c>
      <c r="D217" t="s">
        <v>49</v>
      </c>
      <c r="E217" s="3" t="s">
        <v>236</v>
      </c>
      <c r="F217" s="3" t="s">
        <v>15</v>
      </c>
      <c r="G217" s="3" t="s">
        <v>100</v>
      </c>
      <c r="H217" s="3" t="s">
        <v>45</v>
      </c>
      <c r="I217" s="3" t="s">
        <v>7</v>
      </c>
      <c r="J217" s="3" t="s">
        <v>72</v>
      </c>
      <c r="K217" s="3" t="s">
        <v>30</v>
      </c>
      <c r="L217" s="3" t="s">
        <v>73</v>
      </c>
      <c r="M217">
        <v>1</v>
      </c>
    </row>
    <row r="218" spans="1:13" x14ac:dyDescent="0.25">
      <c r="A218" s="1">
        <v>46133</v>
      </c>
      <c r="B218" s="1" t="str">
        <f ca="1">IF(Información1[[#This Row],[Fecha]]='Ajuste de fechas'!$A$2,"Día actual","Día anterior")</f>
        <v>Día anterior</v>
      </c>
      <c r="C218" s="3" t="s">
        <v>48</v>
      </c>
      <c r="D218" t="s">
        <v>49</v>
      </c>
      <c r="E218" s="3" t="s">
        <v>201</v>
      </c>
      <c r="F218" s="3" t="s">
        <v>28</v>
      </c>
      <c r="G218" s="3" t="s">
        <v>117</v>
      </c>
      <c r="H218" s="3" t="s">
        <v>45</v>
      </c>
      <c r="I218" s="3" t="s">
        <v>7</v>
      </c>
      <c r="J218" s="3" t="s">
        <v>72</v>
      </c>
      <c r="K218" s="3" t="s">
        <v>30</v>
      </c>
      <c r="L218" s="3" t="s">
        <v>75</v>
      </c>
      <c r="M218">
        <v>1</v>
      </c>
    </row>
    <row r="219" spans="1:13" x14ac:dyDescent="0.25">
      <c r="A219" s="1">
        <v>46133</v>
      </c>
      <c r="B219" s="1" t="str">
        <f ca="1">IF(Información1[[#This Row],[Fecha]]='Ajuste de fechas'!$A$2,"Día actual","Día anterior")</f>
        <v>Día anterior</v>
      </c>
      <c r="C219" s="3" t="s">
        <v>42</v>
      </c>
      <c r="D219" t="s">
        <v>44</v>
      </c>
      <c r="E219" s="3" t="s">
        <v>348</v>
      </c>
      <c r="F219" s="3" t="s">
        <v>19</v>
      </c>
      <c r="G219" s="3" t="s">
        <v>98</v>
      </c>
      <c r="H219" s="3" t="s">
        <v>45</v>
      </c>
      <c r="I219" s="3" t="s">
        <v>7</v>
      </c>
      <c r="J219" s="3" t="s">
        <v>76</v>
      </c>
      <c r="K219" s="3" t="s">
        <v>43</v>
      </c>
      <c r="L219" s="3" t="s">
        <v>73</v>
      </c>
      <c r="M219">
        <v>1</v>
      </c>
    </row>
    <row r="220" spans="1:13" x14ac:dyDescent="0.25">
      <c r="A220" s="1">
        <v>46133</v>
      </c>
      <c r="B220" s="1" t="str">
        <f ca="1">IF(Información1[[#This Row],[Fecha]]='Ajuste de fechas'!$A$2,"Día actual","Día anterior")</f>
        <v>Día anterior</v>
      </c>
      <c r="C220" s="3" t="s">
        <v>42</v>
      </c>
      <c r="D220" t="s">
        <v>44</v>
      </c>
      <c r="E220" s="3" t="s">
        <v>201</v>
      </c>
      <c r="F220" s="3" t="s">
        <v>28</v>
      </c>
      <c r="G220" s="3" t="s">
        <v>117</v>
      </c>
      <c r="H220" s="3" t="s">
        <v>45</v>
      </c>
      <c r="I220" s="3" t="s">
        <v>7</v>
      </c>
      <c r="J220" s="3" t="s">
        <v>72</v>
      </c>
      <c r="K220" s="3" t="s">
        <v>43</v>
      </c>
      <c r="L220" s="3" t="s">
        <v>75</v>
      </c>
      <c r="M220">
        <v>1</v>
      </c>
    </row>
    <row r="221" spans="1:13" x14ac:dyDescent="0.25">
      <c r="A221" s="1">
        <v>46133</v>
      </c>
      <c r="B221" s="1" t="str">
        <f ca="1">IF(Información1[[#This Row],[Fecha]]='Ajuste de fechas'!$A$2,"Día actual","Día anterior")</f>
        <v>Día anterior</v>
      </c>
      <c r="C221" s="3" t="s">
        <v>42</v>
      </c>
      <c r="D221" t="s">
        <v>44</v>
      </c>
      <c r="E221" s="3" t="s">
        <v>349</v>
      </c>
      <c r="F221" s="3" t="s">
        <v>24</v>
      </c>
      <c r="G221" s="3" t="s">
        <v>122</v>
      </c>
      <c r="H221" s="3" t="s">
        <v>45</v>
      </c>
      <c r="I221" s="3" t="s">
        <v>7</v>
      </c>
      <c r="J221" s="3" t="s">
        <v>72</v>
      </c>
      <c r="K221" s="3" t="s">
        <v>43</v>
      </c>
      <c r="L221" s="3" t="s">
        <v>75</v>
      </c>
      <c r="M221">
        <v>1</v>
      </c>
    </row>
    <row r="222" spans="1:13" x14ac:dyDescent="0.25">
      <c r="A222" s="1">
        <v>46133</v>
      </c>
      <c r="B222" s="1" t="str">
        <f ca="1">IF(Información1[[#This Row],[Fecha]]='Ajuste de fechas'!$A$2,"Día actual","Día anterior")</f>
        <v>Día anterior</v>
      </c>
      <c r="C222" s="3" t="s">
        <v>42</v>
      </c>
      <c r="D222" t="s">
        <v>44</v>
      </c>
      <c r="E222" s="3" t="s">
        <v>350</v>
      </c>
      <c r="F222" s="3" t="s">
        <v>15</v>
      </c>
      <c r="G222" s="3" t="s">
        <v>92</v>
      </c>
      <c r="H222" s="3" t="s">
        <v>45</v>
      </c>
      <c r="I222" s="3" t="s">
        <v>7</v>
      </c>
      <c r="J222" s="3" t="s">
        <v>72</v>
      </c>
      <c r="K222" s="3" t="s">
        <v>43</v>
      </c>
      <c r="L222" s="3" t="s">
        <v>75</v>
      </c>
      <c r="M222">
        <v>1</v>
      </c>
    </row>
    <row r="223" spans="1:13" x14ac:dyDescent="0.25">
      <c r="A223" s="1">
        <v>46133</v>
      </c>
      <c r="B223" s="1" t="str">
        <f ca="1">IF(Información1[[#This Row],[Fecha]]='Ajuste de fechas'!$A$2,"Día actual","Día anterior")</f>
        <v>Día anterior</v>
      </c>
      <c r="C223" s="3" t="s">
        <v>42</v>
      </c>
      <c r="D223" t="s">
        <v>44</v>
      </c>
      <c r="E223" s="3" t="s">
        <v>351</v>
      </c>
      <c r="F223" s="3" t="s">
        <v>60</v>
      </c>
      <c r="G223" s="3" t="s">
        <v>91</v>
      </c>
      <c r="H223" s="3" t="s">
        <v>45</v>
      </c>
      <c r="I223" s="3" t="s">
        <v>7</v>
      </c>
      <c r="J223" s="3" t="s">
        <v>72</v>
      </c>
      <c r="K223" s="3" t="s">
        <v>43</v>
      </c>
      <c r="L223" s="3" t="s">
        <v>75</v>
      </c>
      <c r="M223">
        <v>1</v>
      </c>
    </row>
    <row r="224" spans="1:13" x14ac:dyDescent="0.25">
      <c r="A224" s="1">
        <v>46133</v>
      </c>
      <c r="B224" s="1" t="str">
        <f ca="1">IF(Información1[[#This Row],[Fecha]]='Ajuste de fechas'!$A$2,"Día actual","Día anterior")</f>
        <v>Día anterior</v>
      </c>
      <c r="C224" s="3" t="s">
        <v>42</v>
      </c>
      <c r="D224" t="s">
        <v>44</v>
      </c>
      <c r="E224" s="3" t="s">
        <v>352</v>
      </c>
      <c r="F224" s="3" t="s">
        <v>6</v>
      </c>
      <c r="G224" s="3" t="s">
        <v>353</v>
      </c>
      <c r="H224" s="3" t="s">
        <v>45</v>
      </c>
      <c r="I224" s="3" t="s">
        <v>7</v>
      </c>
      <c r="J224" s="3" t="s">
        <v>72</v>
      </c>
      <c r="K224" s="3" t="s">
        <v>43</v>
      </c>
      <c r="L224" s="3" t="s">
        <v>75</v>
      </c>
      <c r="M224">
        <v>1</v>
      </c>
    </row>
    <row r="225" spans="1:13" x14ac:dyDescent="0.25">
      <c r="A225" s="1">
        <v>46133</v>
      </c>
      <c r="B225" s="1" t="str">
        <f ca="1">IF(Información1[[#This Row],[Fecha]]='Ajuste de fechas'!$A$2,"Día actual","Día anterior")</f>
        <v>Día anterior</v>
      </c>
      <c r="C225" s="3" t="s">
        <v>42</v>
      </c>
      <c r="D225" t="s">
        <v>44</v>
      </c>
      <c r="E225" s="3" t="s">
        <v>224</v>
      </c>
      <c r="F225" s="3" t="s">
        <v>56</v>
      </c>
      <c r="G225" s="3" t="s">
        <v>93</v>
      </c>
      <c r="H225" s="3" t="s">
        <v>45</v>
      </c>
      <c r="I225" s="3" t="s">
        <v>7</v>
      </c>
      <c r="J225" s="3" t="s">
        <v>72</v>
      </c>
      <c r="K225" s="3" t="s">
        <v>43</v>
      </c>
      <c r="L225" s="3" t="s">
        <v>75</v>
      </c>
      <c r="M225">
        <v>1</v>
      </c>
    </row>
    <row r="226" spans="1:13" x14ac:dyDescent="0.25">
      <c r="A226" s="1">
        <v>46133</v>
      </c>
      <c r="B226" s="1" t="str">
        <f ca="1">IF(Información1[[#This Row],[Fecha]]='Ajuste de fechas'!$A$2,"Día actual","Día anterior")</f>
        <v>Día anterior</v>
      </c>
      <c r="C226" s="3" t="s">
        <v>42</v>
      </c>
      <c r="D226" t="s">
        <v>44</v>
      </c>
      <c r="E226" s="3" t="s">
        <v>213</v>
      </c>
      <c r="F226" s="3" t="s">
        <v>21</v>
      </c>
      <c r="G226" s="3" t="s">
        <v>99</v>
      </c>
      <c r="H226" s="3" t="s">
        <v>45</v>
      </c>
      <c r="I226" s="3" t="s">
        <v>7</v>
      </c>
      <c r="J226" s="3" t="s">
        <v>72</v>
      </c>
      <c r="K226" s="3" t="s">
        <v>43</v>
      </c>
      <c r="L226" s="3" t="s">
        <v>75</v>
      </c>
      <c r="M226">
        <v>1</v>
      </c>
    </row>
    <row r="227" spans="1:13" x14ac:dyDescent="0.25">
      <c r="A227" s="1">
        <v>46133</v>
      </c>
      <c r="B227" s="1" t="str">
        <f ca="1">IF(Información1[[#This Row],[Fecha]]='Ajuste de fechas'!$A$2,"Día actual","Día anterior")</f>
        <v>Día anterior</v>
      </c>
      <c r="C227" s="3" t="s">
        <v>42</v>
      </c>
      <c r="D227" t="s">
        <v>44</v>
      </c>
      <c r="E227" s="3" t="s">
        <v>203</v>
      </c>
      <c r="F227" s="3" t="s">
        <v>25</v>
      </c>
      <c r="G227" s="3" t="s">
        <v>129</v>
      </c>
      <c r="H227" s="3" t="s">
        <v>45</v>
      </c>
      <c r="I227" s="3" t="s">
        <v>7</v>
      </c>
      <c r="J227" s="3" t="s">
        <v>72</v>
      </c>
      <c r="K227" s="3" t="s">
        <v>43</v>
      </c>
      <c r="L227" s="3" t="s">
        <v>75</v>
      </c>
      <c r="M227">
        <v>1</v>
      </c>
    </row>
    <row r="228" spans="1:13" x14ac:dyDescent="0.25">
      <c r="A228" s="1">
        <v>46133</v>
      </c>
      <c r="B228" s="1" t="str">
        <f ca="1">IF(Información1[[#This Row],[Fecha]]='Ajuste de fechas'!$A$2,"Día actual","Día anterior")</f>
        <v>Día anterior</v>
      </c>
      <c r="C228" s="3" t="s">
        <v>42</v>
      </c>
      <c r="D228" t="s">
        <v>44</v>
      </c>
      <c r="E228" s="3" t="s">
        <v>354</v>
      </c>
      <c r="F228" s="3" t="s">
        <v>28</v>
      </c>
      <c r="G228" s="3" t="s">
        <v>85</v>
      </c>
      <c r="H228" s="3" t="s">
        <v>45</v>
      </c>
      <c r="I228" s="3" t="s">
        <v>7</v>
      </c>
      <c r="J228" s="3" t="s">
        <v>72</v>
      </c>
      <c r="K228" s="3" t="s">
        <v>43</v>
      </c>
      <c r="L228" s="3" t="s">
        <v>73</v>
      </c>
      <c r="M228">
        <v>1</v>
      </c>
    </row>
    <row r="229" spans="1:13" x14ac:dyDescent="0.25">
      <c r="A229" s="1">
        <v>46133</v>
      </c>
      <c r="B229" s="1" t="str">
        <f ca="1">IF(Información1[[#This Row],[Fecha]]='Ajuste de fechas'!$A$2,"Día actual","Día anterior")</f>
        <v>Día anterior</v>
      </c>
      <c r="C229" s="3" t="s">
        <v>42</v>
      </c>
      <c r="D229" t="s">
        <v>44</v>
      </c>
      <c r="E229" s="3" t="s">
        <v>355</v>
      </c>
      <c r="F229" s="3" t="s">
        <v>107</v>
      </c>
      <c r="G229" s="3" t="s">
        <v>85</v>
      </c>
      <c r="H229" s="3" t="s">
        <v>45</v>
      </c>
      <c r="I229" s="3" t="s">
        <v>7</v>
      </c>
      <c r="J229" s="3" t="s">
        <v>72</v>
      </c>
      <c r="K229" s="3" t="s">
        <v>43</v>
      </c>
      <c r="L229" s="3" t="s">
        <v>75</v>
      </c>
      <c r="M229">
        <v>1</v>
      </c>
    </row>
    <row r="230" spans="1:13" x14ac:dyDescent="0.25">
      <c r="A230" s="1">
        <v>46133</v>
      </c>
      <c r="B230" s="1" t="str">
        <f ca="1">IF(Información1[[#This Row],[Fecha]]='Ajuste de fechas'!$A$2,"Día actual","Día anterior")</f>
        <v>Día anterior</v>
      </c>
      <c r="C230" s="3" t="s">
        <v>42</v>
      </c>
      <c r="D230" t="s">
        <v>44</v>
      </c>
      <c r="E230" s="3" t="s">
        <v>356</v>
      </c>
      <c r="F230" s="3" t="s">
        <v>88</v>
      </c>
      <c r="G230" s="3" t="s">
        <v>95</v>
      </c>
      <c r="H230" s="3" t="s">
        <v>45</v>
      </c>
      <c r="I230" s="3" t="s">
        <v>7</v>
      </c>
      <c r="J230" s="3" t="s">
        <v>72</v>
      </c>
      <c r="K230" s="3" t="s">
        <v>43</v>
      </c>
      <c r="L230" s="3" t="s">
        <v>75</v>
      </c>
      <c r="M23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80</v>
      </c>
      <c r="B1" t="s">
        <v>81</v>
      </c>
    </row>
    <row r="2" spans="1:2" x14ac:dyDescent="0.25">
      <c r="A2" s="2">
        <f ca="1">TODAY()</f>
        <v>46134</v>
      </c>
      <c r="B2" s="2">
        <f ca="1">A2-1</f>
        <v>46133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2026-04-23T00:46:37Z</dcterms:modified>
</cp:coreProperties>
</file>