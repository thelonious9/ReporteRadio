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289FBE54-686C-48AA-8690-137A4050A12A}"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Radio!$A$1:$M$102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51" i="2"/>
  <c r="B78" i="2"/>
  <c r="B82" i="2"/>
  <c r="B85" i="2"/>
  <c r="B89" i="2"/>
  <c r="B93" i="2"/>
  <c r="B96" i="2"/>
  <c r="B99" i="2"/>
  <c r="B102" i="2"/>
  <c r="B27" i="2"/>
  <c r="B28" i="2"/>
  <c r="B29" i="2"/>
  <c r="B30" i="2"/>
  <c r="B31" i="2"/>
  <c r="B32" i="2"/>
  <c r="B33" i="2"/>
  <c r="B34" i="2"/>
  <c r="B35" i="2"/>
  <c r="B36" i="2"/>
  <c r="B37" i="2"/>
  <c r="B38" i="2"/>
  <c r="B39" i="2"/>
  <c r="B40" i="2"/>
  <c r="B41" i="2"/>
  <c r="B42" i="2"/>
  <c r="B43" i="2"/>
  <c r="B44" i="2"/>
  <c r="B45" i="2"/>
  <c r="B46" i="2"/>
  <c r="B47" i="2"/>
  <c r="B48" i="2"/>
  <c r="B49" i="2"/>
  <c r="B50" i="2"/>
  <c r="B52" i="2"/>
  <c r="B79" i="2"/>
  <c r="B81" i="2"/>
  <c r="B84" i="2"/>
  <c r="B87" i="2"/>
  <c r="B90" i="2"/>
  <c r="B92" i="2"/>
  <c r="B95" i="2"/>
  <c r="B97" i="2"/>
  <c r="B100" i="2"/>
  <c r="B53" i="2"/>
  <c r="B54" i="2"/>
  <c r="B55" i="2"/>
  <c r="B56" i="2"/>
  <c r="B57" i="2"/>
  <c r="B58" i="2"/>
  <c r="B59" i="2"/>
  <c r="B60" i="2"/>
  <c r="B61" i="2"/>
  <c r="B62" i="2"/>
  <c r="B63" i="2"/>
  <c r="B64" i="2"/>
  <c r="B65" i="2"/>
  <c r="B66" i="2"/>
  <c r="B67" i="2"/>
  <c r="B68" i="2"/>
  <c r="B69" i="2"/>
  <c r="B70" i="2"/>
  <c r="B71" i="2"/>
  <c r="B72" i="2"/>
  <c r="B73" i="2"/>
  <c r="B74" i="2"/>
  <c r="B75" i="2"/>
  <c r="B76" i="2"/>
  <c r="B77" i="2"/>
  <c r="B80" i="2"/>
  <c r="B83" i="2"/>
  <c r="B86" i="2"/>
  <c r="B88" i="2"/>
  <c r="B91" i="2"/>
  <c r="B94" i="2"/>
  <c r="B98" i="2"/>
  <c r="B101"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<sst xmlns="http://schemas.openxmlformats.org/spreadsheetml/2006/main" count="1025" uniqueCount="205">
  <si>
    <t>Fecha</t>
  </si>
  <si>
    <t>Titular</t>
  </si>
  <si>
    <t>Dependencia</t>
  </si>
  <si>
    <t>Canal</t>
  </si>
  <si>
    <t>Tema</t>
  </si>
  <si>
    <t>Estatus</t>
  </si>
  <si>
    <t>Informativa</t>
  </si>
  <si>
    <t>Positiva</t>
  </si>
  <si>
    <t>Semot</t>
  </si>
  <si>
    <t>SEPH</t>
  </si>
  <si>
    <t>Negativa</t>
  </si>
  <si>
    <t>Día</t>
  </si>
  <si>
    <t>Radiodifusora</t>
  </si>
  <si>
    <t>Programa</t>
  </si>
  <si>
    <t>Clasificación</t>
  </si>
  <si>
    <t>Autor</t>
  </si>
  <si>
    <t>Género</t>
  </si>
  <si>
    <t>Gobierno del estado</t>
  </si>
  <si>
    <t>Noticia</t>
  </si>
  <si>
    <t>Opinión</t>
  </si>
  <si>
    <t>Boletín</t>
  </si>
  <si>
    <t>Recuento</t>
  </si>
  <si>
    <t>Día actual</t>
  </si>
  <si>
    <t>Día anterior</t>
  </si>
  <si>
    <t>Entrevista</t>
  </si>
  <si>
    <t>Segobh</t>
  </si>
  <si>
    <t>SSH</t>
  </si>
  <si>
    <t>RADIO LOCAL</t>
  </si>
  <si>
    <t>NQ 90.1 FM</t>
  </si>
  <si>
    <t>Enlace Hidalgo1</t>
  </si>
  <si>
    <t>Jesús Riveros</t>
  </si>
  <si>
    <t>Juan Carlos Santamaría</t>
  </si>
  <si>
    <t>PGJEH</t>
  </si>
  <si>
    <t>Enlace Hidalgo2</t>
  </si>
  <si>
    <t>Radioescucha</t>
  </si>
  <si>
    <t>Ke Buena 106.7 FM</t>
  </si>
  <si>
    <t>Noticias 106.7</t>
  </si>
  <si>
    <t>David Cárdenas</t>
  </si>
  <si>
    <t>SSPH</t>
  </si>
  <si>
    <t>Ayuntamiento</t>
  </si>
  <si>
    <t>Alcaldías</t>
  </si>
  <si>
    <t>Otros</t>
  </si>
  <si>
    <t>Presidencia</t>
  </si>
  <si>
    <t>Presidencia de la República</t>
  </si>
  <si>
    <t>Gobernador</t>
  </si>
  <si>
    <t>Radio Lobo 96.7 FM</t>
  </si>
  <si>
    <t>Enlace Noticias</t>
  </si>
  <si>
    <t>Gina Lorenzo</t>
  </si>
  <si>
    <t>Apps de transporte</t>
  </si>
  <si>
    <t>Oficialía Mayor</t>
  </si>
  <si>
    <t>Irving Sánchez</t>
  </si>
  <si>
    <t>Sipdus</t>
  </si>
  <si>
    <t>Combate Al Narcomenudeo</t>
  </si>
  <si>
    <t>Día De Muertos</t>
  </si>
  <si>
    <t>Jubilaciones</t>
  </si>
  <si>
    <t>Hacienda</t>
  </si>
  <si>
    <t>Justa Académica</t>
  </si>
  <si>
    <t>La titular de la Secretaría del Bienestar, Leticia Ramírez, anunció el calendario de pagos correspondiente al último bimestre de 2026, noviembre-diciembre, mediante el cual las personas beneficiarias de las pensiones y programas sociales recibirán sus apoyos económicos a partir del martes 3 de noviembre y hasta el viernes 27 de ese mes. De acuerdo con la información proporcionada, la dispersión de los recursos se realizará de manera escalonada, conforme a la primera letra del apellido de las personas derechohabientes, con el propósito de organizar la entrega de los apoyos a través del Banco del Bienestar. En el marco de la conferencia mañanera de la presidenta de México, Claudia Sheinbaum Pardo, se dio a conocer que el calendario comenzaría el martes 3 de noviembre con las personas cuyo primer apellido inicia con la letra A, mientras que el miércoles 4 corresponderá a quienes tienen la letra B. La distribución continuaría durante las siguientes semanas hasta concluir el viernes 27 de noviembre, fecha prevista para los beneficiarios cuyos apellidos comienzan con las letras W, X, Y y Z. Cabe mencionar que este depósito corresponde al sexto y último bimestre del año, por lo que representaría el último pago ordinario de 2026 para las personas inscritas en los programas contemplados en la dispersión.</t>
  </si>
  <si>
    <t>Programas Del Bienestar</t>
  </si>
  <si>
    <t>Protesta Transportistas</t>
  </si>
  <si>
    <t>La Comisión de Agua y Alcantarillado de Sistemas Intermunicipales (CAASIM) informó sobre una suspensión temporal en el suministro de agua potable que afecta a 26 colonias y zonas de Pachuca debido a los trabajos en una línea de conducción vinculados con la ampliación del bulevar Felipe Ángeles. Las labores iniciaron este martes 27 de octubre a las 6:00 horas con una duración estimada de 24 horas. No obstante, la dependencia advirtió que la recuperación del servicio será gradual y podría tomar otras 24 horas adicionales una vez concluidos los trabajos. Entre las zonas afectadas se encuentran colonias como San Antonio, Vistas de Pachuca, Real de San Francisco, Venta Prieta, Puerta de Hierro, entre otras.</t>
  </si>
  <si>
    <t>Abasto De Agua</t>
  </si>
  <si>
    <t>Súper Stéreo 100.5 FM</t>
  </si>
  <si>
    <t>Enfoque Regional Matutino</t>
  </si>
  <si>
    <t>Vecinos del fraccionamiento Loma Encantada bloquearon calles y los accesos a la presidencia municipal. Esto para exigir el servicio de agua potable que aseguran no reciben desde hace varios días</t>
  </si>
  <si>
    <t>Christian García</t>
  </si>
  <si>
    <t>Acir 92.5 FM</t>
  </si>
  <si>
    <t>Panorama Informativo</t>
  </si>
  <si>
    <t>En conferencia de prensa la titular de la secretaria de Movilidad y transporte del Estado de Hidalgo, Lyzbteh Robles, informó que fue presentada una denuncia ante la Procuraduría General de Justicia del Estado de Hidalgo contra la plataforma de taxi por aplicación UBER,</t>
  </si>
  <si>
    <t>Eulalio Larrieta</t>
  </si>
  <si>
    <t>Eulalio Larrieta agradece Hans Islas del ayuntamiento de Mineral de la Reforma , por su apoyo en pasar los reportes.</t>
  </si>
  <si>
    <t>Atención a la ciudadanía</t>
  </si>
  <si>
    <t>Eulalio Larrieta informa que Jorge Hernández del ayuntamiento de Pachuca, esta al pendiente de todos los reportes de la ciudadania del Municipio de Pachuca</t>
  </si>
  <si>
    <t>Eulalio Larrieta agradece a Carlos Gamiño por estar al pendiente de temas.</t>
  </si>
  <si>
    <t>Congreso</t>
  </si>
  <si>
    <t>Eulalio Larrieta agradece a Edith Balderas de la Secretaria de Educación Pública.</t>
  </si>
  <si>
    <t>Eulalio Larrieta agradece a Uriel Ramirez y Jair Martínez de la SEGOBH, porque esta al pendiente de lo que se necesite y los reportes.</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</si>
  <si>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</si>
  <si>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</si>
  <si>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Que en Mixquiahuala, la Secretaría de Salud de Hidalgo entregó apoyos funcionales a personas que requieren ayuda para desplazarse. La titular, Escalante Arroyo, encabezó la entrega de 19 sillas de ruedas, 6 andaderas y 4 bastones, esto para favorecer la movilidad de los beneficiarios.</t>
  </si>
  <si>
    <t>Auxiliares funcionales</t>
  </si>
  <si>
    <t>Radioescucha reportó el envío de fotografías que confirman casos del virus de Coxsackie en un menor de edad, el cual presenta síntomas característicos en manos, boca y pies. Tras ser llevado al centro de salud, el diagnóstico fue confirmado, por lo que se emitieron agradecimientos por el aviso preventivo para alertar a las autoridades educativas y mantenerlas al pendiente de la situación.</t>
  </si>
  <si>
    <t>Brote epidémico</t>
  </si>
  <si>
    <t>Autoridades llevan a cabo un ejercicio de cateos e investigación en diversos puntos de la ciudad de Tulancingo. Uno de los operativos se registra en las inmediaciones de la Escuela Secundaria Número 2, ubicada en la avenida del Trabajo de la colonia Vicente Guerrero. Estas diligencias derivan de carpetas de investigación en curso, por lo que se exhorta a la ciudadanía a manejar con precaución y evitar obstaculizar la labor de los cuerpos de seguridad.</t>
  </si>
  <si>
    <t>Cateo</t>
  </si>
  <si>
    <t>Otra información presentada de la encuesta intercensal del Instituto Nacional de Estadística y Geografía (INEGI), en donde se observó que el crecimiento poblacional va lento. Laura Silva González, coordinadora estatal del INEGI, habló al respecto:"Aquí partir... saber que a los resultados del 2025 somos 3 millones 245,000 habitantes. Esto es importante porque si vemos los resultados de 2020 la población era de 3 millones 82,000 habitantes. Esto nos permite ver que seguimos creciendo, pero algo importante es que a un ritmo menor, pues la tasa de crecimiento promedio anual del 0.9%, mientras que la del 2020 fue del 1.5%. Es importante también resaltar que por el número de hidalguenses se coloca en el lugar número 16 en el concierto nacional. Entonces es bien importante ver que esto a un ritmo un poco menor."</t>
  </si>
  <si>
    <t>CENSO INEGI</t>
  </si>
  <si>
    <t>Titular de la dependencia participa en plenaria extraordinaria del Conaedu 2026 y asiste al lanzamiento del Primer Concurso Nacional de Coros Escolares</t>
  </si>
  <si>
    <t>CONAEDU</t>
  </si>
  <si>
    <t>Tenemos noticias desde el estado de Hidalgo: Natividad Castrejón Valdéz participa en la plenaria extraordinaria del Consejo Nacional de Autoridades Educativas. El secretario de Educación Pública de Hidalgo, Natividad Castrejón Valdéz, participó en la Cuarta Reunión Nacional Plenaria Extraordinaria 2026 del Consejo Nacional de Autoridades Educativas, encabezada por el titular de la Secretaría de Educación Pública, Mario Delgado Carrillo. D</t>
  </si>
  <si>
    <t>El secretario de Educación Pública de Hidalgo, Natividad Castrejón Valdéz, participó en la Cuarta Reunión Nacional Plenaria Extraordinaria con Nacional de Autoridades Educativas, encabezada por el titular de la Secretaría de Educación Pública, Mario Delgado Carrillo</t>
  </si>
  <si>
    <t>Enfoque Regional Meridiano</t>
  </si>
  <si>
    <t>Alrededor de 60 personas bloquearon la mañana de hoy martes ambos sentidos de la carretera federal México-Laredo, a la altura de la comunidad de Julián Villagrán, en Ixmiquilpan, para exigir la liberación de dos personas. Al respecto, la titular de Asuntos Agrarios de la Secretaría de Gobierno de Hidalgo, Reyna Serrano, explicó que la movilización tiene su origen en una controversia agraria relacionada con la posesión de terrenos cuya pertenencia reclama la comunidad de Pueblo Nuevo."Derivado de un conflicto agrario.</t>
  </si>
  <si>
    <t>Conflicto agrario</t>
  </si>
  <si>
    <t>Jesús González</t>
  </si>
  <si>
    <t>Entrevista vía telefónica Alejandra Lazcano, directora de Turismo del municipio de Singuilucan - Habló sobre la última edición del tradicional "Turibús del Terror" que se realizará los días 30 y 31 de octubre en la Hacienda de San Joaquín. Este evento de carácter familiar e interpretativo contará con recorridos nocturnos temáticos sobre nahuales, leyendas locales, música en vivo y antojitos mexicanos. Las salidas de los turibuses se realizarán desde la cabecera municipal cada hora, en un horario de 7:00 p.m. a 10:00 p.m., con un costo accesible e inclusivo del traslado, además de contar con la participación de actores profesionales del Instituto de las Artes de la Universidad Autónoma del Estado de Hidalgo (UAEH). Asimismo, las autoridades anunciaron un desfile de catrines programado para el 30 de octubre como parte de las actividades turísticas y culturales de la temporada.</t>
  </si>
  <si>
    <t>Previo al Día de Muertos, mire, ya los productores de flor de temporada se declaran listos, acudan a visitar sus campos. El ciclo de cuatro meses para florecer, productores mantienen las técnicas tradicionales, cultivar esta flor emblemática del Día de Muertos. La compañera Claudia Alcántara.El color predomina en esta temporada en la zona de Doxey y de Tlaxcoapan, o desde que circula uno por la carretera. Los campos reviven con la diversidad de la flor de la temporada. Los campesinos creen que esta temporada les genere un poco de ingresos en la venta de flores.</t>
  </si>
  <si>
    <t>Reportaje</t>
  </si>
  <si>
    <t>En el marco de la conmemoración del Día del Médico y la Médica, el gobernador del estado, Julio Menchaca Salazar, encabezó un homenaje para reconocer la trayectoria, vocación y el compromiso social de las y los profesionales de la salud en Hidalgo. Durante su mensaje, en el que compartió una reflexión personal sobre el esfuerzo que implica esta profesión, destacó que la labor médica va más allá de la técnica, implicando sensibilidad ante el dolor humano y un contacto diario y cercano con la población. Asimismo, resaltó la importancia de la preparación constante ante los retos sanitarios y ambientales actuales, reconociendo tanto a quienes laboran en zonas urbanas como a los que desempeñan su labor en las regiones más alejadas del estado.</t>
  </si>
  <si>
    <t>Día del médico</t>
  </si>
  <si>
    <t>Hidalgo suma más de 654 mdp en apoyos de Pemex para salud, educación e infraestructura</t>
  </si>
  <si>
    <t>Despacho</t>
  </si>
  <si>
    <t>Donación Pemex</t>
  </si>
  <si>
    <t>Las gestiones del gobierno de Hidalgo ante Pemex han permitido incorporar cincuenta y tres unidades operativas, ofrecer ciento setenta y nueve mil servicios médicos en cincuenta y nueve municipios y realizar diez mil mastografías gratuitas desde el dos mil veintidós. V</t>
  </si>
  <si>
    <t>Entrevista en cabina con la recién egresada de la carrera de Ingeniería en Logística del Instituto Tecnológico Superior del Oriente del Estado de Hidalgo (ITESA), Mexli Ninel Hernández Franco, obtuvo el segundo lugar en el Premio de Excelencia Dual gracias a un proyecto de optimización y digitalización de procesos logísticos implementado en el centro de distribución (Cedis) de la empresa Caxaplax. Durante su entrevista en cabina, la joven destacó cómo su formación práctica y teórica a través del modelo dual en el ITESA le permitió integrarse con éxito al sector laboral e impulsar herramientas tecnológicas para la mejora de flujos de información empresarial.</t>
  </si>
  <si>
    <t>Educación dual</t>
  </si>
  <si>
    <t>Mediante políticas educativas, Menchaca prioriza recursos para el sector</t>
  </si>
  <si>
    <t>Entrega de reconocimientos</t>
  </si>
  <si>
    <t>Julio Menchaca Salazar, quien encabezó esta mañana la ceremonia conmemorativa del Día del Médico y la Médica, en cuyo marco se llevó a cabo la entrega de medallas y reconocimientos a profesionales de la salud distinguidos por su trayectoria y desempeño en la entidad."Siempre he pensado que la carrera más difícil profesional es ser médico o médica, porque implica un contacto muy directo con las personas.</t>
  </si>
  <si>
    <t>Mire, más de dos mil trabajadores de apoyo y asistencia a la educación en Hidalgo recibieron trayectoria de entre diez y cincuenta años de servicio. Durante la entrega, el gobernador Julio Menchaca destacó que su labor contribuye al mantenimiento de los planteles y refrendó el compromiso de fortalecer la educación pública.</t>
  </si>
  <si>
    <t>Por su esfuerzo, vocación y años de servicio, más de dos mil trabajadoras y trabajadores de apoyo y asistencia a la educación recibieron un estímulo y fueron reconocidos por el gobernador Julio Menchaca quien refrendó su compromiso con el fortalecimiento del sector educativo para transformar a la entidad</t>
  </si>
  <si>
    <t>Esta tarde una persona resultó herida tras registrarse una explosión presuntamente ocasionada por acumulación de gas, en las inmediaciones de Servicios Funerarios Arriaga; sobre la avenida Mariano Arista, en la colonia La Surtidora, Pachuca.Cuerpos de emergencia ya se encuentran en el lugar.</t>
  </si>
  <si>
    <t>Explosión</t>
  </si>
  <si>
    <t>Comenta conductor Jesús Gonzalez : Le pregunto a usted qué piensa del Hoy No Circula. Hace mucho tiempo, no es la primera vez que se hace esta propuesta, hace ya algunos años se decía que también querían echar a andar el Hoy No Circula en esta región de Tula: Tula, Tepeji, algunas zonas cercanas, Tulancingo y en Pachuca. Le comento esto porque ante las condiciones de tránsito que registra la zona metropolitana de Pachuca, el Gobierno de Hidalgo contempla evaluar la viabilidad del programa Hoy No Circula como parte de una estrategia más amplia para atender los problemas de movilidad. La secretaria de Movilidad y Transporte, Lyzbeth Robles, dio a conocer que sostuvo un primer acercamiento con su homóloga de Medio Ambiente y Recursos Naturales, Mónica Mixtega, con quien acordó establecer una mesa de trabajo para examinar los alcances de esta posibilidad</t>
  </si>
  <si>
    <t>Hoy no circula</t>
  </si>
  <si>
    <t>Radioescucha Sra. Hernández, pide apoyo con la CFE para que arreglen un poste que está casi tirado con los cables en el suelo; está en Santa Matilde, está en Avenida Reforma Agraria, justo entre la escuela primaria y la iglesia.</t>
  </si>
  <si>
    <t>Infraestructura eléctrica</t>
  </si>
  <si>
    <t>Radioescucha pide apoyo para quitar un poste de madera que esta a punto de caer en Rinconadas de San Francisco en Mineral de la Reforma</t>
  </si>
  <si>
    <t>Participación semanal de Mtro. Roberto Rico con el tema: Modalidad 40.Comentó que el pasado 21 de octubre de 2026, el Consejo Técnico del IMSS publicó en el Diario Oficial de la Federación un acuerdo que modifica las reglas de la Modalidad 40 (Continuación Voluntaria en el Régimen Obligatorio), explicó que este cambio limita el salario base de cotización para nuevas incorporaciones o reingresos al último sueldo registrado —permitiendo un incremento de solo 1 UMA ($117.31 MXN) en lugar de las 25 UMAs anteriores ($2,932.75 MXN)— y elimina los pagos retroactivos para cubrir periodos pasados. Aunque la medida respeta los derechos adquiridos de quienes ya cotizaban bajo este esquema antes del 21 de octubre, se proyecta un impacto directo en entre 1.2 y 1.3 millones de trabajadores pertenecientes al régimen de la Ley de 1973, cuyas expectativas de pensión mensual podrían reducirse de montos estimados entre $30,000 y $40,000 MXN a rangos de $6,000 a $7,000 MXN. Señaló que, si bien la medida busca frenar el colapso financiero de un sistema de pensiones que absorbe el 33% del Presupuesto de Egresos de la Federación y el 6% del PIB, el Consejo Técnico del IMSS excedió sus facultades operativas al alterar la Ley del Seguro Social sin la aprobación del Congreso de la Unión, vulnerando el principio constitucional de progresividad y abriendo la vía para juicios de amparo e impugnaciones legales.</t>
  </si>
  <si>
    <t>Natividad Castrejón asiste al lanzamiento del Primer Concurso Nacional de Coros Escolares</t>
  </si>
  <si>
    <t>Oiga, ya ve que le platicábamos al inicio este coro de la Escuela Primaria Pedro María Anaya de Mixquiahuala. Desde el día de ayer que le mandamos también esta felicitación. Bueno, pues ellos representaron a Hidalgo durante el aniversario de los coros escolares 2026. En el encuentro participaron la presidenta Claudia Sheinbaum Pardo, el secretario de Educación y también el titular de la Secretaría de Educación Pública de Hidalgo, Natividad Castrejón Valdéz.</t>
  </si>
  <si>
    <t>El presidente municipal de Mineral de la Reforma, Eduardo Medécigo, encabezó la firma de la entrega-recepción, del fraccionamiento Hacienda Margarita el cuarto desarrollo habitacional que municipaliza esta administración, proceso que beneficia a aproximadamente mil 400 familias.Eduardo Medecigo subrayó que se trataba de un reto importante para el gobierno municipal. Detalló que su administración resolvió darles certeza jurídica para que las familias se sientan seguras con una propiedad reconocida por el municipio y, con ello, cobre vida jurídica".</t>
  </si>
  <si>
    <t>Municipalización</t>
  </si>
  <si>
    <t>El Instituto Municipal para la Cultura de Pachuca anunció la realización de la décimo cuarta edición de la "Ruta de los Museos", la cual se llevará a cabo el próximo jueves 29 de octubre a partir de las 17:00 horas. El punto de partida será la Casa de Cultura (Instituto Municipal para la Cultura de Pachuca), desde donde los asistentes se congregarán para visitar el Archivo General del Estado y recorrer sus diversas exposiciones.</t>
  </si>
  <si>
    <t>Museos</t>
  </si>
  <si>
    <t>Ante los señalamientos por presunto nepotismo y la investigación iniciada por la Contraloría, se informó que renunció a su cargo como secretaria particular de la titular de la Secretaría de Cultura de Hidalgo, Neida Naranjo Baltazar.</t>
  </si>
  <si>
    <t>Nepotismo</t>
  </si>
  <si>
    <t>Durante la conferencia de prensa en el Edificio del Gobierno del Estado, la secretaria de Hacienda, María Esther Ramírez Vargas, informó que las estimaciones apuntan a que el presupuesto de Hidalgo para 2027 podría superar los 79,000 millones de pesos, impulsando la inversión en infraestructura, obra pública y programas sociales. La funcionaria subrayó que una recaudación eficiente permite ofrecer mejores servicios y oportunidades, para lo cual es necesario fortalecer la cultura contributiva y apoyar a los municipios. Asimismo, destacó que el estado se consolidó como sede de la Cuarta Sesión Ordinaria de AMEXHUASCA y que, gracias a diversas alianzas académicas e institucionales, Hidalgo se posiciona en el segundo lugar nacional en modernización catastral según la Sedatu.</t>
  </si>
  <si>
    <t>Presupuesto De Egresos</t>
  </si>
  <si>
    <t>Hidalgo podría superar los 79 mil millones de pesos de presupuesto para el ejercicio 2027. Así lo informó la secretaria de Hacienda estatal, María Esther Ramírez Vargas, con base en las proyecciones de la Secretaría de Hacienda y Crédito Público (SHCP).</t>
  </si>
  <si>
    <t>Abraham Mendoza Zenteno, delegado de Programas para el Bienestar en Hidalgo, informó que, del 3 al 27 de noviembre se realizará el pago de los Programas de Bienestar a los adultos mayores, mujeres, personas con discapacidad, madres trabajadoras, sembradoras y sembradores, correspondiente al bimestre noviembre-diciembre.Los depósitos se realizan conforme a la primera letra del apellido de la persona titular de la tarjeta del Banco del Bienestar, Abraham Mendoza Zenteno, señaló que este bimestre, los derechohabientes de las Pensiones para adultos mayores recibirán 6 mil 400 pesos; de Mujeres Bienestar, 3 mil 100 pesos; de Personas con Discapacidad, 3 mil 300 pesos; las y los beneficiarios de los Programas para Madres Trabajadoras, mil 650 pesos; y de Sembrando Vida, 6 mil 450 pesos mensuales.El delegado también dio a conocer que, el 28 de octubre, inicia la fase de asambleas y sorteos del programa Vivienda para el Bienestar de la CONAVI 2026. Por el momento, las primeras sedes son: Actopan, Mixquiahuala de Juárez, Huautla y Zempoala.</t>
  </si>
  <si>
    <t>Delegación</t>
  </si>
  <si>
    <t>La Secretaría de Gobernación (Segob) y la Canacar acordaron el retiro de bloqueos carreteros y la suspensión de movilizaciones a cambio de establecer mesas de diálogo por cuatro meses.</t>
  </si>
  <si>
    <t>El tema del día de ayer fue estos bloqueos por parte de transportistas y por segundo día consecutivo organizaciones del sector transportista mantienen el paro nacional luego de las concentraciones y protestas registradas ayer lunes en 19 entidades del país</t>
  </si>
  <si>
    <t>Transportistas se movilizaron este lunes hasta las instalaciones de Infraestructura, Comunicaciones y Transportes (SICT) en Pachuca. Esto para exigir mayor seguridad en las carreteras federales.Denunciaron que los constantes robos ponen en riesgo sus vidas, sus unidades y su patrimonio. Por lo que demandaron a las autoridades federales reforzar la vigilancia para poder trabajar.Un representante del sector transportista expresó:"Sí, ya en práctica el transporte nos toman como los malos, cuando realmente somos los que abastecemos a todas las principales ciudades. Entonces nos han afectado por todos lados, de manera fiscal, de manera... por andar en cualquier lado, por la delincuencia. Estamos muy atorados por esa parte. Y está en todos lados, prácticamente, punto rojo. No es Potosí, Estado de México, pero prácticamente ya no hay... México-Querétaro, o sea, ya no hay a dónde te salgas."</t>
  </si>
  <si>
    <t>Transportistas realizaron una caravana que partió de la carretera México- Pachuca a la altura del C5I de Hidalgo en el municipio de Zapotlán con dirección a Pachuca.Con claxon y mantas en las que exigen mayor seguridad en carreteras, frenar los asaltos y las extorsiones, así como mejorar la infraestructura vial, los transportistas avanzaron por vialidades como el Bulevar Felipe Ángeles y el Bulevar Nuevo Hidalgo para llegar hasta un centro comercial ubicado frente a las oficinas de la Secretaría de Infraestructura, Comunicaciones y Transportes, donde estacionaron sus vehículos, por la tarde bloquearon un carril del bulevar Colosio en ambos sentidos generando rezago vehicular.Transportistas del municipio de Tula, también se sumaron a esta manifestación.</t>
  </si>
  <si>
    <t>A partir del próximo 3 de noviembre entrarán en vigor los lineamientos para regular el uso de dispositivos móviles en los planteles educativos públicos y privados del país, con el propósito de favorecer la concentración de las y los estudiantes, fortalecer la convivencia escolar y promover el uso responsable de la tecnología, informó el secretario de Educación Pública, Mario Delgado Carrillo. Durante la Cuarta Reunión Nacional Plenaria Extraordinaria 2026 del Consejo Nacional de Autoridades Educativas (Conaedu), Delgado Carrillo destacó que esta iniciativa, impulsada por la presidenta Claudia Sheinbaum Pardo y aprobada por las y los titulares de educación de las 32 entidades del país, responde a la necesidad de fortalecer los ambientes de aprendizaje y reducir las distracciones que pueden afectar la atención de las y los estudiantes. Asimismo, señaló que se busca aprovechar los espacios educativos para estimular la imaginación, la participación y las relaciones interpersonales. Explicó que, en educación básica, que comprende primaria y secundaria, el uso de teléfonos celulares estará restringido durante la jornada escolar, tanto en las aulas como en los periodos de recreo. La medida busca recuperar los espacios de convivencia entre niñas, niños y adolescentes, así como propiciar las conversaciones, las amistades y la interacción directa en las escuelas. En educación media superior, indicó que cada plantel establecerá sus propias reglas mediante acuerdos con su comunidad educativa, a fin de definir las condiciones para el uso de dispositivos móviles de acuerdo con sus necesidades y contextos particulares. En educación superior, el titular de la SEP destacó que, en coordinación con la Asociación Nacional de Universidades e Instituciones de Educación Superior (ANUIES), se promueve el uso crítico de la tecnología para que las y los jóvenes comprendan el funcionamiento de los algoritmos, las implicaciones de la inteligencia artificial y el papel de estas herramientas en su formación académica y en la sociedad. El secretario subrayó que la iniciativa no busca alejar a las y los estudiantes de la tecnología, sino fomentar prácticas que permitan aprovechar sus beneficios de manera consciente y responsable, privilegiando el aprendizaje, la convivencia y el desarrollo integral de las comunidades escolares.</t>
  </si>
  <si>
    <t>Regulación de dispositivos digitales</t>
  </si>
  <si>
    <t>Transportistas sin seguro vigente en Hidalgo podría costarles mucho más que una multa. También podrían perder su concesión. la convocatoria y la supervisión podría comenzar a partir de noviembre. Esto lo informó la Secretaría de Movilidad y Transporte, Lyzbeth Robles</t>
  </si>
  <si>
    <t>Supervisión de transporte</t>
  </si>
  <si>
    <t>El gobernador de Hidalgo, Julio Menchaca Salazar, confirmó que la presidenta de la república, Claudia Sheinbaum, realizará una gira de dos días en la entidad durante el próximo jueves y viernes. El objetivo de la visita es entregar apoyos y tarjetas a las familias afectadas por las lluvias y precipitaciones que ocasionaron daños en diversas regiones y miles de hectáreas siniestradas. La agenda presidencial contemplará actividades y recorridos en municipios como Zacualtipán de Ángeles y Villa de Tezontepec para atender a las poblaciones damnificadas por fenómenos meteorológicos previos.</t>
  </si>
  <si>
    <t>Visita Sheinbaum</t>
  </si>
  <si>
    <t>Anuncian visita de la presidenta Claudia Sheinbaum a Hidalgo y entrega de apoyos Le informamos que se informó que se prevé la visita de la presidenta de México, Claudia Sheinbaum, dos días esta semana.</t>
  </si>
  <si>
    <t>El gobernador Julio Menchaca confirmó que los próximos días jueves 29 y viernes 30 de octubre, la presidenta Claudia Sheimbaun visitará nuevamente el estado de Hidalgo,</t>
  </si>
  <si>
    <t>Radioescucha Karen Zepeda. «Muy buenos días, licenciado Larrieta, para comentarte que en la colonia Juan C. Doria llevamos una semana sin agua...»</t>
  </si>
  <si>
    <t>Radioescucha dice: “Hola, muy buenos días, Lalo Larrieta. Disculpe la molestia, pero en Rinconadas de San Francisco, Mineral de la Reforma, tenemos tres días sin agua “</t>
  </si>
  <si>
    <t>Locutor Jesús Riveros da lectura a comentario de radioescucha que reporta, la falta de suministro de agua potable en el fraccionamiento El Palmar, en la capital del estado de Hidalgo. Ante esta situación, se realizó un llamado de atención a la CAASIM para conocer las causas y la posible solución a esta problemática que afecta a los habitantes de la zona.</t>
  </si>
  <si>
    <t>Locutor David Cárdenas destacó la labor de la Secretaría de Agricultura y Desarrollo Rural (Saderh) encabezada por Napoleón González Pérez, enfocada en dotar de herramientas e insumos a los productores del campo de Nopala para hacer más rentable y eficiente su labor. Asimismo, se enfatizó la necesidad de impulsar programas exclusivos para las nuevas generaciones de hijos de campesinos, buscando motivar el relevo generacional ante el abandono que el campo ha sufrido por parte de administraciones anteriores y brindarles mayores oportunidades de desarrollo productivo.</t>
  </si>
  <si>
    <t>Saderh</t>
  </si>
  <si>
    <t>Apoyo Al Agro</t>
  </si>
  <si>
    <t>La Secretaría de Agricultura y Desarrollo Rural de Hidalgo (Saderh) anunció un programa enfocado en apoyar a las nuevas generaciones de hijos de campesinos dedicados al sector agropecuario, con el fin de facilitar herramientas que hagan más rentable y eficiente el trabajo de la tierra. Este anuncio se dio durante una reunión en Nopala, donde se entregaron 2,918,088 pesos en insumos agrícolas y pecuarios —como semillas, aves, ganado porcino, herramientas y árboles frutales— a 481 productores de la región. En el evento estuvieron presentes alcaldes de Nopala de Villagrán, Huichapan, Tecozautla y Chapantongo para coordinar acciones en favor del desarrollo rural</t>
  </si>
  <si>
    <t>La ventanilla recibe solicitudes para análisis de suelos, instalación de invernaderos para mujeres y subsidios por afectaciones agrícolas y pecuarias. Productores agrícolas y pecuarios de Tulancingo podrán solicitar apoyos estatales hasta este miércoles 28 de octubre, a través de una ventanilla habilitada por la Secretaría del Campo municipal para gestionar programas de análisis de suelos, instalación de invernaderos y atención a catástrofes en el sector rural. La recepción de documentos se realiza de 8:30 a 16:00 horas en la Dirección de Gestión y Fomento. Los requisitos varían según el programa y, para resolver dudas, la dependencia puso a disposición el teléfono 775 755 8450, extensión 1239. Entre los apoyos disponibles se encuentra Análisis de Suelos, que contempla la toma de muestras. Las personas interesadas deben presentar identificación oficial vigente, CURP actualizado y comprobante de domicilio. El componente Mujeres que Transforman el Campo, destinado al establecimiento de módulos de invernadero, requiere además acreditar la propiedad o posesión legal del terreno, entregar un croquis para ubicarlo y presentar una carta bajo protesta de decir verdad que confirme que el predio cuenta con tierra apta para cultivo y agua suficiente para el riego. Para acceder a los subsidios por catástrofes agrícolas y pecuarias, los solicitantes deberán entregar fotografías impresas que permitan identificar las afectaciones parciales o totales en sus cultivos o unidades productivas. La Secretaría del Campo municipal informó que estas gestiones buscan acercar a los productores los programas impulsados por el Gobierno de Hidalgo y fortalecer las actividades agrícolas y pecuarias, de las que dependen numerosas familias. La coordinación con los gobiernos estatal y federal busca ampliar el acceso a recursos y herramientas para atender las necesidades del sector rural y mejorar las condiciones de quienes trabajan la tierra.</t>
  </si>
  <si>
    <t>Hidalgo apuesta por el futuro del campo con oportunidades para jóvenes</t>
  </si>
  <si>
    <t>Entrevista con Miguel Saviñón sobre sus aspiraciones políticas y la estructura del PVEM en Tula. En la línea telefónica al delegado municipal del Partido Verde Ecologista de México (PVEM) aquí en Tula, el licenciado Miguel Saviñón, mi querido Saviñón, Savi como muchos también lo conocen, ¿cómo estás? Buenos días. "Muy bien, amigo Cristian, muchísimas gracias por la oportunidad, atesoro de sobremanera el espacio y un saludo muy cordial para toda la audiencia que sé que es muy vasta de este noticiero Retrovisor y de Super Estéreo. Muchas gracias, mi querido Miguel Saviñón, pues tenemos la oportunidad de poderte conocer y de verte a lo largo de los años también cómo te has desarrollado aquí en Tula ahora como delegado municipal del Partido Verde Ecologista de México y bueno pues se empiezan a correr también ya los procesos, procesos que serán para conocer quiénes irán dentro de ellos y quiénes participarán el siguiente año y saber y conocer de tu viva voz, mi querido Saviñón, si tú vas a participar, si tú quisieras estar dentro de esta contienda. Fíjate amigo que durante el transitar en la vida pública, en la política, pues siempre he tenido yo aspiraciones personales, sin embargo siempre he sido yo muy prudente y he seguido lo que ha indicado la dirigencia de cada uno de los institutos políticos donde he militado. Hoy en el Partido Verde Ecologista todavía no está nada definido, por supuesto que si en algún momento el partido dispone de mi perfil para estar dentro de la candidatura a la contienda para la presidencia municipal, pues lo haré yo con mucho entusiasmo y con mucho compromiso, sin embargo aún no se sabe, hoy estamos muy enfocados en seguir trabajando, en seguir aceitando la maquinaria de las estructuras del Partido Verde, estamos con el programa de la afiliación y seguir trabajando muy cercanos a la gente con propuestas muy sostenibles y sustentables en el tema ambiental, en el tema social y eso es lo que ahorita estamos muy enfocados en mi posición como delegado municipal del Partido Verde aquí en Tula y pues seguir invitando a la gente a que se sume a un proyecto donde tenemos muchas propuestas y muchas ideas innovadoras para Tula y por supuesto mucho compromiso y muchas muchas ganas de hacer las cosas bien."</t>
  </si>
  <si>
    <t>Aspirantes</t>
  </si>
  <si>
    <t>La Dirección de Protección Civil de Mineral de la Reforma determinó la clausura del establecimiento denominado Time Motel, ubicado sobre la carretera Pachuca-Ciudad Sahagún, derivado de una inspección en la que se identificó el incumplimiento de requisitos documentales y medidas de seguridad.Durante la verificación, el establecimiento no presentó el Programa Interno de Protección Civil ni la Opinión Técnica de Medidas de Seguridad vigente. Asimismo, se constató la falta de señalética y extintores, así como la ausencia de dictámenes estructurales.</t>
  </si>
  <si>
    <t>Clausura De Establecimiento</t>
  </si>
  <si>
    <t>La Policía en Hidalgo aseguró 29,000 litros de hidrocarburo y detuvo a una persona en Sempuala. Resulta que hubo un accidente, llegó la policía y detectaron durante la revisión que transportaba cerca de 30,000 litros de combustible»</t>
  </si>
  <si>
    <t>Combate al huachicol</t>
  </si>
  <si>
    <t>La Agencia de Investigación Criminal detuvo a tres personas en la localidad de Xochitlán de las Flores, aquí en Tula de Allende, por su presunta posesión de narcóticos y armas de fuego. Se trata de dos mujeres y un hombre.</t>
  </si>
  <si>
    <t>La Procuraduría General de Justicia del Estado de Hidalgo, a través de la Agencia de Investigación Criminal (AIC), detuvo a tres personas en posesión de sustancias con características de narcóticos, así como armas de fuego y cartuchos útiles.</t>
  </si>
  <si>
    <t>Fueron detenidas tres personas en posesión de narcóticos y armas de fuego, presentados ya están ante el Ministerio Público.</t>
  </si>
  <si>
    <t>Y también allá, en Ixmiquilpan, vecinos de la comunidad de Julián Villagrán, bloquearon la carretera federal México-Laredo para exigir la liberación de Macario N. y Lorenzo N., recluidos en el Cerezo de Pachuca por el presunto delito de despojo, en medio de un conflicto limítrofe con Pueblo Nuevo. Los manifestantes señalaron que protestaron por la falta de avances en el proceso legal.</t>
  </si>
  <si>
    <t>Un automovilista resultó ileso tras ser atacado a balazos en la colonia Santa Alicia, ahí en Ixmiquilpan. Su camioneta Chevrolet S10 presentó impactos en el parabrisas y en el marco de una puerta. El conductor, vecino de El Nith, señaló que un hombre en una motocicleta negra tipo chopper se le acercó y disparó contra la unidad antes de escapar. El afectado refirió que mantiene diferencias con el presunto agresor por la posesión de unos predios.</t>
  </si>
  <si>
    <t>Conflicto por predio</t>
  </si>
  <si>
    <t>Continuamos con la información, porque mire, ayer se llevaron a cabo diversas movilizaciones en el municipio de Ixmiquilpan, alrededor de 50 habitantes de la localidad de Los Pinos se manifestaron de manera pacífica frente a la presidencia municipal de Ixmiquilpan, portando cartulinas con mensajes dirigidos a las autoridades municipales y llamados a poner fin a los conflictos entre comunidades.</t>
  </si>
  <si>
    <t>Conflicto Territorial</t>
  </si>
  <si>
    <t>SEPH promueve entornos escolares seguros, inclusivos y libres de violencia</t>
  </si>
  <si>
    <t>Convivencia Escolar</t>
  </si>
  <si>
    <t>Vía telefónica a la secretaria de Cultura del Gobierno de Hidalgo, Neyda Naranjo Baltazar con el tema: Día de muertos</t>
  </si>
  <si>
    <t>Cultura</t>
  </si>
  <si>
    <t>Entrevista pautada</t>
  </si>
  <si>
    <t>Y miren en otra información, le queremos comentar que comerciantes de temporada esperan un incremento en sus ventas de un 5% a 10%, toda la información con nuestra compañera Claudia Alcántara. Se espera un incremento del 5% al 10% en las ventas principalmente en florerías, dulcerías y tiendas de disfraces, entre otros artículos para la celebración del Día de Muertos. Algunos comerciantes reconocen que se ha perdido la tradición de los altares para honrar a nuestros muertos, pero también hay quien continúa con esta bella tradición."Las tradiciones, el no olvidar a nuestros muertos, el rendirles un culto y que siempre están en nuestras mentes y en los corazones de uno. Está accesible, todavía podemos con él, pues está económico, es el más económico ahorita que hemos encontrado. ¿Cuánto? 50 pesos."Acudimos a algunos lugares de venta de flor de temporada y varían los precios. Hay desde 30 pesos un manojo de cempasúchil. Aquí la recomendación es buscar para no perder nuestras tradiciones.</t>
  </si>
  <si>
    <t>Danza, música y una ofrenda integral es la jornada cultural gratuita en el Centro de las Artes por el Día de Muertos.</t>
  </si>
  <si>
    <t>Vía telefónica Jerusalem Kuri del Campo Directora General del Museo Interactivo El Rehilete con el tema: Noches de Terror. Este 29 de octubre tenemos el concurso de altares. En él hicimos la convocatoria en su momento dirigida a alumnos desde primaria, secundaria, media superior y superior. Ellos van a poner su altar en el Museo El Rehilete.</t>
  </si>
  <si>
    <t>Con el propósito de preservar las tradiciones mexicanas, fortalecer la identidad comunitaria y promover la convivencia familiar, el Ayuntamiento de Mineral de la Reforma realizará la tercera edición del Festival de Día de Muertos “Chicomecóatl”, del 27 de octubre al 2 de noviembre, con actividades para todos los sectores de la población.A través de la Secretaría del Bienestar para la Comunidad, el gobierno municipal, prepara una programación que reunirá expresiones artísticas, música, danza, teatro, literatura y actividades tradicionales en sedes como La Calera, el Centro Mineralense de las Artes (CEMART), Pachuquilla y los panteones municipales.En esta edición, la figura de Chicomecóatl, diosa del maíz y la fertilidad, será el eje simbólico de las actividades, al representar el ciclo de la vida, la memoria y el regreso al hogar. Las actividades comenzarán el martes 27 de octubre en el Hospital con Garra, en La Calera, donde se llevará a cabo una feria de adopciones, el concurso de disfraces de perros y gatos 2026, una presentación escénica sobre la leyenda delxoloitzcuintle y la inauguración de un altar y un muro conmemorativo. Con ello, el festival incorpora el bienestar animal como parte fundamental de la celebración.</t>
  </si>
  <si>
    <t>Susana Fuentes, integrante del comité organizador, invitó a la ciudadanía a la celebración del Día de Muertos en la histórica Fundición de Apulco, ubicada en Ferrería, municipio de Metepec (a 30 minutos de Tulancingo). El evento se llevará a cabo el próximo sábado 31 a partir de las 6:00 p.m. y ofrecerá un recorrido enfocado en mitos y leyendas locales —como "La Bruja de Hierro" y "El Guardián de la Fundición"—, además de tours nocturnos, música en vivo, comida, concurso de disfraces y actividades para toda la familia. El costo de acceso es de 100 pesos por adulto y 50 pesos para niños de 6 a 12 años (los menores de 6 años entran gratis), contando también con opciones de hospedaje y reservaciones previas a través de sus redes sociales o vía telefónica.</t>
  </si>
  <si>
    <t>Como parte del programa Regreso a Casa: Día de Muertos Pachuca 2026, el Ayuntamiento de Pachuca invita a la ciudadanía a participar en los recorridos de terror en el Panteón Municipal, una de las actividades preparadas para celebrar las tradiciones de esta temporada. Los recorridos se realizarán los días 27, 28, 29 y 31 de octubre, en un horario de 19:00 a 22:00 horas, con una duración aproximada de 40 minutos por circuito. Para cada recorrido se contempla un aforo aproximado de 150 personas, por lo que se recomienda a las y los asistentes acudir con ropa cómoda para disfrutar de esta experiencia. Con esta propuesta, el Ayuntamiento de Pachuca busca ofrecer alternativas culturales y recreativas para celebrar el Día de Muertos, al tiempo que aprovecha espacios emblemáticos de la ciudad para acercar a la población a las tradiciones de estas fechas.</t>
  </si>
  <si>
    <t>También el gobernador de Hidalgo, Julio Menchaca Salazar, destacó el fortalecimiento de las finanzas estatales, con un incremento en la recaudación propia y una reducción de cuarenta y dos por ciento en la deuda pública. De acuerdo con cifras estatales, los ingresos propios pasaron de cuatro mil novecientos dieciséis millones de pesos en dos mil veintiuno, a más de nueve mil seiscientos treinta y seis millones en dos mil veinticinco, lo que representa un aumento del noventa y seis por ciento.</t>
  </si>
  <si>
    <t>Disciplina financiera</t>
  </si>
  <si>
    <t>Nos vamos hasta el estado de Hidalgo, reconoce Julio Menchaca la trayectoria y vocación del personal médico de Hidalgo. Distinguió a 18 profesionales por su dedicación al cuidado de la salud, en reconocimiento a la experiencia, profesionalismo y compromiso social de quienes dedican su vida al cuidado de la salud. El gobernador de Hidalgo, Julio Menchaca Salazar, encabezó la entrega de medallas y reconocimientos a 18 médicas y médicos cuya labor ha contribuido al bienestar de las familias hidalguenses. Vamos a escuchar parte de lo que destaca el mandatario de allá del estado de Hidalgo, Julio Menchaca Salazar.</t>
  </si>
  <si>
    <t>Son ya las siete de la mañana con once minutos y vamos con la información porque hay muchas cosas que compartirle en este miércoles, en esta mitad de semana. Miren, el gobernador de Hidalgo, Julio Menchaca Salazar, entregó medallas y reconocimientos a diecinueve médicas y médicos por su trayectoria de aportaciones a la salud en la entidad.</t>
  </si>
  <si>
    <t>Reconoce Julio Menchaca la trayectoria y vocación del personal médico de Hidalgo.</t>
  </si>
  <si>
    <t>Reconoce Julio Menchaca la trayectoria y vocación del personal médico de Hidalgo</t>
  </si>
  <si>
    <t>Se registró una explosión en una funeraria. Esto fue en la calle Mariano Arista, allá en Pachuca, que dejó como saldo a una persona lesionada y movilizó elementos de emergencia. El incidente habría sido provocado por una posible acumulación de gas.</t>
  </si>
  <si>
    <t>Radioescucha Lalo, saludos a todos de parte de tu amigo Gerardo Islas y toda la comunidad de Chavarría, La Calera, El Pedregal, comentando que hoy el «Hoy No Circula»... la realidad es que el gobierno y Semoth quier</t>
  </si>
  <si>
    <t>El Ayuntamiento de Pachuca, a través de la Secretaría de las Mujeres, realizó el Primer Encuentro de Mujeres de Pachuca “Dialogamos, construimos y avanzamos en la agenda”, un espacio de análisis, diálogo y construcción colectiva para visibilizar las necesidades de las mujeres y fortalecer las políticas públicas municipales con perspectiva de género.Con el impulso del presidente municipal Jorge Reyes, este encuentro reunió propuestas y experiencias para avanzar en la igualdad sustantiva y contribuir a garantizar una vida libre de violencia para las mujeres de la capital hidalguense.</t>
  </si>
  <si>
    <t>Perspectiva de género</t>
  </si>
  <si>
    <t>La Secretaría de Bienestar e Inclusión Social (Sebiso) llevó a cabo una gira de trabajo de dos días por municipios de la Huasteca y la Sierra Alta de Hidalgo, abarcando localidades como Xochiatipan, Huautla, Atlapexco, Huazalingo, Tlanchinol, Tepehuacán de Guerrero y Tianguistengo. Durante esta gira se entregaron 4,325 tarjetas de los programas Bienestar y Desarrollo y Madres Trabajadoras para evitar gastos de traslado a las familias beneficiarias. Asimismo, se distribuyeron paquetes de cacao y azúcar en Huazalingo y Tianguistengo para la elaboración de chocolate con motivo de las próximas festividades tradicionales y del Xantolo.</t>
  </si>
  <si>
    <t>Bienestar</t>
  </si>
  <si>
    <t>Programas Del Pueblo</t>
  </si>
  <si>
    <t>Lleva Sebiso apoyos directos a comunidades de la Huasteca y la sierra</t>
  </si>
  <si>
    <t>Tras acordar el diálogo con autoridades, los transportistas accedieron a retirar los bloqueos que mantenían en varios puntos carreteros. Esto lo informó la Secretaría de Gobernación. Los representantes de la Canacar realizarán mesas de diálogo con las dependencias competentes para abordar temas de seguridad carretera, de infraestructura, de asuntos fiscales, de seguridad social y condiciones laborales. Esto lo detalló la dependencia.</t>
  </si>
  <si>
    <t>El diputado Miguel Moreno Zamora afirmó que cuentan con un plan B en caso de que los municipios no aprueben la reforma al artículo 141 de la Constitución de Hidalgo, que facultaría a los alcaldes para firmar contratos sin consultar al cabildo. De acuerdo con el último corte oficial citado por el legislador, quince municipios han votado en contra de la minuta y trece a favor. Moreno Zamora no detalló en qué consiste la alternativa.</t>
  </si>
  <si>
    <t>Reforma a contrataciones municipales</t>
  </si>
  <si>
    <t>El relleno sanitario municipal de Tepeji del Río, estaría cerca de alcanzar su máxima capacidad, por lo que el gobierno local analiza adquirir un terreno para habilitar un nuevo confinamiento de residuos sólidos urbanos, la directora de Medio Ambiente, Vania Hipólito Barrera, informó la propuesta a integrantes del ayuntamiento, pero no precisó dónde se ubicaría el predio, debido al tiempo que resta a la actual administración, el proyecto podría quedar pendiente y ser heredado al gobierno municipal 2027-2030.</t>
  </si>
  <si>
    <t>Relleno Sanitario</t>
  </si>
  <si>
    <t>La presidenta de México, Claudia Sheinbaum, informó que su administración trabaja en el saneamiento de los ríos Lerma, Santiago, Atoyac y Tula. La mandataria señaló la importancia de intervenir en estas cuencas ante las afectaciones a la salud que se registran entre habitantes de las comunidades cercanas, particularmente por la presencia de padecimientos renales, situación que destacó como uno de los motivos para avanzar en los trabajos de recuperación ambiental. “ Se está trabajando eh tres ríos, los ríos más contaminados de México. El Atoyac, el segundo es el Lerma Santiago, y el tercero es el río Tula y todos sus afluentes, que también es un río eh pues muy contaminado, junto con la presa Endhó, que es una presa que en donde salen las descargas de agua de la zona metropolitana del Valle de México”</t>
  </si>
  <si>
    <t>Restauración ecológica</t>
  </si>
  <si>
    <t>El Instituto Mexicano del Seguro Social (IMSS) en Hidalgo reitera su llamado a la población para participar en la Campaña Nacional de Vacunación correspondiente a la temporada invernal 2026-2027, cuyo objetivo es prevenir enfermedades respiratorias y proteger la salud de las familias derechohabientes.La estrategia contempla la aplicación de vacunas contra influenza estacional y COVID-19, además de fortalecer la cobertura de biológicos como neumococo, dirigidos a los grupos de población que presentan mayor riesgo de complicaciones.</t>
  </si>
  <si>
    <t>Vacunación</t>
  </si>
  <si>
    <t>El Instituto Mexicano del Seguro Social (IMSS) en Hidalgo reforzó el llamado a la población para participar en la Campaña Nacional de Vacunación para la temporada invernal 2026-2027, que contempla la aplicación de dosis contra influenza estacional, COVID-19 y neumococo, de acuerdo con los grupos de riesgo. La estrategia tiene como objetivo prevenir enfermedades respiratorias y reducir el riesgo de complicaciones, principalmente entre los sectores más vulnerables de la población.</t>
  </si>
  <si>
    <t>Radioescucha manda audio y comenta muchos baches en la calle de Allende</t>
  </si>
  <si>
    <t>Vialidad en mal estado</t>
  </si>
  <si>
    <t>Continuando con la presidenta de México, Claudia Sheinbaum, cabe recordar que tiene prevista una agenda de trabajo aquí en Hidalgo que contempla su presencia en Pachuca mañana jueves para encabezar la entrega de apoyos a las personas afectadas por la vaguada monzónica. Asimismo, se espera que el viernes la mandataria federal realice un recorrido de supervisión por las obras del tren que conectará el Aeropuerto Internacional Felipe Ángeles con la capital hidalguense, como parte del seguimiento a tra- a este proyecto de infraestructura ferroviaria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</si>
</sst>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02" tableType="queryTable" totalsRowShown="0">
  <autoFilter ref="A1:M102"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02"/>
  <sheetViews>
    <sheetView tabSelected="1" topLeftCell="A67" workbookViewId="0">
      <selection activeCell="A102" sqref="A102"/>
    </sheetView>
  </sheetViews>
  <sheetFormatPr baseColWidth="10" defaultRowHeight="15" x14ac:dyDescent="0.25"/>
  <cols>
    <col min="1" max="1" width="8.5703125" bestFit="1" customWidth="1"/>
    <col min="2" max="2" width="11.42578125" bestFit="1" customWidth="1"/>
    <col min="3" max="3" width="20" bestFit="1" customWidth="1"/>
    <col min="4" max="4" width="26" bestFit="1" customWidth="1"/>
    <col min="5" max="5" width="81.140625" bestFit="1" customWidth="1"/>
    <col min="6" max="6" width="15.28515625" bestFit="1" customWidth="1"/>
    <col min="7" max="7" width="35.7109375" bestFit="1" customWidth="1"/>
    <col min="8" max="8" width="12.42578125"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11</v>
      </c>
      <c r="C1" t="s">
        <v>12</v>
      </c>
      <c r="D1" t="s">
        <v>13</v>
      </c>
      <c r="E1" t="s">
        <v>1</v>
      </c>
      <c r="F1" t="s">
        <v>2</v>
      </c>
      <c r="G1" t="s">
        <v>4</v>
      </c>
      <c r="H1" t="s">
        <v>3</v>
      </c>
      <c r="I1" t="s">
        <v>5</v>
      </c>
      <c r="J1" t="s">
        <v>14</v>
      </c>
      <c r="K1" t="s">
        <v>15</v>
      </c>
      <c r="L1" t="s">
        <v>16</v>
      </c>
      <c r="M1" t="s">
        <v>21</v>
      </c>
    </row>
    <row r="2" spans="1:13" x14ac:dyDescent="0.25">
      <c r="A2" s="2">
        <v>46322</v>
      </c>
      <c r="B2" s="1" t="str">
        <f ca="1">IF(Información1[[#This Row],[Fecha]]='Ajuste de fechas'!$A$2,"Día actual","Día anterior")</f>
        <v>Día anterior</v>
      </c>
      <c r="C2" s="3" t="s">
        <v>28</v>
      </c>
      <c r="D2" t="s">
        <v>33</v>
      </c>
      <c r="E2" s="3" t="s">
        <v>60</v>
      </c>
      <c r="F2" s="3" t="s">
        <v>51</v>
      </c>
      <c r="G2" s="3" t="s">
        <v>61</v>
      </c>
      <c r="H2" s="3" t="s">
        <v>27</v>
      </c>
      <c r="I2" s="3" t="s">
        <v>6</v>
      </c>
      <c r="J2" s="3" t="s">
        <v>17</v>
      </c>
      <c r="K2" s="3" t="s">
        <v>30</v>
      </c>
      <c r="L2" s="3" t="s">
        <v>18</v>
      </c>
      <c r="M2">
        <v>1</v>
      </c>
    </row>
    <row r="3" spans="1:13" x14ac:dyDescent="0.25">
      <c r="A3" s="2">
        <v>46322</v>
      </c>
      <c r="B3" s="1" t="str">
        <f ca="1">IF(Información1[[#This Row],[Fecha]]='Ajuste de fechas'!$A$2,"Día actual","Día anterior")</f>
        <v>Día anterior</v>
      </c>
      <c r="C3" s="3" t="s">
        <v>62</v>
      </c>
      <c r="D3" t="s">
        <v>63</v>
      </c>
      <c r="E3" s="3" t="s">
        <v>64</v>
      </c>
      <c r="F3" s="3" t="s">
        <v>39</v>
      </c>
      <c r="G3" s="3" t="s">
        <v>61</v>
      </c>
      <c r="H3" s="3" t="s">
        <v>27</v>
      </c>
      <c r="I3" s="3" t="s">
        <v>10</v>
      </c>
      <c r="J3" s="3" t="s">
        <v>40</v>
      </c>
      <c r="K3" s="3" t="s">
        <v>65</v>
      </c>
      <c r="L3" s="3" t="s">
        <v>18</v>
      </c>
      <c r="M3">
        <v>1</v>
      </c>
    </row>
    <row r="4" spans="1:13" x14ac:dyDescent="0.25">
      <c r="A4" s="2">
        <v>46322</v>
      </c>
      <c r="B4" s="1" t="str">
        <f ca="1">IF(Información1[[#This Row],[Fecha]]='Ajuste de fechas'!$A$2,"Día actual","Día anterior")</f>
        <v>Día anterior</v>
      </c>
      <c r="C4" s="3" t="s">
        <v>66</v>
      </c>
      <c r="D4" t="s">
        <v>67</v>
      </c>
      <c r="E4" s="3" t="s">
        <v>68</v>
      </c>
      <c r="F4" s="3" t="s">
        <v>8</v>
      </c>
      <c r="G4" s="3" t="s">
        <v>48</v>
      </c>
      <c r="H4" s="3" t="s">
        <v>27</v>
      </c>
      <c r="I4" s="3" t="s">
        <v>6</v>
      </c>
      <c r="J4" s="3" t="s">
        <v>17</v>
      </c>
      <c r="K4" s="3" t="s">
        <v>69</v>
      </c>
      <c r="L4" s="3" t="s">
        <v>18</v>
      </c>
      <c r="M4">
        <v>1</v>
      </c>
    </row>
    <row r="5" spans="1:13" x14ac:dyDescent="0.25">
      <c r="A5" s="2">
        <v>46322</v>
      </c>
      <c r="B5" s="1" t="str">
        <f ca="1">IF(Información1[[#This Row],[Fecha]]='Ajuste de fechas'!$A$2,"Día actual","Día anterior")</f>
        <v>Día anterior</v>
      </c>
      <c r="C5" s="3" t="s">
        <v>66</v>
      </c>
      <c r="D5" t="s">
        <v>67</v>
      </c>
      <c r="E5" s="3" t="s">
        <v>70</v>
      </c>
      <c r="F5" s="3" t="s">
        <v>39</v>
      </c>
      <c r="G5" s="3" t="s">
        <v>71</v>
      </c>
      <c r="H5" s="3" t="s">
        <v>27</v>
      </c>
      <c r="I5" s="3" t="s">
        <v>7</v>
      </c>
      <c r="J5" s="3" t="s">
        <v>40</v>
      </c>
      <c r="K5" s="3" t="s">
        <v>69</v>
      </c>
      <c r="L5" s="3" t="s">
        <v>19</v>
      </c>
      <c r="M5">
        <v>1</v>
      </c>
    </row>
    <row r="6" spans="1:13" x14ac:dyDescent="0.25">
      <c r="A6" s="2">
        <v>46322</v>
      </c>
      <c r="B6" s="1" t="str">
        <f ca="1">IF(Información1[[#This Row],[Fecha]]='Ajuste de fechas'!$A$2,"Día actual","Día anterior")</f>
        <v>Día anterior</v>
      </c>
      <c r="C6" s="3" t="s">
        <v>66</v>
      </c>
      <c r="D6" t="s">
        <v>67</v>
      </c>
      <c r="E6" s="3" t="s">
        <v>72</v>
      </c>
      <c r="F6" s="3" t="s">
        <v>39</v>
      </c>
      <c r="G6" s="3" t="s">
        <v>71</v>
      </c>
      <c r="H6" s="3" t="s">
        <v>27</v>
      </c>
      <c r="I6" s="3" t="s">
        <v>7</v>
      </c>
      <c r="J6" s="3" t="s">
        <v>40</v>
      </c>
      <c r="K6" s="3" t="s">
        <v>69</v>
      </c>
      <c r="L6" s="3" t="s">
        <v>19</v>
      </c>
      <c r="M6">
        <v>1</v>
      </c>
    </row>
    <row r="7" spans="1:13" x14ac:dyDescent="0.25">
      <c r="A7" s="2">
        <v>46322</v>
      </c>
      <c r="B7" s="1" t="str">
        <f ca="1">IF(Información1[[#This Row],[Fecha]]='Ajuste de fechas'!$A$2,"Día actual","Día anterior")</f>
        <v>Día anterior</v>
      </c>
      <c r="C7" s="3" t="s">
        <v>66</v>
      </c>
      <c r="D7" t="s">
        <v>67</v>
      </c>
      <c r="E7" s="3" t="s">
        <v>73</v>
      </c>
      <c r="F7" s="3" t="s">
        <v>74</v>
      </c>
      <c r="G7" s="3" t="s">
        <v>71</v>
      </c>
      <c r="H7" s="3" t="s">
        <v>27</v>
      </c>
      <c r="I7" s="3" t="s">
        <v>7</v>
      </c>
      <c r="J7" s="3" t="s">
        <v>41</v>
      </c>
      <c r="K7" s="3" t="s">
        <v>69</v>
      </c>
      <c r="L7" s="3" t="s">
        <v>19</v>
      </c>
      <c r="M7">
        <v>1</v>
      </c>
    </row>
    <row r="8" spans="1:13" x14ac:dyDescent="0.25">
      <c r="A8" s="2">
        <v>46322</v>
      </c>
      <c r="B8" s="1" t="str">
        <f ca="1">IF(Información1[[#This Row],[Fecha]]='Ajuste de fechas'!$A$2,"Día actual","Día anterior")</f>
        <v>Día anterior</v>
      </c>
      <c r="C8" s="3" t="s">
        <v>66</v>
      </c>
      <c r="D8" t="s">
        <v>67</v>
      </c>
      <c r="E8" s="3" t="s">
        <v>75</v>
      </c>
      <c r="F8" s="3" t="s">
        <v>9</v>
      </c>
      <c r="G8" s="3" t="s">
        <v>71</v>
      </c>
      <c r="H8" s="3" t="s">
        <v>27</v>
      </c>
      <c r="I8" s="3" t="s">
        <v>7</v>
      </c>
      <c r="J8" s="3" t="s">
        <v>17</v>
      </c>
      <c r="K8" s="3" t="s">
        <v>69</v>
      </c>
      <c r="L8" s="3" t="s">
        <v>19</v>
      </c>
      <c r="M8">
        <v>1</v>
      </c>
    </row>
    <row r="9" spans="1:13" x14ac:dyDescent="0.25">
      <c r="A9" s="2">
        <v>46322</v>
      </c>
      <c r="B9" s="1" t="str">
        <f ca="1">IF(Información1[[#This Row],[Fecha]]='Ajuste de fechas'!$A$2,"Día actual","Día anterior")</f>
        <v>Día anterior</v>
      </c>
      <c r="C9" s="3" t="s">
        <v>66</v>
      </c>
      <c r="D9" t="s">
        <v>67</v>
      </c>
      <c r="E9" s="3" t="s">
        <v>76</v>
      </c>
      <c r="F9" s="3" t="s">
        <v>25</v>
      </c>
      <c r="G9" s="3" t="s">
        <v>71</v>
      </c>
      <c r="H9" s="3" t="s">
        <v>27</v>
      </c>
      <c r="I9" s="3" t="s">
        <v>7</v>
      </c>
      <c r="J9" s="3" t="s">
        <v>17</v>
      </c>
      <c r="K9" s="3" t="s">
        <v>69</v>
      </c>
      <c r="L9" s="3" t="s">
        <v>19</v>
      </c>
      <c r="M9">
        <v>1</v>
      </c>
    </row>
    <row r="10" spans="1:13" x14ac:dyDescent="0.25">
      <c r="A10" s="2">
        <v>46322</v>
      </c>
      <c r="B10" s="1" t="str">
        <f ca="1">IF(Información1[[#This Row],[Fecha]]='Ajuste de fechas'!$A$2,"Día actual","Día anterior")</f>
        <v>Día anterior</v>
      </c>
      <c r="C10" s="3" t="s">
        <v>66</v>
      </c>
      <c r="D10" t="s">
        <v>67</v>
      </c>
      <c r="E10" s="3" t="s">
        <v>77</v>
      </c>
      <c r="F10" s="3" t="s">
        <v>8</v>
      </c>
      <c r="G10" s="3" t="s">
        <v>71</v>
      </c>
      <c r="H10" s="3" t="s">
        <v>27</v>
      </c>
      <c r="I10" s="3" t="s">
        <v>7</v>
      </c>
      <c r="J10" s="3" t="s">
        <v>17</v>
      </c>
      <c r="K10" s="3" t="s">
        <v>69</v>
      </c>
      <c r="L10" s="3" t="s">
        <v>19</v>
      </c>
      <c r="M10">
        <v>1</v>
      </c>
    </row>
    <row r="11" spans="1:13" x14ac:dyDescent="0.25">
      <c r="A11" s="2">
        <v>46322</v>
      </c>
      <c r="B11" s="1" t="str">
        <f ca="1">IF(Información1[[#This Row],[Fecha]]='Ajuste de fechas'!$A$2,"Día actual","Día anterior")</f>
        <v>Día anterior</v>
      </c>
      <c r="C11" s="3" t="s">
        <v>66</v>
      </c>
      <c r="D11" t="s">
        <v>67</v>
      </c>
      <c r="E11" s="3" t="s">
        <v>78</v>
      </c>
      <c r="F11" s="3" t="s">
        <v>51</v>
      </c>
      <c r="G11" s="3" t="s">
        <v>71</v>
      </c>
      <c r="H11" s="3" t="s">
        <v>27</v>
      </c>
      <c r="I11" s="3" t="s">
        <v>7</v>
      </c>
      <c r="J11" s="3" t="s">
        <v>17</v>
      </c>
      <c r="K11" s="3" t="s">
        <v>69</v>
      </c>
      <c r="L11" s="3" t="s">
        <v>19</v>
      </c>
      <c r="M11">
        <v>1</v>
      </c>
    </row>
    <row r="12" spans="1:13" x14ac:dyDescent="0.25">
      <c r="A12" s="2">
        <v>46322</v>
      </c>
      <c r="B12" s="1" t="str">
        <f ca="1">IF(Información1[[#This Row],[Fecha]]='Ajuste de fechas'!$A$2,"Día actual","Día anterior")</f>
        <v>Día anterior</v>
      </c>
      <c r="C12" s="3" t="s">
        <v>62</v>
      </c>
      <c r="D12" t="s">
        <v>63</v>
      </c>
      <c r="E12" s="3" t="s">
        <v>79</v>
      </c>
      <c r="F12" s="3" t="s">
        <v>26</v>
      </c>
      <c r="G12" s="3" t="s">
        <v>80</v>
      </c>
      <c r="H12" s="3" t="s">
        <v>27</v>
      </c>
      <c r="I12" s="3" t="s">
        <v>6</v>
      </c>
      <c r="J12" s="3" t="s">
        <v>17</v>
      </c>
      <c r="K12" s="3" t="s">
        <v>65</v>
      </c>
      <c r="L12" s="3" t="s">
        <v>18</v>
      </c>
      <c r="M12">
        <v>1</v>
      </c>
    </row>
    <row r="13" spans="1:13" x14ac:dyDescent="0.25">
      <c r="A13" s="2">
        <v>46322</v>
      </c>
      <c r="B13" s="1" t="str">
        <f ca="1">IF(Información1[[#This Row],[Fecha]]='Ajuste de fechas'!$A$2,"Día actual","Día anterior")</f>
        <v>Día anterior</v>
      </c>
      <c r="C13" s="3" t="s">
        <v>28</v>
      </c>
      <c r="D13" t="s">
        <v>33</v>
      </c>
      <c r="E13" s="3" t="s">
        <v>81</v>
      </c>
      <c r="F13" s="3" t="s">
        <v>26</v>
      </c>
      <c r="G13" s="3" t="s">
        <v>82</v>
      </c>
      <c r="H13" s="3" t="s">
        <v>27</v>
      </c>
      <c r="I13" s="3" t="s">
        <v>6</v>
      </c>
      <c r="J13" s="3" t="s">
        <v>17</v>
      </c>
      <c r="K13" s="3" t="s">
        <v>34</v>
      </c>
      <c r="L13" s="3" t="s">
        <v>18</v>
      </c>
      <c r="M13">
        <v>1</v>
      </c>
    </row>
    <row r="14" spans="1:13" x14ac:dyDescent="0.25">
      <c r="A14" s="2">
        <v>46322</v>
      </c>
      <c r="B14" s="1" t="str">
        <f ca="1">IF(Información1[[#This Row],[Fecha]]='Ajuste de fechas'!$A$2,"Día actual","Día anterior")</f>
        <v>Día anterior</v>
      </c>
      <c r="C14" s="3" t="s">
        <v>28</v>
      </c>
      <c r="D14" t="s">
        <v>29</v>
      </c>
      <c r="E14" s="3" t="s">
        <v>83</v>
      </c>
      <c r="F14" s="3" t="s">
        <v>32</v>
      </c>
      <c r="G14" s="3" t="s">
        <v>84</v>
      </c>
      <c r="H14" s="3" t="s">
        <v>27</v>
      </c>
      <c r="I14" s="3" t="s">
        <v>6</v>
      </c>
      <c r="J14" s="3" t="s">
        <v>17</v>
      </c>
      <c r="K14" s="3" t="s">
        <v>30</v>
      </c>
      <c r="L14" s="3" t="s">
        <v>18</v>
      </c>
      <c r="M14">
        <v>1</v>
      </c>
    </row>
    <row r="15" spans="1:13" x14ac:dyDescent="0.25">
      <c r="A15" s="2">
        <v>46322</v>
      </c>
      <c r="B15" s="1" t="str">
        <f ca="1">IF(Información1[[#This Row],[Fecha]]='Ajuste de fechas'!$A$2,"Día actual","Día anterior")</f>
        <v>Día anterior</v>
      </c>
      <c r="C15" s="3" t="s">
        <v>62</v>
      </c>
      <c r="D15" t="s">
        <v>63</v>
      </c>
      <c r="E15" s="3" t="s">
        <v>85</v>
      </c>
      <c r="F15" s="3" t="s">
        <v>41</v>
      </c>
      <c r="G15" s="3" t="s">
        <v>86</v>
      </c>
      <c r="H15" s="3" t="s">
        <v>27</v>
      </c>
      <c r="I15" s="3" t="s">
        <v>6</v>
      </c>
      <c r="J15" s="3" t="s">
        <v>41</v>
      </c>
      <c r="K15" s="3" t="s">
        <v>65</v>
      </c>
      <c r="L15" s="3" t="s">
        <v>18</v>
      </c>
      <c r="M15">
        <v>1</v>
      </c>
    </row>
    <row r="16" spans="1:13" x14ac:dyDescent="0.25">
      <c r="A16" s="2">
        <v>46322</v>
      </c>
      <c r="B16" s="1" t="str">
        <f ca="1">IF(Información1[[#This Row],[Fecha]]='Ajuste de fechas'!$A$2,"Día actual","Día anterior")</f>
        <v>Día anterior</v>
      </c>
      <c r="C16" s="3" t="s">
        <v>28</v>
      </c>
      <c r="D16" t="s">
        <v>29</v>
      </c>
      <c r="E16" s="3" t="s">
        <v>87</v>
      </c>
      <c r="F16" s="3" t="s">
        <v>9</v>
      </c>
      <c r="G16" s="3" t="s">
        <v>88</v>
      </c>
      <c r="H16" s="3" t="s">
        <v>27</v>
      </c>
      <c r="I16" s="3" t="s">
        <v>6</v>
      </c>
      <c r="J16" s="3" t="s">
        <v>17</v>
      </c>
      <c r="K16" s="3" t="s">
        <v>31</v>
      </c>
      <c r="L16" s="3" t="s">
        <v>20</v>
      </c>
      <c r="M16">
        <v>1</v>
      </c>
    </row>
    <row r="17" spans="1:13" x14ac:dyDescent="0.25">
      <c r="A17" s="2">
        <v>46322</v>
      </c>
      <c r="B17" s="1" t="str">
        <f ca="1">IF(Información1[[#This Row],[Fecha]]='Ajuste de fechas'!$A$2,"Día actual","Día anterior")</f>
        <v>Día anterior</v>
      </c>
      <c r="C17" s="3" t="s">
        <v>45</v>
      </c>
      <c r="D17" t="s">
        <v>46</v>
      </c>
      <c r="E17" s="3" t="s">
        <v>89</v>
      </c>
      <c r="F17" s="3" t="s">
        <v>9</v>
      </c>
      <c r="G17" s="3" t="s">
        <v>88</v>
      </c>
      <c r="H17" s="3" t="s">
        <v>27</v>
      </c>
      <c r="I17" s="3" t="s">
        <v>6</v>
      </c>
      <c r="J17" s="3" t="s">
        <v>17</v>
      </c>
      <c r="K17" s="3" t="s">
        <v>47</v>
      </c>
      <c r="L17" s="3" t="s">
        <v>20</v>
      </c>
      <c r="M17">
        <v>1</v>
      </c>
    </row>
    <row r="18" spans="1:13" x14ac:dyDescent="0.25">
      <c r="A18" s="2">
        <v>46322</v>
      </c>
      <c r="B18" s="1" t="str">
        <f ca="1">IF(Información1[[#This Row],[Fecha]]='Ajuste de fechas'!$A$2,"Día actual","Día anterior")</f>
        <v>Día anterior</v>
      </c>
      <c r="C18" s="3" t="s">
        <v>62</v>
      </c>
      <c r="D18" t="s">
        <v>63</v>
      </c>
      <c r="E18" s="3" t="s">
        <v>90</v>
      </c>
      <c r="F18" s="3" t="s">
        <v>9</v>
      </c>
      <c r="G18" s="3" t="s">
        <v>88</v>
      </c>
      <c r="H18" s="3" t="s">
        <v>27</v>
      </c>
      <c r="I18" s="3" t="s">
        <v>6</v>
      </c>
      <c r="J18" s="3" t="s">
        <v>17</v>
      </c>
      <c r="K18" s="3" t="s">
        <v>65</v>
      </c>
      <c r="L18" s="3" t="s">
        <v>20</v>
      </c>
      <c r="M18">
        <v>1</v>
      </c>
    </row>
    <row r="19" spans="1:13" x14ac:dyDescent="0.25">
      <c r="A19" s="2">
        <v>46322</v>
      </c>
      <c r="B19" s="1" t="str">
        <f ca="1">IF(Información1[[#This Row],[Fecha]]='Ajuste de fechas'!$A$2,"Día actual","Día anterior")</f>
        <v>Día anterior</v>
      </c>
      <c r="C19" s="3" t="s">
        <v>62</v>
      </c>
      <c r="D19" t="s">
        <v>91</v>
      </c>
      <c r="E19" s="3" t="s">
        <v>92</v>
      </c>
      <c r="F19" s="3" t="s">
        <v>25</v>
      </c>
      <c r="G19" s="3" t="s">
        <v>93</v>
      </c>
      <c r="H19" s="3" t="s">
        <v>27</v>
      </c>
      <c r="I19" s="3" t="s">
        <v>6</v>
      </c>
      <c r="J19" s="3" t="s">
        <v>17</v>
      </c>
      <c r="K19" s="3" t="s">
        <v>94</v>
      </c>
      <c r="L19" s="3" t="s">
        <v>18</v>
      </c>
      <c r="M19">
        <v>1</v>
      </c>
    </row>
    <row r="20" spans="1:13" x14ac:dyDescent="0.25">
      <c r="A20" s="2">
        <v>46322</v>
      </c>
      <c r="B20" s="1" t="str">
        <f ca="1">IF(Información1[[#This Row],[Fecha]]='Ajuste de fechas'!$A$2,"Día actual","Día anterior")</f>
        <v>Día anterior</v>
      </c>
      <c r="C20" s="3" t="s">
        <v>28</v>
      </c>
      <c r="D20" t="s">
        <v>33</v>
      </c>
      <c r="E20" s="3" t="s">
        <v>95</v>
      </c>
      <c r="F20" s="3" t="s">
        <v>39</v>
      </c>
      <c r="G20" s="3" t="s">
        <v>53</v>
      </c>
      <c r="H20" s="3" t="s">
        <v>27</v>
      </c>
      <c r="I20" s="3" t="s">
        <v>6</v>
      </c>
      <c r="J20" s="3" t="s">
        <v>40</v>
      </c>
      <c r="K20" s="3" t="s">
        <v>30</v>
      </c>
      <c r="L20" s="3" t="s">
        <v>24</v>
      </c>
      <c r="M20">
        <v>1</v>
      </c>
    </row>
    <row r="21" spans="1:13" x14ac:dyDescent="0.25">
      <c r="A21" s="2">
        <v>46322</v>
      </c>
      <c r="B21" s="1" t="str">
        <f ca="1">IF(Información1[[#This Row],[Fecha]]='Ajuste de fechas'!$A$2,"Día actual","Día anterior")</f>
        <v>Día anterior</v>
      </c>
      <c r="C21" s="3" t="s">
        <v>62</v>
      </c>
      <c r="D21" t="s">
        <v>63</v>
      </c>
      <c r="E21" s="3" t="s">
        <v>96</v>
      </c>
      <c r="F21" s="3" t="s">
        <v>41</v>
      </c>
      <c r="G21" s="3" t="s">
        <v>53</v>
      </c>
      <c r="H21" s="3" t="s">
        <v>27</v>
      </c>
      <c r="I21" s="3" t="s">
        <v>6</v>
      </c>
      <c r="J21" s="3" t="s">
        <v>41</v>
      </c>
      <c r="K21" s="3" t="s">
        <v>65</v>
      </c>
      <c r="L21" s="3" t="s">
        <v>97</v>
      </c>
      <c r="M21">
        <v>1</v>
      </c>
    </row>
    <row r="22" spans="1:13" x14ac:dyDescent="0.25">
      <c r="A22" s="2">
        <v>46322</v>
      </c>
      <c r="B22" s="1" t="str">
        <f ca="1">IF(Información1[[#This Row],[Fecha]]='Ajuste de fechas'!$A$2,"Día actual","Día anterior")</f>
        <v>Día anterior</v>
      </c>
      <c r="C22" s="3" t="s">
        <v>35</v>
      </c>
      <c r="D22" t="s">
        <v>36</v>
      </c>
      <c r="E22" s="3" t="s">
        <v>98</v>
      </c>
      <c r="F22" s="3" t="s">
        <v>44</v>
      </c>
      <c r="G22" s="3" t="s">
        <v>99</v>
      </c>
      <c r="H22" s="3" t="s">
        <v>27</v>
      </c>
      <c r="I22" s="3" t="s">
        <v>6</v>
      </c>
      <c r="J22" s="3" t="s">
        <v>17</v>
      </c>
      <c r="K22" s="3" t="s">
        <v>37</v>
      </c>
      <c r="L22" s="3" t="s">
        <v>18</v>
      </c>
      <c r="M22">
        <v>1</v>
      </c>
    </row>
    <row r="23" spans="1:13" x14ac:dyDescent="0.25">
      <c r="A23" s="2">
        <v>46322</v>
      </c>
      <c r="B23" s="1" t="str">
        <f ca="1">IF(Información1[[#This Row],[Fecha]]='Ajuste de fechas'!$A$2,"Día actual","Día anterior")</f>
        <v>Día anterior</v>
      </c>
      <c r="C23" s="3" t="s">
        <v>35</v>
      </c>
      <c r="D23" t="s">
        <v>36</v>
      </c>
      <c r="E23" s="3" t="s">
        <v>100</v>
      </c>
      <c r="F23" s="3" t="s">
        <v>101</v>
      </c>
      <c r="G23" s="3" t="s">
        <v>102</v>
      </c>
      <c r="H23" s="3" t="s">
        <v>27</v>
      </c>
      <c r="I23" s="3" t="s">
        <v>7</v>
      </c>
      <c r="J23" s="3" t="s">
        <v>17</v>
      </c>
      <c r="K23" s="3" t="s">
        <v>37</v>
      </c>
      <c r="L23" s="3" t="s">
        <v>20</v>
      </c>
      <c r="M23">
        <v>1</v>
      </c>
    </row>
    <row r="24" spans="1:13" x14ac:dyDescent="0.25">
      <c r="A24" s="2">
        <v>46322</v>
      </c>
      <c r="B24" s="1" t="str">
        <f ca="1">IF(Información1[[#This Row],[Fecha]]='Ajuste de fechas'!$A$2,"Día actual","Día anterior")</f>
        <v>Día anterior</v>
      </c>
      <c r="C24" s="3" t="s">
        <v>62</v>
      </c>
      <c r="D24" t="s">
        <v>63</v>
      </c>
      <c r="E24" s="3" t="s">
        <v>103</v>
      </c>
      <c r="F24" s="3" t="s">
        <v>101</v>
      </c>
      <c r="G24" s="3" t="s">
        <v>102</v>
      </c>
      <c r="H24" s="3" t="s">
        <v>27</v>
      </c>
      <c r="I24" s="3" t="s">
        <v>6</v>
      </c>
      <c r="J24" s="3" t="s">
        <v>17</v>
      </c>
      <c r="K24" s="3" t="s">
        <v>65</v>
      </c>
      <c r="L24" s="3" t="s">
        <v>18</v>
      </c>
      <c r="M24">
        <v>1</v>
      </c>
    </row>
    <row r="25" spans="1:13" x14ac:dyDescent="0.25">
      <c r="A25" s="2">
        <v>46322</v>
      </c>
      <c r="B25" s="1" t="str">
        <f ca="1">IF(Información1[[#This Row],[Fecha]]='Ajuste de fechas'!$A$2,"Día actual","Día anterior")</f>
        <v>Día anterior</v>
      </c>
      <c r="C25" s="3" t="s">
        <v>28</v>
      </c>
      <c r="D25" t="s">
        <v>29</v>
      </c>
      <c r="E25" s="3" t="s">
        <v>104</v>
      </c>
      <c r="F25" s="3" t="s">
        <v>9</v>
      </c>
      <c r="G25" s="3" t="s">
        <v>105</v>
      </c>
      <c r="H25" s="3" t="s">
        <v>27</v>
      </c>
      <c r="I25" s="3" t="s">
        <v>7</v>
      </c>
      <c r="J25" s="3" t="s">
        <v>17</v>
      </c>
      <c r="K25" s="3" t="s">
        <v>31</v>
      </c>
      <c r="L25" s="3" t="s">
        <v>24</v>
      </c>
      <c r="M25">
        <v>1</v>
      </c>
    </row>
    <row r="26" spans="1:13" x14ac:dyDescent="0.25">
      <c r="A26" s="2">
        <v>46322</v>
      </c>
      <c r="B26" s="1" t="str">
        <f ca="1">IF(Información1[[#This Row],[Fecha]]='Ajuste de fechas'!$A$2,"Día actual","Día anterior")</f>
        <v>Día anterior</v>
      </c>
      <c r="C26" s="3" t="s">
        <v>35</v>
      </c>
      <c r="D26" t="s">
        <v>36</v>
      </c>
      <c r="E26" s="3" t="s">
        <v>106</v>
      </c>
      <c r="F26" s="3" t="s">
        <v>44</v>
      </c>
      <c r="G26" s="3" t="s">
        <v>107</v>
      </c>
      <c r="H26" s="3" t="s">
        <v>27</v>
      </c>
      <c r="I26" s="3" t="s">
        <v>6</v>
      </c>
      <c r="J26" s="3" t="s">
        <v>17</v>
      </c>
      <c r="K26" s="3" t="s">
        <v>37</v>
      </c>
      <c r="L26" s="3" t="s">
        <v>20</v>
      </c>
      <c r="M26">
        <v>1</v>
      </c>
    </row>
    <row r="27" spans="1:13" x14ac:dyDescent="0.25">
      <c r="A27" s="2">
        <v>46322</v>
      </c>
      <c r="B27" s="1" t="str">
        <f ca="1">IF(Información1[[#This Row],[Fecha]]='Ajuste de fechas'!$A$2,"Día actual","Día anterior")</f>
        <v>Día anterior</v>
      </c>
      <c r="C27" s="3" t="s">
        <v>28</v>
      </c>
      <c r="D27" t="s">
        <v>29</v>
      </c>
      <c r="E27" s="3" t="s">
        <v>106</v>
      </c>
      <c r="F27" s="3" t="s">
        <v>44</v>
      </c>
      <c r="G27" s="3" t="s">
        <v>107</v>
      </c>
      <c r="H27" s="3" t="s">
        <v>27</v>
      </c>
      <c r="I27" s="3" t="s">
        <v>6</v>
      </c>
      <c r="J27" s="3" t="s">
        <v>17</v>
      </c>
      <c r="K27" s="3" t="s">
        <v>31</v>
      </c>
      <c r="L27" s="3" t="s">
        <v>20</v>
      </c>
      <c r="M27">
        <v>1</v>
      </c>
    </row>
    <row r="28" spans="1:13" x14ac:dyDescent="0.25">
      <c r="A28" s="2">
        <v>46322</v>
      </c>
      <c r="B28" s="1" t="str">
        <f ca="1">IF(Información1[[#This Row],[Fecha]]='Ajuste de fechas'!$A$2,"Día actual","Día anterior")</f>
        <v>Día anterior</v>
      </c>
      <c r="C28" s="3" t="s">
        <v>62</v>
      </c>
      <c r="D28" t="s">
        <v>91</v>
      </c>
      <c r="E28" s="3" t="s">
        <v>108</v>
      </c>
      <c r="F28" s="3" t="s">
        <v>44</v>
      </c>
      <c r="G28" s="3" t="s">
        <v>107</v>
      </c>
      <c r="H28" s="3" t="s">
        <v>27</v>
      </c>
      <c r="I28" s="3" t="s">
        <v>6</v>
      </c>
      <c r="J28" s="3" t="s">
        <v>17</v>
      </c>
      <c r="K28" s="3" t="s">
        <v>94</v>
      </c>
      <c r="L28" s="3" t="s">
        <v>18</v>
      </c>
      <c r="M28">
        <v>1</v>
      </c>
    </row>
    <row r="29" spans="1:13" x14ac:dyDescent="0.25">
      <c r="A29" s="2">
        <v>46322</v>
      </c>
      <c r="B29" s="1" t="str">
        <f ca="1">IF(Información1[[#This Row],[Fecha]]='Ajuste de fechas'!$A$2,"Día actual","Día anterior")</f>
        <v>Día anterior</v>
      </c>
      <c r="C29" s="3" t="s">
        <v>62</v>
      </c>
      <c r="D29" t="s">
        <v>63</v>
      </c>
      <c r="E29" s="3" t="s">
        <v>109</v>
      </c>
      <c r="F29" s="3" t="s">
        <v>44</v>
      </c>
      <c r="G29" s="3" t="s">
        <v>107</v>
      </c>
      <c r="H29" s="3" t="s">
        <v>27</v>
      </c>
      <c r="I29" s="3" t="s">
        <v>6</v>
      </c>
      <c r="J29" s="3" t="s">
        <v>17</v>
      </c>
      <c r="K29" s="3" t="s">
        <v>65</v>
      </c>
      <c r="L29" s="3" t="s">
        <v>18</v>
      </c>
      <c r="M29">
        <v>1</v>
      </c>
    </row>
    <row r="30" spans="1:13" x14ac:dyDescent="0.25">
      <c r="A30" s="2">
        <v>46322</v>
      </c>
      <c r="B30" s="1" t="str">
        <f ca="1">IF(Información1[[#This Row],[Fecha]]='Ajuste de fechas'!$A$2,"Día actual","Día anterior")</f>
        <v>Día anterior</v>
      </c>
      <c r="C30" s="3" t="s">
        <v>66</v>
      </c>
      <c r="D30" t="s">
        <v>67</v>
      </c>
      <c r="E30" s="3" t="s">
        <v>110</v>
      </c>
      <c r="F30" s="3" t="s">
        <v>44</v>
      </c>
      <c r="G30" s="3" t="s">
        <v>107</v>
      </c>
      <c r="H30" s="3" t="s">
        <v>27</v>
      </c>
      <c r="I30" s="3" t="s">
        <v>6</v>
      </c>
      <c r="J30" s="3" t="s">
        <v>17</v>
      </c>
      <c r="K30" s="3" t="s">
        <v>69</v>
      </c>
      <c r="L30" s="3" t="s">
        <v>18</v>
      </c>
      <c r="M30">
        <v>1</v>
      </c>
    </row>
    <row r="31" spans="1:13" x14ac:dyDescent="0.25">
      <c r="A31" s="2">
        <v>46322</v>
      </c>
      <c r="B31" s="1" t="str">
        <f ca="1">IF(Información1[[#This Row],[Fecha]]='Ajuste de fechas'!$A$2,"Día actual","Día anterior")</f>
        <v>Día anterior</v>
      </c>
      <c r="C31" s="3" t="s">
        <v>62</v>
      </c>
      <c r="D31" t="s">
        <v>91</v>
      </c>
      <c r="E31" s="3" t="s">
        <v>111</v>
      </c>
      <c r="F31" s="3" t="s">
        <v>39</v>
      </c>
      <c r="G31" s="3" t="s">
        <v>112</v>
      </c>
      <c r="H31" s="3" t="s">
        <v>27</v>
      </c>
      <c r="I31" s="3" t="s">
        <v>6</v>
      </c>
      <c r="J31" s="3" t="s">
        <v>40</v>
      </c>
      <c r="K31" s="3" t="s">
        <v>94</v>
      </c>
      <c r="L31" s="3" t="s">
        <v>18</v>
      </c>
      <c r="M31">
        <v>1</v>
      </c>
    </row>
    <row r="32" spans="1:13" x14ac:dyDescent="0.25">
      <c r="A32" s="2">
        <v>46322</v>
      </c>
      <c r="B32" s="1" t="str">
        <f ca="1">IF(Información1[[#This Row],[Fecha]]='Ajuste de fechas'!$A$2,"Día actual","Día anterior")</f>
        <v>Día anterior</v>
      </c>
      <c r="C32" s="3" t="s">
        <v>62</v>
      </c>
      <c r="D32" t="s">
        <v>91</v>
      </c>
      <c r="E32" s="3" t="s">
        <v>113</v>
      </c>
      <c r="F32" s="3" t="s">
        <v>8</v>
      </c>
      <c r="G32" s="3" t="s">
        <v>114</v>
      </c>
      <c r="H32" s="3" t="s">
        <v>27</v>
      </c>
      <c r="I32" s="3" t="s">
        <v>6</v>
      </c>
      <c r="J32" s="3" t="s">
        <v>17</v>
      </c>
      <c r="K32" s="3" t="s">
        <v>94</v>
      </c>
      <c r="L32" s="3" t="s">
        <v>18</v>
      </c>
      <c r="M32">
        <v>1</v>
      </c>
    </row>
    <row r="33" spans="1:13" x14ac:dyDescent="0.25">
      <c r="A33" s="2">
        <v>46322</v>
      </c>
      <c r="B33" s="1" t="str">
        <f ca="1">IF(Información1[[#This Row],[Fecha]]='Ajuste de fechas'!$A$2,"Día actual","Día anterior")</f>
        <v>Día anterior</v>
      </c>
      <c r="C33" s="3" t="s">
        <v>66</v>
      </c>
      <c r="D33" t="s">
        <v>67</v>
      </c>
      <c r="E33" s="3" t="s">
        <v>115</v>
      </c>
      <c r="F33" s="3" t="s">
        <v>42</v>
      </c>
      <c r="G33" s="3" t="s">
        <v>116</v>
      </c>
      <c r="H33" s="3" t="s">
        <v>27</v>
      </c>
      <c r="I33" s="3" t="s">
        <v>6</v>
      </c>
      <c r="J33" s="3" t="s">
        <v>43</v>
      </c>
      <c r="K33" s="3" t="s">
        <v>34</v>
      </c>
      <c r="L33" s="3" t="s">
        <v>19</v>
      </c>
      <c r="M33">
        <v>1</v>
      </c>
    </row>
    <row r="34" spans="1:13" x14ac:dyDescent="0.25">
      <c r="A34" s="2">
        <v>46322</v>
      </c>
      <c r="B34" s="1" t="str">
        <f ca="1">IF(Información1[[#This Row],[Fecha]]='Ajuste de fechas'!$A$2,"Día actual","Día anterior")</f>
        <v>Día anterior</v>
      </c>
      <c r="C34" s="3" t="s">
        <v>66</v>
      </c>
      <c r="D34" t="s">
        <v>67</v>
      </c>
      <c r="E34" s="3" t="s">
        <v>117</v>
      </c>
      <c r="F34" s="3" t="s">
        <v>39</v>
      </c>
      <c r="G34" s="3" t="s">
        <v>116</v>
      </c>
      <c r="H34" s="3" t="s">
        <v>27</v>
      </c>
      <c r="I34" s="3" t="s">
        <v>6</v>
      </c>
      <c r="J34" s="3" t="s">
        <v>40</v>
      </c>
      <c r="K34" s="3" t="s">
        <v>34</v>
      </c>
      <c r="L34" s="3" t="s">
        <v>19</v>
      </c>
      <c r="M34">
        <v>1</v>
      </c>
    </row>
    <row r="35" spans="1:13" x14ac:dyDescent="0.25">
      <c r="A35" s="2">
        <v>46322</v>
      </c>
      <c r="B35" s="1" t="str">
        <f ca="1">IF(Información1[[#This Row],[Fecha]]='Ajuste de fechas'!$A$2,"Día actual","Día anterior")</f>
        <v>Día anterior</v>
      </c>
      <c r="C35" s="3" t="s">
        <v>66</v>
      </c>
      <c r="D35" t="s">
        <v>67</v>
      </c>
      <c r="E35" s="3" t="s">
        <v>118</v>
      </c>
      <c r="F35" s="3" t="s">
        <v>42</v>
      </c>
      <c r="G35" s="3" t="s">
        <v>54</v>
      </c>
      <c r="H35" s="3" t="s">
        <v>27</v>
      </c>
      <c r="I35" s="3" t="s">
        <v>6</v>
      </c>
      <c r="J35" s="3" t="s">
        <v>43</v>
      </c>
      <c r="K35" s="3" t="s">
        <v>69</v>
      </c>
      <c r="L35" s="3" t="s">
        <v>18</v>
      </c>
      <c r="M35">
        <v>1</v>
      </c>
    </row>
    <row r="36" spans="1:13" x14ac:dyDescent="0.25">
      <c r="A36" s="2">
        <v>46322</v>
      </c>
      <c r="B36" s="1" t="str">
        <f ca="1">IF(Información1[[#This Row],[Fecha]]='Ajuste de fechas'!$A$2,"Día actual","Día anterior")</f>
        <v>Día anterior</v>
      </c>
      <c r="C36" s="3" t="s">
        <v>28</v>
      </c>
      <c r="D36" t="s">
        <v>29</v>
      </c>
      <c r="E36" s="3" t="s">
        <v>119</v>
      </c>
      <c r="F36" s="3" t="s">
        <v>9</v>
      </c>
      <c r="G36" s="3" t="s">
        <v>56</v>
      </c>
      <c r="H36" s="3" t="s">
        <v>27</v>
      </c>
      <c r="I36" s="3" t="s">
        <v>6</v>
      </c>
      <c r="J36" s="3" t="s">
        <v>17</v>
      </c>
      <c r="K36" s="3" t="s">
        <v>31</v>
      </c>
      <c r="L36" s="3" t="s">
        <v>20</v>
      </c>
      <c r="M36">
        <v>1</v>
      </c>
    </row>
    <row r="37" spans="1:13" x14ac:dyDescent="0.25">
      <c r="A37" s="2">
        <v>46322</v>
      </c>
      <c r="B37" s="1" t="str">
        <f ca="1">IF(Información1[[#This Row],[Fecha]]='Ajuste de fechas'!$A$2,"Día actual","Día anterior")</f>
        <v>Día anterior</v>
      </c>
      <c r="C37" s="3" t="s">
        <v>62</v>
      </c>
      <c r="D37" t="s">
        <v>63</v>
      </c>
      <c r="E37" s="3" t="s">
        <v>120</v>
      </c>
      <c r="F37" s="3" t="s">
        <v>9</v>
      </c>
      <c r="G37" s="3" t="s">
        <v>56</v>
      </c>
      <c r="H37" s="3" t="s">
        <v>27</v>
      </c>
      <c r="I37" s="3" t="s">
        <v>6</v>
      </c>
      <c r="J37" s="3" t="s">
        <v>17</v>
      </c>
      <c r="K37" s="3" t="s">
        <v>65</v>
      </c>
      <c r="L37" s="3" t="s">
        <v>18</v>
      </c>
      <c r="M37">
        <v>1</v>
      </c>
    </row>
    <row r="38" spans="1:13" x14ac:dyDescent="0.25">
      <c r="A38" s="2">
        <v>46322</v>
      </c>
      <c r="B38" s="1" t="str">
        <f ca="1">IF(Información1[[#This Row],[Fecha]]='Ajuste de fechas'!$A$2,"Día actual","Día anterior")</f>
        <v>Día anterior</v>
      </c>
      <c r="C38" s="3" t="s">
        <v>66</v>
      </c>
      <c r="D38" t="s">
        <v>67</v>
      </c>
      <c r="E38" s="3" t="s">
        <v>121</v>
      </c>
      <c r="F38" s="3" t="s">
        <v>39</v>
      </c>
      <c r="G38" s="3" t="s">
        <v>122</v>
      </c>
      <c r="H38" s="3" t="s">
        <v>27</v>
      </c>
      <c r="I38" s="3" t="s">
        <v>6</v>
      </c>
      <c r="J38" s="3" t="s">
        <v>40</v>
      </c>
      <c r="K38" s="3" t="s">
        <v>69</v>
      </c>
      <c r="L38" s="3" t="s">
        <v>18</v>
      </c>
      <c r="M38">
        <v>1</v>
      </c>
    </row>
    <row r="39" spans="1:13" x14ac:dyDescent="0.25">
      <c r="A39" s="2">
        <v>46322</v>
      </c>
      <c r="B39" s="1" t="str">
        <f ca="1">IF(Información1[[#This Row],[Fecha]]='Ajuste de fechas'!$A$2,"Día actual","Día anterior")</f>
        <v>Día anterior</v>
      </c>
      <c r="C39" s="3" t="s">
        <v>28</v>
      </c>
      <c r="D39" t="s">
        <v>29</v>
      </c>
      <c r="E39" s="3" t="s">
        <v>123</v>
      </c>
      <c r="F39" s="3" t="s">
        <v>39</v>
      </c>
      <c r="G39" s="3" t="s">
        <v>124</v>
      </c>
      <c r="H39" s="3" t="s">
        <v>27</v>
      </c>
      <c r="I39" s="3" t="s">
        <v>6</v>
      </c>
      <c r="J39" s="3" t="s">
        <v>40</v>
      </c>
      <c r="K39" s="3" t="s">
        <v>31</v>
      </c>
      <c r="L39" s="3" t="s">
        <v>18</v>
      </c>
      <c r="M39">
        <v>1</v>
      </c>
    </row>
    <row r="40" spans="1:13" x14ac:dyDescent="0.25">
      <c r="A40" s="2">
        <v>46322</v>
      </c>
      <c r="B40" s="1" t="str">
        <f ca="1">IF(Información1[[#This Row],[Fecha]]='Ajuste de fechas'!$A$2,"Día actual","Día anterior")</f>
        <v>Día anterior</v>
      </c>
      <c r="C40" s="3" t="s">
        <v>62</v>
      </c>
      <c r="D40" t="s">
        <v>63</v>
      </c>
      <c r="E40" s="3" t="s">
        <v>125</v>
      </c>
      <c r="F40" s="3" t="s">
        <v>49</v>
      </c>
      <c r="G40" s="3" t="s">
        <v>126</v>
      </c>
      <c r="H40" s="3" t="s">
        <v>27</v>
      </c>
      <c r="I40" s="3" t="s">
        <v>6</v>
      </c>
      <c r="J40" s="3" t="s">
        <v>17</v>
      </c>
      <c r="K40" s="3" t="s">
        <v>65</v>
      </c>
      <c r="L40" s="3" t="s">
        <v>18</v>
      </c>
      <c r="M40">
        <v>1</v>
      </c>
    </row>
    <row r="41" spans="1:13" x14ac:dyDescent="0.25">
      <c r="A41" s="2">
        <v>46322</v>
      </c>
      <c r="B41" s="1" t="str">
        <f ca="1">IF(Información1[[#This Row],[Fecha]]='Ajuste de fechas'!$A$2,"Día actual","Día anterior")</f>
        <v>Día anterior</v>
      </c>
      <c r="C41" s="3" t="s">
        <v>35</v>
      </c>
      <c r="D41" t="s">
        <v>36</v>
      </c>
      <c r="E41" s="3" t="s">
        <v>127</v>
      </c>
      <c r="F41" s="3" t="s">
        <v>55</v>
      </c>
      <c r="G41" s="3" t="s">
        <v>128</v>
      </c>
      <c r="H41" s="3" t="s">
        <v>27</v>
      </c>
      <c r="I41" s="3" t="s">
        <v>6</v>
      </c>
      <c r="J41" s="3" t="s">
        <v>17</v>
      </c>
      <c r="K41" s="3" t="s">
        <v>37</v>
      </c>
      <c r="L41" s="3" t="s">
        <v>18</v>
      </c>
      <c r="M41">
        <v>1</v>
      </c>
    </row>
    <row r="42" spans="1:13" x14ac:dyDescent="0.25">
      <c r="A42" s="2">
        <v>46322</v>
      </c>
      <c r="B42" s="1" t="str">
        <f ca="1">IF(Información1[[#This Row],[Fecha]]='Ajuste de fechas'!$A$2,"Día actual","Día anterior")</f>
        <v>Día anterior</v>
      </c>
      <c r="C42" s="3" t="s">
        <v>62</v>
      </c>
      <c r="D42" t="s">
        <v>63</v>
      </c>
      <c r="E42" s="3" t="s">
        <v>129</v>
      </c>
      <c r="F42" s="3" t="s">
        <v>55</v>
      </c>
      <c r="G42" s="3" t="s">
        <v>128</v>
      </c>
      <c r="H42" s="3" t="s">
        <v>27</v>
      </c>
      <c r="I42" s="3" t="s">
        <v>6</v>
      </c>
      <c r="J42" s="3" t="s">
        <v>17</v>
      </c>
      <c r="K42" s="3" t="s">
        <v>65</v>
      </c>
      <c r="L42" s="3" t="s">
        <v>18</v>
      </c>
      <c r="M42">
        <v>1</v>
      </c>
    </row>
    <row r="43" spans="1:13" x14ac:dyDescent="0.25">
      <c r="A43" s="2">
        <v>46322</v>
      </c>
      <c r="B43" s="1" t="str">
        <f ca="1">IF(Información1[[#This Row],[Fecha]]='Ajuste de fechas'!$A$2,"Día actual","Día anterior")</f>
        <v>Día anterior</v>
      </c>
      <c r="C43" s="3" t="s">
        <v>66</v>
      </c>
      <c r="D43" t="s">
        <v>67</v>
      </c>
      <c r="E43" s="3" t="s">
        <v>130</v>
      </c>
      <c r="F43" s="3" t="s">
        <v>131</v>
      </c>
      <c r="G43" s="3" t="s">
        <v>58</v>
      </c>
      <c r="H43" s="3" t="s">
        <v>27</v>
      </c>
      <c r="I43" s="3" t="s">
        <v>6</v>
      </c>
      <c r="J43" s="3" t="s">
        <v>41</v>
      </c>
      <c r="K43" s="3" t="s">
        <v>69</v>
      </c>
      <c r="L43" s="3" t="s">
        <v>18</v>
      </c>
      <c r="M43">
        <v>1</v>
      </c>
    </row>
    <row r="44" spans="1:13" x14ac:dyDescent="0.25">
      <c r="A44" s="2">
        <v>46322</v>
      </c>
      <c r="B44" s="1" t="str">
        <f ca="1">IF(Información1[[#This Row],[Fecha]]='Ajuste de fechas'!$A$2,"Día actual","Día anterior")</f>
        <v>Día anterior</v>
      </c>
      <c r="C44" s="3" t="s">
        <v>28</v>
      </c>
      <c r="D44" t="s">
        <v>33</v>
      </c>
      <c r="E44" s="3" t="s">
        <v>132</v>
      </c>
      <c r="F44" s="3" t="s">
        <v>42</v>
      </c>
      <c r="G44" s="3" t="s">
        <v>59</v>
      </c>
      <c r="H44" s="3" t="s">
        <v>27</v>
      </c>
      <c r="I44" s="3" t="s">
        <v>6</v>
      </c>
      <c r="J44" s="3" t="s">
        <v>43</v>
      </c>
      <c r="K44" s="3" t="s">
        <v>50</v>
      </c>
      <c r="L44" s="3" t="s">
        <v>18</v>
      </c>
      <c r="M44">
        <v>1</v>
      </c>
    </row>
    <row r="45" spans="1:13" x14ac:dyDescent="0.25">
      <c r="A45" s="2">
        <v>46322</v>
      </c>
      <c r="B45" s="1" t="str">
        <f ca="1">IF(Información1[[#This Row],[Fecha]]='Ajuste de fechas'!$A$2,"Día actual","Día anterior")</f>
        <v>Día anterior</v>
      </c>
      <c r="C45" s="3" t="s">
        <v>62</v>
      </c>
      <c r="D45" t="s">
        <v>91</v>
      </c>
      <c r="E45" s="3" t="s">
        <v>133</v>
      </c>
      <c r="F45" s="3" t="s">
        <v>42</v>
      </c>
      <c r="G45" s="3" t="s">
        <v>59</v>
      </c>
      <c r="H45" s="3" t="s">
        <v>27</v>
      </c>
      <c r="I45" s="3" t="s">
        <v>10</v>
      </c>
      <c r="J45" s="3" t="s">
        <v>43</v>
      </c>
      <c r="K45" s="3" t="s">
        <v>94</v>
      </c>
      <c r="L45" s="3" t="s">
        <v>18</v>
      </c>
      <c r="M45">
        <v>1</v>
      </c>
    </row>
    <row r="46" spans="1:13" x14ac:dyDescent="0.25">
      <c r="A46" s="2">
        <v>46322</v>
      </c>
      <c r="B46" s="1" t="str">
        <f ca="1">IF(Información1[[#This Row],[Fecha]]='Ajuste de fechas'!$A$2,"Día actual","Día anterior")</f>
        <v>Día anterior</v>
      </c>
      <c r="C46" s="3" t="s">
        <v>62</v>
      </c>
      <c r="D46" t="s">
        <v>63</v>
      </c>
      <c r="E46" s="3" t="s">
        <v>134</v>
      </c>
      <c r="F46" s="3" t="s">
        <v>42</v>
      </c>
      <c r="G46" s="3" t="s">
        <v>59</v>
      </c>
      <c r="H46" s="3" t="s">
        <v>27</v>
      </c>
      <c r="I46" s="3" t="s">
        <v>10</v>
      </c>
      <c r="J46" s="3" t="s">
        <v>43</v>
      </c>
      <c r="K46" s="3" t="s">
        <v>65</v>
      </c>
      <c r="L46" s="3" t="s">
        <v>18</v>
      </c>
      <c r="M46">
        <v>1</v>
      </c>
    </row>
    <row r="47" spans="1:13" x14ac:dyDescent="0.25">
      <c r="A47" s="2">
        <v>46322</v>
      </c>
      <c r="B47" s="1" t="str">
        <f ca="1">IF(Información1[[#This Row],[Fecha]]='Ajuste de fechas'!$A$2,"Día actual","Día anterior")</f>
        <v>Día anterior</v>
      </c>
      <c r="C47" s="3" t="s">
        <v>66</v>
      </c>
      <c r="D47" t="s">
        <v>67</v>
      </c>
      <c r="E47" s="3" t="s">
        <v>135</v>
      </c>
      <c r="F47" s="3" t="s">
        <v>42</v>
      </c>
      <c r="G47" s="3" t="s">
        <v>59</v>
      </c>
      <c r="H47" s="3" t="s">
        <v>27</v>
      </c>
      <c r="I47" s="3" t="s">
        <v>10</v>
      </c>
      <c r="J47" s="3" t="s">
        <v>43</v>
      </c>
      <c r="K47" s="3" t="s">
        <v>34</v>
      </c>
      <c r="L47" s="3" t="s">
        <v>19</v>
      </c>
      <c r="M47">
        <v>1</v>
      </c>
    </row>
    <row r="48" spans="1:13" x14ac:dyDescent="0.25">
      <c r="A48" s="2">
        <v>46322</v>
      </c>
      <c r="B48" s="1" t="str">
        <f ca="1">IF(Información1[[#This Row],[Fecha]]='Ajuste de fechas'!$A$2,"Día actual","Día anterior")</f>
        <v>Día anterior</v>
      </c>
      <c r="C48" s="3" t="s">
        <v>28</v>
      </c>
      <c r="D48" t="s">
        <v>33</v>
      </c>
      <c r="E48" s="3" t="s">
        <v>136</v>
      </c>
      <c r="F48" s="3" t="s">
        <v>42</v>
      </c>
      <c r="G48" s="3" t="s">
        <v>137</v>
      </c>
      <c r="H48" s="3" t="s">
        <v>27</v>
      </c>
      <c r="I48" s="3" t="s">
        <v>6</v>
      </c>
      <c r="J48" s="3" t="s">
        <v>43</v>
      </c>
      <c r="K48" s="3" t="s">
        <v>50</v>
      </c>
      <c r="L48" s="3" t="s">
        <v>18</v>
      </c>
      <c r="M48">
        <v>1</v>
      </c>
    </row>
    <row r="49" spans="1:13" x14ac:dyDescent="0.25">
      <c r="A49" s="2">
        <v>46322</v>
      </c>
      <c r="B49" s="1" t="str">
        <f ca="1">IF(Información1[[#This Row],[Fecha]]='Ajuste de fechas'!$A$2,"Día actual","Día anterior")</f>
        <v>Día anterior</v>
      </c>
      <c r="C49" s="3" t="s">
        <v>62</v>
      </c>
      <c r="D49" t="s">
        <v>63</v>
      </c>
      <c r="E49" s="3" t="s">
        <v>138</v>
      </c>
      <c r="F49" s="3" t="s">
        <v>8</v>
      </c>
      <c r="G49" s="3" t="s">
        <v>139</v>
      </c>
      <c r="H49" s="3" t="s">
        <v>27</v>
      </c>
      <c r="I49" s="3" t="s">
        <v>6</v>
      </c>
      <c r="J49" s="3" t="s">
        <v>17</v>
      </c>
      <c r="K49" s="3" t="s">
        <v>65</v>
      </c>
      <c r="L49" s="3" t="s">
        <v>18</v>
      </c>
      <c r="M49">
        <v>1</v>
      </c>
    </row>
    <row r="50" spans="1:13" x14ac:dyDescent="0.25">
      <c r="A50" s="2">
        <v>46322</v>
      </c>
      <c r="B50" s="1" t="str">
        <f ca="1">IF(Información1[[#This Row],[Fecha]]='Ajuste de fechas'!$A$2,"Día actual","Día anterior")</f>
        <v>Día anterior</v>
      </c>
      <c r="C50" s="3" t="s">
        <v>28</v>
      </c>
      <c r="D50" t="s">
        <v>29</v>
      </c>
      <c r="E50" s="3" t="s">
        <v>140</v>
      </c>
      <c r="F50" s="3" t="s">
        <v>44</v>
      </c>
      <c r="G50" s="3" t="s">
        <v>141</v>
      </c>
      <c r="H50" s="3" t="s">
        <v>27</v>
      </c>
      <c r="I50" s="3" t="s">
        <v>6</v>
      </c>
      <c r="J50" s="3" t="s">
        <v>17</v>
      </c>
      <c r="K50" s="3" t="s">
        <v>30</v>
      </c>
      <c r="L50" s="3" t="s">
        <v>18</v>
      </c>
      <c r="M50">
        <v>1</v>
      </c>
    </row>
    <row r="51" spans="1:13" x14ac:dyDescent="0.25">
      <c r="A51" s="2">
        <v>46322</v>
      </c>
      <c r="B51" s="1" t="str">
        <f ca="1">IF(Información1[[#This Row],[Fecha]]='Ajuste de fechas'!$A$2,"Día actual","Día anterior")</f>
        <v>Día anterior</v>
      </c>
      <c r="C51" s="3" t="s">
        <v>62</v>
      </c>
      <c r="D51" t="s">
        <v>63</v>
      </c>
      <c r="E51" s="3" t="s">
        <v>142</v>
      </c>
      <c r="F51" s="3" t="s">
        <v>44</v>
      </c>
      <c r="G51" s="3" t="s">
        <v>141</v>
      </c>
      <c r="H51" s="3" t="s">
        <v>27</v>
      </c>
      <c r="I51" s="3" t="s">
        <v>6</v>
      </c>
      <c r="J51" s="3" t="s">
        <v>17</v>
      </c>
      <c r="K51" s="3" t="s">
        <v>65</v>
      </c>
      <c r="L51" s="3" t="s">
        <v>18</v>
      </c>
      <c r="M51">
        <v>1</v>
      </c>
    </row>
    <row r="52" spans="1:13" x14ac:dyDescent="0.25">
      <c r="A52" s="2">
        <v>46322</v>
      </c>
      <c r="B52" s="1" t="str">
        <f ca="1">IF(Información1[[#This Row],[Fecha]]='Ajuste de fechas'!$A$2,"Día actual","Día anterior")</f>
        <v>Día anterior</v>
      </c>
      <c r="C52" s="3" t="s">
        <v>66</v>
      </c>
      <c r="D52" t="s">
        <v>67</v>
      </c>
      <c r="E52" s="3" t="s">
        <v>143</v>
      </c>
      <c r="F52" s="3" t="s">
        <v>44</v>
      </c>
      <c r="G52" s="3" t="s">
        <v>141</v>
      </c>
      <c r="H52" s="3" t="s">
        <v>27</v>
      </c>
      <c r="I52" s="3" t="s">
        <v>6</v>
      </c>
      <c r="J52" s="3" t="s">
        <v>17</v>
      </c>
      <c r="K52" s="3" t="s">
        <v>69</v>
      </c>
      <c r="L52" s="3" t="s">
        <v>18</v>
      </c>
      <c r="M52">
        <v>1</v>
      </c>
    </row>
    <row r="53" spans="1:13" x14ac:dyDescent="0.25">
      <c r="A53" s="2">
        <v>46323</v>
      </c>
      <c r="B53" s="1" t="str">
        <f ca="1">IF(Información1[[#This Row],[Fecha]]='Ajuste de fechas'!$A$2,"Día actual","Día anterior")</f>
        <v>Día actual</v>
      </c>
      <c r="C53" s="3" t="s">
        <v>66</v>
      </c>
      <c r="D53" t="s">
        <v>67</v>
      </c>
      <c r="E53" s="3" t="s">
        <v>144</v>
      </c>
      <c r="F53" s="3" t="s">
        <v>51</v>
      </c>
      <c r="G53" s="3" t="s">
        <v>61</v>
      </c>
      <c r="H53" s="3" t="s">
        <v>27</v>
      </c>
      <c r="I53" s="3" t="s">
        <v>10</v>
      </c>
      <c r="J53" s="3" t="s">
        <v>17</v>
      </c>
      <c r="K53" s="3" t="s">
        <v>34</v>
      </c>
      <c r="L53" s="3" t="s">
        <v>19</v>
      </c>
      <c r="M53">
        <v>1</v>
      </c>
    </row>
    <row r="54" spans="1:13" x14ac:dyDescent="0.25">
      <c r="A54" s="2">
        <v>46323</v>
      </c>
      <c r="B54" s="1" t="str">
        <f ca="1">IF(Información1[[#This Row],[Fecha]]='Ajuste de fechas'!$A$2,"Día actual","Día anterior")</f>
        <v>Día actual</v>
      </c>
      <c r="C54" s="3" t="s">
        <v>66</v>
      </c>
      <c r="D54" t="s">
        <v>67</v>
      </c>
      <c r="E54" s="3" t="s">
        <v>145</v>
      </c>
      <c r="F54" s="3" t="s">
        <v>51</v>
      </c>
      <c r="G54" s="3" t="s">
        <v>61</v>
      </c>
      <c r="H54" s="3" t="s">
        <v>27</v>
      </c>
      <c r="I54" s="3" t="s">
        <v>10</v>
      </c>
      <c r="J54" s="3" t="s">
        <v>17</v>
      </c>
      <c r="K54" s="3" t="s">
        <v>34</v>
      </c>
      <c r="L54" s="3" t="s">
        <v>19</v>
      </c>
      <c r="M54">
        <v>1</v>
      </c>
    </row>
    <row r="55" spans="1:13" x14ac:dyDescent="0.25">
      <c r="A55" s="2">
        <v>46323</v>
      </c>
      <c r="B55" s="1" t="str">
        <f ca="1">IF(Información1[[#This Row],[Fecha]]='Ajuste de fechas'!$A$2,"Día actual","Día anterior")</f>
        <v>Día actual</v>
      </c>
      <c r="C55" s="3" t="s">
        <v>28</v>
      </c>
      <c r="D55" t="s">
        <v>29</v>
      </c>
      <c r="E55" s="3" t="s">
        <v>146</v>
      </c>
      <c r="F55" s="3" t="s">
        <v>51</v>
      </c>
      <c r="G55" s="3" t="s">
        <v>61</v>
      </c>
      <c r="H55" s="3" t="s">
        <v>27</v>
      </c>
      <c r="I55" s="3" t="s">
        <v>10</v>
      </c>
      <c r="J55" s="3" t="s">
        <v>17</v>
      </c>
      <c r="K55" s="3" t="s">
        <v>34</v>
      </c>
      <c r="L55" s="3" t="s">
        <v>19</v>
      </c>
      <c r="M55">
        <v>1</v>
      </c>
    </row>
    <row r="56" spans="1:13" x14ac:dyDescent="0.25">
      <c r="A56" s="2">
        <v>46323</v>
      </c>
      <c r="B56" s="1" t="str">
        <f ca="1">IF(Información1[[#This Row],[Fecha]]='Ajuste de fechas'!$A$2,"Día actual","Día anterior")</f>
        <v>Día actual</v>
      </c>
      <c r="C56" s="3" t="s">
        <v>35</v>
      </c>
      <c r="D56" t="s">
        <v>36</v>
      </c>
      <c r="E56" s="3" t="s">
        <v>147</v>
      </c>
      <c r="F56" s="3" t="s">
        <v>148</v>
      </c>
      <c r="G56" s="3" t="s">
        <v>149</v>
      </c>
      <c r="H56" s="3" t="s">
        <v>27</v>
      </c>
      <c r="I56" s="3" t="s">
        <v>7</v>
      </c>
      <c r="J56" s="3" t="s">
        <v>17</v>
      </c>
      <c r="K56" s="3" t="s">
        <v>37</v>
      </c>
      <c r="L56" s="3" t="s">
        <v>19</v>
      </c>
      <c r="M56">
        <v>1</v>
      </c>
    </row>
    <row r="57" spans="1:13" x14ac:dyDescent="0.25">
      <c r="A57" s="2">
        <v>46323</v>
      </c>
      <c r="B57" s="1" t="str">
        <f ca="1">IF(Información1[[#This Row],[Fecha]]='Ajuste de fechas'!$A$2,"Día actual","Día anterior")</f>
        <v>Día actual</v>
      </c>
      <c r="C57" s="3" t="s">
        <v>35</v>
      </c>
      <c r="D57" t="s">
        <v>36</v>
      </c>
      <c r="E57" s="3" t="s">
        <v>150</v>
      </c>
      <c r="F57" s="3" t="s">
        <v>148</v>
      </c>
      <c r="G57" s="3" t="s">
        <v>149</v>
      </c>
      <c r="H57" s="3" t="s">
        <v>27</v>
      </c>
      <c r="I57" s="3" t="s">
        <v>7</v>
      </c>
      <c r="J57" s="3" t="s">
        <v>17</v>
      </c>
      <c r="K57" s="3" t="s">
        <v>37</v>
      </c>
      <c r="L57" s="3" t="s">
        <v>18</v>
      </c>
      <c r="M57">
        <v>1</v>
      </c>
    </row>
    <row r="58" spans="1:13" x14ac:dyDescent="0.25">
      <c r="A58" s="2">
        <v>46323</v>
      </c>
      <c r="B58" s="1" t="str">
        <f ca="1">IF(Información1[[#This Row],[Fecha]]='Ajuste de fechas'!$A$2,"Día actual","Día anterior")</f>
        <v>Día actual</v>
      </c>
      <c r="C58" s="3" t="s">
        <v>28</v>
      </c>
      <c r="D58" t="s">
        <v>29</v>
      </c>
      <c r="E58" s="3" t="s">
        <v>151</v>
      </c>
      <c r="F58" s="3" t="s">
        <v>39</v>
      </c>
      <c r="G58" s="3" t="s">
        <v>149</v>
      </c>
      <c r="H58" s="3" t="s">
        <v>27</v>
      </c>
      <c r="I58" s="3" t="s">
        <v>6</v>
      </c>
      <c r="J58" s="3" t="s">
        <v>40</v>
      </c>
      <c r="K58" s="3" t="s">
        <v>30</v>
      </c>
      <c r="L58" s="3" t="s">
        <v>18</v>
      </c>
      <c r="M58">
        <v>1</v>
      </c>
    </row>
    <row r="59" spans="1:13" x14ac:dyDescent="0.25">
      <c r="A59" s="2">
        <v>46323</v>
      </c>
      <c r="B59" s="1" t="str">
        <f ca="1">IF(Información1[[#This Row],[Fecha]]='Ajuste de fechas'!$A$2,"Día actual","Día anterior")</f>
        <v>Día actual</v>
      </c>
      <c r="C59" s="3" t="s">
        <v>28</v>
      </c>
      <c r="D59" t="s">
        <v>29</v>
      </c>
      <c r="E59" s="3" t="s">
        <v>152</v>
      </c>
      <c r="F59" s="3" t="s">
        <v>148</v>
      </c>
      <c r="G59" s="3" t="s">
        <v>149</v>
      </c>
      <c r="H59" s="3" t="s">
        <v>27</v>
      </c>
      <c r="I59" s="3" t="s">
        <v>7</v>
      </c>
      <c r="J59" s="3" t="s">
        <v>17</v>
      </c>
      <c r="K59" s="3" t="s">
        <v>31</v>
      </c>
      <c r="L59" s="3" t="s">
        <v>20</v>
      </c>
      <c r="M59">
        <v>1</v>
      </c>
    </row>
    <row r="60" spans="1:13" x14ac:dyDescent="0.25">
      <c r="A60" s="2">
        <v>46323</v>
      </c>
      <c r="B60" s="1" t="str">
        <f ca="1">IF(Información1[[#This Row],[Fecha]]='Ajuste de fechas'!$A$2,"Día actual","Día anterior")</f>
        <v>Día actual</v>
      </c>
      <c r="C60" s="3" t="s">
        <v>62</v>
      </c>
      <c r="D60" t="s">
        <v>63</v>
      </c>
      <c r="E60" s="3" t="s">
        <v>153</v>
      </c>
      <c r="F60" s="3" t="s">
        <v>74</v>
      </c>
      <c r="G60" s="3" t="s">
        <v>154</v>
      </c>
      <c r="H60" s="3" t="s">
        <v>27</v>
      </c>
      <c r="I60" s="3" t="s">
        <v>6</v>
      </c>
      <c r="J60" s="3" t="s">
        <v>41</v>
      </c>
      <c r="K60" s="3" t="s">
        <v>65</v>
      </c>
      <c r="L60" s="3" t="s">
        <v>24</v>
      </c>
      <c r="M60">
        <v>1</v>
      </c>
    </row>
    <row r="61" spans="1:13" x14ac:dyDescent="0.25">
      <c r="A61" s="2">
        <v>46323</v>
      </c>
      <c r="B61" s="1" t="str">
        <f ca="1">IF(Información1[[#This Row],[Fecha]]='Ajuste de fechas'!$A$2,"Día actual","Día anterior")</f>
        <v>Día actual</v>
      </c>
      <c r="C61" s="3" t="s">
        <v>66</v>
      </c>
      <c r="D61" t="s">
        <v>67</v>
      </c>
      <c r="E61" s="3" t="s">
        <v>70</v>
      </c>
      <c r="F61" s="3" t="s">
        <v>39</v>
      </c>
      <c r="G61" s="3" t="s">
        <v>71</v>
      </c>
      <c r="H61" s="3" t="s">
        <v>27</v>
      </c>
      <c r="I61" s="3" t="s">
        <v>7</v>
      </c>
      <c r="J61" s="3" t="s">
        <v>40</v>
      </c>
      <c r="K61" s="3" t="s">
        <v>69</v>
      </c>
      <c r="L61" s="3" t="s">
        <v>19</v>
      </c>
      <c r="M61">
        <v>1</v>
      </c>
    </row>
    <row r="62" spans="1:13" x14ac:dyDescent="0.25">
      <c r="A62" s="2">
        <v>46323</v>
      </c>
      <c r="B62" s="1" t="str">
        <f ca="1">IF(Información1[[#This Row],[Fecha]]='Ajuste de fechas'!$A$2,"Día actual","Día anterior")</f>
        <v>Día actual</v>
      </c>
      <c r="C62" s="3" t="s">
        <v>66</v>
      </c>
      <c r="D62" t="s">
        <v>67</v>
      </c>
      <c r="E62" s="3" t="s">
        <v>72</v>
      </c>
      <c r="F62" s="3" t="s">
        <v>39</v>
      </c>
      <c r="G62" s="3" t="s">
        <v>71</v>
      </c>
      <c r="H62" s="3" t="s">
        <v>27</v>
      </c>
      <c r="I62" s="3" t="s">
        <v>7</v>
      </c>
      <c r="J62" s="3" t="s">
        <v>40</v>
      </c>
      <c r="K62" s="3" t="s">
        <v>69</v>
      </c>
      <c r="L62" s="3" t="s">
        <v>19</v>
      </c>
      <c r="M62">
        <v>1</v>
      </c>
    </row>
    <row r="63" spans="1:13" x14ac:dyDescent="0.25">
      <c r="A63" s="2">
        <v>46323</v>
      </c>
      <c r="B63" s="1" t="str">
        <f ca="1">IF(Información1[[#This Row],[Fecha]]='Ajuste de fechas'!$A$2,"Día actual","Día anterior")</f>
        <v>Día actual</v>
      </c>
      <c r="C63" s="3" t="s">
        <v>66</v>
      </c>
      <c r="D63" t="s">
        <v>67</v>
      </c>
      <c r="E63" s="3" t="s">
        <v>73</v>
      </c>
      <c r="F63" s="3" t="s">
        <v>74</v>
      </c>
      <c r="G63" s="3" t="s">
        <v>71</v>
      </c>
      <c r="H63" s="3" t="s">
        <v>27</v>
      </c>
      <c r="I63" s="3" t="s">
        <v>7</v>
      </c>
      <c r="J63" s="3" t="s">
        <v>41</v>
      </c>
      <c r="K63" s="3" t="s">
        <v>69</v>
      </c>
      <c r="L63" s="3" t="s">
        <v>19</v>
      </c>
      <c r="M63">
        <v>1</v>
      </c>
    </row>
    <row r="64" spans="1:13" x14ac:dyDescent="0.25">
      <c r="A64" s="2">
        <v>46323</v>
      </c>
      <c r="B64" s="1" t="str">
        <f ca="1">IF(Información1[[#This Row],[Fecha]]='Ajuste de fechas'!$A$2,"Día actual","Día anterior")</f>
        <v>Día actual</v>
      </c>
      <c r="C64" s="3" t="s">
        <v>66</v>
      </c>
      <c r="D64" t="s">
        <v>67</v>
      </c>
      <c r="E64" s="3" t="s">
        <v>76</v>
      </c>
      <c r="F64" s="3" t="s">
        <v>25</v>
      </c>
      <c r="G64" s="3" t="s">
        <v>71</v>
      </c>
      <c r="H64" s="3" t="s">
        <v>27</v>
      </c>
      <c r="I64" s="3" t="s">
        <v>7</v>
      </c>
      <c r="J64" s="3" t="s">
        <v>17</v>
      </c>
      <c r="K64" s="3" t="s">
        <v>69</v>
      </c>
      <c r="L64" s="3" t="s">
        <v>19</v>
      </c>
      <c r="M64">
        <v>1</v>
      </c>
    </row>
    <row r="65" spans="1:13" x14ac:dyDescent="0.25">
      <c r="A65" s="2">
        <v>46323</v>
      </c>
      <c r="B65" s="1" t="str">
        <f ca="1">IF(Información1[[#This Row],[Fecha]]='Ajuste de fechas'!$A$2,"Día actual","Día anterior")</f>
        <v>Día actual</v>
      </c>
      <c r="C65" s="3" t="s">
        <v>66</v>
      </c>
      <c r="D65" t="s">
        <v>67</v>
      </c>
      <c r="E65" s="3" t="s">
        <v>75</v>
      </c>
      <c r="F65" s="3" t="s">
        <v>9</v>
      </c>
      <c r="G65" s="3" t="s">
        <v>71</v>
      </c>
      <c r="H65" s="3" t="s">
        <v>27</v>
      </c>
      <c r="I65" s="3" t="s">
        <v>7</v>
      </c>
      <c r="J65" s="3" t="s">
        <v>17</v>
      </c>
      <c r="K65" s="3" t="s">
        <v>69</v>
      </c>
      <c r="L65" s="3" t="s">
        <v>19</v>
      </c>
      <c r="M65">
        <v>1</v>
      </c>
    </row>
    <row r="66" spans="1:13" x14ac:dyDescent="0.25">
      <c r="A66" s="2">
        <v>46323</v>
      </c>
      <c r="B66" s="1" t="str">
        <f ca="1">IF(Información1[[#This Row],[Fecha]]='Ajuste de fechas'!$A$2,"Día actual","Día anterior")</f>
        <v>Día actual</v>
      </c>
      <c r="C66" s="3" t="s">
        <v>66</v>
      </c>
      <c r="D66" t="s">
        <v>67</v>
      </c>
      <c r="E66" s="3" t="s">
        <v>77</v>
      </c>
      <c r="F66" s="3" t="s">
        <v>8</v>
      </c>
      <c r="G66" s="3" t="s">
        <v>71</v>
      </c>
      <c r="H66" s="3" t="s">
        <v>27</v>
      </c>
      <c r="I66" s="3" t="s">
        <v>7</v>
      </c>
      <c r="J66" s="3" t="s">
        <v>17</v>
      </c>
      <c r="K66" s="3" t="s">
        <v>69</v>
      </c>
      <c r="L66" s="3" t="s">
        <v>19</v>
      </c>
      <c r="M66">
        <v>1</v>
      </c>
    </row>
    <row r="67" spans="1:13" x14ac:dyDescent="0.25">
      <c r="A67" s="2">
        <v>46323</v>
      </c>
      <c r="B67" s="1" t="str">
        <f ca="1">IF(Información1[[#This Row],[Fecha]]='Ajuste de fechas'!$A$2,"Día actual","Día anterior")</f>
        <v>Día actual</v>
      </c>
      <c r="C67" s="3" t="s">
        <v>66</v>
      </c>
      <c r="D67" t="s">
        <v>67</v>
      </c>
      <c r="E67" s="3" t="s">
        <v>78</v>
      </c>
      <c r="F67" s="3" t="s">
        <v>51</v>
      </c>
      <c r="G67" s="3" t="s">
        <v>71</v>
      </c>
      <c r="H67" s="3" t="s">
        <v>27</v>
      </c>
      <c r="I67" s="3" t="s">
        <v>7</v>
      </c>
      <c r="J67" s="3" t="s">
        <v>17</v>
      </c>
      <c r="K67" s="3" t="s">
        <v>69</v>
      </c>
      <c r="L67" s="3" t="s">
        <v>19</v>
      </c>
      <c r="M67">
        <v>1</v>
      </c>
    </row>
    <row r="68" spans="1:13" x14ac:dyDescent="0.25">
      <c r="A68" s="2">
        <v>46323</v>
      </c>
      <c r="B68" s="1" t="str">
        <f ca="1">IF(Información1[[#This Row],[Fecha]]='Ajuste de fechas'!$A$2,"Día actual","Día anterior")</f>
        <v>Día actual</v>
      </c>
      <c r="C68" s="3" t="s">
        <v>66</v>
      </c>
      <c r="D68" t="s">
        <v>67</v>
      </c>
      <c r="E68" s="3" t="s">
        <v>155</v>
      </c>
      <c r="F68" s="3" t="s">
        <v>39</v>
      </c>
      <c r="G68" s="3" t="s">
        <v>156</v>
      </c>
      <c r="H68" s="3" t="s">
        <v>27</v>
      </c>
      <c r="I68" s="3" t="s">
        <v>6</v>
      </c>
      <c r="J68" s="3" t="s">
        <v>40</v>
      </c>
      <c r="K68" s="3" t="s">
        <v>69</v>
      </c>
      <c r="L68" s="3" t="s">
        <v>18</v>
      </c>
      <c r="M68">
        <v>1</v>
      </c>
    </row>
    <row r="69" spans="1:13" x14ac:dyDescent="0.25">
      <c r="A69" s="2">
        <v>46323</v>
      </c>
      <c r="B69" s="1" t="str">
        <f ca="1">IF(Información1[[#This Row],[Fecha]]='Ajuste de fechas'!$A$2,"Día actual","Día anterior")</f>
        <v>Día actual</v>
      </c>
      <c r="C69" s="3" t="s">
        <v>35</v>
      </c>
      <c r="D69" t="s">
        <v>36</v>
      </c>
      <c r="E69" s="3" t="s">
        <v>157</v>
      </c>
      <c r="F69" s="3" t="s">
        <v>38</v>
      </c>
      <c r="G69" s="3" t="s">
        <v>158</v>
      </c>
      <c r="H69" s="3" t="s">
        <v>27</v>
      </c>
      <c r="I69" s="3" t="s">
        <v>6</v>
      </c>
      <c r="J69" s="3" t="s">
        <v>17</v>
      </c>
      <c r="K69" s="3" t="s">
        <v>37</v>
      </c>
      <c r="L69" s="3" t="s">
        <v>18</v>
      </c>
      <c r="M69">
        <v>1</v>
      </c>
    </row>
    <row r="70" spans="1:13" x14ac:dyDescent="0.25">
      <c r="A70" s="2">
        <v>46323</v>
      </c>
      <c r="B70" s="1" t="str">
        <f ca="1">IF(Información1[[#This Row],[Fecha]]='Ajuste de fechas'!$A$2,"Día actual","Día anterior")</f>
        <v>Día actual</v>
      </c>
      <c r="C70" s="3" t="s">
        <v>62</v>
      </c>
      <c r="D70" t="s">
        <v>63</v>
      </c>
      <c r="E70" s="3" t="s">
        <v>159</v>
      </c>
      <c r="F70" s="3" t="s">
        <v>32</v>
      </c>
      <c r="G70" s="3" t="s">
        <v>52</v>
      </c>
      <c r="H70" s="3" t="s">
        <v>27</v>
      </c>
      <c r="I70" s="3" t="s">
        <v>6</v>
      </c>
      <c r="J70" s="3" t="s">
        <v>17</v>
      </c>
      <c r="K70" s="3" t="s">
        <v>65</v>
      </c>
      <c r="L70" s="3" t="s">
        <v>18</v>
      </c>
      <c r="M70">
        <v>1</v>
      </c>
    </row>
    <row r="71" spans="1:13" x14ac:dyDescent="0.25">
      <c r="A71" s="2">
        <v>46323</v>
      </c>
      <c r="B71" s="1" t="str">
        <f ca="1">IF(Información1[[#This Row],[Fecha]]='Ajuste de fechas'!$A$2,"Día actual","Día anterior")</f>
        <v>Día actual</v>
      </c>
      <c r="C71" s="3" t="s">
        <v>66</v>
      </c>
      <c r="D71" t="s">
        <v>67</v>
      </c>
      <c r="E71" s="3" t="s">
        <v>160</v>
      </c>
      <c r="F71" s="3" t="s">
        <v>32</v>
      </c>
      <c r="G71" s="3" t="s">
        <v>52</v>
      </c>
      <c r="H71" s="3" t="s">
        <v>27</v>
      </c>
      <c r="I71" s="3" t="s">
        <v>6</v>
      </c>
      <c r="J71" s="3" t="s">
        <v>17</v>
      </c>
      <c r="K71" s="3" t="s">
        <v>69</v>
      </c>
      <c r="L71" s="3" t="s">
        <v>20</v>
      </c>
      <c r="M71">
        <v>1</v>
      </c>
    </row>
    <row r="72" spans="1:13" x14ac:dyDescent="0.25">
      <c r="A72" s="2">
        <v>46323</v>
      </c>
      <c r="B72" s="1" t="str">
        <f ca="1">IF(Información1[[#This Row],[Fecha]]='Ajuste de fechas'!$A$2,"Día actual","Día anterior")</f>
        <v>Día actual</v>
      </c>
      <c r="C72" s="3" t="s">
        <v>35</v>
      </c>
      <c r="D72" t="s">
        <v>36</v>
      </c>
      <c r="E72" s="3" t="s">
        <v>161</v>
      </c>
      <c r="F72" s="3" t="s">
        <v>32</v>
      </c>
      <c r="G72" s="3" t="s">
        <v>52</v>
      </c>
      <c r="H72" s="3" t="s">
        <v>27</v>
      </c>
      <c r="I72" s="3" t="s">
        <v>6</v>
      </c>
      <c r="J72" s="3" t="s">
        <v>17</v>
      </c>
      <c r="K72" s="3" t="s">
        <v>37</v>
      </c>
      <c r="L72" s="3" t="s">
        <v>18</v>
      </c>
      <c r="M72">
        <v>1</v>
      </c>
    </row>
    <row r="73" spans="1:13" x14ac:dyDescent="0.25">
      <c r="A73" s="2">
        <v>46323</v>
      </c>
      <c r="B73" s="1" t="str">
        <f ca="1">IF(Información1[[#This Row],[Fecha]]='Ajuste de fechas'!$A$2,"Día actual","Día anterior")</f>
        <v>Día actual</v>
      </c>
      <c r="C73" s="3" t="s">
        <v>62</v>
      </c>
      <c r="D73" t="s">
        <v>63</v>
      </c>
      <c r="E73" s="3" t="s">
        <v>162</v>
      </c>
      <c r="F73" s="3" t="s">
        <v>39</v>
      </c>
      <c r="G73" s="3" t="s">
        <v>93</v>
      </c>
      <c r="H73" s="3" t="s">
        <v>27</v>
      </c>
      <c r="I73" s="3" t="s">
        <v>6</v>
      </c>
      <c r="J73" s="3" t="s">
        <v>40</v>
      </c>
      <c r="K73" s="3" t="s">
        <v>65</v>
      </c>
      <c r="L73" s="3" t="s">
        <v>18</v>
      </c>
      <c r="M73">
        <v>1</v>
      </c>
    </row>
    <row r="74" spans="1:13" x14ac:dyDescent="0.25">
      <c r="A74" s="2">
        <v>46323</v>
      </c>
      <c r="B74" s="1" t="str">
        <f ca="1">IF(Información1[[#This Row],[Fecha]]='Ajuste de fechas'!$A$2,"Día actual","Día anterior")</f>
        <v>Día actual</v>
      </c>
      <c r="C74" s="3" t="s">
        <v>62</v>
      </c>
      <c r="D74" t="s">
        <v>63</v>
      </c>
      <c r="E74" s="3" t="s">
        <v>163</v>
      </c>
      <c r="F74" s="3" t="s">
        <v>39</v>
      </c>
      <c r="G74" s="3" t="s">
        <v>164</v>
      </c>
      <c r="H74" s="3" t="s">
        <v>27</v>
      </c>
      <c r="I74" s="3" t="s">
        <v>6</v>
      </c>
      <c r="J74" s="3" t="s">
        <v>40</v>
      </c>
      <c r="K74" s="3" t="s">
        <v>65</v>
      </c>
      <c r="L74" s="3" t="s">
        <v>18</v>
      </c>
      <c r="M74">
        <v>1</v>
      </c>
    </row>
    <row r="75" spans="1:13" x14ac:dyDescent="0.25">
      <c r="A75" s="2">
        <v>46323</v>
      </c>
      <c r="B75" s="1" t="str">
        <f ca="1">IF(Información1[[#This Row],[Fecha]]='Ajuste de fechas'!$A$2,"Día actual","Día anterior")</f>
        <v>Día actual</v>
      </c>
      <c r="C75" s="3" t="s">
        <v>62</v>
      </c>
      <c r="D75" t="s">
        <v>63</v>
      </c>
      <c r="E75" s="3" t="s">
        <v>165</v>
      </c>
      <c r="F75" s="3" t="s">
        <v>39</v>
      </c>
      <c r="G75" s="3" t="s">
        <v>166</v>
      </c>
      <c r="H75" s="3" t="s">
        <v>27</v>
      </c>
      <c r="I75" s="3" t="s">
        <v>6</v>
      </c>
      <c r="J75" s="3" t="s">
        <v>40</v>
      </c>
      <c r="K75" s="3" t="s">
        <v>65</v>
      </c>
      <c r="L75" s="3" t="s">
        <v>18</v>
      </c>
      <c r="M75">
        <v>1</v>
      </c>
    </row>
    <row r="76" spans="1:13" x14ac:dyDescent="0.25">
      <c r="A76" s="2">
        <v>46323</v>
      </c>
      <c r="B76" s="1" t="str">
        <f ca="1">IF(Información1[[#This Row],[Fecha]]='Ajuste de fechas'!$A$2,"Día actual","Día anterior")</f>
        <v>Día actual</v>
      </c>
      <c r="C76" s="3" t="s">
        <v>35</v>
      </c>
      <c r="D76" t="s">
        <v>36</v>
      </c>
      <c r="E76" s="3" t="s">
        <v>167</v>
      </c>
      <c r="F76" s="3" t="s">
        <v>9</v>
      </c>
      <c r="G76" s="3" t="s">
        <v>168</v>
      </c>
      <c r="H76" s="3" t="s">
        <v>27</v>
      </c>
      <c r="I76" s="3" t="s">
        <v>6</v>
      </c>
      <c r="J76" s="3" t="s">
        <v>17</v>
      </c>
      <c r="K76" s="3" t="s">
        <v>37</v>
      </c>
      <c r="L76" s="3" t="s">
        <v>20</v>
      </c>
      <c r="M76">
        <v>1</v>
      </c>
    </row>
    <row r="77" spans="1:13" x14ac:dyDescent="0.25">
      <c r="A77" s="2">
        <v>46323</v>
      </c>
      <c r="B77" s="1" t="str">
        <f ca="1">IF(Información1[[#This Row],[Fecha]]='Ajuste de fechas'!$A$2,"Día actual","Día anterior")</f>
        <v>Día actual</v>
      </c>
      <c r="C77" s="3" t="s">
        <v>62</v>
      </c>
      <c r="D77" t="s">
        <v>91</v>
      </c>
      <c r="E77" s="3" t="s">
        <v>169</v>
      </c>
      <c r="F77" s="3" t="s">
        <v>170</v>
      </c>
      <c r="G77" s="3" t="s">
        <v>53</v>
      </c>
      <c r="H77" s="3" t="s">
        <v>27</v>
      </c>
      <c r="I77" s="3" t="s">
        <v>7</v>
      </c>
      <c r="J77" s="3" t="s">
        <v>17</v>
      </c>
      <c r="K77" s="3" t="s">
        <v>94</v>
      </c>
      <c r="L77" s="3" t="s">
        <v>171</v>
      </c>
      <c r="M77">
        <v>1</v>
      </c>
    </row>
    <row r="78" spans="1:13" x14ac:dyDescent="0.25">
      <c r="A78" s="2">
        <v>46323</v>
      </c>
      <c r="B78" s="1" t="str">
        <f ca="1">IF(Información1[[#This Row],[Fecha]]='Ajuste de fechas'!$A$2,"Día actual","Día anterior")</f>
        <v>Día actual</v>
      </c>
      <c r="C78" s="3" t="s">
        <v>62</v>
      </c>
      <c r="D78" t="s">
        <v>63</v>
      </c>
      <c r="E78" s="3" t="s">
        <v>172</v>
      </c>
      <c r="F78" s="3" t="s">
        <v>41</v>
      </c>
      <c r="G78" s="3" t="s">
        <v>53</v>
      </c>
      <c r="H78" s="3" t="s">
        <v>27</v>
      </c>
      <c r="I78" s="3" t="s">
        <v>6</v>
      </c>
      <c r="J78" s="3" t="s">
        <v>41</v>
      </c>
      <c r="K78" s="3" t="s">
        <v>65</v>
      </c>
      <c r="L78" s="3" t="s">
        <v>97</v>
      </c>
      <c r="M78">
        <v>1</v>
      </c>
    </row>
    <row r="79" spans="1:13" x14ac:dyDescent="0.25">
      <c r="A79" s="2">
        <v>46323</v>
      </c>
      <c r="B79" s="1" t="str">
        <f ca="1">IF(Información1[[#This Row],[Fecha]]='Ajuste de fechas'!$A$2,"Día actual","Día anterior")</f>
        <v>Día actual</v>
      </c>
      <c r="C79" s="3" t="s">
        <v>66</v>
      </c>
      <c r="D79" t="s">
        <v>67</v>
      </c>
      <c r="E79" s="3" t="s">
        <v>173</v>
      </c>
      <c r="F79" s="3" t="s">
        <v>170</v>
      </c>
      <c r="G79" s="3" t="s">
        <v>53</v>
      </c>
      <c r="H79" s="3" t="s">
        <v>27</v>
      </c>
      <c r="I79" s="3" t="s">
        <v>6</v>
      </c>
      <c r="J79" s="3" t="s">
        <v>17</v>
      </c>
      <c r="K79" s="3" t="s">
        <v>69</v>
      </c>
      <c r="L79" s="3" t="s">
        <v>20</v>
      </c>
      <c r="M79">
        <v>1</v>
      </c>
    </row>
    <row r="80" spans="1:13" x14ac:dyDescent="0.25">
      <c r="A80" s="2">
        <v>46323</v>
      </c>
      <c r="B80" s="1" t="str">
        <f ca="1">IF(Información1[[#This Row],[Fecha]]='Ajuste de fechas'!$A$2,"Día actual","Día anterior")</f>
        <v>Día actual</v>
      </c>
      <c r="C80" s="3" t="s">
        <v>66</v>
      </c>
      <c r="D80" t="s">
        <v>67</v>
      </c>
      <c r="E80" s="3" t="s">
        <v>174</v>
      </c>
      <c r="F80" s="3" t="s">
        <v>9</v>
      </c>
      <c r="G80" s="3" t="s">
        <v>53</v>
      </c>
      <c r="H80" s="3" t="s">
        <v>27</v>
      </c>
      <c r="I80" s="3" t="s">
        <v>6</v>
      </c>
      <c r="J80" s="3" t="s">
        <v>17</v>
      </c>
      <c r="K80" s="3" t="s">
        <v>69</v>
      </c>
      <c r="L80" s="3" t="s">
        <v>24</v>
      </c>
      <c r="M80">
        <v>1</v>
      </c>
    </row>
    <row r="81" spans="1:13" x14ac:dyDescent="0.25">
      <c r="A81" s="2">
        <v>46323</v>
      </c>
      <c r="B81" s="1" t="str">
        <f ca="1">IF(Información1[[#This Row],[Fecha]]='Ajuste de fechas'!$A$2,"Día actual","Día anterior")</f>
        <v>Día actual</v>
      </c>
      <c r="C81" s="3" t="s">
        <v>66</v>
      </c>
      <c r="D81" t="s">
        <v>67</v>
      </c>
      <c r="E81" s="3" t="s">
        <v>175</v>
      </c>
      <c r="F81" s="3" t="s">
        <v>39</v>
      </c>
      <c r="G81" s="3" t="s">
        <v>53</v>
      </c>
      <c r="H81" s="3" t="s">
        <v>27</v>
      </c>
      <c r="I81" s="3" t="s">
        <v>6</v>
      </c>
      <c r="J81" s="3" t="s">
        <v>40</v>
      </c>
      <c r="K81" s="3" t="s">
        <v>69</v>
      </c>
      <c r="L81" s="3" t="s">
        <v>18</v>
      </c>
      <c r="M81">
        <v>1</v>
      </c>
    </row>
    <row r="82" spans="1:13" x14ac:dyDescent="0.25">
      <c r="A82" s="2">
        <v>46323</v>
      </c>
      <c r="B82" s="1" t="str">
        <f ca="1">IF(Información1[[#This Row],[Fecha]]='Ajuste de fechas'!$A$2,"Día actual","Día anterior")</f>
        <v>Día actual</v>
      </c>
      <c r="C82" s="3" t="s">
        <v>28</v>
      </c>
      <c r="D82" t="s">
        <v>29</v>
      </c>
      <c r="E82" s="3" t="s">
        <v>176</v>
      </c>
      <c r="F82" s="3" t="s">
        <v>39</v>
      </c>
      <c r="G82" s="3" t="s">
        <v>53</v>
      </c>
      <c r="H82" s="3" t="s">
        <v>27</v>
      </c>
      <c r="I82" s="3" t="s">
        <v>6</v>
      </c>
      <c r="J82" s="3" t="s">
        <v>40</v>
      </c>
      <c r="K82" s="3" t="s">
        <v>31</v>
      </c>
      <c r="L82" s="3" t="s">
        <v>24</v>
      </c>
      <c r="M82">
        <v>1</v>
      </c>
    </row>
    <row r="83" spans="1:13" x14ac:dyDescent="0.25">
      <c r="A83" s="2">
        <v>46323</v>
      </c>
      <c r="B83" s="1" t="str">
        <f ca="1">IF(Información1[[#This Row],[Fecha]]='Ajuste de fechas'!$A$2,"Día actual","Día anterior")</f>
        <v>Día actual</v>
      </c>
      <c r="C83" s="3" t="s">
        <v>28</v>
      </c>
      <c r="D83" t="s">
        <v>29</v>
      </c>
      <c r="E83" s="3" t="s">
        <v>177</v>
      </c>
      <c r="F83" s="3" t="s">
        <v>39</v>
      </c>
      <c r="G83" s="3" t="s">
        <v>53</v>
      </c>
      <c r="H83" s="3" t="s">
        <v>27</v>
      </c>
      <c r="I83" s="3" t="s">
        <v>6</v>
      </c>
      <c r="J83" s="3" t="s">
        <v>40</v>
      </c>
      <c r="K83" s="3" t="s">
        <v>31</v>
      </c>
      <c r="L83" s="3" t="s">
        <v>18</v>
      </c>
      <c r="M83">
        <v>1</v>
      </c>
    </row>
    <row r="84" spans="1:13" x14ac:dyDescent="0.25">
      <c r="A84" s="2">
        <v>46323</v>
      </c>
      <c r="B84" s="1" t="str">
        <f ca="1">IF(Información1[[#This Row],[Fecha]]='Ajuste de fechas'!$A$2,"Día actual","Día anterior")</f>
        <v>Día actual</v>
      </c>
      <c r="C84" s="3" t="s">
        <v>62</v>
      </c>
      <c r="D84" t="s">
        <v>63</v>
      </c>
      <c r="E84" s="3" t="s">
        <v>178</v>
      </c>
      <c r="F84" s="3" t="s">
        <v>44</v>
      </c>
      <c r="G84" s="3" t="s">
        <v>179</v>
      </c>
      <c r="H84" s="3" t="s">
        <v>27</v>
      </c>
      <c r="I84" s="3" t="s">
        <v>6</v>
      </c>
      <c r="J84" s="3" t="s">
        <v>17</v>
      </c>
      <c r="K84" s="3" t="s">
        <v>65</v>
      </c>
      <c r="L84" s="3" t="s">
        <v>18</v>
      </c>
      <c r="M84">
        <v>1</v>
      </c>
    </row>
    <row r="85" spans="1:13" x14ac:dyDescent="0.25">
      <c r="A85" s="2">
        <v>46323</v>
      </c>
      <c r="B85" s="1" t="str">
        <f ca="1">IF(Información1[[#This Row],[Fecha]]='Ajuste de fechas'!$A$2,"Día actual","Día anterior")</f>
        <v>Día actual</v>
      </c>
      <c r="C85" s="3" t="s">
        <v>45</v>
      </c>
      <c r="D85" t="s">
        <v>46</v>
      </c>
      <c r="E85" s="3" t="s">
        <v>180</v>
      </c>
      <c r="F85" s="3" t="s">
        <v>44</v>
      </c>
      <c r="G85" s="3" t="s">
        <v>107</v>
      </c>
      <c r="H85" s="3" t="s">
        <v>27</v>
      </c>
      <c r="I85" s="3" t="s">
        <v>6</v>
      </c>
      <c r="J85" s="3" t="s">
        <v>17</v>
      </c>
      <c r="K85" s="3" t="s">
        <v>47</v>
      </c>
      <c r="L85" s="3" t="s">
        <v>20</v>
      </c>
      <c r="M85">
        <v>1</v>
      </c>
    </row>
    <row r="86" spans="1:13" x14ac:dyDescent="0.25">
      <c r="A86" s="2">
        <v>46323</v>
      </c>
      <c r="B86" s="1" t="str">
        <f ca="1">IF(Información1[[#This Row],[Fecha]]='Ajuste de fechas'!$A$2,"Día actual","Día anterior")</f>
        <v>Día actual</v>
      </c>
      <c r="C86" s="3" t="s">
        <v>62</v>
      </c>
      <c r="D86" t="s">
        <v>63</v>
      </c>
      <c r="E86" s="3" t="s">
        <v>181</v>
      </c>
      <c r="F86" s="3" t="s">
        <v>44</v>
      </c>
      <c r="G86" s="3" t="s">
        <v>107</v>
      </c>
      <c r="H86" s="3" t="s">
        <v>27</v>
      </c>
      <c r="I86" s="3" t="s">
        <v>6</v>
      </c>
      <c r="J86" s="3" t="s">
        <v>17</v>
      </c>
      <c r="K86" s="3" t="s">
        <v>65</v>
      </c>
      <c r="L86" s="3" t="s">
        <v>18</v>
      </c>
      <c r="M86">
        <v>1</v>
      </c>
    </row>
    <row r="87" spans="1:13" x14ac:dyDescent="0.25">
      <c r="A87" s="2">
        <v>46323</v>
      </c>
      <c r="B87" s="1" t="str">
        <f ca="1">IF(Información1[[#This Row],[Fecha]]='Ajuste de fechas'!$A$2,"Día actual","Día anterior")</f>
        <v>Día actual</v>
      </c>
      <c r="C87" s="3" t="s">
        <v>35</v>
      </c>
      <c r="D87" t="s">
        <v>36</v>
      </c>
      <c r="E87" s="3" t="s">
        <v>182</v>
      </c>
      <c r="F87" s="3" t="s">
        <v>44</v>
      </c>
      <c r="G87" s="3" t="s">
        <v>107</v>
      </c>
      <c r="H87" s="3" t="s">
        <v>27</v>
      </c>
      <c r="I87" s="3" t="s">
        <v>7</v>
      </c>
      <c r="J87" s="3" t="s">
        <v>17</v>
      </c>
      <c r="K87" s="3" t="s">
        <v>37</v>
      </c>
      <c r="L87" s="3" t="s">
        <v>20</v>
      </c>
      <c r="M87">
        <v>1</v>
      </c>
    </row>
    <row r="88" spans="1:13" x14ac:dyDescent="0.25">
      <c r="A88" s="2">
        <v>46323</v>
      </c>
      <c r="B88" s="1" t="str">
        <f ca="1">IF(Información1[[#This Row],[Fecha]]='Ajuste de fechas'!$A$2,"Día actual","Día anterior")</f>
        <v>Día actual</v>
      </c>
      <c r="C88" s="3" t="s">
        <v>28</v>
      </c>
      <c r="D88" t="s">
        <v>29</v>
      </c>
      <c r="E88" s="3" t="s">
        <v>183</v>
      </c>
      <c r="F88" s="3" t="s">
        <v>44</v>
      </c>
      <c r="G88" s="3" t="s">
        <v>107</v>
      </c>
      <c r="H88" s="3" t="s">
        <v>27</v>
      </c>
      <c r="I88" s="3" t="s">
        <v>7</v>
      </c>
      <c r="J88" s="3" t="s">
        <v>17</v>
      </c>
      <c r="K88" s="3" t="s">
        <v>31</v>
      </c>
      <c r="L88" s="3" t="s">
        <v>20</v>
      </c>
      <c r="M88">
        <v>1</v>
      </c>
    </row>
    <row r="89" spans="1:13" x14ac:dyDescent="0.25">
      <c r="A89" s="2">
        <v>46323</v>
      </c>
      <c r="B89" s="1" t="str">
        <f ca="1">IF(Información1[[#This Row],[Fecha]]='Ajuste de fechas'!$A$2,"Día actual","Día anterior")</f>
        <v>Día actual</v>
      </c>
      <c r="C89" s="3" t="s">
        <v>62</v>
      </c>
      <c r="D89" t="s">
        <v>63</v>
      </c>
      <c r="E89" s="3" t="s">
        <v>184</v>
      </c>
      <c r="F89" s="3" t="s">
        <v>39</v>
      </c>
      <c r="G89" s="3" t="s">
        <v>112</v>
      </c>
      <c r="H89" s="3" t="s">
        <v>27</v>
      </c>
      <c r="I89" s="3" t="s">
        <v>6</v>
      </c>
      <c r="J89" s="3" t="s">
        <v>40</v>
      </c>
      <c r="K89" s="3" t="s">
        <v>65</v>
      </c>
      <c r="L89" s="3" t="s">
        <v>18</v>
      </c>
      <c r="M89">
        <v>1</v>
      </c>
    </row>
    <row r="90" spans="1:13" x14ac:dyDescent="0.25">
      <c r="A90" s="2">
        <v>46323</v>
      </c>
      <c r="B90" s="1" t="str">
        <f ca="1">IF(Información1[[#This Row],[Fecha]]='Ajuste de fechas'!$A$2,"Día actual","Día anterior")</f>
        <v>Día actual</v>
      </c>
      <c r="C90" s="3" t="s">
        <v>66</v>
      </c>
      <c r="D90" t="s">
        <v>67</v>
      </c>
      <c r="E90" s="3" t="s">
        <v>185</v>
      </c>
      <c r="F90" s="3" t="s">
        <v>8</v>
      </c>
      <c r="G90" s="3" t="s">
        <v>114</v>
      </c>
      <c r="H90" s="3" t="s">
        <v>27</v>
      </c>
      <c r="I90" s="3" t="s">
        <v>10</v>
      </c>
      <c r="J90" s="3" t="s">
        <v>17</v>
      </c>
      <c r="K90" s="3" t="s">
        <v>34</v>
      </c>
      <c r="L90" s="3" t="s">
        <v>19</v>
      </c>
      <c r="M90">
        <v>1</v>
      </c>
    </row>
    <row r="91" spans="1:13" x14ac:dyDescent="0.25">
      <c r="A91" s="2">
        <v>46323</v>
      </c>
      <c r="B91" s="1" t="str">
        <f ca="1">IF(Información1[[#This Row],[Fecha]]='Ajuste de fechas'!$A$2,"Día actual","Día anterior")</f>
        <v>Día actual</v>
      </c>
      <c r="C91" s="3" t="s">
        <v>66</v>
      </c>
      <c r="D91" t="s">
        <v>67</v>
      </c>
      <c r="E91" s="3" t="s">
        <v>186</v>
      </c>
      <c r="F91" s="3" t="s">
        <v>39</v>
      </c>
      <c r="G91" s="3" t="s">
        <v>187</v>
      </c>
      <c r="H91" s="3" t="s">
        <v>27</v>
      </c>
      <c r="I91" s="3" t="s">
        <v>6</v>
      </c>
      <c r="J91" s="3" t="s">
        <v>40</v>
      </c>
      <c r="K91" s="3" t="s">
        <v>69</v>
      </c>
      <c r="L91" s="3" t="s">
        <v>18</v>
      </c>
      <c r="M91">
        <v>1</v>
      </c>
    </row>
    <row r="92" spans="1:13" x14ac:dyDescent="0.25">
      <c r="A92" s="2">
        <v>46323</v>
      </c>
      <c r="B92" s="1" t="str">
        <f ca="1">IF(Información1[[#This Row],[Fecha]]='Ajuste de fechas'!$A$2,"Día actual","Día anterior")</f>
        <v>Día actual</v>
      </c>
      <c r="C92" s="3" t="s">
        <v>28</v>
      </c>
      <c r="D92" t="s">
        <v>33</v>
      </c>
      <c r="E92" s="3" t="s">
        <v>57</v>
      </c>
      <c r="F92" s="3" t="s">
        <v>42</v>
      </c>
      <c r="G92" s="3" t="s">
        <v>58</v>
      </c>
      <c r="H92" s="3" t="s">
        <v>27</v>
      </c>
      <c r="I92" s="3" t="s">
        <v>6</v>
      </c>
      <c r="J92" s="3" t="s">
        <v>43</v>
      </c>
      <c r="K92" s="3" t="s">
        <v>50</v>
      </c>
      <c r="L92" s="3" t="s">
        <v>18</v>
      </c>
      <c r="M92">
        <v>1</v>
      </c>
    </row>
    <row r="93" spans="1:13" x14ac:dyDescent="0.25">
      <c r="A93" s="2">
        <v>46323</v>
      </c>
      <c r="B93" s="1" t="str">
        <f ca="1">IF(Información1[[#This Row],[Fecha]]='Ajuste de fechas'!$A$2,"Día actual","Día anterior")</f>
        <v>Día actual</v>
      </c>
      <c r="C93" s="3" t="s">
        <v>35</v>
      </c>
      <c r="D93" t="s">
        <v>36</v>
      </c>
      <c r="E93" s="3" t="s">
        <v>188</v>
      </c>
      <c r="F93" s="3" t="s">
        <v>189</v>
      </c>
      <c r="G93" s="3" t="s">
        <v>190</v>
      </c>
      <c r="H93" s="3" t="s">
        <v>27</v>
      </c>
      <c r="I93" s="3" t="s">
        <v>7</v>
      </c>
      <c r="J93" s="3" t="s">
        <v>17</v>
      </c>
      <c r="K93" s="3" t="s">
        <v>37</v>
      </c>
      <c r="L93" s="3" t="s">
        <v>18</v>
      </c>
      <c r="M93">
        <v>1</v>
      </c>
    </row>
    <row r="94" spans="1:13" x14ac:dyDescent="0.25">
      <c r="A94" s="2">
        <v>46323</v>
      </c>
      <c r="B94" s="1" t="str">
        <f ca="1">IF(Información1[[#This Row],[Fecha]]='Ajuste de fechas'!$A$2,"Día actual","Día anterior")</f>
        <v>Día actual</v>
      </c>
      <c r="C94" s="3" t="s">
        <v>28</v>
      </c>
      <c r="D94" t="s">
        <v>29</v>
      </c>
      <c r="E94" s="3" t="s">
        <v>191</v>
      </c>
      <c r="F94" s="3" t="s">
        <v>189</v>
      </c>
      <c r="G94" s="3" t="s">
        <v>190</v>
      </c>
      <c r="H94" s="3" t="s">
        <v>27</v>
      </c>
      <c r="I94" s="3" t="s">
        <v>7</v>
      </c>
      <c r="J94" s="3" t="s">
        <v>17</v>
      </c>
      <c r="K94" s="3" t="s">
        <v>31</v>
      </c>
      <c r="L94" s="3" t="s">
        <v>20</v>
      </c>
      <c r="M94">
        <v>1</v>
      </c>
    </row>
    <row r="95" spans="1:13" x14ac:dyDescent="0.25">
      <c r="A95" s="2">
        <v>46323</v>
      </c>
      <c r="B95" s="1" t="str">
        <f ca="1">IF(Información1[[#This Row],[Fecha]]='Ajuste de fechas'!$A$2,"Día actual","Día anterior")</f>
        <v>Día actual</v>
      </c>
      <c r="C95" s="3" t="s">
        <v>62</v>
      </c>
      <c r="D95" t="s">
        <v>63</v>
      </c>
      <c r="E95" s="3" t="s">
        <v>192</v>
      </c>
      <c r="F95" s="3" t="s">
        <v>42</v>
      </c>
      <c r="G95" s="3" t="s">
        <v>59</v>
      </c>
      <c r="H95" s="3" t="s">
        <v>27</v>
      </c>
      <c r="I95" s="3" t="s">
        <v>6</v>
      </c>
      <c r="J95" s="3" t="s">
        <v>43</v>
      </c>
      <c r="K95" s="3" t="s">
        <v>65</v>
      </c>
      <c r="L95" s="3" t="s">
        <v>18</v>
      </c>
      <c r="M95">
        <v>1</v>
      </c>
    </row>
    <row r="96" spans="1:13" x14ac:dyDescent="0.25">
      <c r="A96" s="2">
        <v>46323</v>
      </c>
      <c r="B96" s="1" t="str">
        <f ca="1">IF(Información1[[#This Row],[Fecha]]='Ajuste de fechas'!$A$2,"Día actual","Día anterior")</f>
        <v>Día actual</v>
      </c>
      <c r="C96" s="3" t="s">
        <v>62</v>
      </c>
      <c r="D96" t="s">
        <v>63</v>
      </c>
      <c r="E96" s="3" t="s">
        <v>193</v>
      </c>
      <c r="F96" s="3" t="s">
        <v>74</v>
      </c>
      <c r="G96" s="3" t="s">
        <v>194</v>
      </c>
      <c r="H96" s="3" t="s">
        <v>27</v>
      </c>
      <c r="I96" s="3" t="s">
        <v>6</v>
      </c>
      <c r="J96" s="3" t="s">
        <v>41</v>
      </c>
      <c r="K96" s="3" t="s">
        <v>65</v>
      </c>
      <c r="L96" s="3" t="s">
        <v>18</v>
      </c>
      <c r="M96">
        <v>1</v>
      </c>
    </row>
    <row r="97" spans="1:13" x14ac:dyDescent="0.25">
      <c r="A97" s="2">
        <v>46323</v>
      </c>
      <c r="B97" s="1" t="str">
        <f ca="1">IF(Información1[[#This Row],[Fecha]]='Ajuste de fechas'!$A$2,"Día actual","Día anterior")</f>
        <v>Día actual</v>
      </c>
      <c r="C97" s="3" t="s">
        <v>62</v>
      </c>
      <c r="D97" t="s">
        <v>63</v>
      </c>
      <c r="E97" s="3" t="s">
        <v>195</v>
      </c>
      <c r="F97" s="3" t="s">
        <v>39</v>
      </c>
      <c r="G97" s="3" t="s">
        <v>196</v>
      </c>
      <c r="H97" s="3" t="s">
        <v>27</v>
      </c>
      <c r="I97" s="3" t="s">
        <v>6</v>
      </c>
      <c r="J97" s="3" t="s">
        <v>40</v>
      </c>
      <c r="K97" s="3" t="s">
        <v>65</v>
      </c>
      <c r="L97" s="3" t="s">
        <v>18</v>
      </c>
      <c r="M97">
        <v>1</v>
      </c>
    </row>
    <row r="98" spans="1:13" x14ac:dyDescent="0.25">
      <c r="A98" s="2">
        <v>46323</v>
      </c>
      <c r="B98" s="1" t="str">
        <f ca="1">IF(Información1[[#This Row],[Fecha]]='Ajuste de fechas'!$A$2,"Día actual","Día anterior")</f>
        <v>Día actual</v>
      </c>
      <c r="C98" s="3" t="s">
        <v>62</v>
      </c>
      <c r="D98" t="s">
        <v>91</v>
      </c>
      <c r="E98" s="3" t="s">
        <v>197</v>
      </c>
      <c r="F98" s="3" t="s">
        <v>42</v>
      </c>
      <c r="G98" s="3" t="s">
        <v>198</v>
      </c>
      <c r="H98" s="3" t="s">
        <v>27</v>
      </c>
      <c r="I98" s="3" t="s">
        <v>6</v>
      </c>
      <c r="J98" s="3" t="s">
        <v>43</v>
      </c>
      <c r="K98" s="3" t="s">
        <v>94</v>
      </c>
      <c r="L98" s="3" t="s">
        <v>18</v>
      </c>
      <c r="M98">
        <v>1</v>
      </c>
    </row>
    <row r="99" spans="1:13" x14ac:dyDescent="0.25">
      <c r="A99" s="2">
        <v>46323</v>
      </c>
      <c r="B99" s="1" t="str">
        <f ca="1">IF(Información1[[#This Row],[Fecha]]='Ajuste de fechas'!$A$2,"Día actual","Día anterior")</f>
        <v>Día actual</v>
      </c>
      <c r="C99" s="3" t="s">
        <v>66</v>
      </c>
      <c r="D99" t="s">
        <v>67</v>
      </c>
      <c r="E99" s="3" t="s">
        <v>199</v>
      </c>
      <c r="F99" s="3" t="s">
        <v>42</v>
      </c>
      <c r="G99" s="3" t="s">
        <v>200</v>
      </c>
      <c r="H99" s="3" t="s">
        <v>27</v>
      </c>
      <c r="I99" s="3" t="s">
        <v>6</v>
      </c>
      <c r="J99" s="3" t="s">
        <v>43</v>
      </c>
      <c r="K99" s="3" t="s">
        <v>69</v>
      </c>
      <c r="L99" s="3" t="s">
        <v>18</v>
      </c>
      <c r="M99">
        <v>1</v>
      </c>
    </row>
    <row r="100" spans="1:13" x14ac:dyDescent="0.25">
      <c r="A100" s="2">
        <v>46323</v>
      </c>
      <c r="B100" s="1" t="str">
        <f ca="1">IF(Información1[[#This Row],[Fecha]]='Ajuste de fechas'!$A$2,"Día actual","Día anterior")</f>
        <v>Día actual</v>
      </c>
      <c r="C100" s="3" t="s">
        <v>35</v>
      </c>
      <c r="D100" t="s">
        <v>36</v>
      </c>
      <c r="E100" s="3" t="s">
        <v>201</v>
      </c>
      <c r="F100" s="3" t="s">
        <v>42</v>
      </c>
      <c r="G100" s="3" t="s">
        <v>200</v>
      </c>
      <c r="H100" s="3" t="s">
        <v>27</v>
      </c>
      <c r="I100" s="3" t="s">
        <v>6</v>
      </c>
      <c r="J100" s="3" t="s">
        <v>43</v>
      </c>
      <c r="K100" s="3" t="s">
        <v>37</v>
      </c>
      <c r="L100" s="3" t="s">
        <v>18</v>
      </c>
      <c r="M100">
        <v>1</v>
      </c>
    </row>
    <row r="101" spans="1:13" x14ac:dyDescent="0.25">
      <c r="A101" s="2">
        <v>46323</v>
      </c>
      <c r="B101" s="1" t="str">
        <f ca="1">IF(Información1[[#This Row],[Fecha]]='Ajuste de fechas'!$A$2,"Día actual","Día anterior")</f>
        <v>Día actual</v>
      </c>
      <c r="C101" s="3" t="s">
        <v>66</v>
      </c>
      <c r="D101" t="s">
        <v>67</v>
      </c>
      <c r="E101" s="3" t="s">
        <v>202</v>
      </c>
      <c r="F101" s="3" t="s">
        <v>39</v>
      </c>
      <c r="G101" s="3" t="s">
        <v>203</v>
      </c>
      <c r="H101" s="3" t="s">
        <v>27</v>
      </c>
      <c r="I101" s="3" t="s">
        <v>10</v>
      </c>
      <c r="J101" s="3" t="s">
        <v>40</v>
      </c>
      <c r="K101" s="3" t="s">
        <v>34</v>
      </c>
      <c r="L101" s="3" t="s">
        <v>19</v>
      </c>
      <c r="M101">
        <v>1</v>
      </c>
    </row>
    <row r="102" spans="1:13" x14ac:dyDescent="0.25">
      <c r="A102" s="2">
        <v>46323</v>
      </c>
      <c r="B102" s="1" t="str">
        <f ca="1">IF(Información1[[#This Row],[Fecha]]='Ajuste de fechas'!$A$2,"Día actual","Día anterior")</f>
        <v>Día actual</v>
      </c>
      <c r="C102" s="3" t="s">
        <v>62</v>
      </c>
      <c r="D102" t="s">
        <v>91</v>
      </c>
      <c r="E102" s="3" t="s">
        <v>204</v>
      </c>
      <c r="F102" s="3" t="s">
        <v>42</v>
      </c>
      <c r="G102" s="3" t="s">
        <v>141</v>
      </c>
      <c r="H102" s="3" t="s">
        <v>27</v>
      </c>
      <c r="I102" s="3" t="s">
        <v>6</v>
      </c>
      <c r="J102" s="3" t="s">
        <v>43</v>
      </c>
      <c r="K102" s="3" t="s">
        <v>94</v>
      </c>
      <c r="L102" s="3" t="s">
        <v>18</v>
      </c>
      <c r="M102">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22</v>
      </c>
      <c r="B1" t="s">
        <v>23</v>
      </c>
    </row>
    <row r="2" spans="1:2" x14ac:dyDescent="0.25">
      <c r="A2" s="2">
        <f ca="1">TODAY()</f>
        <v>46323</v>
      </c>
      <c r="B2" s="2">
        <f ca="1">A2-1</f>
        <v>46322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2026-10-28T22:59:27Z</dcterms:modified>
</cp:coreProperties>
</file>