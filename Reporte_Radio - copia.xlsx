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E91C537D-3CF4-4BA7-A1CD-5F65A29C5F1A}"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113" i="2"/>
  <c r="B115" i="2"/>
  <c r="B117" i="2"/>
  <c r="B149" i="2"/>
  <c r="B85" i="2"/>
  <c r="B88" i="2"/>
  <c r="B91" i="2"/>
  <c r="B150" i="2"/>
  <c r="B153" i="2"/>
  <c r="B156" i="2"/>
  <c r="B159" i="2"/>
  <c r="B161" i="2"/>
  <c r="B164" i="2"/>
  <c r="B167" i="2"/>
  <c r="B170" i="2"/>
  <c r="B173" i="2"/>
  <c r="B176" i="2"/>
  <c r="B179" i="2"/>
  <c r="B95" i="2"/>
  <c r="B47" i="2"/>
  <c r="B48" i="2"/>
  <c r="B49" i="2"/>
  <c r="B50" i="2"/>
  <c r="B51" i="2"/>
  <c r="B52" i="2"/>
  <c r="B53" i="2"/>
  <c r="B54" i="2"/>
  <c r="B55" i="2"/>
  <c r="B56" i="2"/>
  <c r="B57" i="2"/>
  <c r="B58" i="2"/>
  <c r="B59" i="2"/>
  <c r="B60" i="2"/>
  <c r="B61" i="2"/>
  <c r="B62" i="2"/>
  <c r="B63" i="2"/>
  <c r="B64" i="2"/>
  <c r="B65" i="2"/>
  <c r="B66" i="2"/>
  <c r="B67" i="2"/>
  <c r="B68" i="2"/>
  <c r="B69" i="2"/>
  <c r="B70" i="2"/>
  <c r="B97" i="2"/>
  <c r="B98" i="2"/>
  <c r="B99" i="2"/>
  <c r="B100" i="2"/>
  <c r="B101" i="2"/>
  <c r="B102" i="2"/>
  <c r="B103" i="2"/>
  <c r="B104" i="2"/>
  <c r="B105" i="2"/>
  <c r="B106" i="2"/>
  <c r="B107" i="2"/>
  <c r="B108" i="2"/>
  <c r="B109" i="2"/>
  <c r="B110" i="2"/>
  <c r="B111" i="2"/>
  <c r="B112" i="2"/>
  <c r="B114" i="2"/>
  <c r="B116" i="2"/>
  <c r="B148" i="2"/>
  <c r="B84" i="2"/>
  <c r="B86" i="2"/>
  <c r="B89" i="2"/>
  <c r="B92" i="2"/>
  <c r="B151" i="2"/>
  <c r="B154" i="2"/>
  <c r="B157" i="2"/>
  <c r="B160" i="2"/>
  <c r="B162" i="2"/>
  <c r="B165" i="2"/>
  <c r="B168" i="2"/>
  <c r="B172" i="2"/>
  <c r="B174" i="2"/>
  <c r="B177" i="2"/>
  <c r="B180" i="2"/>
  <c r="B96" i="2"/>
  <c r="B118" i="2"/>
  <c r="B119" i="2"/>
  <c r="B120" i="2"/>
  <c r="B121" i="2"/>
  <c r="B122" i="2"/>
  <c r="B123" i="2"/>
  <c r="B124" i="2"/>
  <c r="B71" i="2"/>
  <c r="B72" i="2"/>
  <c r="B73" i="2"/>
  <c r="B74" i="2"/>
  <c r="B75" i="2"/>
  <c r="B76" i="2"/>
  <c r="B77" i="2"/>
  <c r="B78" i="2"/>
  <c r="B79" i="2"/>
  <c r="B80" i="2"/>
  <c r="B81" i="2"/>
  <c r="B82" i="2"/>
  <c r="B125" i="2"/>
  <c r="B126" i="2"/>
  <c r="B127" i="2"/>
  <c r="B128" i="2"/>
  <c r="B129" i="2"/>
  <c r="B130" i="2"/>
  <c r="B131" i="2"/>
  <c r="B132" i="2"/>
  <c r="B133" i="2"/>
  <c r="B134" i="2"/>
  <c r="B135" i="2"/>
  <c r="B136" i="2"/>
  <c r="B137" i="2"/>
  <c r="B138" i="2"/>
  <c r="B139" i="2"/>
  <c r="B140" i="2"/>
  <c r="B141" i="2"/>
  <c r="B142" i="2"/>
  <c r="B143" i="2"/>
  <c r="B144" i="2"/>
  <c r="B145" i="2"/>
  <c r="B146" i="2"/>
  <c r="B147" i="2"/>
  <c r="B83" i="2"/>
  <c r="B87" i="2"/>
  <c r="B90" i="2"/>
  <c r="B93" i="2"/>
  <c r="B152" i="2"/>
  <c r="B155" i="2"/>
  <c r="B158" i="2"/>
  <c r="B163" i="2"/>
  <c r="B166" i="2"/>
  <c r="B169" i="2"/>
  <c r="B171" i="2"/>
  <c r="B175" i="2"/>
  <c r="B178" i="2"/>
  <c r="B9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<sst xmlns="http://schemas.openxmlformats.org/spreadsheetml/2006/main" count="1797" uniqueCount="314">
  <si>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</si>
  <si>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</si>
  <si>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</si>
  <si>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</si>
  <si>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</si>
  <si>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</si>
  <si>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</si>
  <si>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</si>
  <si>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</si>
  <si>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</si>
  <si>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</si>
  <si>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</si>
  <si>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</si>
  <si>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</si>
  <si>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</si>
  <si>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</si>
  <si>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</si>
  <si>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</si>
  <si>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</si>
  <si>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</si>
  <si>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</si>
  <si>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</si>
  <si>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</si>
  <si>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</si>
  <si>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</si>
  <si>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</si>
  <si>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</si>
  <si>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</si>
  <si>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</si>
  <si>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</si>
  <si>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</si>
  <si>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</si>
  <si>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TV local</t>
  </si>
  <si>
    <t>Auxilio a la ciudadanía</t>
  </si>
  <si>
    <t>Canal del Pueblo</t>
  </si>
  <si>
    <t>Vocales Radio</t>
  </si>
  <si>
    <t>Planeación</t>
  </si>
  <si>
    <t>Ultra 102.9 FM</t>
  </si>
  <si>
    <t>Ultra Noticias1</t>
  </si>
  <si>
    <t>Daniel Martínez</t>
  </si>
  <si>
    <t>Atención Ciudadana</t>
  </si>
  <si>
    <t>Jesús González</t>
  </si>
  <si>
    <t>Día</t>
  </si>
  <si>
    <t>Radiodifusora</t>
  </si>
  <si>
    <t>Programa</t>
  </si>
  <si>
    <t>Clasificación</t>
  </si>
  <si>
    <t>Autor</t>
  </si>
  <si>
    <t>Género</t>
  </si>
  <si>
    <t>Gobierno del estado</t>
  </si>
  <si>
    <t>Noticia</t>
  </si>
  <si>
    <t>Opinión</t>
  </si>
  <si>
    <t>Boletín</t>
  </si>
  <si>
    <t>Alcaldías</t>
  </si>
  <si>
    <t>Presidencia de la República</t>
  </si>
  <si>
    <t>Entrevista</t>
  </si>
  <si>
    <t>Recuento</t>
  </si>
  <si>
    <t>Día actual</t>
  </si>
  <si>
    <t>Día anterior</t>
  </si>
  <si>
    <t>Radiodifusoras</t>
  </si>
  <si>
    <t>La Poderosa Tuxpan 93.1 FM</t>
  </si>
  <si>
    <t>Combate a la delincuencia</t>
  </si>
  <si>
    <t>NN Nuestras Noticias Zona Norte</t>
  </si>
  <si>
    <t>Liz Argüelles</t>
  </si>
  <si>
    <t>Aumento Tarifa De Transporte</t>
  </si>
  <si>
    <t>Abasto De Agua</t>
  </si>
  <si>
    <t>PGJEH</t>
  </si>
  <si>
    <t>Semarnath</t>
  </si>
  <si>
    <t>Congreso</t>
  </si>
  <si>
    <t>Día de la madre</t>
  </si>
  <si>
    <t>Amenazas</t>
  </si>
  <si>
    <t>Atracción De Inversiones</t>
  </si>
  <si>
    <t>Combate Al Huachicol</t>
  </si>
  <si>
    <t>SSH</t>
  </si>
  <si>
    <t>Radio Lobo 96.7 FM</t>
  </si>
  <si>
    <t>Enlace Noticias</t>
  </si>
  <si>
    <t>Gina Lorenzo</t>
  </si>
  <si>
    <t>Homicidios</t>
  </si>
  <si>
    <t>Ataque Armado</t>
  </si>
  <si>
    <t>Plan Nacional De Vivienda</t>
  </si>
  <si>
    <t>Vía telefónica el reporte de Bombero y Protección Civil con Abner Yáñez informa de las diversas emergencias reportadas por la ciudadanía y que fueron atendidas.</t>
  </si>
  <si>
    <t>Detención de policía</t>
  </si>
  <si>
    <t>Bacheo</t>
  </si>
  <si>
    <t>Milton Cortés</t>
  </si>
  <si>
    <t>Día del maestro</t>
  </si>
  <si>
    <t>IMSS Bienestar</t>
  </si>
  <si>
    <t>TV Cable hidalguense Canal 6</t>
  </si>
  <si>
    <t>Contigo Noticias</t>
  </si>
  <si>
    <t>Turismo</t>
  </si>
  <si>
    <t>Juan Carlos Santamaria</t>
  </si>
  <si>
    <t>Detención</t>
  </si>
  <si>
    <t>Gabinete de Seguridad ejecuta orden de aprehensión a mandos municipales de Tezontepec de Aldama</t>
  </si>
  <si>
    <t>Gabinete de Seguridad</t>
  </si>
  <si>
    <t>Obras De Infraestructura</t>
  </si>
  <si>
    <t>NQ 90.1 FM</t>
  </si>
  <si>
    <t>Enlace Hidalgo2</t>
  </si>
  <si>
    <t>Irving Sánchez</t>
  </si>
  <si>
    <t>En operativo del Gabinete de Seguridad son aprehendidos nueve policías municipales de Progreso de Obregón</t>
  </si>
  <si>
    <t>Jesús Riveros</t>
  </si>
  <si>
    <t>Jornada por la paz</t>
  </si>
  <si>
    <t>Ke Buena 106.7 FM</t>
  </si>
  <si>
    <t>Noticias 106.7</t>
  </si>
  <si>
    <t>Localización de cuerpo</t>
  </si>
  <si>
    <t>David Cárdenas</t>
  </si>
  <si>
    <t>Enlace Hidalgo1</t>
  </si>
  <si>
    <t>Partidos</t>
  </si>
  <si>
    <t>Impericia</t>
  </si>
  <si>
    <t>Mara Olvera y su columna Ajedrez Político habla de la inversión histórica de 2 mil millones de dólares por parte de la firma canadiense Solar International Core Canada (SICC), con lo que el gobernador Julio Menchaca continúa atrayendo inversión al estado y con esto beneficiando a a la población.</t>
  </si>
  <si>
    <t>Mara Olvera</t>
  </si>
  <si>
    <t>Andrés Torres comenta que hace un os días le fue entregado un Doctorado Honoris Causa al Subprocurador de Justicia, Iram González y en algunos medios de comunicación le dieron con todo. Hay medios de que dicen que el Subprocurador aspira a ser alcalde de Mineral de la Reforma, pero él no lo cree, pues piensa que es unos de los prospectos del gobernador Julio Menchaca para ser el próximo Fiscal General del Estado.</t>
  </si>
  <si>
    <t>En el Bulevar Felipe ángeles los patrulleros se dedican a extorsionar al transporte pesado. Que hagan algo.</t>
  </si>
  <si>
    <t>Gobierno de Hidalgo fortalece atención a víctimas de violencia en Tulancingo</t>
  </si>
  <si>
    <t>Hoy a las 11:45 de la mañana en la Biblioteca Ricardo Garibay, el Secretario de gobierno, Guillermo Olivares inaugurará la Sala de Población Interactiva.</t>
  </si>
  <si>
    <t>En la colonia Parque del Poblamiento, en Pachuca, dos hombres fueron detenidos luego de que autoridades municipales aseguraran una motocicleta con reporte de robo durante un recorrido de vigilancia realizado sobre la calle Federalismo, a la altura de una tienda de conveniencia. De acuerdo con el reporte oficial, elementos de la Secretaría de Seguridad Pública de Pachuca detectaron una motocicleta sin placas de circulación, en la que viajaban dos hombres que circulaban en sentido contrario y tenían en su posesión 8 bolsas ziploc con presunta marihuana.</t>
  </si>
  <si>
    <t>La policía municipal de Pachuca dio un paso histórico en materia de dignificación policial al convertirse en la primera corporación municipal de Hidalgo en garantizar a sus elementos el acceso a una vivienda propia, a través del programa impulsado por la presidenta de México, Claudia Sheinbaum Pardo, en coordinación con el Infonavit y gracias al trabajo conjunto y la buena relación institucional entre el gobierno federal, el gobierno del estado y el gobierno municipal. Este avance representa una de las acciones más importantes en favor de las y los policías de la capital hidalguense, quienes durante años enfrentaron limitaciones para acceder a créditos y esquemas formales de vivienda. Con este programa, elementos de la Secretaría de Seguridad Pública, Tránsito y Vialidad comenzaron su proceso de registro para acceder a una vivienda, fortaleciendo así su estabilidad y la de sus familias.</t>
  </si>
  <si>
    <t>Fortalecimiento Policiaco</t>
  </si>
  <si>
    <t>Gobierno de Hidalgo invierte 17.3 mdp en nuevo edificio educativo en Mixquiahuala</t>
  </si>
  <si>
    <t>Entrega de infraestructura escolar</t>
  </si>
  <si>
    <t>La mañana de este miércoles, un hombre fue ejecutado mientras viajaba a bordo de su vehículo en la colonia San Antonio, en Pachuca. De acuerdo con los primeros reportes, el ataque ocurrió sobre la calle Colegio Militar, donde la víctima fue interceptada por dos sujetos armados que abrieron fuego en múltiples ocasiones. Tras la agresión, el conductor identificado con las iniciales J. R. T. perdió la vida en el lugar. Paramédicos acudieron al sitio; sin embargo, confirmaron que ya no contaba con signos vitales. Luego del ataque, los presuntos responsables huyeron con rumbo desconocido. Elementos de seguridad acordonaron la zona, mientras que personal de la Procuraduría General de Justicia del Estado de Hidalgo (PGJEH) realizó el levantamiento del cuerpo e inició las investigaciones correspondientes para esclarecer los hechos.</t>
  </si>
  <si>
    <t>Ejecuciones</t>
  </si>
  <si>
    <t>Andrés Torres informa que se quemó el transformador y no tienen electricidad, por lo que la señal del 1010 AM de El Vocero Huasteco está fuera del aire, pero sí se escuchan en 92.7 FM. Está fuera del aire desde hace un mes esta estación que transmite en náhuatl y castellano. Se está trabajando para resolver la situación técnica y espera que quien lo tenga que rsolver lo haga.</t>
  </si>
  <si>
    <t>El Congreso del Estado de Hidalgo albergó el foro “Por la defensa de nuestras tradiciones: tauromaquia, herencia viva en Hidalgo”, con el objetivo de generar un espacio abierto, plural y respetuoso de diálogo, reflexión y análisis en torno a esta actividad como una expresión cultural arraigada en la historia, tradiciones e identidad de la entidad. El diputado Marco Antonio Mendoza Bustamante, coordinador del grupo legislativo del PRI y promovente del evento, destacó que el deber de las y los legisladores es escuchar todas las voces del pueblo hidalguense y garantizar un espacio plural y respetuoso para el debate. Durante su intervención, explicó que el foro tuvo como propósito aportar argumentos técnicos, científicos y jurídicos a la Comisión de Puntos Constitucionales para respaldar la iniciativa que presentó previamente ante el Pleno. Esta propuesta busca reconocer como patrimonio cultural inmaterial diversas expresiones tradicionales de Hidalgo, entre ellas la tauromaquia, las peleas de gallos, el pulque, la barbacoa, el ximbó, la medicina tradicional y los tianguis.</t>
  </si>
  <si>
    <t>Tauromaquia</t>
  </si>
  <si>
    <t>Caen policías municipales tras operativo coordinado en Hidalgo</t>
  </si>
  <si>
    <t>Julio Menchaca y el IMPI protegen producción del chile rayado de La Misión</t>
  </si>
  <si>
    <t>La Fiscalía General de la República (FGR) a través de la Fiscalía Especializada de Control Regional (FECOR) en el estado de Hidalgo, obtuvo de la jueza de Control, vinculación a proceso en contra de Jorge “N”, por su probable participación en la comisión del delito de posesión ilícita de hidrocarburo. De acuerdo con la investigación, Jorge “N” fue detenido en el municipio de Acaxochitlán, por elementos de la Policía Municipal, cuando viajaba a bordo de un tractocamión acoplado a dos autotanques donde se almacenaban 63 mil 118 litros de hidrocarburo.</t>
  </si>
  <si>
    <t>La Fiscalía General de la República (FGR) a través de la Fiscalía Especializada de Control Regional (FECOR) en el estado de Hidalgo, solicitó y obtuvo del juez de Distrito especializado en el Sistema Penal Acusatorio judicial, autorización para la ejecución de una orden de cateo para un inmueble ubicado en el ejido de Santa Julia, municipio de Pachuca de Soto. El agente del Ministerio Público Federal (MPF) inició una carpeta de investigación por el delito de alteración al ducto en grado de tentativa, derivado de una denuncia del C5i, en la que se informó sobre la existencia de un túnel a lo largo de un ducto de PEMEX. Durante el operativo, el agente del Ministerio Público de la Federación, en coordinación con elementos de la Policía Federal Ministerial (PFM) y del Centro Federal Pericial Forense, Secretaría de Seguridad Pública Estatal, quienes brindaron seguridad perimetral, elementos de PEMEX y Protección Civil, localizaron un túnel con una longitud de nueve metros.</t>
  </si>
  <si>
    <t>Huachitúnel</t>
  </si>
  <si>
    <t>Una mujer fue localizada sin vida durante la madrugada de este miércoles en la comunidad de Botenguedho, municipio de Ixmiquilpan, hecho que provocó movilización de cuerpos de emergencia y autoridades ministeriales en la zona.</t>
  </si>
  <si>
    <t>Sujetos en motocicleta abrieron fuego contra un hombre arriba de un vehículo en San Antonio El Desmonte, Pachuca, y escaparon del lugar, la víctima perdió la vida. La mañana de este miércoles se registró un ataque armado en la colonia San Antonio El Desmonte, en Pachuca, donde un hombre perdió la vida mientras se encontraba a bordo de un automóvil. De acuerdo con los primeros reportes, los hechos ocurrieron sobre la calle Colegio Militar, donde la víctima viajaba en un vehículo Nissan color azul cuando presuntamente fue interceptada por sujetos que se desplazaban en motocicleta. Testigos señalaron que los agresores se acercaron a la unidad y realizaron múltiples detonaciones antes de darse a la fuga. De manera preliminar, una de las líneas de investigación apunta a un posible ajuste de cuentas, aunque serán las autoridades ministeriales quienes determinen oficialmente el móvil del crimen. La zona permaneció acordonada mientras personal ministerial y peritos realizaban las diligencias correspondientes y el levantamiento de indicios para integrar la carpeta de investigación.</t>
  </si>
  <si>
    <t>Daniel Martínez reitera que con las jornadas de la paz (Mesas de acercamiento) o sin ellas hay una obligación de la autoridad de atender todos los casos y de otorgar los recursos materiales, económicos y humanos para poder hacer las labores en las oficinas gubernamentales correspondientes y que son eventos donde se arreglan 15 problemas y se quedan pendientes 150 mil, cuando lo ideal es que pudieran acceder a esquemas de justica y servicios públicos toda la población. Además de que se deben reforzar los esquemas de seguridad en estos eventos</t>
  </si>
  <si>
    <t>Mesas de acercamiento</t>
  </si>
  <si>
    <t>En cabina Armando Pérez Alcibar, titular de la Secretaría municipal de Desarrollo Urbano, Obras Públicas y Medio Ambiente informó de la realización de una jornada especial de registro para el programa Vivienda para el Bienestar impulsado por el Gobierno de México, dirigida a derechohabientes del Instituto del Fondo Nacional de la Vivienda para los Trabajadores (Infonavit), de la región del Valle de Tulancingo. El registro se llevará a cabo el próximo domingo 17 de mayo, en un horario de 09:00 a 14:00 horas, en un espacio habilitado a un costado de Banamex, sobre la calle Cuauhtémoc, en la zona de La Floresta, en el centro de Tulancingo. Las autoridades informaron que el programa está dirigido a personas con relación laboral vigente, que perciban entre uno y dos salarios mínimos y que no cuenten actualmente con un crédito activo del Infonavit.</t>
  </si>
  <si>
    <t>Hidalgo reunió a más de 12 mil asistentes en su encuentro artístico en Los Pinos</t>
  </si>
  <si>
    <t>Cultura</t>
  </si>
  <si>
    <t>Hidalgo en Los Pinos</t>
  </si>
  <si>
    <t>Indicación geográfica</t>
  </si>
  <si>
    <t>Daniel Martínez opina a que el hecho de que el audio que se filtró del alcalde de Pachuca, Jorge Reyes donde amenazaba con despedir a los trabajadores que no compartían su información le daban like, fuera del inicio de su administración no le resta que se trata de una amenaza y hubiera sido el colmo que negara el audio. ¿Por que entonces se tendían que normalizar las humillaciones laborales?</t>
  </si>
  <si>
    <t>Audioescándalo</t>
  </si>
  <si>
    <t>Citican diputadas actuar de alcalde “influencer” de Pachuca Jorge Reyes. Las diputadas Karla Perales Arrieta y Claudia Lilia Luna Islas, señalan que el mal gobierno del alcalde morenista, pretende ser “maquillado” a través de redes sociales infladas por los trabajadores a quienes se les acosa y amenaza con correrlos sino crean redes para seguirlo e interactuar en sus publicaciones, lo cual es un delito. Para la diputada de Acción Nacional, lo que verdaderamente es preocupante tras la filtración del audio es que el alcalde Jorge Alberto Reyes amenaza a los trabajadores con correrlos sino cumplen una segunda jornada laboral creando redes de apoyo y compartiendo sus mensajes. “No estaría mal si les pide que compartan la actividad laboral del municipio, solo que No los puede amenazar por no compartir sus redes personales porque es un delito pues se trata de promoción personal”, aclaró Claudia Lilia Luna “Veo acoso laboral y si quieren denunciar aquí estamos para apoyarlos”, ofreció</t>
  </si>
  <si>
    <t>Luego de que fuera filtrado un audio donde el alcalde de la ciudad de Pachuca pide a trabajadores del Ayuntamiento compartir sus publicaciones en redes sociales o de lo contrario habrá despidos, Jorge Reyes dio declaraciones tras la controversia que se originó. Fue ante medios este martes 12 de mayo cuando el edil aseguró que la grabación de mensajería data en realidad desde los inicios de su gobierno en agosto de 2024, cuando se dirigió hacia su reciente plantilla laboral y además consideró que fue sacado de contexto. En ese sentido, descartó que se haya tratado de una condición para que los empleados mantuvieran su puesto, sino que más bien fue una instrucción girada a las dependencias municipales para mantener comunicación ciudadana constante, especialmente para difundir las acciones y logros hechos. En otra parte de sus declaraciones, Jorge Reyes consideró que “gobernar es comunicar también” y refirió que prácticamente todos los gobiernos tienen esa responsabilidad, ante lo cual para el caso de su administración sí ha funcionado la estrategia pedida.</t>
  </si>
  <si>
    <t>Daniel Martínez dice que es increíble que en un caso tan delicado Seguridad Ciudadana de Tulancingo informara que hasta el momento no cuenta con algún reporte relacionado con que un menor fue presuntamente fue citado en la Central de Autobuses de Tulancingo y posteriormente se detectó que se trataba de un engaño. esto después de dar a conocer que la Red por los Derechos de la Infancia advierte el riesgo de reclutamiento criminal de menores en Hidalgo.</t>
  </si>
  <si>
    <t>Alrededor de 6 mil niñas, niños y adolescentes en Hidalgo se encuentran en riesgo de ser reclutados por grupos del crimen organizado, advirtió Rafael Castelán, integrante del Consejo Directivo de la Red por los Derechos de la Infancia en México, quien señaló que esta problemática está relacionada con actividades como el huachicol, comercialización y distribución de drogas. De acuerdo con el activista, en el Valle de Tulancingo los municipios donde se han detectado más casos o testimonios relacionados con esta situación son Tulancingo y Cuautepec de Hinojosa. Castelán explicó que existen testimonios de docentes en distintos municipios que detectan cambios en algunos estudiantes, principalmente adolescentes que llegan a las escuelas con cantidades importantes de dinero para gastar durante el receso escolar, situación que, dijo, podría estar relacionada con la influencia de personas adultas externas. Indicó que entre los principales factores de vulnerabilidad se encuentran problemas familiares, ausencia de figuras de cuidado, entornos violentos y afectaciones a la salud mental, condiciones que pueden facilitar que menores sean captados por grupos delictivos. Como ejemplo, mencionó el caso reciente de un menor que presuntamente fue citado en la Central de Autobuses de Tulancingo bajo la promesa de un empleo bien remunerado, aunque posteriormente se detectó que se trataba de un engaño. Según la información compartida por Castelán, el adolescente fue localizado sano y actualmente se encuentra con su familia en Veracruz. Sobre este caso, la Secretaría de Seguridad Ciudadana de Tulancingo informó que hasta el momento no cuenta con algún reporte relacionado con este hecho; sin embargo, señaló que en caso de contar con mayores datos de la persona afectada, se brindaría atención inmediata.</t>
  </si>
  <si>
    <t>Daniel Martínez: en Tezontepec de Aldama no está bajo el Mando coordinado y que las acreditaciones de control y confianza las otorga bajo exámenes que realiza el propio gobierno del estado, lo digo por las detenciones realizadas.</t>
  </si>
  <si>
    <t>Control de confianza</t>
  </si>
  <si>
    <t>La detención del director y subdirector de Seguridad Pública de Tezontepec de Aldama, así como de un ex policía municipal, derivó de señalamientos directos por su presunta participación en actividades delincuenciales. Lo anterior fue señalado por el Gobernador de Hidalgo, Julio Menchaca Salazar, señalando que no existe politización de dichas detenciones realizadas el pasado martes 12 de mayo. “De ninguna manera se tiene que politizar (…) en este caso la información que tenemos es que estaban traicionando la confianza de la presidenta”, aseguró. El titular del Poder Ejecutivo estatal señaló que cuando existen elementos suficientes para integrar investigaciones por algún delito, no hay distinciones para aplicar la ley. “Cuando se tienen los elementos para poder generar carpetas por algún delito, trátese de quien se trate la justicia es pareja”. Reconoció el posicionamiento de la alcaldesa panista Ana María Rivera, quien pidió no especular sobre el caso ni convertirlo en un asunto político, descartando que los señalamientos deriven en una investigación contra la presidenta municipal. En conferencia de prensa realizada tras dichas detenciones, el diputado federal Asael Hernández Cerón, dijo que espera una investigación adecuada sobre la presunta participación de los detenidos en los delitos que aún están por darse a conocer. Enfatizó que en caso de ser responsables, se les aplique las sanciones respectivas, esperando que el caso no se politice. Un día después de estas detenciones, el miércoles 13 de mayo, se dio a conocer la detención de nueve elementos de la policía municipal de Progreso de Obregón por su presunta participación en los delitos de homicidio doloso calificado y lesiones. Menchaca Salazar señaló que hasta el momento, únicamente se tiene conocimiento de posibles vínculos con actividades ilegales de elementos de corporaciones de seguridad de los municipios de Tezontepec de Aldama y Progreso de Obregón.</t>
  </si>
  <si>
    <t>La mañana de este miércoles 13 de mayo se desplegó un operativo de seguridad en el municipio de Progreso de Obregón, donde nueve elementos de la Policía Municipal fueron detenidos por autoridades estatales y federales en medio de una movilización que mantuvo cerradas varias calles del centro. Desde las primeras horas del día, decenas de elementos de la Policía Estatal, Ejército Mexicano y agentes de la Agencia de Investigación Criminal (AIC) arribaron a la comandancia municipal y comenzaron a rodear el inmueble, además de restringir el acceso al primer cuadro del municipio. La presencia de unidades oficiales y personal armado llamó la atención de habitantes y comerciantes de la zona, quienes observaron cómo las vialidades cercanas permanecieron bloqueadas mientras se desarrollaba el operativo. Formaron a policías en la explanada. Minutos después del despliegue, los elementos de la Policía Municipal fueron concentrados y formados en la explanada principal, donde agentes de la AIC comenzaron a nombrar uno por uno a los oficiales que serían asegurados. De acuerdo con los reportes, nueve policías municipales fueron separados del resto y posteriormente subidos a camionetas tipo panel de color blanco. Entre las personas detenidas se encuentran ocho hombres y una mujer. Hasta el momento, autoridades mencionaron que los cargos tipificados para los individuos son homicidio doloso calificado y lesiones; asimismo, cuerpos de seguridad notificaron de manera oficial, que se dio cumplimiento a los mandamientos judiciales contra ocho hombres y una mujer, a quienes se identifica con iniciales A. M. D., D. B. M., M. A. R. H., A. F. C., A. P. M., S. P. S., A. S. A., L. E. A. T., O. F. Z. R.</t>
  </si>
  <si>
    <t>Daniel Martínez comenta que ayer al inicio del foro de las Mesas de acercamiento un hombre identificado como Juan Leonardo Pérez Téllez se acercó a la mesa donde estaban los funcionarios y con megáfono comenzó a decir que su hijo con espectro autista había sido violentado por un profesor de Tizayuca y no le han hecho caso. Señaló a funcionaros por compra de voluntades, corrupción, etc; y pidió ayuda urgente por parte de la ONU, así como del presidente de los Estado Unidos Donal Trump, Juan Leonardo ya se había convertido en una tendencia nacional a principio del año, cuando la presidenta Claudia Sheinbaum acudió a un plantel de Tizayuca y ahí, junto al gobernador Julio Menchaca le expuso su caso, asegurando que la carpeta de investigación estaba siendo bloqueada. Días después de esto la SEPH anunció que se había suspendido al director de la primaria donde habían ocurrido los hechos y que había sido vinculado a proceso por delito de abuso sexual agravado a finales del año pasado. parte de la molesta del padre es que la víctima obtuvo un amparo y está llevando su proceso en libertad, además de acusar persecución y acoso.</t>
  </si>
  <si>
    <t>Abuso Sexual</t>
  </si>
  <si>
    <t>Daniel Martínez comenta que ayer en Tulancingo se llevó a acabo otra Jornada por la paz, en un foro de preguntas y repuestas previo a ello, alrededor de las 11 de la mañana, funcionarios y representantes de diversas instituciones públicas estuvieron citando de manera privada quienes habían hecho ya reportes hace aproximadamente un mes, lo cual era adecuado por la delicadeza de algunos temas. Asimismo, opina que los foros resuelven 15 problemas y se quedan pendientes cono 150 mil para poder ser atendidos. Señala que el evento estaba programado para iniciar a la 1 de la tarde e inició a las 3:47 y estaba programada la presencia de Guillermo Olivares y finalmente no se presentó y sería mejor y más sensato que dijera que no va a poder acudir que hacer esperar tanto a las personas.</t>
  </si>
  <si>
    <t>Con el argumento de abrir un espacio de análisis y escuchar distintas posturas sobre las tradiciones de Hidalgo, el diputado Marco Antonio Mendoza Bustamante encabezó en el Congreso local el foro “Por la defensa de nuestras tradiciones: tauromaquia, herencia viva en Hidalgo”. Durante su participación, el legislador señaló que el objetivo principal del encuentro fue aportar elementos técnicos, científicos y jurídicos a la discusión legislativa relacionada con la iniciativa que presentó ante el Pleno para reconocer como patrimonio cultural inmaterial diversas expresiones tradicionales del estado, entre ellas la tauromaquia, peleas de gallos, el pulque, la barbacoa, el ximbó, la medicina tradicional y los tianguis. Mendoza Bustamante afirmó que estas prácticas forman parte de la identidad cultural de Hidalgo y sostuvo que varias de ellas mantienen vínculos históricos con comunidades y pueblos originarios de la entidad. Asimismo, pidió respeto entre quienes defienden la fiesta brava y quienes están en contra de ella, al señalar que todas las opiniones deben ser escuchadas.</t>
  </si>
  <si>
    <t>Destinada a obras que responden a las demandas legítimas de la ciudadanía y fortalecen la transformación de Tulancingo, la administración que encabeza la presidenta municipal Lorena García Cázares consolida una estrategia histórica de infraestructura y desarrollo urbano con una inversión cercana a los 200 millones de pesos entre 2025 y la proyección para 2026. Durante 2025, el gobierno municipal ejecutó 80 obras con una inversión cercana a los 94 millones de pesos, enfocadas en mejorar la infraestructura básica y urbana del municipio. Bajo la premisa de construir un municipio más fuerte, moderno y funcional, para 2026 se proyecta una inversión cercana a los 96 millones de pesos, con obras como el reencarpetamiento asfáltico de avenidas principales, instalación de malla de acero bajo puentes peatonales, mejoramiento urbano y pavimentación en colonias, recubrimiento de drenes pluviales y ampliación de redes de agua potable. Asimismo, el gobierno de Tulancingo contempla la rehabilitación de espacios emblemáticos que forman parte de la identidad cultural y social de Tulancingo, entre ellos el Centro Cultural Ricardo Garibay, la Estación del Ferrocarril y el Parque Caracolito, fortaleciendo así el tejido comunitario y el acceso a espacios dignos para la convivencia. Para duplicar el recurso en beneficio del municipio, se prevé concluir el Plan Municipal de Desarrollo Urbano en este año; además, de manera paralela, la administración municipal mantiene una gestión permanente ante los gobiernos estatal y federal, logrando concretar inversiones de alto impacto como el reencarpetamiento en la parte alta del municipio con una inversión de 45 millones de pesos, la ampliación a cuatro carriles del Libramiento Pitula–San Alejo, así como la rehabilitación de la cancha de la colonia La Cruz y la incorporación al programa “Viviendas del Bienestar” de SEDATU.</t>
  </si>
  <si>
    <t>La falta de actualización del Programa Municipal de Desarrollo Urbano (PMDU) para Tulancingo ha impedido que se pueda contar con mayores recursos para obras y servicios. El señalamiento fue realizado por Armando Pérez Alcibar, titular de la Secretaría municipal de Desarrollo Urbano, Obras Públicas y Medio Ambiente, recordando que la más reciente actualización se hizo en el año 2022. En el actual PMDU señala que la colonia El Paraíso en varias de sus secciones, así como las colonias San Antonio Farías y Jaltepec, entre otras, estén consideradas como agrícolas tecnificadas. “La realidad ahí y en otros espacios dentro del municipio de Tulancingo, ya está lleno de viviendas, por lo que la realidad ya está rebasada por lo que señala el programa, por lo que es necesario actualizarlo”. Otros espacios están considerados como parques hídricos, así como reservas naturales o ecológicas, por lo que en dichas zonas no deberían darse permisos para construcción de vivienda o edificios. Las comunidades como La Lagunilla y Santa Ana Hueytlalpan están consideradas como zonas para asentamientos humanos condicionados, donde debe existir desarrollo de viviendas y demás infraestructura, pero con respeto a las zonas naturales así como las agrícolas. De acuerdo al funcionario, la falta de actualización del programa limita la inversión pública para obras y acciones en estas y otras localidades dentro de Tulancingo.</t>
  </si>
  <si>
    <t>Ordenamiento Territorial</t>
  </si>
  <si>
    <t>Nacionales Conade</t>
  </si>
  <si>
    <t>Daniel Martínez opina a que el hecho de que el audio que se filtró del alcalde de Pachuca, Jorge Reyes donde amenazaba con despedir a los trabajadores que no compartían su información le daban like, fuera del inicio de su administración no le resta que se trata de una amenaza y hubiera sido el colmo que negara el audio. ¿Porque entonces se tendían que normalizar las humillaciones laborales?</t>
  </si>
  <si>
    <t>Extorsión</t>
  </si>
  <si>
    <t>Seguridad Social</t>
  </si>
  <si>
    <t>En un esfuerzo por mejorar la movilidad y seguridad vial, el municipio de Tulancingo avanza con resultados en su programa permanente de bacheo, logrando la rehabilitación de más de 20 tramos viales durante el mes de abril. De acuerdo con la Secretaría de Desarrollo Urbano, Obras Públicas y Medio Ambiente, estas acciones permitieron intervenir cerca de mil 700 metros cuadrados en distintos puntos de la ciudad, atendiendo zonas con daños significativos que representaban un riesgo para automovilistas, transporte público y peatones. Entre las vialidades rehabilitadas se encuentran calles como Michoacán, en la colonia Javier Rojo Gómez; Ahuehuetitla; 27 de septiembre; Hidalgo Poniente; Gilberto Gómez Carbajal; 14 de diciembre; Venustiano Carranza, así como el bulevar San Nicolás El Chico, donde se realizaron trabajos de reparación en áreas con desgaste considerable. Las autoridades municipales señalaron que estos trabajos forman parte de una estrategia permanente para fortalecer la infraestructura urbana y responder a las necesidades más urgentes de la población.</t>
  </si>
  <si>
    <t>Con el objetivo de reconocer el papel fundamental de las madres tulancinguenses en la vida social y familiar del municipio, el gobierno de Tulancingo, encabezado por la presidenta municipal Lorena García Cázares, llevará a cabo un magno festejo el próximo 24 de mayo en la Unidad Deportiva Javier Rojo Gómez, con actividades recreativas, concursos, música en vivo y la rifa de un automóvil último modelo. Entre las dinámicas más esperadas destaca el rally denominado “La Chancla Voladora”, y como parte del programa artístico, las asistentes disfrutarán de la presentación de la mejor imitadora de Paquita la del Barrio, quien ofrecerá un espectáculo musical pensado especialmente para homenajear a las madres en su día.</t>
  </si>
  <si>
    <t>Locutor Jesús Riveros da lectura a comentario de radioescucha que reporta, las colectivas siguen estando en malas condiciones, reporta una colectiva en Tulancingo que la puerta no cierra bien; Jesús Riveros responde, que es importante que realicen sus quejas en el numero de la Semot, el compromiso con el aumento a la tarifa fue que los concesionarios tendrían las unidades en buen estado.</t>
  </si>
  <si>
    <t>En sesión ordinaria, diputadas y diputados integrantes de la LXVI Legislatura avalaron con 24 votos a favor, cero en contra y cero abstenciones, el dictamen que autoriza a 26 municipios a gestionar y contratar con la o las instituciones financieras o de crédito que ofrezcan las mejores condiciones de mercado, uno o varios financiamientos de largo plazo, hasta por el monto, destino, plazos, términos, condiciones y características que en éste se establecen, para que afecten como fuente de pago del o los financiamientos que contraten, un porcentaje del derecho a recibir y los flujos de recursos que individualmente les correspondan del Fondo de Aportaciones para la Infraestructura Social Municipal y de las Demarcaciones Territoriales del Distrito Federal, emitido por la primera Comisión Permanente de Hacienda y Presupuesto.</t>
  </si>
  <si>
    <t>Deuda Pública</t>
  </si>
  <si>
    <t>SSH: Apoyos funcionales y atención médica especializada para las familias de Huehuetla.</t>
  </si>
  <si>
    <t>Apoyos funcionales</t>
  </si>
  <si>
    <t>Hidalgo reunió a más de 12 mil asistentes en su encuentro artístico en Los Pinos.</t>
  </si>
  <si>
    <t>Dos robos frustrados en Atitalaquia: SSPH asegura a cuatro presuntos responsables.</t>
  </si>
  <si>
    <t>Gobierno de Hidalgo fortalece atención a víctimas de violencia en Tulancingo de Bravo.</t>
  </si>
  <si>
    <t>Julio Menchaca y el IMPI protegen producción del chile rayado de La Misión. (AUDIO JMS); (AUDIO SNC).</t>
  </si>
  <si>
    <t>Embajadora de Sudáfrica recorre Centro Gastronómico de Santiago de Anaya.</t>
  </si>
  <si>
    <t>Mundial De Futbol</t>
  </si>
  <si>
    <t>Hidalgo invita al sector turístico a sumarse a “La Gran Escapada”.</t>
  </si>
  <si>
    <t>Impulso Al Turismo</t>
  </si>
  <si>
    <t>Hidalgo invita al sector turístico a sumarse a “La Gran Escapada”</t>
  </si>
  <si>
    <t>Con el objetivo de fortalecer las acciones de protección, atención y previsión dirigidas a niñas, niños y adolescentes, el gobierno municipal de Mineral de la Reforma llevó a cabo la creación e instalación del Comité Municipal de Prevención de Embarazos en Adolescentes (Comupea). La conformación de este organismo se encuentra sustentada en la Ley de los Derechos de Niñas, Niños y Adolescentes y permitirá establecer mecanismos de coordinación, cooperación y comunicación entre las distintas áreas del gobierno municipal para implementar la “Estrategia Hidalguense para la Prevención de Embarazos en Adolescentes”. Durante la instalación del comité, el presidente municipal, Eduardo Medécigo Rubio, destacó que el embarazo en niñas y adolescentes representa un problema multicausal y culturalmente complejo, además de constituir una consecuencia de violaciones a los derechos humanos, debido a que es una de las principales causas de deserción escolar y afecta directamente el proyecto de vida de quienes enfrentan una maternidad temprana. Asimismo, se informó que en Hidalgo los servicios de salud destinan alrededor de 41.5 millones de pesos para la atención de embarazos y partos en adolescentes, motivo por el cual se impulsó una estrategia estatal que busca reducir esta problemática. Entre las metas de la Estrategia Estatal de Prevención de Embarazos en Adolescentes se encuentra erradicar el embarazo en niñas de 10 a 14 años y garantizar plenamente los derechos sexuales y reproductivos de este sector de la población. El comité quedó integrado por el alcalde, Eduardo Medécigo Rubio; la presidenta del Sistema Municipal DIF, Samantha Esparza Hernández; la Síndica Hacendaria e integrante de la comisión de niñez y juventud, Gabriela Luján Sánchez; y la regidora y coordinadora de la comisión de niñez y juventud, Leslie Ramírez Islas.</t>
  </si>
  <si>
    <t>Prevención De Embarazo Adolescente</t>
  </si>
  <si>
    <t>La policía municipal de Pachuca dio un paso histórico en materia de dignificación policial al convertirse en la primera corporación municipal de Hidalgo en garantizar a sus elementos el acceso a una vivienda propia, a través del programa impulsado por la presidenta de México, Claudia Sheinbaum Pardo, en coordinación con el Infonavit y gracias al trabajo conjunto y la buena relación institucional entre el gobierno federal, el gobierno del estado y el gobierno municipal. Este avance representa una de las acciones más importantes en favor de las y los policías de la capital hidalguense, quienes durante años enfrentaron limitaciones para acceder a créditos y esquemas formales de vivienda. Con este programa, elementos de la Secretaría de Seguridad Pública, Tránsito y Vialidad comenzaron su proceso de registro para acceder a una vivienda, fortaleciendo así su estabilidad y la de sus familias. La estrategia forma parte del proceso de transformación y fortalecimiento institucional que impulsa el alcalde Jorge Reyes, con el objetivo de dignificar la labor policial y mejorar las condiciones de quienes diariamente trabajan por la seguridad de la ciudad.</t>
  </si>
  <si>
    <t>Derechos laborales</t>
  </si>
  <si>
    <t>Locutor Jesús Riveros da lectura a comentario de radioescucha que manifiesta su inconformidad con el aumento a la tarifa de transporte público; además, reporta que algunos operadores de la línea LAC son muy groseros y cobran muy alto el pasaje y no respetan la tarifa.</t>
  </si>
  <si>
    <t>Juan Leonardo Pérez Téllez, originario de Tizayuca, acudió a la reunión de respuesta del gobierno de Hidalgo en Tulancingo, este miércoles 13 de mayo, donde encaró a funcionarios estatales y les acusó por presunta corrupción y sesgo en una investigación. El hombre, padre de un menor de edad con autismo, acudió para exigir justicia en el caso de su hijo, quien fue supuestamente víctima de abuso sexual. Por este caso, en enero pasado, pidió intervención ante Claudia Sheinbaum, en una visita oficial de la mandataria. Ello ocurrió en enero y desde entonces, acusa que existe hostigamiento por parte de funcionarios de la Procuraduría General de Justicia del Estado de Hidalgo (PGJEH), entre ellos el titular de la dependencia, Francisco Fernández Hasbun; y Lorena Cano, directora general de la Fiscalía de Delitos Sexuales y Contra la Familia. “Vengo a denunciar corrupción. El día de hoy no vengo a pedir apoyo de estas personas, lo que vengo a pedir es el apoyo del pueblo. Porque la corrupción es tan asquerosa que involucra a magistrados, a subprocuradores que son tan asquerosos que cómo pueden vender la justicia de un niño”. Además de lo anterior, expuso que sufre de supuestos actos de persecución por parte de agentes estatales y aseguró que, pese a que teme por su seguridad y la de su familia, no se le han otorgado mecanismos de protección que le prometió la fiscal general de la República, Ernestina Godoy. Al final de su manifestación, el director general de Gobernación en Tulancingo, Rogelio Santos, lo separó del frente para que continuara el acto. Hasta el momento, no hay postura oficial por parte de la PGJEH.</t>
  </si>
  <si>
    <t>Respecto al reporte de radioescucha sobre el transporte público, locutor Jesús Riveros comparte números telefónicos de la Semot para que realicen los reportes correspondientes y dice, que es importante levantar los reportes para que toda esta situación cambie, ya que, fue uno de los compromisos por parte de los concesionarios; por eso se autorizó el aumento a la tarifa de transporte público, porque se garantizó un mejor servicio y mejores unidades.</t>
  </si>
  <si>
    <t>Gabinete de Seguridad ejecuta orden de aprehensión a mandos municipales de Tezontepec de Aldama.</t>
  </si>
  <si>
    <t>En operativo del Gabinete de Seguridad son aprehendidos nueve policías municipales de Progreso de Obregón.</t>
  </si>
  <si>
    <t>Entre reclamos, exigencias y también algunos reconocimientos al apoyo institucional, este día se realizaron nuevos desahogos ciudadanos en Tulancingo, donde víctimas y familiares expusieron públicamente el estado de sus denuncias y la respuesta que han recibido por parte de autoridades municipales y estatales desde la Jornada por la Paz del pasado mes. Uno de los casos que más llamó la atención fue el de una mujer que denunció presuntas omisiones en el IMSS de Tulancingo relacionadas con una supuesta negligencia médica en la atención de su madre. La afectada señaló que apenas esta semana fue buscada para dar seguimiento formal a su caso y aseguró que, hasta el momento, no existe una propuesta concreta para cubrir los gastos médicos que tuvieron que realizar en hospitales privados tras las complicaciones derivadas de la atención inicial. Durante la jornada también hubo voces que reconocieron avances en el acompañamiento gubernamental.</t>
  </si>
  <si>
    <t>En su colaboración semanal, Gustavo Rosales transmite una entrevista realizada a la multimedallista hidalguense Ivana Reyes Palacios, en la categoría de tiro con arco, que, en esta olimpiada nacional dio la sorpresa y consiguió cuatro preseas para el Estado. En la entrevista comentó que, dentro de sus metas está participar en los juegos olímpicos de 2028.</t>
  </si>
  <si>
    <t>Andrés Torres recomienda leer su columna "Las Vocales Extraviadas", en la que habla de: El gobernador de Hidalgo, Julio Menchaca Salazar, ha intensificado su política de seguridad pública, implementando "cero tolerancia" a la corrupción policial y un enfoque fuerte contra el crimen organizado. Asegura que la ley se aplica de manera justa y que todos los delincuentes serán castigados, sin distinción. Recientemente, se han realizado detenciones de policías y funcionarios públicos acusados de delitos graves, lo que marca el inicio de una operación de limpieza en el estado. Menchaca Salazar enfatiza que la conectividad de Hidalgo atrae a criminales y que hay una "Alerta preventiva" debido al aumento de homicidios en áreas cercanas. A pesar de esto, se rechazan las "alertas de viaje internacionales" al considerar que el estado es seguro. El secretario de Seguridad Pública, Salvador Cruz Neri, está alineado con esta política, ordenando cambios en mandos ineficientes y respondiendo a quejas ciudadanas sobre prácticas corruptas.</t>
  </si>
  <si>
    <t>Combate a la corrupción</t>
  </si>
  <si>
    <t>Un sujeto perdió la vida al ser atacado con arma de fuego en Tula de Allende, en un hecho registrado sobre la calle Josefa Ortiz de Domínguez, en el Barrio Alto. De acuerdo con la policía municipal de Tula de Allende, mediante una llamada de emergencia se dio aviso sobre disparos de arma de fuego en esa vialidad, lo que generó la movilización de elementos de seguridad. Por este hecho, personal de la Procuraduría General de Justicia del Estado de Hidalgo (PGJEH) inició la carpeta de investigación correspondiente para esclarecer el homicidio ocurrido en Tula de Allende, Hidalgo.</t>
  </si>
  <si>
    <t>La mañana de este jueves, se presentó un accidente vial en Mineral de la Reforma, el cual dejó una persona lesionada y considerables daños materiales. De acuerdo con la Policía municipal, este percance se presentó en la estación de servicio ubicada en el acceso principal a la colonia La Providencia, en el que un vehículo particular y una camioneta se vieron involucrados.</t>
  </si>
  <si>
    <t>Accidente Vial</t>
  </si>
  <si>
    <t>En sus redes sociales el secretario de la SEPH, Natividad Castrejón comparte: Hoy quiero expresar mi reconocimiento y gratitud a todas las maestras y maestros que, con pasión, entrega y un profundo compromiso, acompañan y transforman la vida de miles de estudiantes en Hidalgo. Su vocación inspira, guía y deja huella todos los días dentro y fuera del aula. Gracias por ser pieza fundamental en la construcción de una educación más humana, integral y de excelencia para nuestras niñas, niños y jóvenes.</t>
  </si>
  <si>
    <t>Invitan a participar en convocatoria de Becas de Posgrado 2026 a comunidad de la UAEH</t>
  </si>
  <si>
    <t>Becas De Posgrado</t>
  </si>
  <si>
    <t>Andrés Torres comenta que hoy no cuentan con computadora, no tienen internet, no hay teléfono y trabajan con su propio equipo, que todo lo que se ve ahí es de ellos para traerle la mejor información a su público y todavía cuando dicen las cosas, cuando las investigan, ser enojan cuando las dicen.</t>
  </si>
  <si>
    <t>Andrés Torres comenta que en Tulancingo la señal de televisión del canal del Pueblo tiene más de un año fuera porque la antena no funciona y agradece que quienes a pesar de no tener señal de radio en la huasteca y de televisión en Tulancingo, los siguen el Facebook</t>
  </si>
  <si>
    <t>Andrés Torres informa que la señal del 1010 AM de El Vocero Huasteco está fuera del aire desde hace más de un mes, pero sí se escuchan en 92.7 FM. Está estación insignia que transmite en náhuatl y castellano. Señala que están esperando que el área administrativa haga su deber y deje a un lado las "grillas" y se pongan a trabajar, dejen de señalar culpas y hagan lo que tienen que hacer. La Secretaría de Gobierno ya tomó cartas en el asunto y verán que muy pronto vamos a volver al aire, aseveró.</t>
  </si>
  <si>
    <t>Hoy inician las obras de bacheo y concreto hidráulico en el bulevar Las Torres, con dirección de la carretera México-Pachuca hacia la carretea Pachuca- Ciudad- Sahagún.</t>
  </si>
  <si>
    <t>Rehabilitación carretera</t>
  </si>
  <si>
    <t>Sobre el audio del alcalde de Pachuca, Jorge Reyes donde amenazaba a los trabajadores con despedirlos si no compartían y daban like a sus publicaciones de redes sociales, el gobernador Julio Menchaca dijo que sus palabras fueron descontextualizadas y que es importante que las actividades del gobierno sean conocidas, pero se debe ser cuidadoso en el tema.</t>
  </si>
  <si>
    <t>Vía telefónica Milton Cortés informó que taxistas llevaron a cabo este jueves una manifestación en las instalaciones de la Secretaría de Movilidad y Transporte de Hidalgo (Semot) tras la retención de la unidad de uno de sus compañeros, un conductor de la tercera edad, durante un operativo de revisión documental. Durante varias horas, representantes de la organización mantuvieron un diálogo con autoridades de la Semot, logrando finalmente un acuerdo para liberar la unidad retenida. Además, se otorgó un plazo al taxista para regularizar su documentación y evitar sanciones futuras. Asimismo pidieron se revise la tarifa y se considere un incremento que oscile entre los 50 y los 60 pesos.</t>
  </si>
  <si>
    <t>En sesión ordinaria, diputadas y diputados integrantes de la LXVI Legislatura avalaron con 24 votos a favor, cero en contra y cero abstenciones, el dictamen que autoriza a 26 municipios a gestionar y contratar con la o las instituciones financieras o de crédito que ofrezcan las mejores condiciones de mercado, uno o varios financiamientos de largo plazo, hasta por el monto, destino, plazos, términos, condiciones y características que en éste se establecen, para que afecten como fuente de pago del o los financiamientos que contraten, un porcentaje del derecho a recibir y los flujos de recursos que individualmente les correspondan del Fondo de Aportaciones para la Infraestructura Social Municipal y de las Demarcaciones Territoriales del Distrito Federal, emitido por la primera Comisión Permanente de Hacienda y Presupuesto. El legislador Miguel Ángel Moreno Zamora (Morena) detalló que los municipios beneficiados serán: Atlapexco, Calnali, Chapulhuacán, Eloxochitlán, Huautla, Huehuetla, Huejutla, Jacala, Juárez, La Misión, Lolotla, Metztitlán, Molango, Pacula, Pisaflores, San Bartolo Tutotepec, Tenango, Tepehuacán, Tianguistengo, Tlahuiltepa, Tlanchinol, Xochiatipan, Xochicoatlán, Yahualica, Zacualtipán y Zimapán.</t>
  </si>
  <si>
    <t>En un ambiente de alegría y convivencia, maestras y maestros de la Organización XI celebraron el Día de la Maestra y el Maestro en la región Huasteca Hidalguense, en un encuentro donde se reconoció su vocación, compromiso y entrega en favor de la educación. Durante el festejo participaron docentes de los municipios de Huautla, Xochiatipan, Atlapexco, Yahualica, Calnali y Yatipán, quienes refrendaron su compromiso con la formación de las nuevas generaciones y con el fortalecimiento de #LaNuevaHistoriaDelMagisterio. En el evento se contó con la presencia del secretario de Educación Pública de Hidalgo, Naty Castrejón; del representante del CEN del SNTE en la Sección 15, Jesús Jaime Rochín Carrillo; así como de los diputados locales Jorge Arguelles y Alejandro Pérez, además de presidentes municipales de la región. Las autoridades destacaron la importancia del trabajo docente como pieza fundamental para el desarrollo educativo y social de Hidalgo.</t>
  </si>
  <si>
    <t>El gobernador Julio Menchaca asistirá a un evento con motivo del Día del Maestro, don de hará un reconocimiento a su labor.</t>
  </si>
  <si>
    <t>El gobernador en sus redes sociales comparte: Trabajamos en equipo con nuestra Presidenta Claudia Sheinbaum para consolidar un sistema de salud con calidad para todas y todos. Nos reunimos con gobernadoras y gobernadores incorporados al IMSS Bienestar para dar seguimiento a los avances de este sistema de salud.</t>
  </si>
  <si>
    <t>Menchaca y Sheinbaum verifican avances del IMSS Bienestar en Hidalgo</t>
  </si>
  <si>
    <t>Una persona sin vida y en avanzado estado de descomposición fue localizado al interior de una vivienda ubicada el fraccionamiento Paseos de la Pradera, dentro del municipio de Atotonilco de Tula. El hallazgo fue realizado la tarde del miércoles 13 de mayo, luego de que vecinos en la zona reportaran fuertes olores fétidos provenientes del interior de la vivienda. Elementos policiacos ingresaron a esta junto con personal de Protección Civil, luego de obtener autorización para ello, confirmando que al interior se encontraba el cuerpo de una persona, que posteriormente se identificó como A.S.R., de 52 años de edad. Hasta el momento, las autoridades informaron que el cuerpo no presentaba signos visibles de violencia; serán los estudios forenses y la necropsia de ley los que determinen las causas exactas del fallecimiento.</t>
  </si>
  <si>
    <t>Uno de los edificios que actualmente se encuentran en construcción en la ciudad de Pachuca tuvo una trágica incidencia por la tarde de este jueves 14 de mayo, cuando fue reportada la muerte de uno de los trabajadores, luego de que este cayera al vacío desde al menos siete pisos de altura. Razón por la cual, agentes de la Policía municipal que acudieron en coordinación con los galenos procedieron a levantar un acordonamiento para proteger el lugar del hecho y se pidió la presencia de peritos de la Procuraduría General de Justicia del Estado de Hidalgo (PGJEH), quienes custodiaron el cuerpo.</t>
  </si>
  <si>
    <t>Levantamiento De Cuerpo</t>
  </si>
  <si>
    <t>Elementos de la Procuraduría General de Justicia del Estado de Hidalgo (PGJEH), informaron la detención de un adolescente de identidad reservada realizada por elementos de Seguridad Pública municipal , luego de lesionar con un machete a otra persona. De acuerdo a los primeros reportes, el probable responsable de 15 años es señalado por el delito de lesiones calificadas y fue detenido por la policía y remitido a la Fiscalía de Adolescentes de Pachuca. Según la información recabada, el afectado recibió un machetazo en el abdomen y fue trasladado de urgencia al Hospital Regional de la Huasteca, su estado de salud es reportado como estable; mientras tanto la situación legal del menor se determinará en la Fiscalía de Adolescentes en la capital del estado, derivado a una carpeta de investigación iniciada por la PGJEH.</t>
  </si>
  <si>
    <t>Un hombre perdió la vida en la entrada de su vivienda, luego de ser atacado con arma de fuego por un grupo de sujetos que llegaron al sitio para realizar el ataque directo. La situación se registró la tarde del miércoles 13 de mayo, en la colonia Barrio Alto, dentro del municipio de Tula de Allende, donde los atacantes huyeron del sitio inmediatamente después de balear a la víctima. Personas que se encontraban cerca del sitio donde se registró el ataque, solicitaron el apoyo de elementos policiacos, quienes acudieron junto con paramédicos; estos últimos confirmaron que el hombre atacado ya no contaba con signos vitales. Se realizó operativo para la búsqueda y eventual localización de los responsables del ataque, sin que hasta el momento se haya reportado detención alguna. Personal de la Procuraduría General de Justicia del Estado de Hidalgo inició las investigaciones respectivas al caso, con el levantamiento de pruebas y testimoniales.</t>
  </si>
  <si>
    <t>El partido Movimiento Regeneración Nacional (Morena) justificó las declaraciones del alcalde de Pachuca, Jorge Alberto Reyes Hernández, y aseguró que "está bajo mucha presión" y no utilizó las palabras correctas, pero respaldó la petición de compartir los logros del ayuntamiento. En conferencia de prensa, el dirigente estatal morenista, Marco Antonio Rico Mercado, fue cuestionado sobre el audio que se viralizó, en el cual Reyes Hernández exigió a sus trabajadores compartir sus publicaciones en sus redes sociales personales o, en caso contrario, se les "daría las gracias". El líder justificó al presidente municipal morenista bajo el argumento de que se encuentra bajo presión por difundir los logros de su administración ante un contexto de "calumnias en redes sociales". Como ejemplo, mencionó que en la instalación de Consejos Municipales en las 84 demarcaciones hidalguenses, se les están asignando tareas, entre las cuales está la difusión de sus logros de los gobiernos de la Cuarta Transformación (4T) para amortiguar la desinformación y "guerra sucia" en contra del partido guinda.</t>
  </si>
  <si>
    <t>Morena</t>
  </si>
  <si>
    <t>En cabina Hugo Flores, Secretario de Campo de Tulancingo y Gabriel Valdez informaron que el municipio de Tulancingo será sede de la Feria de los Girasoles 2026, un evento que busca impulsar la convivencia familiar, el talento local y la promoción cultural durante los días 16 y 17 de mayo. Las actividades se desarrollarán sobre el bulevar Nuevo San Nicolás y comenzarán ambos días a partir de las 10:00 de la mañana con presentaciones musicales, talleres, gastronomía y actividades recreativas.</t>
  </si>
  <si>
    <t>Evento turístico</t>
  </si>
  <si>
    <t>La propuesta fue avalada durante sesión ordinaria con 24 votos a favor, sin votos en contra ni abstenciones. El esquema permitirá que los ayuntamientos utilicen un porcentaje del Fondo de Aportaciones para la Infraestructura Social Municipal como garantía de pago. El presidente de la Comisión de Hacienda y Presupuesto, Miguel Ángel Moreno Zamora, explicó que la medida busca agilizar el acceso a recursos para las demarcaciones afectadas, sin generar afectaciones severas a las finanzas municipales. Entre los municipios incluidos se encuentran Atlapexco, Calnali, Chapulhuacán, Eloxochitlán, Huautla, Huehuetla, Huejutla de Reyes, Jacala de Ledezma, Juárez Hidalgo, La Misión, Lolotla, Metztitlán, Molango de Escamilla, Pacula, Pisaflores, San Bartolo Tutotepec, Tenango de Doria, Tepehuacán de Guerrero, Tianguistengo, Tlahuiltepa, Tlanchinol, Xochiatipan, Xochicoatlán, Yahualica, Zacualtipán de Ángeles y Zimapán. Los montos autorizados varían dependiendo de cada municipio. Eloxochitlán podrá acceder hasta a 3 millones de pesos, mientras que Huejutla de Reyes tendrá la posibilidad de contratar más de 66 millones de pesos.</t>
  </si>
  <si>
    <t>Hidalgo inaugura la Sala de Población Interactiva, un espacio único en el país para promover la cultura demográfica</t>
  </si>
  <si>
    <t>Sala interactiva</t>
  </si>
  <si>
    <t>El director de la Comisión de Agua y Alcantarillado del Municipio de Tulancingo (CAAMT), Enzo Balderas Castro, informó que continúan los trabajos preventivos y de limpieza en distintos puntos del municipio para disminuir afectaciones durante la temporada de lluvias. Entre las acciones realizadas destacó labores en el dren Buenos Aires, así como en el Río Tulancingo, particularmente a la altura de la colonia Estrella. También señaló que ya fueron atendidos puntos cercanos a la Universidad Politécnica de Tulancingo (UPT). De acuerdo con el funcionario, hasta el momento se han trabajado 5 mil 784 metros lineales como parte de las acciones de limpieza y mantenimiento.Respecto a las problemáticas registradas en colonias como Vicente Guerrero e Insurgentes, donde constantemente se presentan encharcamientos durante las lluvias, Balderas Castro explicó que desde enero comenzaron con la limpieza de alcantarillas y líneas de drenaje, trabajos que continúan actualmente. Indicó que una de las principales dificultades en esa zona es que el drenaje resulta insuficiente para la cantidad de agua que se acumula, además de tratarse de una problemática que lleva varios años sin resolverse. Añadió que durante las jornadas de limpieza han retirado grandes cantidades de basura, situación que también contribuye a las inundaciones y taponamientos.</t>
  </si>
  <si>
    <t>Desazolve</t>
  </si>
  <si>
    <t>Hidalgo registró una disminución de 17.8 por ciento en homicidios dolosos durante el primer cuatrimestre de 2026, de acuerdo con datos presentados por el Secretariado Ejecutivo del Sistema Nacional de Seguridad Pública. Durante la conferencia encabezada por la presidenta Claudia Sheinbaum, la titular del organismo, Marcela Figueroa Franco, informó que en abril la entidad acumuló 21 casos de homicidio doloso, cifra que representa el 1.3 por ciento del total nacional. La funcionaria detalló que el promedio nacional mensual fue de 49.2 homicidios dolosos, por lo que Hidalgo se mantuvo por debajo de la media nacional. Además, señaló que 26 estados registraron una reducción en el promedio diario de homicidios al comparar el periodo de enero a abril de 2025 con el mismo lapso de 2026, entre ellos Hidalgo. En el informe también se indicó que Chihuahua y Guanajuato encabezaron la lista nacional con 129 homicidios cada uno, seguidos de Morelos, Baja California, Sinaloa, Estado de México, Veracruz y Guerrero. A nivel nacional, el promedio diario de delitos de alto impacto presentó una reducción de 52.2 por ciento en comparación con 2018, según los datos expuestos durante la conferencia federal.</t>
  </si>
  <si>
    <t>Los gobiernos municipales son responsables de que sus elementos policiacos cumplan con los requisitos legales para estar en funciones dentro de las corporaciones locales en el Estado de Hidalgo. La declaración fue realizada por Guillermo Olivares Reyna, Secretario General de Gobierno estatal, tras la detención esta semana de once elementos de Seguridad Pública de los municipios de Tezontepec de Aldama y Progreso de Obregón. “Lo que les hemos exhortado y esto es año con año, es de que se den tiempo de su cuerpo policial, de que cubran los distintos requisitos que por ley lo deben de cubrir. Al final de cuentas, si cubren con esos requisitos, necesariamente las cosas cambian para bien”. Enfatizó que dentro de los gobiernos municipales debe existir disciplina para que sus cuerpos policiacos laboren adecuadamente. “No se puede pensar en un cuerpo policial profesional si no hay disciplina, si no hay orden y esto desde luego en primera instancia le corresponde instaurarlo al ayuntamiento, es el responsable”. Respecto al municipio de Tezontepec de Aldama, que actualmente no forma parte del esquema de Mando Coordinado con el gobierno estatal, Olivares Reyna indicó que cada municipio, en ejercicio de su autonomía, decide si se incorpora o no a este modelo de seguridad. Aseguró que desde el inicio de la administración estatal se ha ofrecido a los 84 municipios de Hidalgo la posibilidad de trabajar de manera coordinada con el estado a través de esta estrategia, aunque la adhesión depende de cada gobierno municipal. Señaló que el gobierno estatal “no se lava las manos” y continuará brindando respaldo y acompañamiento a los municipios dentro del marco de respeto a su autonomía. “Seguiremos acompañándolos siempre tomando en cuenta el respeto institucional pero cuando ellos nos requieran ahí estamos y con mucho gusto”.</t>
  </si>
  <si>
    <t>Dos robos frustrados en Atitalaquia: SSPH asegura a cuatro presuntos responsables</t>
  </si>
  <si>
    <t>Celebran a madres adultas mayores en CGIs y Casas de Día</t>
  </si>
  <si>
    <t>Bienestar</t>
  </si>
  <si>
    <t>Atotonilco de Tula está obligado a pagar aproximadamente 105 millones de pesos (mdp) derivados del litigio por el arrendamiento de patrullas contratado durante la administración 2016-2020, luego de que la sentencia quedara firme y sin posibilidad de nuevos recursos legales. Sin embargo la alcaldesa Yoselyn Tovar dijo que su gobierno buscará evitar esa deuda, ya que el proceso estuvo plagado de irregularidades.</t>
  </si>
  <si>
    <t>Deuda Heredada</t>
  </si>
  <si>
    <t>Despacho del Gobernador integra trámites del SAT a los Servicios para el Pueblo</t>
  </si>
  <si>
    <t>Despacho</t>
  </si>
  <si>
    <t>Servicios para el Pueblo</t>
  </si>
  <si>
    <t>El secretario de Gobierno, Guillermo Olivares sobre el caso de la detención de los policías en Tezontepec de Aldama, dijo que es responsabilidad del municipio realizar las acciones convenientes para tener cuerpos policiales honestos y preparados, pues no pertenece al mando coordinado y es su decisión sumarse. Será la Procuraduría a través de las investigaciones quien determine los delitos y sanciones a quien corresponda.</t>
  </si>
  <si>
    <t>La Biblioteca Ricardo Garibay cuanta con una Sala de Población Interactiva, un espacio accesible y pedagógico orientado principalmente a niñas, niños y adolescentes con el objetivo de acercarlos al conocimiento de la población y el desarrollo. Con una inversión estatal de 1 millón 350 mil pesos, autoridades destacaron que este proyecto beneficiará a más de 200 mil menores y jóvenes de la zona metropolitana . Además, de ampliar el acceso al conocimiento demográfico para más de 800 mil niñas y niños en todo el estado.</t>
  </si>
  <si>
    <t>El secretario de Educación Pública (SEP), Mario Delgado Carrillo, anunció el aumento salarial de 9% a los docentes como un “gran reconocimiento” a su labor en el país. Durante el acto de celebración por el Día de las Maestras y los Maestros en la sede histórica de la SEP, el funcionario dijo que ese aumento “refleja la voluntad de la propuesta de México por mejorar de manera permanente las condiciones laborales económicas del magisterio”.</t>
  </si>
  <si>
    <t>Aumento salarial</t>
  </si>
  <si>
    <t>La Coordinación Nacional de Protección Civil (CNPC), adscrita a la Secretaría de Seguridad y Protección Ciudadana (SSPC), puso en marcha un operativo de coordinación con las 32 entidades del país para fortalecer las acciones preventivas ante el inicio de la temporada de huracanes 2026. De acuerdo con el Servicio Meteorológico Nacional (SMN), dependiente de la Comisión Nacional del Agua (Conagua), el periodo de lluvias y ciclones tropicales comienza este 15 de mayo en el océano Pacífico, mientras que en el Atlántico iniciará el 1 de junio, lo que marca el arranque formal de la vigilancia meteorológica en el país. Como parte de las medidas preventivas, la CNPC instruyó a los gobiernos estatales a intensificar la supervisión de zonas vulnerables a inundaciones y deslaves, además de reforzar trabajos de desazolve en drenajes, canales y sistemas pluviales para reducir riesgos durante las lluvias intensas.</t>
  </si>
  <si>
    <t>Alerta Meteorológica</t>
  </si>
  <si>
    <t>Un hombre presuntamente se quitó la vida al interior de su domicilio, ubicado en Tepeapulco, luego de sostener una discusión con su pareja sentimental. De acuerdo con la Policía municipal, a través de una llamada de emergencia se reportaron detonaciones de arma de fuego en la comunidad Tultengo. Al arribar al lugar, los oficiales localizaron a un hombre sin signos vitales, quien presentaba un impacto de proyectil. Según las primeras indagatorias en el sitio, el individuo habría discutido con su pareja antes de presuntamente accionar el arma contra sí mismo. Por estos hechos, personal de la Procuraduría General de Justicia del Estado de Hidalgo (PGJEH) acudió al sitio para realizar el acordonamiento, llevar a cabo el levantamiento del cuerpo e iniciar la carpeta de investigación correspondiente.</t>
  </si>
  <si>
    <t>Suicidio</t>
  </si>
  <si>
    <t>Se reúnen en Hidalgo representantes de la industria cinematográfica.</t>
  </si>
  <si>
    <t>Producción audiovisual</t>
  </si>
  <si>
    <t>El titular de la Secretaría de Gobierno del Estado, Guillermo Olivares Reyna, refirió que son los municipios a quienes les corresponde la tarea de garantizar que sus elementos de seguridad pública cumplan con los requisitos y estándares para ser uniformados, esto tras la detención de varios policías de Tezontepec de Aldama. Para ello, han realizado en conjunto revisiones de manera coordinada y se les invita a adherirse al Mando Coordinado para garantizar la confiabilidad de sus elementos, “hemos ofrecido una y otra vez la coadyuvancia para con ellos, la metodología que aterriza el mando coordinado” expresó.</t>
  </si>
  <si>
    <t>Una mujer originaria de Tulancingo resultó con traumatismo facial y múltiples lesiones que pusieron en riesgo su vida luego de ser presuntamente agredida por un familiar en la comunidad de San Miguel Regla, municipio de Huasca de Ocampo. La víctima, identificada con las iniciales E.G.M., de cuarenta y nueve años de edad, presentó una denuncia ante la Procuraduría General de Justicia del Estado de Hidalgo (PGJEH) contra su primo G.M.O. por violencia familiar, lesiones y amenazas. De acuerdo con el testimonio de la agraviada, el conflicto inició por el cierre de un canal de riego que, con autorización del encargado, fue bloqueado debido a filtraciones que afectaban su terreno. La mujer relató que el señalado reaccionó de forma violenta contra un adulto mayor tras enterarse del cierre. Posteriormente, ella acudió junto con su madre para dialogar y evitar que la situación escalara, pero recibió un golpe con la cacha de una pistola y un puñetazo en el rostro. La agresión le provocó la pérdida del conocimiento, por lo que fue trasladada en estado crítico a una clínica particular, donde tuvieron que reconstruirle el rostro. Actualmente permanece en recuperación y señaló que no había podido ampliar su declaración debido a su estado físico y emocional. La denunciante manifestó que teme por su vida y por la seguridad de su familia, ya que aseguró que el presunto agresor suele portar armas de fuego y, pese a la denuncia, continúa en libertad. También afirmó que el hombre ya había ejercido violencia contra otros familiares. Añadió que las lesiones le han impedido trabajar y realizar sus actividades cotidianas, además de que ha tenido que gastar todos sus ahorros en atención médica. Indicó que desconoce si podrá recuperar completamente la apariencia de su rostro. Según el dictamen de la otorrinolaringóloga que la atiende, la víctima presentó traumatismo facial, fractura multifragmentada de huesos propios de la nariz, fractura de maxila, fractura de premaxila y ruptura de cartílago septal, entre otras lesiones. Además, reportó problemas para respirar y pérdida temporal del olfato.</t>
  </si>
  <si>
    <t>Violencia familiar</t>
  </si>
  <si>
    <t>Hidalgo prioriza acciones a favor de su biodiversidad. (AUDIO ERG).</t>
  </si>
  <si>
    <t>OCSAD</t>
  </si>
  <si>
    <t>Conservación de especies</t>
  </si>
  <si>
    <t>Menchaca y Sheinbaum verifican avances del IMSS Bienestar en Hidalgo.</t>
  </si>
  <si>
    <t>En su colaboración semanal, Gustavo Rosales habló sobre los resultados de los Nacionales Conade, en donde, la delegación hidalguense conquistó dos preseas de bronce en la disciplina de boxeo por conducto de Perla Nazaret Castillo Hernández en la categoría sub19 de 65 kg: Carlos Jayden Morales Carranza también en la categoría sub19 de 55 kg. Siguen sumándose las medallas para los atletas hidalguenses, aunque, Hidalgo ha bajado en la clasificación general, ubicándose en el lugar 18 del medallero.</t>
  </si>
  <si>
    <t>Financiamiento municipios</t>
  </si>
  <si>
    <t>Hidalgo prioriza acciones a favor de su biodiversidad,</t>
  </si>
  <si>
    <t>El manejo del agua potable volvió a colocarse en el centro del debate político en Huichapán, luego de que durante la más reciente sesión de Cabildo resurgieran señalamientos relacionados con el presunto uso de recursos del organismo operador para abastecer a una empresa privada. El regidor Omar Minutti retomó públicamente las acusaciones en contra de Mauricio Yáñez, titular de la Comisión de Agua Potable, Alcantarillado y Saneamiento del municipio, al cuestionar las acciones emprendidas por el gobierno municipal frente a los señalamientos sobre el supuesto suministro de agua mediante pipas oficiales a una empresa laminadora presuntamente vinculada a este funcionario. Ante los cuestionamientos, la presidenta municipal de Huichapán Mtra. Yeymi Yadira Solís respondió que corresponde a las instancias competentes realizar las investigaciones y determinar cualquier posible responsabilidad al señalar que existen autoridades facultadas para atender este tipo de asuntos, AUDIO APOYO</t>
  </si>
  <si>
    <t>Luego de ligero error de la senadora Simey Olvera Bautista, en donde citó incorrectamente una frase de Benito Juárez, la senadora ya hizo un pronunciamiento a través de sus redes sociales desde la plaza Juárez en Pachuca, AUDIO VIDEO</t>
  </si>
  <si>
    <t>Aspirantes</t>
  </si>
  <si>
    <t>Sucesión gubernamental</t>
  </si>
  <si>
    <t>La presidenta municipal Ana Elsa Castillo Cea dio el banderazo de inicio a la obra de pavimentación asfáltica en la calle principal de acceso a la comunidad de El Retiro, una acción que transformará la movilidad y mejorará las condiciones de tránsito para las familias de la localidad. Esta importante obra contempla más de 3 mil metros cuadrados de carpeta asfáltica, además de trabajos de compactación, base hidráulica y señalamiento vial, realizándose con recursos propios del Fondo de Reposición, AUDIO APOYO</t>
  </si>
  <si>
    <t>Pavimentación</t>
  </si>
  <si>
    <t>La presidenta municipal Claudia Sandoval continúa fortaleciendo el contacto directo con la ciudadanía a través del programa “Caminando con el Pueblo”, visitando en esta ocasión la comunidad de Cardonal para escuchar y atender de manera cercana las necesidades de las familias. Acompañada por titulares y personal de distintas áreas del Gobierno Municipal, la alcaldesa dialogó con vecinas y vecinos, dando seguimiento puntual a sus solicitudes y reafirmando el compromiso de construir soluciones desde el territorio y junto al pueblo.Con acciones como esta, el Gobierno de la Transformación de Atitalaquia sigue impulsando una administración cercana, humana y comprometida con el bienestar de todas y todos, AUDIO APOYO</t>
  </si>
  <si>
    <t>Peculado</t>
  </si>
  <si>
    <t>Hidalgo prioriza acciones a favor de su biodiversidad, AUDIO APOYO</t>
  </si>
  <si>
    <t>La presidenta de México, Claudia Sheinbaum Pardo, destacó que su gobierno destina cerca de 12.000 millones de pesos en acciones para prevenir inundaciones y proteger la vida de las personas. Además, informó que a través de la Comisión Nacional del Agua, la CONAGUA, y en coordinación con gobiernos estatales y municipales, se realizan 23.000 obras de agua potable, drenaje y saneamiento en alrededor de 2.300 municipios del país. En Hidalgo, se realizan obras de protección del río Tula, así lo detalló el director general de la CONAGUA, Efraín Morales López.</t>
  </si>
  <si>
    <t>Prevención De Riesgos</t>
  </si>
  <si>
    <t>El gobernador Julio Menchaca afirmó que la detención del director y subdirector de Seguridad Pública de Tezontepec de Aldama, así como de un ex-elemento policial presuntamente relacionados con actividades delictivas, deriva exclusivamente del avance de carpetas de investigación y no de motivaciones políticas, AUDIO APOYO JMS</t>
  </si>
  <si>
    <t>Desde Palacio Nacional, en Ciudad de México, el mandatario estatal reiteró el compromiso del gobierno de Hidalgo para garantizar una atención integral y de calidad para toda la población hidalguense.” Muy buena tarde, les saludo desde Palacio Nacional, después de una reunión muy fructífera con la presidenta Claudia Sheinbaum,sobre el avance que tenemos en el programa del IMSS-Bienestar”</t>
  </si>
  <si>
    <t>El secretario de Educación Pública de Hidalgo, Natividad Castrejón Valdés en sus redes sociales reconoció el compromiso, la vocación y el esfuerzo diario de las maestras y maestros hidalguenses, AUDIO APOYO</t>
  </si>
  <si>
    <t>Julio Menchaca Salazar, en sus redes sociales emitió un mensaje de reconocimiento y felicitación dirigido a las maestras y maestros hidalguenses, AUDIO APOYO</t>
  </si>
  <si>
    <t>La tarde de este miércoles, un hombre identificado bajo el alias de "El Gori" fue asesinado a balazos frente a su domicilio. Los reportes indican que la víctima abrió la puerta de su vivienda, ubicada en la calle Josefa Ortiz de Domínguez, momento en el que sujetos armados abrieron fuego a quemarropa. La víctima perdió la vida de manera instantánea; las autoridades estatales mantienen las alertas encendidas ante este nuevo hecho de violencia en el municipio.</t>
  </si>
  <si>
    <t>Trabajadores del Sindicato Único al Servicio del Ayuntamiento suspendieron actividades este miércoles para manifestarse frente a la alcaldía, en protesta por presuntos incumplimientos a sus condiciones generales de trabajo por parte de la administración que encabeza la alcaldesa Marisela Hernández. Los empleados sindicalizados denunciaron una serie de irregularidades que han afectado su estabilidad económica, entre las que destacan: Adeudos salariales: Retrasos en pagos devengados. Ajustes pendientes: Falta de actualización en los tabuladores de sueldo. Falta de regularización laboral: Incertidumbre jurídica para diversos sectores de la plantilla.Los manifestantes señalaron que la decisión de tomar las calles surge tras el agotamiento de las vías internas, luego de que no se concretaran los acuerdos previstos con el gobierno municipal. El sindicato afirmó que su prioridad es la instalación inmediata de mesas de diálogo que permitan resolver el conflicto de manera justa. AUDIOS DE APOYO</t>
  </si>
  <si>
    <t>Protesta sindical</t>
  </si>
  <si>
    <t>Acción conjunta entre la Procuraduría de Hidalgo, la Secretaría de Seguridad Pública Estatal (SSPH) y la SEDENA. 9 elementos de la Dirección de Seguridad Pública Municipal (8 hombres y 1 mujer). Homicidio doloso calificado y lesiones. Se les investiga por hechos ocurridos el pasado 10 de mayo, cuando presuntamente privaron de la libertad a dos hombres; el cuerpo sin vida de uno de ellos fue hallado al día siguiente. Los elementos fueron puestos a disposición del Ministerio Público para la audiencia inicial y formulación de imputación,</t>
  </si>
  <si>
    <t>Con el objetivo de fortalecer la identidad jurídica de la población, el gobierno municipal de Atitalaquia, encabezado por la presidenta Claudia Sandoval, realizó con éxito la campaña de correcciones administrativas de actas, atendiendo a más de 120 personas.Esta jornada, efectuada en coordinación con la Dirección General del Registro del Estado Familiar de Hidalgo, permitió a los ciudadanos realizar trámites para corregir errores u omisiones en nombres, apellidos y datos familiares en sus documentos oficiales.</t>
  </si>
  <si>
    <t>Registro Familiar</t>
  </si>
  <si>
    <t>Tras la reciente difusión de un audio en redes sociales y medios nacionales, donde presuntamente se escuchaba al alcalde de Pachuca, Jorge Alberto Reyes, condicionar la permanencia de sus empleados a la difusión de contenidos oficiales, el edil capitalino salió al paso de las críticas para aclarar el origen y la intención de dichas grabaciones. Reyes puntualizó que el material audiovisual es antiguo y que su filtración responde a una narrativa construida "fuera de la realidad" con el fin de generar una polémica innecesaria. Según explicó, las declaraciones corresponden al inicio de su administración y fueron emitidas en un contexto de exigencia de resultados. El presidente municipal defendió la importancia de la comunicación institucional como un eje de transparencia y rendición de cuentas. AUDIO APOYO</t>
  </si>
  <si>
    <t>El gobernador Julio Menchaca Salazar anunció una inversión estratégica de 2 mil millones de dólares por parte de capital canadiense para la instalación de un complejo industrial en el Polo de Desarrollo de Zapotlán, también denominado como el "Pueblo del Bienestar". Este proyecto representa uno de los hitos económicos más importantes de la administración actual, con la proyección de generar mil 700 empleos directos en la región del Valle de Zapotlán. La llegada de estas empresas fortalecerá el sector farmacéutico en la entidad, permitiendo la fabricación local de medicamentos críticos para el consumo nacional. AUDIO DE APOYO</t>
  </si>
  <si>
    <t>Polos del Bienestar</t>
  </si>
  <si>
    <t>Durante un encuentro con medios de comunicación, el gobernador de Hidalgo, Julio Menchaca Salazar, emitió un llamado enérgico a la ciudadanía para no dejarse engañar por gestores irregulares, conocidos como "coyotes", quienes ofrecen la obtención de escrituras y diversos trámites notariales mediante procedimientos fuera de la ley. El mandatario estatal instó a las víctimas de estas prácticas a acudir de manera inmediata ante el Ministerio Público para presentar las denuncias correspondientes. AUDIO DE APOYO</t>
  </si>
  <si>
    <t>Alerta De Fraude</t>
  </si>
  <si>
    <t>En un paso histórico para la preservación y el desarrollo económico de la Sierra Gorda, el gobernador de Hidalgo, Julio Menchaca Salazar, recibió por parte del Instituto Mexicano de la Propiedad Industrial (IMPI) la declaratoria de protección de la Indicación Geográfica para el Chile Rayado. Hoy el chile rayado de la misión forma parte del Atlas Turístico de México de la Secretaría de Turismo el gobierno de México escuchamos ahí la voz también de Santiago Nieto quien señaló que existe registros de producción de este chile desde hace más de 100 años AUDIOS DE APOYO</t>
  </si>
  <si>
    <t>Investigadora de la Universidad Autónoma del Estado de Hidalgo, doctora Rosa Ángeles Vázquez García, platicamos con ella ayer en entrevista.La investigadora es tajante al describir el entorno donde trabaja. No se trata solo de agua sucia, sino de un ecosistema que describe como "una cloaca" donde se navega sobre heces fecales y sustancias tóxicas.El contexto del Mosco: Ella explica que la población ve al lirio como el enemigo porque es la "casa" del mosquito Culex. Sin embargo, aclara que el lirio solo es invasivo porque encuentra en esa contaminación los nutrientes (fosfatos y aniones) necesarios para crecer descontroladamente.Impacto Humano: Menciona que la situación es tan grave que existen recomendaciones de Derechos Humanos por los olores fétidos y la presencia de animales muertos, lo que ha derivado en problemas de salud crónicos como cáncer en las comunidades ribereñas, Finalmente, pone los pies en la tierra sobre el alcance actual: ella tiene muestras guardadas desde abril del año pasado que se mantienen en perfecto estado (sin pudrirse ni oler mal), lo que demuestra que su método de conservación funciona. Sin embargo, recalca que la academia sola no puede: ella opera a nivel laboratorio; para limpiar la presa, se necesita que el sector empresarial tome su tecnología y la aplique a las toneladas de biomasa que flotan en la región.</t>
  </si>
  <si>
    <t>UAEH</t>
  </si>
  <si>
    <t>Mosco Culex</t>
  </si>
  <si>
    <t>Un grupo de taxistas de la organización de Tamexun, se manifestaron en las oficinas de la Secretaría de Movilidad en Pachuca, piden que los dejen trabajar, porque según ellos, los multan por cualquier cosa. AUDIO MANIFESTANTE APOYO</t>
  </si>
  <si>
    <t>Supervisión de Transporte</t>
  </si>
  <si>
    <t>La Secretaría del Trabajo y Previsión Social de Hidalgo inauguró la exposición Voces de la Justicia Laboral, una muestra histórica que reúne expedientes sobre conflictos obreros y mineros registrados en la entidad. Entre 1924 y 1975, la exposición integra dos expedientes de la Junta Local de Conciliación y Arbitraje, donde se documentan casos de accidentes laborales, enfermedades de trabajo y otros temas en el sector minero. Estará abierta al público de manera gratuita del 12 de mayo al 12 de junio en el Archivo General del Estado, ubicado en Pachuca.,</t>
  </si>
  <si>
    <t>STPSH</t>
  </si>
  <si>
    <t>Exposición documental</t>
  </si>
  <si>
    <t>La Secretaría de Gobierno de Hidalgo inauguró la nueva Sala de Población Interactiva en la Biblioteca Ricardo Garibay, un espacio educativo y lúdico impulsado por el COESPO para acercar a niñas, niños, jóvenes y adultos al conocimiento de los cambios sociodemográficos y su impacto en la sociedad. Durante la apertura, el representante del Fondo de Población de las Naciones Unidas en México, destacó que este proyecto es pionero a nivel nacional al convertirse en una herramienta para reducir brechas sociales mediante la educación demográfica.El Secretario de Gobierno, Guillermo Olivares Reina, señaló que la Sala posiciona a Hidalgo como referente nacional en cultura demográfica gracias al trabajo coordinado con organismos nacionales e internacionales y el respaldo del gobernador Julio Menchaca Salazar. Por favor, sea un conducto para invitar a la gente que más pueda a que existe esta Sala Interactiva. Necesitamos aprovechar toda esta infraestructura que alimenta el alma, que nos potencializa como seres humanos. AUDIO DE APOYO,</t>
  </si>
  <si>
    <t>Hablando de este tema del turismo, también hay que decirlo, se aproxima el mundial, faltan 27 días, Hidalgo ya se suma a la estrategia nacional, la gran escapada para fortalecer la promoción turística y abrir nuevas oportunidades de negocio para prestadores de servicios rumbo a este mundial 2026, estamos a 27 días. La iniciativa impulsada por la Canaco Servitur contempla una plataforma digital donde empresas turísticas podrán difundir promociones, paquetes y experiencias para atraer visitantes nacionales e internacionales. AUDIO DE APOYO</t>
  </si>
  <si>
    <t>Hidalgo continúa posicionándose como uno de los destinos audiovisuales más importantes del país, alcanzando en la presente administración 90 filmaciones y grabaciones, la generación de más de 3 mil empleos directos y una derrama económica superior a los 64 millones de pesos. Así lo dio a conocer la Secretaría de Turismo del Estado, Elizabeth Quintanar Gómez, quien destacó en el evento Luces Cámara Hidalgo, Locaciones Hidalgo, que gracias al impulso del gobernador Julio Menchaca Salazar y al trabajo coordinado con los tres órdenes de gobierno, se continúa en la estrategia de promoción de la cultura cinematográfica en los municipios que permita potenciar y difundir la cultura, historia y atractivos turísticos de la entidad como escenario para proyectos audiovisuales. AUDIOS DE APOYO,</t>
  </si>
  <si>
    <t>En el mes de junio el Instituto Hidalguense de la Competitividad Empresarial abrirá la convocatoria para que microempresas hidalguenses que cuenten con al menos un año de operación puedan participar en el programa Hidalgo con Potencial, el cual ofrece un financiamiento de hasta 50 mil pesos para adquirir mobiliario o infraestructura, informó Carlos Martín Pérez Quijano, director del Instituto Hidalguense de Competitividad Empresarial. Este programa va dirigido a negocios, micro negocios, que ya tienen por lo menos dos años de tener trabajando de manera formal ante el SAT y es una forma de impulsarlos para que se sigan desarrollando. AUDIO DE APOYO</t>
  </si>
  <si>
    <t>Sedeco</t>
  </si>
  <si>
    <t>Apoyo A Mipymes</t>
  </si>
  <si>
    <t>El subsecretario de Sustentabilidad y Cambio Climático, Enrique Rojo García, señaló que en lo que va del programa se han rescatado 76 ejemplares de fauna silvestre, principalmente aves, zorros, tlacuaches, armadillos y venados, muchos de ellos detectados en la región huasteca. AUDIO DE APOYO,</t>
  </si>
  <si>
    <t>La Secretaria de Medio Ambiente estatal informó que destina cerca de un millón setecientos mil pesos anuales a programas de conservación y rescate de fauna silvestre con el objetivo de frenar el tráfico ilegal de especies y preservar los ecosistemas en la entidad</t>
  </si>
  <si>
    <t>El secretario de Educación Pública de Hidalgo, Natividad Castrejón Valdés, inauguró un nuevo edificio de tres niveles en la Secundaria General Profesor David Noble, en Mixquiahuala, obra que representó una inversión de 17.3 millones de pesos en beneficio de 579 estudiantes. La nueva infraestructura contempla 11 aulas, 2 talleres y un módulo de sanitarios con el objetivo de fortalecer las condiciones de aprendizaje y brindar espacios dignos y seguros para la comunidad estudiantil. En su mensaje, Castrejón Valdés destacó que el gobierno, encabezado por Julio Menchaca Salazar, mantiene el impulso a obras educativas para mejorar las condiciones de estudio en la entidad. AUDIO DE APOYO,</t>
  </si>
  <si>
    <t>El secretario del Trabajo también se refirió a la Ley Silla. Es de materia federal, la Ley Silla es materia federal, pero nosotros coadyuvamos, acabamos de estar con el Gobierno de México, con el secretario de Trabajo, y nos comprometimos a coadyuvar con ellos. AUDIOS DE APOYO.</t>
  </si>
  <si>
    <t>Ley Silla</t>
  </si>
  <si>
    <t>Siguen los fraudes, los engaños en el tema del trabajo. El secretario de trabajo en este tema, secretario de trabajo aquí en la entidad, Oscar Javier González Hernández, pues refirió que, pues está trabajando para combatir este tipo de fraude, sobre todo a jornaleros agrícolas. AUDIO DE APOYO.</t>
  </si>
  <si>
    <t>Las autoridades de Salud y Agricultura en Hidalgo reportan que por quince meses pudieron contener el avance y la presencia del gusano barrenador en ganado de la entidad, pero sin duda pues esta situación no es exclusiva del Estado, sino de todo el país, y ya desde febrero a la fecha suman 535 casos, a pesar de estos esfuerzos confirmando que pues se presentaron los primeros cuatro contagios en seres humanos. AUDIO DE APOYO</t>
  </si>
  <si>
    <t>Saderh</t>
  </si>
  <si>
    <t>Gusano barrenador</t>
  </si>
  <si>
    <t>Hablando del servicio del transporte público, tanto colectivo como individual, estamos hablando de los taxistas, pues el gobernador de Hidalgo, Julio Menchaca, enfatizó que va a ser muy estricto para que el transporte público cumpla con la ley. AUDIO DE APOYO</t>
  </si>
  <si>
    <t>Ordenamiento de transporte</t>
  </si>
  <si>
    <t>De enero a abril de este año, Hidalgo es el estado número 8 a nivel nacional, por la cantidad de patentes concebidas por el Instituto Mexicano de la Propiedad Industrial, el IMPI, el primer lugar lo ocupa la Ciudad de México, informó Santiago Nieto, el ahora exdirector del Instituto Mexicano de la Propiedad Industrial. AUDIO DE APOYO</t>
  </si>
  <si>
    <t>Radioescucha reporta que ayer los policías de tránsito estaban quitando las placas de los automóviles que estaban estacionados en el estacionamiento de los comercios que están enfrente del estadio.</t>
  </si>
  <si>
    <t>Multas de tránsito</t>
  </si>
  <si>
    <t>Radioescucha vuelve a reportar una fuga de agua en la calle Morelos 108 en colonia Venta Prieta; ya se reportó desde hace días</t>
  </si>
  <si>
    <t>Fuga De Agua</t>
  </si>
  <si>
    <t>Radioescucha reporta falta de agua en La Palma</t>
  </si>
  <si>
    <t>Radioescucha reporta que en Campestre Villas del Álamo, tenemos 5 dias sin agua</t>
  </si>
  <si>
    <t>En sesión ordinaria, diputadas y diputados integrantes de la LXVI Legislatura avalaron con 24 votos a favor, cero en contra y cero abstenciones, el dictamen que autoriza a 26 municipios a gestionar y contratar con la o las instituciones financieras o de crédito que ofrezcan las mejores condiciones de mercado, uno o varios financiamientos de largo plazo, hasta por el monto, destino, plazos, términos, condiciones y características que en éste se establecen, para que afecten como fuente de pago del o los financiamientos que contraten, un porcentaje del derecho a recibir y los flujos de recursos que individualmente les correspondan del Fondo de Aportaciones para la Infraestructura Social Municipal y de las Demarcaciones Territoriales del Distrito Federal, emitido por la primera Comisión Permanente de Hacienda y Presupuesto.El legislador Miguel Ángel Moreno Zamora (Morena) detalló que los municipios beneficiados serán: Atlapexco, Calnali, Chapulhuacán, Eloxochitlán, Huautla, Huehuetla, Huejutla, Jacala, Juárez, La Misión, Lolotla, Metztitlán, Molango, Pacula, Pisaflores, San Bartolo Tutotepec, Tenango, Tepehuacán, Tianguistengo, Tlahuiltepa, Tlanchinol, Xochiatipan, Xochicoatlán, Yahualica, Zacualtipán y Zimapán.</t>
  </si>
  <si>
    <t>Ante el inicio de la temporada de lluvias, la Conagua, a través de la Dirección Local Hidalgo, se encuentra preparada mediante maquinaria y brigadas debidamente capacitadas para brindar respuesta oportuna a las emergencias que pudieran presentarse en la entidad derivadas de fenómenos hidrometeorológicos.En ese sentido, se cuenta con 14 elementos que integran la brigada Conagua en la entidad, quienes cuentan con preparación en materia de atención a sequía, inundaciones, cloración de agua y operación de maquinaria, entre otros.En Hidalgo, la Conagua tiene tres bombas de extracción, dos plantas potabilizadoras, una planta generadora de energía eléctrica, una torre de iluminación y un camión cisterna tipo pipa con capacidad de 10 mil litros, así como un camión plataforma con grúa articulada Hiab, los cuales se encuentran en condiciones óptimas de operación.</t>
  </si>
  <si>
    <t>Instituto Mexicano del Seguro Social (IMSS) en Hidalgo invita a las personas a mantener las medidas necesarias para evitar complicaciones en caso de padecer asma y mantener una adecuada calidad de vida.Durante los cambios en el estado del tiempo las crisis asmáticas pueden detonarse, ya que los cambios bruscos de temperatura, el aire frío y seco, la alta humedad, la contaminación aumentan las crisis de asma al inflamar las vías respiratorias y aumentar los alérgenos.</t>
  </si>
  <si>
    <t>Prevención De Enfermedades</t>
  </si>
  <si>
    <t>El bulevar Las Torres, al sur de la Zona Metropolitana de Pachuca, tendrá nuevos cierres viales a partir del próximo viernes 22 de mayo debido a más obras de rehabilitación.</t>
  </si>
  <si>
    <t>Rehabilitación Vial</t>
  </si>
  <si>
    <t>Larrieta agradece Paola García y Lic. Sarahi Pineda, por estar atentas a los mensajes de la ciudadanía y por atenderlos.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</si>
</sst>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80" tableType="queryTable" totalsRowShown="0">
  <autoFilter ref="A1:M180" xr:uid="{717AF3FA-E95C-4D17-A1C9-B8D7CBE34EF0}"/>
  <sortState xmlns:xlrd2="http://schemas.microsoft.com/office/spreadsheetml/2017/richdata2" ref="A2:M180">
    <sortCondition ref="A1:A180"/>
  </sortState>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80"/>
  <sheetViews>
    <sheetView tabSelected="1" workbookViewId="0">
      <selection activeCell="A180" sqref="A180"/>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20.8554687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42</v>
      </c>
      <c r="C1" t="s">
        <v>43</v>
      </c>
      <c r="D1" t="s">
        <v>44</v>
      </c>
      <c r="E1" t="s">
        <v>1</v>
      </c>
      <c r="F1" t="s">
        <v>2</v>
      </c>
      <c r="G1" t="s">
        <v>4</v>
      </c>
      <c r="H1" t="s">
        <v>3</v>
      </c>
      <c r="I1" t="s">
        <v>5</v>
      </c>
      <c r="J1" t="s">
        <v>45</v>
      </c>
      <c r="K1" t="s">
        <v>46</v>
      </c>
      <c r="L1" t="s">
        <v>47</v>
      </c>
      <c r="M1" t="s">
        <v>55</v>
      </c>
    </row>
    <row r="2" spans="1:13" x14ac:dyDescent="0.25">
      <c r="A2" s="2">
        <v>46156</v>
      </c>
      <c r="B2" s="1" t="str">
        <f ca="1">IF(Información1[[#This Row],[Fecha]]='Ajuste de fechas'!$A$2,"Día actual","Día anterior")</f>
        <v>Día anterior</v>
      </c>
      <c r="C2" t="s">
        <v>34</v>
      </c>
      <c r="D2" t="s">
        <v>35</v>
      </c>
      <c r="E2" t="s">
        <v>106</v>
      </c>
      <c r="F2" t="s">
        <v>26</v>
      </c>
      <c r="G2" t="s">
        <v>70</v>
      </c>
      <c r="H2" t="s">
        <v>32</v>
      </c>
      <c r="I2" t="s">
        <v>12</v>
      </c>
      <c r="J2" t="s">
        <v>48</v>
      </c>
      <c r="K2" t="s">
        <v>107</v>
      </c>
      <c r="L2" t="s">
        <v>50</v>
      </c>
      <c r="M2">
        <v>4</v>
      </c>
    </row>
    <row r="3" spans="1:13" x14ac:dyDescent="0.25">
      <c r="A3" s="2">
        <v>46156</v>
      </c>
      <c r="B3" s="1" t="str">
        <f ca="1">IF(Información1[[#This Row],[Fecha]]='Ajuste de fechas'!$A$2,"Día actual","Día anterior")</f>
        <v>Día anterior</v>
      </c>
      <c r="C3" t="s">
        <v>34</v>
      </c>
      <c r="D3" t="s">
        <v>35</v>
      </c>
      <c r="E3" t="s">
        <v>108</v>
      </c>
      <c r="F3" t="s">
        <v>65</v>
      </c>
      <c r="H3" t="s">
        <v>32</v>
      </c>
      <c r="I3" t="s">
        <v>25</v>
      </c>
      <c r="J3" t="s">
        <v>48</v>
      </c>
      <c r="K3" t="s">
        <v>27</v>
      </c>
      <c r="L3" t="s">
        <v>50</v>
      </c>
      <c r="M3">
        <v>4</v>
      </c>
    </row>
    <row r="4" spans="1:13" x14ac:dyDescent="0.25">
      <c r="A4" s="2">
        <v>46156</v>
      </c>
      <c r="B4" s="1" t="str">
        <f ca="1">IF(Información1[[#This Row],[Fecha]]='Ajuste de fechas'!$A$2,"Día actual","Día anterior")</f>
        <v>Día anterior</v>
      </c>
      <c r="C4" t="s">
        <v>34</v>
      </c>
      <c r="D4" t="s">
        <v>35</v>
      </c>
      <c r="E4" t="s">
        <v>109</v>
      </c>
      <c r="F4" t="s">
        <v>19</v>
      </c>
      <c r="H4" t="s">
        <v>32</v>
      </c>
      <c r="I4" t="s">
        <v>25</v>
      </c>
      <c r="J4" t="s">
        <v>52</v>
      </c>
      <c r="K4" t="s">
        <v>9</v>
      </c>
      <c r="L4" t="s">
        <v>50</v>
      </c>
      <c r="M4">
        <v>3</v>
      </c>
    </row>
    <row r="5" spans="1:13" x14ac:dyDescent="0.25">
      <c r="A5" s="2">
        <v>46156</v>
      </c>
      <c r="B5" s="1" t="str">
        <f ca="1">IF(Información1[[#This Row],[Fecha]]='Ajuste de fechas'!$A$2,"Día actual","Día anterior")</f>
        <v>Día anterior</v>
      </c>
      <c r="C5" t="s">
        <v>34</v>
      </c>
      <c r="D5" t="s">
        <v>35</v>
      </c>
      <c r="E5" t="s">
        <v>110</v>
      </c>
      <c r="F5" t="s">
        <v>15</v>
      </c>
      <c r="G5" t="s">
        <v>98</v>
      </c>
      <c r="H5" t="s">
        <v>32</v>
      </c>
      <c r="I5" t="s">
        <v>7</v>
      </c>
      <c r="J5" t="s">
        <v>48</v>
      </c>
      <c r="K5" t="s">
        <v>27</v>
      </c>
      <c r="L5" t="s">
        <v>51</v>
      </c>
      <c r="M5">
        <v>4</v>
      </c>
    </row>
    <row r="6" spans="1:13" x14ac:dyDescent="0.25">
      <c r="A6" s="2">
        <v>46156</v>
      </c>
      <c r="B6" s="1" t="str">
        <f ca="1">IF(Información1[[#This Row],[Fecha]]='Ajuste de fechas'!$A$2,"Día actual","Día anterior")</f>
        <v>Día anterior</v>
      </c>
      <c r="C6" t="s">
        <v>34</v>
      </c>
      <c r="D6" t="s">
        <v>35</v>
      </c>
      <c r="E6" t="s">
        <v>111</v>
      </c>
      <c r="F6" t="s">
        <v>15</v>
      </c>
      <c r="H6" t="s">
        <v>32</v>
      </c>
      <c r="I6" t="s">
        <v>7</v>
      </c>
      <c r="J6" t="s">
        <v>48</v>
      </c>
      <c r="K6" t="s">
        <v>27</v>
      </c>
      <c r="L6" t="s">
        <v>49</v>
      </c>
      <c r="M6">
        <v>4</v>
      </c>
    </row>
    <row r="7" spans="1:13" x14ac:dyDescent="0.25">
      <c r="A7" s="2">
        <v>46156</v>
      </c>
      <c r="B7" s="1" t="str">
        <f ca="1">IF(Información1[[#This Row],[Fecha]]='Ajuste de fechas'!$A$2,"Día actual","Día anterior")</f>
        <v>Día anterior</v>
      </c>
      <c r="C7" t="s">
        <v>34</v>
      </c>
      <c r="D7" t="s">
        <v>35</v>
      </c>
      <c r="E7" t="s">
        <v>112</v>
      </c>
      <c r="F7" t="s">
        <v>19</v>
      </c>
      <c r="G7" t="s">
        <v>89</v>
      </c>
      <c r="H7" t="s">
        <v>32</v>
      </c>
      <c r="I7" t="s">
        <v>7</v>
      </c>
      <c r="J7" t="s">
        <v>52</v>
      </c>
      <c r="K7" t="s">
        <v>27</v>
      </c>
      <c r="L7" t="s">
        <v>49</v>
      </c>
      <c r="M7">
        <v>4</v>
      </c>
    </row>
    <row r="8" spans="1:13" x14ac:dyDescent="0.25">
      <c r="A8" s="2">
        <v>46156</v>
      </c>
      <c r="B8" s="1" t="str">
        <f ca="1">IF(Información1[[#This Row],[Fecha]]='Ajuste de fechas'!$A$2,"Día actual","Día anterior")</f>
        <v>Día anterior</v>
      </c>
      <c r="C8" t="s">
        <v>34</v>
      </c>
      <c r="D8" t="s">
        <v>35</v>
      </c>
      <c r="E8" t="s">
        <v>113</v>
      </c>
      <c r="F8" t="s">
        <v>19</v>
      </c>
      <c r="G8" t="s">
        <v>114</v>
      </c>
      <c r="H8" t="s">
        <v>32</v>
      </c>
      <c r="I8" t="s">
        <v>7</v>
      </c>
      <c r="J8" t="s">
        <v>52</v>
      </c>
      <c r="K8" t="s">
        <v>27</v>
      </c>
      <c r="L8" t="s">
        <v>49</v>
      </c>
      <c r="M8">
        <v>3</v>
      </c>
    </row>
    <row r="9" spans="1:13" x14ac:dyDescent="0.25">
      <c r="A9" s="2">
        <v>46156</v>
      </c>
      <c r="B9" s="1" t="str">
        <f ca="1">IF(Información1[[#This Row],[Fecha]]='Ajuste de fechas'!$A$2,"Día actual","Día anterior")</f>
        <v>Día anterior</v>
      </c>
      <c r="C9" t="s">
        <v>34</v>
      </c>
      <c r="D9" t="s">
        <v>35</v>
      </c>
      <c r="E9" t="s">
        <v>115</v>
      </c>
      <c r="F9" t="s">
        <v>21</v>
      </c>
      <c r="G9" t="s">
        <v>116</v>
      </c>
      <c r="H9" t="s">
        <v>32</v>
      </c>
      <c r="I9" t="s">
        <v>7</v>
      </c>
      <c r="J9" t="s">
        <v>48</v>
      </c>
      <c r="K9" t="s">
        <v>27</v>
      </c>
      <c r="L9" t="s">
        <v>51</v>
      </c>
      <c r="M9">
        <v>4</v>
      </c>
    </row>
    <row r="10" spans="1:13" x14ac:dyDescent="0.25">
      <c r="A10" s="2">
        <v>46156</v>
      </c>
      <c r="B10" s="1" t="str">
        <f ca="1">IF(Información1[[#This Row],[Fecha]]='Ajuste de fechas'!$A$2,"Día actual","Día anterior")</f>
        <v>Día anterior</v>
      </c>
      <c r="C10" t="s">
        <v>34</v>
      </c>
      <c r="D10" t="s">
        <v>35</v>
      </c>
      <c r="E10" t="s">
        <v>117</v>
      </c>
      <c r="F10" t="s">
        <v>65</v>
      </c>
      <c r="G10" t="s">
        <v>118</v>
      </c>
      <c r="H10" t="s">
        <v>32</v>
      </c>
      <c r="I10" t="s">
        <v>25</v>
      </c>
      <c r="J10" t="s">
        <v>48</v>
      </c>
      <c r="K10" t="s">
        <v>27</v>
      </c>
      <c r="L10" t="s">
        <v>49</v>
      </c>
      <c r="M10">
        <v>4</v>
      </c>
    </row>
    <row r="11" spans="1:13" x14ac:dyDescent="0.25">
      <c r="A11" s="2">
        <v>46156</v>
      </c>
      <c r="B11" s="1" t="str">
        <f ca="1">IF(Información1[[#This Row],[Fecha]]='Ajuste de fechas'!$A$2,"Día actual","Día anterior")</f>
        <v>Día anterior</v>
      </c>
      <c r="C11" t="s">
        <v>34</v>
      </c>
      <c r="D11" t="s">
        <v>35</v>
      </c>
      <c r="E11" t="s">
        <v>119</v>
      </c>
      <c r="F11" t="s">
        <v>15</v>
      </c>
      <c r="G11" t="s">
        <v>58</v>
      </c>
      <c r="H11" t="s">
        <v>32</v>
      </c>
      <c r="I11" t="s">
        <v>7</v>
      </c>
      <c r="J11" t="s">
        <v>48</v>
      </c>
      <c r="K11" t="s">
        <v>27</v>
      </c>
      <c r="L11" t="s">
        <v>49</v>
      </c>
      <c r="M11">
        <v>4</v>
      </c>
    </row>
    <row r="12" spans="1:13" x14ac:dyDescent="0.25">
      <c r="A12" s="2">
        <v>46156</v>
      </c>
      <c r="B12" s="1" t="str">
        <f ca="1">IF(Información1[[#This Row],[Fecha]]='Ajuste de fechas'!$A$2,"Día actual","Día anterior")</f>
        <v>Día anterior</v>
      </c>
      <c r="C12" t="s">
        <v>34</v>
      </c>
      <c r="D12" t="s">
        <v>35</v>
      </c>
      <c r="E12" t="s">
        <v>120</v>
      </c>
      <c r="F12" t="s">
        <v>67</v>
      </c>
      <c r="G12" t="s">
        <v>121</v>
      </c>
      <c r="H12" t="s">
        <v>32</v>
      </c>
      <c r="I12" t="s">
        <v>7</v>
      </c>
      <c r="J12" t="s">
        <v>24</v>
      </c>
      <c r="K12" t="s">
        <v>27</v>
      </c>
      <c r="L12" t="s">
        <v>49</v>
      </c>
      <c r="M12">
        <v>4</v>
      </c>
    </row>
    <row r="13" spans="1:13" x14ac:dyDescent="0.25">
      <c r="A13" s="2">
        <v>46156</v>
      </c>
      <c r="B13" s="1" t="str">
        <f ca="1">IF(Información1[[#This Row],[Fecha]]='Ajuste de fechas'!$A$2,"Día actual","Día anterior")</f>
        <v>Día anterior</v>
      </c>
      <c r="C13" t="s">
        <v>34</v>
      </c>
      <c r="D13" t="s">
        <v>35</v>
      </c>
      <c r="E13" t="s">
        <v>122</v>
      </c>
      <c r="F13" t="s">
        <v>91</v>
      </c>
      <c r="G13" t="s">
        <v>80</v>
      </c>
      <c r="H13" t="s">
        <v>32</v>
      </c>
      <c r="I13" t="s">
        <v>7</v>
      </c>
      <c r="J13" t="s">
        <v>48</v>
      </c>
      <c r="K13" t="s">
        <v>27</v>
      </c>
      <c r="L13" t="s">
        <v>51</v>
      </c>
      <c r="M13">
        <v>4</v>
      </c>
    </row>
    <row r="14" spans="1:13" x14ac:dyDescent="0.25">
      <c r="A14" s="2">
        <v>46156</v>
      </c>
      <c r="B14" s="1" t="str">
        <f ca="1">IF(Información1[[#This Row],[Fecha]]='Ajuste de fechas'!$A$2,"Día actual","Día anterior")</f>
        <v>Día anterior</v>
      </c>
      <c r="C14" t="s">
        <v>34</v>
      </c>
      <c r="D14" t="s">
        <v>35</v>
      </c>
      <c r="E14" t="s">
        <v>123</v>
      </c>
      <c r="F14" t="s">
        <v>26</v>
      </c>
      <c r="H14" t="s">
        <v>32</v>
      </c>
      <c r="I14" t="s">
        <v>7</v>
      </c>
      <c r="J14" t="s">
        <v>48</v>
      </c>
      <c r="K14" t="s">
        <v>27</v>
      </c>
      <c r="L14" t="s">
        <v>51</v>
      </c>
      <c r="M14">
        <v>3</v>
      </c>
    </row>
    <row r="15" spans="1:13" x14ac:dyDescent="0.25">
      <c r="A15" s="2">
        <v>46156</v>
      </c>
      <c r="B15" s="1" t="str">
        <f ca="1">IF(Información1[[#This Row],[Fecha]]='Ajuste de fechas'!$A$2,"Día actual","Día anterior")</f>
        <v>Día anterior</v>
      </c>
      <c r="C15" t="s">
        <v>37</v>
      </c>
      <c r="D15" t="s">
        <v>38</v>
      </c>
      <c r="E15" t="s">
        <v>124</v>
      </c>
      <c r="F15" t="s">
        <v>22</v>
      </c>
      <c r="G15" t="s">
        <v>71</v>
      </c>
      <c r="H15" t="s">
        <v>11</v>
      </c>
      <c r="I15" t="s">
        <v>7</v>
      </c>
      <c r="J15" t="s">
        <v>53</v>
      </c>
      <c r="K15" t="s">
        <v>39</v>
      </c>
      <c r="L15" t="s">
        <v>49</v>
      </c>
      <c r="M15">
        <v>3</v>
      </c>
    </row>
    <row r="16" spans="1:13" x14ac:dyDescent="0.25">
      <c r="A16" s="2">
        <v>46156</v>
      </c>
      <c r="B16" s="1" t="str">
        <f ca="1">IF(Información1[[#This Row],[Fecha]]='Ajuste de fechas'!$A$2,"Día actual","Día anterior")</f>
        <v>Día anterior</v>
      </c>
      <c r="C16" t="s">
        <v>37</v>
      </c>
      <c r="D16" t="s">
        <v>38</v>
      </c>
      <c r="E16" t="s">
        <v>125</v>
      </c>
      <c r="F16" t="s">
        <v>22</v>
      </c>
      <c r="G16" t="s">
        <v>126</v>
      </c>
      <c r="H16" t="s">
        <v>11</v>
      </c>
      <c r="I16" t="s">
        <v>7</v>
      </c>
      <c r="J16" t="s">
        <v>53</v>
      </c>
      <c r="K16" t="s">
        <v>39</v>
      </c>
      <c r="L16" t="s">
        <v>49</v>
      </c>
      <c r="M16">
        <v>3</v>
      </c>
    </row>
    <row r="17" spans="1:13" x14ac:dyDescent="0.25">
      <c r="A17" s="2">
        <v>46156</v>
      </c>
      <c r="B17" s="1" t="str">
        <f ca="1">IF(Información1[[#This Row],[Fecha]]='Ajuste de fechas'!$A$2,"Día actual","Día anterior")</f>
        <v>Día anterior</v>
      </c>
      <c r="C17" t="s">
        <v>37</v>
      </c>
      <c r="D17" t="s">
        <v>38</v>
      </c>
      <c r="E17" t="s">
        <v>127</v>
      </c>
      <c r="F17" t="s">
        <v>65</v>
      </c>
      <c r="G17" t="s">
        <v>101</v>
      </c>
      <c r="H17" t="s">
        <v>11</v>
      </c>
      <c r="I17" t="s">
        <v>7</v>
      </c>
      <c r="J17" t="s">
        <v>48</v>
      </c>
      <c r="K17" t="s">
        <v>39</v>
      </c>
      <c r="L17" t="s">
        <v>49</v>
      </c>
      <c r="M17">
        <v>3</v>
      </c>
    </row>
    <row r="18" spans="1:13" x14ac:dyDescent="0.25">
      <c r="A18" s="2">
        <v>46156</v>
      </c>
      <c r="B18" s="1" t="str">
        <f ca="1">IF(Información1[[#This Row],[Fecha]]='Ajuste de fechas'!$A$2,"Día actual","Día anterior")</f>
        <v>Día anterior</v>
      </c>
      <c r="C18" t="s">
        <v>37</v>
      </c>
      <c r="D18" t="s">
        <v>38</v>
      </c>
      <c r="E18" t="s">
        <v>128</v>
      </c>
      <c r="F18" t="s">
        <v>65</v>
      </c>
      <c r="G18" t="s">
        <v>118</v>
      </c>
      <c r="H18" t="s">
        <v>11</v>
      </c>
      <c r="I18" t="s">
        <v>25</v>
      </c>
      <c r="J18" t="s">
        <v>48</v>
      </c>
      <c r="K18" t="s">
        <v>39</v>
      </c>
      <c r="L18" t="s">
        <v>49</v>
      </c>
      <c r="M18">
        <v>3</v>
      </c>
    </row>
    <row r="19" spans="1:13" x14ac:dyDescent="0.25">
      <c r="A19" s="2">
        <v>46156</v>
      </c>
      <c r="B19" s="1" t="str">
        <f ca="1">IF(Información1[[#This Row],[Fecha]]='Ajuste de fechas'!$A$2,"Día actual","Día anterior")</f>
        <v>Día anterior</v>
      </c>
      <c r="C19" t="s">
        <v>37</v>
      </c>
      <c r="D19" t="s">
        <v>38</v>
      </c>
      <c r="E19" t="s">
        <v>129</v>
      </c>
      <c r="F19" t="s">
        <v>15</v>
      </c>
      <c r="G19" t="s">
        <v>130</v>
      </c>
      <c r="H19" t="s">
        <v>11</v>
      </c>
      <c r="I19" t="s">
        <v>25</v>
      </c>
      <c r="J19" t="s">
        <v>48</v>
      </c>
      <c r="K19" t="s">
        <v>39</v>
      </c>
      <c r="L19" t="s">
        <v>50</v>
      </c>
      <c r="M19">
        <v>3</v>
      </c>
    </row>
    <row r="20" spans="1:13" x14ac:dyDescent="0.25">
      <c r="A20" s="2">
        <v>46156</v>
      </c>
      <c r="B20" s="1" t="str">
        <f ca="1">IF(Información1[[#This Row],[Fecha]]='Ajuste de fechas'!$A$2,"Día actual","Día anterior")</f>
        <v>Día anterior</v>
      </c>
      <c r="C20" t="s">
        <v>37</v>
      </c>
      <c r="D20" t="s">
        <v>38</v>
      </c>
      <c r="E20" t="s">
        <v>131</v>
      </c>
      <c r="F20" t="s">
        <v>19</v>
      </c>
      <c r="G20" t="s">
        <v>78</v>
      </c>
      <c r="H20" t="s">
        <v>11</v>
      </c>
      <c r="I20" t="s">
        <v>7</v>
      </c>
      <c r="J20" t="s">
        <v>52</v>
      </c>
      <c r="K20" t="s">
        <v>39</v>
      </c>
      <c r="L20" t="s">
        <v>54</v>
      </c>
      <c r="M20">
        <v>3</v>
      </c>
    </row>
    <row r="21" spans="1:13" x14ac:dyDescent="0.25">
      <c r="A21" s="2">
        <v>46156</v>
      </c>
      <c r="B21" s="1" t="str">
        <f ca="1">IF(Información1[[#This Row],[Fecha]]='Ajuste de fechas'!$A$2,"Día actual","Día anterior")</f>
        <v>Día anterior</v>
      </c>
      <c r="C21" t="s">
        <v>37</v>
      </c>
      <c r="D21" t="s">
        <v>38</v>
      </c>
      <c r="E21" t="s">
        <v>115</v>
      </c>
      <c r="F21" t="s">
        <v>21</v>
      </c>
      <c r="G21" t="s">
        <v>116</v>
      </c>
      <c r="H21" t="s">
        <v>11</v>
      </c>
      <c r="I21" t="s">
        <v>7</v>
      </c>
      <c r="J21" t="s">
        <v>48</v>
      </c>
      <c r="K21" t="s">
        <v>39</v>
      </c>
      <c r="L21" t="s">
        <v>51</v>
      </c>
      <c r="M21">
        <v>3</v>
      </c>
    </row>
    <row r="22" spans="1:13" x14ac:dyDescent="0.25">
      <c r="A22" s="2">
        <v>46156</v>
      </c>
      <c r="B22" s="1" t="str">
        <f ca="1">IF(Información1[[#This Row],[Fecha]]='Ajuste de fechas'!$A$2,"Día actual","Día anterior")</f>
        <v>Día anterior</v>
      </c>
      <c r="C22" t="s">
        <v>37</v>
      </c>
      <c r="D22" t="s">
        <v>38</v>
      </c>
      <c r="E22" t="s">
        <v>132</v>
      </c>
      <c r="F22" t="s">
        <v>133</v>
      </c>
      <c r="G22" t="s">
        <v>134</v>
      </c>
      <c r="H22" t="s">
        <v>11</v>
      </c>
      <c r="I22" t="s">
        <v>7</v>
      </c>
      <c r="J22" t="s">
        <v>48</v>
      </c>
      <c r="K22" t="s">
        <v>39</v>
      </c>
      <c r="L22" t="s">
        <v>51</v>
      </c>
      <c r="M22">
        <v>3</v>
      </c>
    </row>
    <row r="23" spans="1:13" x14ac:dyDescent="0.25">
      <c r="A23" s="2">
        <v>46156</v>
      </c>
      <c r="B23" s="1" t="str">
        <f ca="1">IF(Información1[[#This Row],[Fecha]]='Ajuste de fechas'!$A$2,"Día actual","Día anterior")</f>
        <v>Día anterior</v>
      </c>
      <c r="C23" t="s">
        <v>37</v>
      </c>
      <c r="D23" t="s">
        <v>38</v>
      </c>
      <c r="E23" t="s">
        <v>123</v>
      </c>
      <c r="F23" t="s">
        <v>26</v>
      </c>
      <c r="G23" t="s">
        <v>135</v>
      </c>
      <c r="H23" t="s">
        <v>11</v>
      </c>
      <c r="I23" t="s">
        <v>7</v>
      </c>
      <c r="J23" t="s">
        <v>48</v>
      </c>
      <c r="K23" t="s">
        <v>39</v>
      </c>
      <c r="L23" t="s">
        <v>51</v>
      </c>
      <c r="M23">
        <v>3</v>
      </c>
    </row>
    <row r="24" spans="1:13" x14ac:dyDescent="0.25">
      <c r="A24" s="2">
        <v>46156</v>
      </c>
      <c r="B24" s="1" t="str">
        <f ca="1">IF(Información1[[#This Row],[Fecha]]='Ajuste de fechas'!$A$2,"Día actual","Día anterior")</f>
        <v>Día anterior</v>
      </c>
      <c r="C24" t="s">
        <v>37</v>
      </c>
      <c r="D24" t="s">
        <v>38</v>
      </c>
      <c r="E24" t="s">
        <v>136</v>
      </c>
      <c r="F24" t="s">
        <v>19</v>
      </c>
      <c r="G24" t="s">
        <v>137</v>
      </c>
      <c r="H24" t="s">
        <v>11</v>
      </c>
      <c r="I24" t="s">
        <v>25</v>
      </c>
      <c r="J24" t="s">
        <v>52</v>
      </c>
      <c r="K24" t="s">
        <v>39</v>
      </c>
      <c r="L24" t="s">
        <v>50</v>
      </c>
      <c r="M24">
        <v>1</v>
      </c>
    </row>
    <row r="25" spans="1:13" x14ac:dyDescent="0.25">
      <c r="A25" s="2">
        <v>46156</v>
      </c>
      <c r="B25" s="1" t="str">
        <f ca="1">IF(Información1[[#This Row],[Fecha]]='Ajuste de fechas'!$A$2,"Día actual","Día anterior")</f>
        <v>Día anterior</v>
      </c>
      <c r="C25" t="s">
        <v>37</v>
      </c>
      <c r="D25" t="s">
        <v>38</v>
      </c>
      <c r="E25" t="s">
        <v>138</v>
      </c>
      <c r="F25" t="s">
        <v>67</v>
      </c>
      <c r="G25" t="s">
        <v>137</v>
      </c>
      <c r="H25" t="s">
        <v>11</v>
      </c>
      <c r="I25" t="s">
        <v>7</v>
      </c>
      <c r="J25" t="s">
        <v>24</v>
      </c>
      <c r="K25" t="s">
        <v>39</v>
      </c>
      <c r="L25" t="s">
        <v>49</v>
      </c>
      <c r="M25">
        <v>3</v>
      </c>
    </row>
    <row r="26" spans="1:13" x14ac:dyDescent="0.25">
      <c r="A26" s="2">
        <v>46156</v>
      </c>
      <c r="B26" s="1" t="str">
        <f ca="1">IF(Información1[[#This Row],[Fecha]]='Ajuste de fechas'!$A$2,"Día actual","Día anterior")</f>
        <v>Día anterior</v>
      </c>
      <c r="C26" t="s">
        <v>37</v>
      </c>
      <c r="D26" t="s">
        <v>38</v>
      </c>
      <c r="E26" t="s">
        <v>138</v>
      </c>
      <c r="F26" t="s">
        <v>19</v>
      </c>
      <c r="G26" t="s">
        <v>137</v>
      </c>
      <c r="H26" t="s">
        <v>11</v>
      </c>
      <c r="I26" t="s">
        <v>25</v>
      </c>
      <c r="J26" t="s">
        <v>52</v>
      </c>
      <c r="K26" t="s">
        <v>39</v>
      </c>
      <c r="L26" t="s">
        <v>49</v>
      </c>
      <c r="M26">
        <v>3</v>
      </c>
    </row>
    <row r="27" spans="1:13" x14ac:dyDescent="0.25">
      <c r="A27" s="2">
        <v>46156</v>
      </c>
      <c r="B27" s="1" t="str">
        <f ca="1">IF(Información1[[#This Row],[Fecha]]='Ajuste de fechas'!$A$2,"Día actual","Día anterior")</f>
        <v>Día anterior</v>
      </c>
      <c r="C27" t="s">
        <v>37</v>
      </c>
      <c r="D27" t="s">
        <v>38</v>
      </c>
      <c r="E27" t="s">
        <v>139</v>
      </c>
      <c r="F27" t="s">
        <v>19</v>
      </c>
      <c r="G27" t="s">
        <v>69</v>
      </c>
      <c r="H27" t="s">
        <v>11</v>
      </c>
      <c r="I27" t="s">
        <v>7</v>
      </c>
      <c r="J27" t="s">
        <v>52</v>
      </c>
      <c r="K27" t="s">
        <v>39</v>
      </c>
      <c r="L27" t="s">
        <v>49</v>
      </c>
      <c r="M27">
        <v>3</v>
      </c>
    </row>
    <row r="28" spans="1:13" x14ac:dyDescent="0.25">
      <c r="A28" s="2">
        <v>46156</v>
      </c>
      <c r="B28" s="1" t="str">
        <f ca="1">IF(Información1[[#This Row],[Fecha]]='Ajuste de fechas'!$A$2,"Día actual","Día anterior")</f>
        <v>Día anterior</v>
      </c>
      <c r="C28" t="s">
        <v>37</v>
      </c>
      <c r="D28" t="s">
        <v>38</v>
      </c>
      <c r="E28" t="s">
        <v>140</v>
      </c>
      <c r="F28" t="s">
        <v>19</v>
      </c>
      <c r="H28" t="s">
        <v>11</v>
      </c>
      <c r="I28" t="s">
        <v>25</v>
      </c>
      <c r="J28" t="s">
        <v>52</v>
      </c>
      <c r="K28" t="s">
        <v>39</v>
      </c>
      <c r="L28" t="s">
        <v>50</v>
      </c>
      <c r="M28">
        <v>3</v>
      </c>
    </row>
    <row r="29" spans="1:13" x14ac:dyDescent="0.25">
      <c r="A29" s="2">
        <v>46156</v>
      </c>
      <c r="B29" s="1" t="str">
        <f ca="1">IF(Información1[[#This Row],[Fecha]]='Ajuste de fechas'!$A$2,"Día actual","Día anterior")</f>
        <v>Día anterior</v>
      </c>
      <c r="C29" t="s">
        <v>37</v>
      </c>
      <c r="D29" t="s">
        <v>38</v>
      </c>
      <c r="E29" t="s">
        <v>141</v>
      </c>
      <c r="F29" t="s">
        <v>24</v>
      </c>
      <c r="H29" t="s">
        <v>11</v>
      </c>
      <c r="I29" t="s">
        <v>7</v>
      </c>
      <c r="J29" t="s">
        <v>24</v>
      </c>
      <c r="K29" t="s">
        <v>39</v>
      </c>
      <c r="L29" t="s">
        <v>49</v>
      </c>
      <c r="M29">
        <v>3</v>
      </c>
    </row>
    <row r="30" spans="1:13" x14ac:dyDescent="0.25">
      <c r="A30" s="2">
        <v>46156</v>
      </c>
      <c r="B30" s="1" t="str">
        <f ca="1">IF(Información1[[#This Row],[Fecha]]='Ajuste de fechas'!$A$2,"Día actual","Día anterior")</f>
        <v>Día anterior</v>
      </c>
      <c r="C30" t="s">
        <v>37</v>
      </c>
      <c r="D30" t="s">
        <v>38</v>
      </c>
      <c r="E30" t="s">
        <v>142</v>
      </c>
      <c r="F30" t="s">
        <v>23</v>
      </c>
      <c r="G30" t="s">
        <v>143</v>
      </c>
      <c r="H30" t="s">
        <v>11</v>
      </c>
      <c r="I30" t="s">
        <v>25</v>
      </c>
      <c r="J30" t="s">
        <v>48</v>
      </c>
      <c r="K30" t="s">
        <v>39</v>
      </c>
      <c r="L30" t="s">
        <v>50</v>
      </c>
      <c r="M30">
        <v>3</v>
      </c>
    </row>
    <row r="31" spans="1:13" x14ac:dyDescent="0.25">
      <c r="A31" s="2">
        <v>46156</v>
      </c>
      <c r="B31" s="1" t="str">
        <f ca="1">IF(Información1[[#This Row],[Fecha]]='Ajuste de fechas'!$A$2,"Día actual","Día anterior")</f>
        <v>Día anterior</v>
      </c>
      <c r="C31" t="s">
        <v>37</v>
      </c>
      <c r="D31" t="s">
        <v>38</v>
      </c>
      <c r="E31" t="s">
        <v>144</v>
      </c>
      <c r="F31" t="s">
        <v>26</v>
      </c>
      <c r="G31" t="s">
        <v>80</v>
      </c>
      <c r="H31" t="s">
        <v>11</v>
      </c>
      <c r="I31" t="s">
        <v>7</v>
      </c>
      <c r="J31" t="s">
        <v>48</v>
      </c>
      <c r="K31" t="s">
        <v>39</v>
      </c>
      <c r="L31" t="s">
        <v>49</v>
      </c>
      <c r="M31">
        <v>3</v>
      </c>
    </row>
    <row r="32" spans="1:13" x14ac:dyDescent="0.25">
      <c r="A32" s="2">
        <v>46156</v>
      </c>
      <c r="B32" s="1" t="str">
        <f ca="1">IF(Información1[[#This Row],[Fecha]]='Ajuste de fechas'!$A$2,"Día actual","Día anterior")</f>
        <v>Día anterior</v>
      </c>
      <c r="C32" t="s">
        <v>37</v>
      </c>
      <c r="D32" t="s">
        <v>38</v>
      </c>
      <c r="E32" t="s">
        <v>145</v>
      </c>
      <c r="F32" t="s">
        <v>91</v>
      </c>
      <c r="G32" t="s">
        <v>80</v>
      </c>
      <c r="H32" t="s">
        <v>11</v>
      </c>
      <c r="I32" t="s">
        <v>7</v>
      </c>
      <c r="J32" t="s">
        <v>48</v>
      </c>
      <c r="K32" t="s">
        <v>39</v>
      </c>
      <c r="L32" t="s">
        <v>49</v>
      </c>
      <c r="M32">
        <v>3</v>
      </c>
    </row>
    <row r="33" spans="1:13" x14ac:dyDescent="0.25">
      <c r="A33" s="2">
        <v>46156</v>
      </c>
      <c r="B33" s="1" t="str">
        <f ca="1">IF(Información1[[#This Row],[Fecha]]='Ajuste de fechas'!$A$2,"Día actual","Día anterior")</f>
        <v>Día anterior</v>
      </c>
      <c r="C33" t="s">
        <v>37</v>
      </c>
      <c r="D33" t="s">
        <v>38</v>
      </c>
      <c r="E33" t="s">
        <v>146</v>
      </c>
      <c r="F33" t="s">
        <v>65</v>
      </c>
      <c r="G33" t="s">
        <v>147</v>
      </c>
      <c r="H33" t="s">
        <v>11</v>
      </c>
      <c r="I33" t="s">
        <v>7</v>
      </c>
      <c r="J33" t="s">
        <v>48</v>
      </c>
      <c r="K33" t="s">
        <v>39</v>
      </c>
      <c r="L33" t="s">
        <v>50</v>
      </c>
      <c r="M33">
        <v>3</v>
      </c>
    </row>
    <row r="34" spans="1:13" x14ac:dyDescent="0.25">
      <c r="A34" s="2">
        <v>46156</v>
      </c>
      <c r="B34" s="1" t="str">
        <f ca="1">IF(Información1[[#This Row],[Fecha]]='Ajuste de fechas'!$A$2,"Día actual","Día anterior")</f>
        <v>Día anterior</v>
      </c>
      <c r="C34" t="s">
        <v>37</v>
      </c>
      <c r="D34" t="s">
        <v>38</v>
      </c>
      <c r="E34" t="s">
        <v>148</v>
      </c>
      <c r="F34" t="s">
        <v>15</v>
      </c>
      <c r="G34" t="s">
        <v>130</v>
      </c>
      <c r="H34" t="s">
        <v>11</v>
      </c>
      <c r="I34" t="s">
        <v>25</v>
      </c>
      <c r="J34" t="s">
        <v>48</v>
      </c>
      <c r="K34" t="s">
        <v>39</v>
      </c>
      <c r="L34" t="s">
        <v>50</v>
      </c>
      <c r="M34">
        <v>3</v>
      </c>
    </row>
    <row r="35" spans="1:13" x14ac:dyDescent="0.25">
      <c r="A35" s="2">
        <v>46156</v>
      </c>
      <c r="B35" s="1" t="str">
        <f ca="1">IF(Información1[[#This Row],[Fecha]]='Ajuste de fechas'!$A$2,"Día actual","Día anterior")</f>
        <v>Día anterior</v>
      </c>
      <c r="C35" t="s">
        <v>37</v>
      </c>
      <c r="D35" t="s">
        <v>38</v>
      </c>
      <c r="E35" t="s">
        <v>79</v>
      </c>
      <c r="F35" t="s">
        <v>19</v>
      </c>
      <c r="G35" t="s">
        <v>33</v>
      </c>
      <c r="H35" t="s">
        <v>11</v>
      </c>
      <c r="I35" t="s">
        <v>7</v>
      </c>
      <c r="J35" t="s">
        <v>52</v>
      </c>
      <c r="K35" t="s">
        <v>39</v>
      </c>
      <c r="L35" t="s">
        <v>49</v>
      </c>
      <c r="M35">
        <v>3</v>
      </c>
    </row>
    <row r="36" spans="1:13" x14ac:dyDescent="0.25">
      <c r="A36" s="2">
        <v>46156</v>
      </c>
      <c r="B36" s="1" t="str">
        <f ca="1">IF(Información1[[#This Row],[Fecha]]='Ajuste de fechas'!$A$2,"Día actual","Día anterior")</f>
        <v>Día anterior</v>
      </c>
      <c r="C36" t="s">
        <v>37</v>
      </c>
      <c r="D36" t="s">
        <v>38</v>
      </c>
      <c r="E36" t="s">
        <v>149</v>
      </c>
      <c r="F36" t="s">
        <v>67</v>
      </c>
      <c r="G36" t="s">
        <v>121</v>
      </c>
      <c r="H36" t="s">
        <v>11</v>
      </c>
      <c r="I36" t="s">
        <v>7</v>
      </c>
      <c r="J36" t="s">
        <v>24</v>
      </c>
      <c r="K36" t="s">
        <v>39</v>
      </c>
      <c r="L36" t="s">
        <v>49</v>
      </c>
      <c r="M36">
        <v>3</v>
      </c>
    </row>
    <row r="37" spans="1:13" x14ac:dyDescent="0.25">
      <c r="A37" s="2">
        <v>46156</v>
      </c>
      <c r="B37" s="1" t="str">
        <f ca="1">IF(Información1[[#This Row],[Fecha]]='Ajuste de fechas'!$A$2,"Día actual","Día anterior")</f>
        <v>Día anterior</v>
      </c>
      <c r="C37" t="s">
        <v>37</v>
      </c>
      <c r="D37" t="s">
        <v>38</v>
      </c>
      <c r="E37" t="s">
        <v>150</v>
      </c>
      <c r="F37" t="s">
        <v>19</v>
      </c>
      <c r="G37" t="s">
        <v>92</v>
      </c>
      <c r="H37" t="s">
        <v>11</v>
      </c>
      <c r="I37" t="s">
        <v>7</v>
      </c>
      <c r="J37" t="s">
        <v>52</v>
      </c>
      <c r="K37" t="s">
        <v>39</v>
      </c>
      <c r="L37" t="s">
        <v>49</v>
      </c>
      <c r="M37">
        <v>3</v>
      </c>
    </row>
    <row r="38" spans="1:13" x14ac:dyDescent="0.25">
      <c r="A38" s="2">
        <v>46156</v>
      </c>
      <c r="B38" s="1" t="str">
        <f ca="1">IF(Información1[[#This Row],[Fecha]]='Ajuste de fechas'!$A$2,"Día actual","Día anterior")</f>
        <v>Día anterior</v>
      </c>
      <c r="C38" t="s">
        <v>37</v>
      </c>
      <c r="D38" t="s">
        <v>38</v>
      </c>
      <c r="E38" t="s">
        <v>151</v>
      </c>
      <c r="F38" t="s">
        <v>19</v>
      </c>
      <c r="G38" t="s">
        <v>152</v>
      </c>
      <c r="H38" t="s">
        <v>11</v>
      </c>
      <c r="I38" t="s">
        <v>7</v>
      </c>
      <c r="J38" t="s">
        <v>52</v>
      </c>
      <c r="K38" t="s">
        <v>39</v>
      </c>
      <c r="L38" t="s">
        <v>49</v>
      </c>
      <c r="M38">
        <v>3</v>
      </c>
    </row>
    <row r="39" spans="1:13" x14ac:dyDescent="0.25">
      <c r="A39" s="2">
        <v>46156</v>
      </c>
      <c r="B39" s="1" t="str">
        <f ca="1">IF(Información1[[#This Row],[Fecha]]='Ajuste de fechas'!$A$2,"Día actual","Día anterior")</f>
        <v>Día anterior</v>
      </c>
      <c r="C39" t="s">
        <v>37</v>
      </c>
      <c r="D39" t="s">
        <v>38</v>
      </c>
      <c r="E39" t="s">
        <v>154</v>
      </c>
      <c r="F39" t="s">
        <v>19</v>
      </c>
      <c r="G39" t="s">
        <v>137</v>
      </c>
      <c r="H39" t="s">
        <v>11</v>
      </c>
      <c r="I39" t="s">
        <v>25</v>
      </c>
      <c r="J39" t="s">
        <v>52</v>
      </c>
      <c r="K39" t="s">
        <v>39</v>
      </c>
      <c r="L39" t="s">
        <v>50</v>
      </c>
      <c r="M39">
        <v>2</v>
      </c>
    </row>
    <row r="40" spans="1:13" x14ac:dyDescent="0.25">
      <c r="A40" s="2">
        <v>46156</v>
      </c>
      <c r="B40" s="1" t="str">
        <f ca="1">IF(Información1[[#This Row],[Fecha]]='Ajuste de fechas'!$A$2,"Día actual","Día anterior")</f>
        <v>Día anterior</v>
      </c>
      <c r="C40" t="s">
        <v>34</v>
      </c>
      <c r="D40" t="s">
        <v>35</v>
      </c>
      <c r="E40" t="s">
        <v>109</v>
      </c>
      <c r="F40" t="s">
        <v>19</v>
      </c>
      <c r="G40" t="s">
        <v>155</v>
      </c>
      <c r="H40" t="s">
        <v>32</v>
      </c>
      <c r="I40" t="s">
        <v>25</v>
      </c>
      <c r="J40" t="s">
        <v>52</v>
      </c>
      <c r="K40" t="s">
        <v>9</v>
      </c>
      <c r="L40" t="s">
        <v>50</v>
      </c>
      <c r="M40">
        <v>1</v>
      </c>
    </row>
    <row r="41" spans="1:13" x14ac:dyDescent="0.25">
      <c r="A41" s="2">
        <v>46156</v>
      </c>
      <c r="B41" s="1" t="str">
        <f ca="1">IF(Información1[[#This Row],[Fecha]]='Ajuste de fechas'!$A$2,"Día actual","Día anterior")</f>
        <v>Día anterior</v>
      </c>
      <c r="C41" t="s">
        <v>34</v>
      </c>
      <c r="D41" t="s">
        <v>35</v>
      </c>
      <c r="E41" t="s">
        <v>113</v>
      </c>
      <c r="F41" t="s">
        <v>19</v>
      </c>
      <c r="G41" t="s">
        <v>156</v>
      </c>
      <c r="H41" t="s">
        <v>32</v>
      </c>
      <c r="I41" t="s">
        <v>7</v>
      </c>
      <c r="J41" t="s">
        <v>52</v>
      </c>
      <c r="K41" t="s">
        <v>27</v>
      </c>
      <c r="L41" t="s">
        <v>49</v>
      </c>
      <c r="M41">
        <v>1</v>
      </c>
    </row>
    <row r="42" spans="1:13" x14ac:dyDescent="0.25">
      <c r="A42" s="2">
        <v>46156</v>
      </c>
      <c r="B42" s="1" t="str">
        <f ca="1">IF(Información1[[#This Row],[Fecha]]='Ajuste de fechas'!$A$2,"Día actual","Día anterior")</f>
        <v>Día anterior</v>
      </c>
      <c r="C42" t="s">
        <v>34</v>
      </c>
      <c r="D42" t="s">
        <v>35</v>
      </c>
      <c r="E42" t="s">
        <v>123</v>
      </c>
      <c r="F42" t="s">
        <v>26</v>
      </c>
      <c r="G42" t="s">
        <v>135</v>
      </c>
      <c r="H42" t="s">
        <v>32</v>
      </c>
      <c r="I42" t="s">
        <v>7</v>
      </c>
      <c r="J42" t="s">
        <v>48</v>
      </c>
      <c r="K42" t="s">
        <v>27</v>
      </c>
      <c r="L42" t="s">
        <v>51</v>
      </c>
      <c r="M42">
        <v>1</v>
      </c>
    </row>
    <row r="43" spans="1:13" x14ac:dyDescent="0.25">
      <c r="A43" s="2">
        <v>46156</v>
      </c>
      <c r="B43" s="1" t="str">
        <f ca="1">IF(Información1[[#This Row],[Fecha]]='Ajuste de fechas'!$A$2,"Día actual","Día anterior")</f>
        <v>Día anterior</v>
      </c>
      <c r="C43" t="s">
        <v>93</v>
      </c>
      <c r="D43" t="s">
        <v>94</v>
      </c>
      <c r="E43" t="s">
        <v>157</v>
      </c>
      <c r="F43" t="s">
        <v>19</v>
      </c>
      <c r="G43" t="s">
        <v>81</v>
      </c>
      <c r="H43" t="s">
        <v>11</v>
      </c>
      <c r="I43" t="s">
        <v>7</v>
      </c>
      <c r="J43" t="s">
        <v>52</v>
      </c>
      <c r="K43" t="s">
        <v>97</v>
      </c>
      <c r="L43" t="s">
        <v>49</v>
      </c>
      <c r="M43">
        <v>1</v>
      </c>
    </row>
    <row r="44" spans="1:13" x14ac:dyDescent="0.25">
      <c r="A44" s="2">
        <v>46156</v>
      </c>
      <c r="B44" s="1" t="str">
        <f ca="1">IF(Información1[[#This Row],[Fecha]]='Ajuste de fechas'!$A$2,"Día actual","Día anterior")</f>
        <v>Día anterior</v>
      </c>
      <c r="C44" t="s">
        <v>93</v>
      </c>
      <c r="D44" t="s">
        <v>94</v>
      </c>
      <c r="E44" t="s">
        <v>158</v>
      </c>
      <c r="F44" t="s">
        <v>19</v>
      </c>
      <c r="G44" t="s">
        <v>68</v>
      </c>
      <c r="H44" t="s">
        <v>11</v>
      </c>
      <c r="I44" t="s">
        <v>7</v>
      </c>
      <c r="J44" t="s">
        <v>52</v>
      </c>
      <c r="K44" t="s">
        <v>97</v>
      </c>
      <c r="L44" t="s">
        <v>49</v>
      </c>
      <c r="M44">
        <v>1</v>
      </c>
    </row>
    <row r="45" spans="1:13" x14ac:dyDescent="0.25">
      <c r="A45" s="2">
        <v>46156</v>
      </c>
      <c r="B45" s="1" t="str">
        <f ca="1">IF(Información1[[#This Row],[Fecha]]='Ajuste de fechas'!$A$2,"Día actual","Día anterior")</f>
        <v>Día anterior</v>
      </c>
      <c r="C45" t="s">
        <v>93</v>
      </c>
      <c r="D45" t="s">
        <v>94</v>
      </c>
      <c r="E45" t="s">
        <v>159</v>
      </c>
      <c r="F45" t="s">
        <v>17</v>
      </c>
      <c r="G45" t="s">
        <v>63</v>
      </c>
      <c r="H45" t="s">
        <v>11</v>
      </c>
      <c r="I45" t="s">
        <v>7</v>
      </c>
      <c r="J45" t="s">
        <v>48</v>
      </c>
      <c r="K45" t="s">
        <v>97</v>
      </c>
      <c r="L45" t="s">
        <v>50</v>
      </c>
      <c r="M45">
        <v>1</v>
      </c>
    </row>
    <row r="46" spans="1:13" x14ac:dyDescent="0.25">
      <c r="A46" s="2">
        <v>46156</v>
      </c>
      <c r="B46" s="1" t="str">
        <f ca="1">IF(Información1[[#This Row],[Fecha]]='Ajuste de fechas'!$A$2,"Día actual","Día anterior")</f>
        <v>Día anterior</v>
      </c>
      <c r="C46" t="s">
        <v>99</v>
      </c>
      <c r="D46" t="s">
        <v>100</v>
      </c>
      <c r="E46" t="s">
        <v>120</v>
      </c>
      <c r="F46" t="s">
        <v>67</v>
      </c>
      <c r="G46" t="s">
        <v>121</v>
      </c>
      <c r="H46" t="s">
        <v>11</v>
      </c>
      <c r="I46" t="s">
        <v>7</v>
      </c>
      <c r="J46" t="s">
        <v>24</v>
      </c>
      <c r="K46" t="s">
        <v>102</v>
      </c>
      <c r="L46" t="s">
        <v>49</v>
      </c>
      <c r="M46">
        <v>1</v>
      </c>
    </row>
    <row r="47" spans="1:13" x14ac:dyDescent="0.25">
      <c r="A47" s="2">
        <v>46156</v>
      </c>
      <c r="B47" s="1" t="str">
        <f ca="1">IF(Información1[[#This Row],[Fecha]]='Ajuste de fechas'!$A$2,"Día actual","Día anterior")</f>
        <v>Día anterior</v>
      </c>
      <c r="C47" t="s">
        <v>99</v>
      </c>
      <c r="D47" t="s">
        <v>100</v>
      </c>
      <c r="E47" t="s">
        <v>160</v>
      </c>
      <c r="F47" t="s">
        <v>67</v>
      </c>
      <c r="G47" t="s">
        <v>161</v>
      </c>
      <c r="H47" t="s">
        <v>11</v>
      </c>
      <c r="I47" t="s">
        <v>7</v>
      </c>
      <c r="J47" t="s">
        <v>24</v>
      </c>
      <c r="K47" t="s">
        <v>102</v>
      </c>
      <c r="L47" t="s">
        <v>49</v>
      </c>
      <c r="M47">
        <v>1</v>
      </c>
    </row>
    <row r="48" spans="1:13" x14ac:dyDescent="0.25">
      <c r="A48" s="2">
        <v>46156</v>
      </c>
      <c r="B48" s="1" t="str">
        <f ca="1">IF(Información1[[#This Row],[Fecha]]='Ajuste de fechas'!$A$2,"Día actual","Día anterior")</f>
        <v>Día anterior</v>
      </c>
      <c r="C48" t="s">
        <v>99</v>
      </c>
      <c r="D48" t="s">
        <v>100</v>
      </c>
      <c r="E48" t="s">
        <v>162</v>
      </c>
      <c r="F48" t="s">
        <v>72</v>
      </c>
      <c r="G48" t="s">
        <v>163</v>
      </c>
      <c r="H48" t="s">
        <v>11</v>
      </c>
      <c r="I48" t="s">
        <v>7</v>
      </c>
      <c r="J48" t="s">
        <v>48</v>
      </c>
      <c r="K48" t="s">
        <v>102</v>
      </c>
      <c r="L48" t="s">
        <v>51</v>
      </c>
      <c r="M48">
        <v>1</v>
      </c>
    </row>
    <row r="49" spans="1:13" x14ac:dyDescent="0.25">
      <c r="A49" s="2">
        <v>46156</v>
      </c>
      <c r="B49" s="1" t="str">
        <f ca="1">IF(Información1[[#This Row],[Fecha]]='Ajuste de fechas'!$A$2,"Día actual","Día anterior")</f>
        <v>Día anterior</v>
      </c>
      <c r="C49" t="s">
        <v>99</v>
      </c>
      <c r="D49" t="s">
        <v>100</v>
      </c>
      <c r="E49" t="s">
        <v>164</v>
      </c>
      <c r="F49" t="s">
        <v>133</v>
      </c>
      <c r="G49" t="s">
        <v>134</v>
      </c>
      <c r="H49" t="s">
        <v>11</v>
      </c>
      <c r="I49" t="s">
        <v>7</v>
      </c>
      <c r="J49" t="s">
        <v>48</v>
      </c>
      <c r="K49" t="s">
        <v>102</v>
      </c>
      <c r="L49" t="s">
        <v>51</v>
      </c>
      <c r="M49">
        <v>1</v>
      </c>
    </row>
    <row r="50" spans="1:13" x14ac:dyDescent="0.25">
      <c r="A50" s="2">
        <v>46156</v>
      </c>
      <c r="B50" s="1" t="str">
        <f ca="1">IF(Información1[[#This Row],[Fecha]]='Ajuste de fechas'!$A$2,"Día actual","Día anterior")</f>
        <v>Día anterior</v>
      </c>
      <c r="C50" t="s">
        <v>99</v>
      </c>
      <c r="D50" t="s">
        <v>100</v>
      </c>
      <c r="E50" t="s">
        <v>165</v>
      </c>
      <c r="F50" t="s">
        <v>23</v>
      </c>
      <c r="G50" t="s">
        <v>60</v>
      </c>
      <c r="H50" t="s">
        <v>11</v>
      </c>
      <c r="I50" t="s">
        <v>7</v>
      </c>
      <c r="J50" t="s">
        <v>48</v>
      </c>
      <c r="K50" t="s">
        <v>102</v>
      </c>
      <c r="L50" t="s">
        <v>51</v>
      </c>
      <c r="M50">
        <v>1</v>
      </c>
    </row>
    <row r="51" spans="1:13" x14ac:dyDescent="0.25">
      <c r="A51" s="2">
        <v>46156</v>
      </c>
      <c r="B51" s="1" t="str">
        <f ca="1">IF(Información1[[#This Row],[Fecha]]='Ajuste de fechas'!$A$2,"Día actual","Día anterior")</f>
        <v>Día anterior</v>
      </c>
      <c r="C51" t="s">
        <v>99</v>
      </c>
      <c r="D51" t="s">
        <v>100</v>
      </c>
      <c r="E51" t="s">
        <v>115</v>
      </c>
      <c r="F51" t="s">
        <v>21</v>
      </c>
      <c r="G51" t="s">
        <v>116</v>
      </c>
      <c r="H51" t="s">
        <v>11</v>
      </c>
      <c r="I51" t="s">
        <v>7</v>
      </c>
      <c r="J51" t="s">
        <v>48</v>
      </c>
      <c r="K51" t="s">
        <v>102</v>
      </c>
      <c r="L51" t="s">
        <v>51</v>
      </c>
      <c r="M51">
        <v>1</v>
      </c>
    </row>
    <row r="52" spans="1:13" x14ac:dyDescent="0.25">
      <c r="A52" s="2">
        <v>46156</v>
      </c>
      <c r="B52" s="1" t="str">
        <f ca="1">IF(Información1[[#This Row],[Fecha]]='Ajuste de fechas'!$A$2,"Día actual","Día anterior")</f>
        <v>Día anterior</v>
      </c>
      <c r="C52" t="s">
        <v>99</v>
      </c>
      <c r="D52" t="s">
        <v>100</v>
      </c>
      <c r="E52" t="s">
        <v>166</v>
      </c>
      <c r="F52" t="s">
        <v>15</v>
      </c>
      <c r="G52" t="s">
        <v>130</v>
      </c>
      <c r="H52" t="s">
        <v>11</v>
      </c>
      <c r="I52" t="s">
        <v>7</v>
      </c>
      <c r="J52" t="s">
        <v>48</v>
      </c>
      <c r="K52" t="s">
        <v>102</v>
      </c>
      <c r="L52" t="s">
        <v>51</v>
      </c>
      <c r="M52">
        <v>1</v>
      </c>
    </row>
    <row r="53" spans="1:13" x14ac:dyDescent="0.25">
      <c r="A53" s="2">
        <v>46156</v>
      </c>
      <c r="B53" s="1" t="str">
        <f ca="1">IF(Información1[[#This Row],[Fecha]]='Ajuste de fechas'!$A$2,"Día actual","Día anterior")</f>
        <v>Día anterior</v>
      </c>
      <c r="C53" t="s">
        <v>99</v>
      </c>
      <c r="D53" t="s">
        <v>100</v>
      </c>
      <c r="E53" t="s">
        <v>167</v>
      </c>
      <c r="F53" t="s">
        <v>26</v>
      </c>
      <c r="G53" t="s">
        <v>135</v>
      </c>
      <c r="H53" t="s">
        <v>11</v>
      </c>
      <c r="I53" t="s">
        <v>7</v>
      </c>
      <c r="J53" t="s">
        <v>48</v>
      </c>
      <c r="K53" t="s">
        <v>102</v>
      </c>
      <c r="L53" t="s">
        <v>51</v>
      </c>
      <c r="M53">
        <v>1</v>
      </c>
    </row>
    <row r="54" spans="1:13" x14ac:dyDescent="0.25">
      <c r="A54" s="2">
        <v>46156</v>
      </c>
      <c r="B54" s="1" t="str">
        <f ca="1">IF(Información1[[#This Row],[Fecha]]='Ajuste de fechas'!$A$2,"Día actual","Día anterior")</f>
        <v>Día anterior</v>
      </c>
      <c r="C54" t="s">
        <v>99</v>
      </c>
      <c r="D54" t="s">
        <v>100</v>
      </c>
      <c r="E54" t="s">
        <v>168</v>
      </c>
      <c r="F54" t="s">
        <v>87</v>
      </c>
      <c r="G54" t="s">
        <v>169</v>
      </c>
      <c r="H54" t="s">
        <v>11</v>
      </c>
      <c r="I54" t="s">
        <v>7</v>
      </c>
      <c r="J54" t="s">
        <v>48</v>
      </c>
      <c r="K54" t="s">
        <v>102</v>
      </c>
      <c r="L54" t="s">
        <v>51</v>
      </c>
      <c r="M54">
        <v>1</v>
      </c>
    </row>
    <row r="55" spans="1:13" x14ac:dyDescent="0.25">
      <c r="A55" s="2">
        <v>46156</v>
      </c>
      <c r="B55" s="1" t="str">
        <f ca="1">IF(Información1[[#This Row],[Fecha]]='Ajuste de fechas'!$A$2,"Día actual","Día anterior")</f>
        <v>Día anterior</v>
      </c>
      <c r="C55" t="s">
        <v>99</v>
      </c>
      <c r="D55" t="s">
        <v>100</v>
      </c>
      <c r="E55" t="s">
        <v>170</v>
      </c>
      <c r="F55" t="s">
        <v>87</v>
      </c>
      <c r="G55" t="s">
        <v>171</v>
      </c>
      <c r="H55" t="s">
        <v>11</v>
      </c>
      <c r="I55" t="s">
        <v>7</v>
      </c>
      <c r="J55" t="s">
        <v>48</v>
      </c>
      <c r="K55" t="s">
        <v>102</v>
      </c>
      <c r="L55" t="s">
        <v>51</v>
      </c>
      <c r="M55">
        <v>1</v>
      </c>
    </row>
    <row r="56" spans="1:13" x14ac:dyDescent="0.25">
      <c r="A56" s="2">
        <v>46156</v>
      </c>
      <c r="B56" s="1" t="str">
        <f ca="1">IF(Información1[[#This Row],[Fecha]]='Ajuste de fechas'!$A$2,"Día actual","Día anterior")</f>
        <v>Día anterior</v>
      </c>
      <c r="C56" t="s">
        <v>93</v>
      </c>
      <c r="D56" t="s">
        <v>103</v>
      </c>
      <c r="E56" t="s">
        <v>172</v>
      </c>
      <c r="F56" t="s">
        <v>87</v>
      </c>
      <c r="G56" t="s">
        <v>171</v>
      </c>
      <c r="H56" t="s">
        <v>11</v>
      </c>
      <c r="I56" t="s">
        <v>7</v>
      </c>
      <c r="J56" t="s">
        <v>48</v>
      </c>
      <c r="K56" t="s">
        <v>88</v>
      </c>
      <c r="L56" t="s">
        <v>51</v>
      </c>
      <c r="M56">
        <v>1</v>
      </c>
    </row>
    <row r="57" spans="1:13" x14ac:dyDescent="0.25">
      <c r="A57" s="2">
        <v>46156</v>
      </c>
      <c r="B57" s="1" t="str">
        <f ca="1">IF(Información1[[#This Row],[Fecha]]='Ajuste de fechas'!$A$2,"Día actual","Día anterior")</f>
        <v>Día anterior</v>
      </c>
      <c r="C57" t="s">
        <v>93</v>
      </c>
      <c r="D57" t="s">
        <v>103</v>
      </c>
      <c r="E57" t="s">
        <v>173</v>
      </c>
      <c r="F57" t="s">
        <v>19</v>
      </c>
      <c r="G57" t="s">
        <v>174</v>
      </c>
      <c r="H57" t="s">
        <v>11</v>
      </c>
      <c r="I57" t="s">
        <v>7</v>
      </c>
      <c r="J57" t="s">
        <v>52</v>
      </c>
      <c r="K57" t="s">
        <v>88</v>
      </c>
      <c r="L57" t="s">
        <v>49</v>
      </c>
      <c r="M57">
        <v>1</v>
      </c>
    </row>
    <row r="58" spans="1:13" x14ac:dyDescent="0.25">
      <c r="A58" s="2">
        <v>46156</v>
      </c>
      <c r="B58" s="1" t="str">
        <f ca="1">IF(Información1[[#This Row],[Fecha]]='Ajuste de fechas'!$A$2,"Día actual","Día anterior")</f>
        <v>Día anterior</v>
      </c>
      <c r="C58" t="s">
        <v>93</v>
      </c>
      <c r="D58" t="s">
        <v>103</v>
      </c>
      <c r="E58" t="s">
        <v>175</v>
      </c>
      <c r="F58" t="s">
        <v>19</v>
      </c>
      <c r="G58" t="s">
        <v>176</v>
      </c>
      <c r="H58" t="s">
        <v>11</v>
      </c>
      <c r="I58" t="s">
        <v>7</v>
      </c>
      <c r="J58" t="s">
        <v>52</v>
      </c>
      <c r="K58" t="s">
        <v>88</v>
      </c>
      <c r="L58" t="s">
        <v>49</v>
      </c>
      <c r="M58">
        <v>1</v>
      </c>
    </row>
    <row r="59" spans="1:13" x14ac:dyDescent="0.25">
      <c r="A59" s="2">
        <v>46156</v>
      </c>
      <c r="B59" s="1" t="str">
        <f ca="1">IF(Información1[[#This Row],[Fecha]]='Ajuste de fechas'!$A$2,"Día actual","Día anterior")</f>
        <v>Día anterior</v>
      </c>
      <c r="C59" t="s">
        <v>93</v>
      </c>
      <c r="D59" t="s">
        <v>103</v>
      </c>
      <c r="E59" t="s">
        <v>177</v>
      </c>
      <c r="F59" t="s">
        <v>17</v>
      </c>
      <c r="G59" t="s">
        <v>63</v>
      </c>
      <c r="H59" t="s">
        <v>11</v>
      </c>
      <c r="I59" t="s">
        <v>25</v>
      </c>
      <c r="J59" t="s">
        <v>48</v>
      </c>
      <c r="K59" t="s">
        <v>9</v>
      </c>
      <c r="L59" t="s">
        <v>50</v>
      </c>
      <c r="M59">
        <v>1</v>
      </c>
    </row>
    <row r="60" spans="1:13" x14ac:dyDescent="0.25">
      <c r="A60" s="2">
        <v>46156</v>
      </c>
      <c r="B60" s="1" t="str">
        <f ca="1">IF(Información1[[#This Row],[Fecha]]='Ajuste de fechas'!$A$2,"Día actual","Día anterior")</f>
        <v>Día anterior</v>
      </c>
      <c r="C60" t="s">
        <v>93</v>
      </c>
      <c r="D60" t="s">
        <v>103</v>
      </c>
      <c r="E60" t="s">
        <v>178</v>
      </c>
      <c r="F60" t="s">
        <v>65</v>
      </c>
      <c r="G60" t="s">
        <v>130</v>
      </c>
      <c r="H60" t="s">
        <v>11</v>
      </c>
      <c r="I60" t="s">
        <v>25</v>
      </c>
      <c r="J60" t="s">
        <v>48</v>
      </c>
      <c r="K60" t="s">
        <v>97</v>
      </c>
      <c r="L60" t="s">
        <v>49</v>
      </c>
      <c r="M60">
        <v>1</v>
      </c>
    </row>
    <row r="61" spans="1:13" x14ac:dyDescent="0.25">
      <c r="A61" s="2">
        <v>46156</v>
      </c>
      <c r="B61" s="1" t="str">
        <f ca="1">IF(Información1[[#This Row],[Fecha]]='Ajuste de fechas'!$A$2,"Día actual","Día anterior")</f>
        <v>Día anterior</v>
      </c>
      <c r="C61" t="s">
        <v>93</v>
      </c>
      <c r="D61" t="s">
        <v>103</v>
      </c>
      <c r="E61" t="s">
        <v>178</v>
      </c>
      <c r="F61" t="s">
        <v>15</v>
      </c>
      <c r="G61" t="s">
        <v>130</v>
      </c>
      <c r="H61" t="s">
        <v>11</v>
      </c>
      <c r="I61" t="s">
        <v>25</v>
      </c>
      <c r="J61" t="s">
        <v>48</v>
      </c>
      <c r="K61" t="s">
        <v>97</v>
      </c>
      <c r="L61" t="s">
        <v>49</v>
      </c>
      <c r="M61">
        <v>1</v>
      </c>
    </row>
    <row r="62" spans="1:13" x14ac:dyDescent="0.25">
      <c r="A62" s="2">
        <v>46156</v>
      </c>
      <c r="B62" s="1" t="str">
        <f ca="1">IF(Información1[[#This Row],[Fecha]]='Ajuste de fechas'!$A$2,"Día actual","Día anterior")</f>
        <v>Día anterior</v>
      </c>
      <c r="C62" t="s">
        <v>93</v>
      </c>
      <c r="D62" t="s">
        <v>103</v>
      </c>
      <c r="E62" t="s">
        <v>179</v>
      </c>
      <c r="F62" t="s">
        <v>17</v>
      </c>
      <c r="G62" t="s">
        <v>63</v>
      </c>
      <c r="H62" t="s">
        <v>11</v>
      </c>
      <c r="I62" t="s">
        <v>7</v>
      </c>
      <c r="J62" t="s">
        <v>48</v>
      </c>
      <c r="K62" t="s">
        <v>97</v>
      </c>
      <c r="L62" t="s">
        <v>50</v>
      </c>
      <c r="M62">
        <v>1</v>
      </c>
    </row>
    <row r="63" spans="1:13" x14ac:dyDescent="0.25">
      <c r="A63" s="2">
        <v>46156</v>
      </c>
      <c r="B63" s="1" t="str">
        <f ca="1">IF(Información1[[#This Row],[Fecha]]='Ajuste de fechas'!$A$2,"Día actual","Día anterior")</f>
        <v>Día anterior</v>
      </c>
      <c r="C63" t="s">
        <v>93</v>
      </c>
      <c r="D63" t="s">
        <v>103</v>
      </c>
      <c r="E63" t="s">
        <v>180</v>
      </c>
      <c r="F63" t="s">
        <v>23</v>
      </c>
      <c r="G63" t="s">
        <v>80</v>
      </c>
      <c r="H63" t="s">
        <v>11</v>
      </c>
      <c r="I63" t="s">
        <v>7</v>
      </c>
      <c r="J63" t="s">
        <v>48</v>
      </c>
      <c r="K63" t="s">
        <v>88</v>
      </c>
      <c r="L63" t="s">
        <v>51</v>
      </c>
      <c r="M63">
        <v>1</v>
      </c>
    </row>
    <row r="64" spans="1:13" x14ac:dyDescent="0.25">
      <c r="A64" s="2">
        <v>46156</v>
      </c>
      <c r="B64" s="1" t="str">
        <f ca="1">IF(Información1[[#This Row],[Fecha]]='Ajuste de fechas'!$A$2,"Día actual","Día anterior")</f>
        <v>Día anterior</v>
      </c>
      <c r="C64" t="s">
        <v>93</v>
      </c>
      <c r="D64" t="s">
        <v>103</v>
      </c>
      <c r="E64" t="s">
        <v>181</v>
      </c>
      <c r="F64" t="s">
        <v>91</v>
      </c>
      <c r="G64" t="s">
        <v>80</v>
      </c>
      <c r="H64" t="s">
        <v>11</v>
      </c>
      <c r="I64" t="s">
        <v>7</v>
      </c>
      <c r="J64" t="s">
        <v>48</v>
      </c>
      <c r="K64" t="s">
        <v>88</v>
      </c>
      <c r="L64" t="s">
        <v>51</v>
      </c>
      <c r="M64">
        <v>1</v>
      </c>
    </row>
    <row r="65" spans="1:13" x14ac:dyDescent="0.25">
      <c r="A65" s="2">
        <v>46156</v>
      </c>
      <c r="B65" s="1" t="str">
        <f ca="1">IF(Información1[[#This Row],[Fecha]]='Ajuste de fechas'!$A$2,"Día actual","Día anterior")</f>
        <v>Día anterior</v>
      </c>
      <c r="C65" t="s">
        <v>93</v>
      </c>
      <c r="D65" t="s">
        <v>103</v>
      </c>
      <c r="E65" t="s">
        <v>164</v>
      </c>
      <c r="F65" t="s">
        <v>133</v>
      </c>
      <c r="G65" t="s">
        <v>134</v>
      </c>
      <c r="H65" t="s">
        <v>11</v>
      </c>
      <c r="I65" t="s">
        <v>7</v>
      </c>
      <c r="J65" t="s">
        <v>48</v>
      </c>
      <c r="K65" t="s">
        <v>88</v>
      </c>
      <c r="L65" t="s">
        <v>51</v>
      </c>
      <c r="M65">
        <v>1</v>
      </c>
    </row>
    <row r="66" spans="1:13" x14ac:dyDescent="0.25">
      <c r="A66" s="2">
        <v>46156</v>
      </c>
      <c r="B66" s="1" t="str">
        <f ca="1">IF(Información1[[#This Row],[Fecha]]='Ajuste de fechas'!$A$2,"Día actual","Día anterior")</f>
        <v>Día anterior</v>
      </c>
      <c r="C66" t="s">
        <v>93</v>
      </c>
      <c r="D66" t="s">
        <v>103</v>
      </c>
      <c r="E66" t="s">
        <v>168</v>
      </c>
      <c r="F66" t="s">
        <v>87</v>
      </c>
      <c r="G66" t="s">
        <v>169</v>
      </c>
      <c r="H66" t="s">
        <v>11</v>
      </c>
      <c r="I66" t="s">
        <v>7</v>
      </c>
      <c r="J66" t="s">
        <v>48</v>
      </c>
      <c r="K66" t="s">
        <v>88</v>
      </c>
      <c r="L66" t="s">
        <v>51</v>
      </c>
      <c r="M66">
        <v>1</v>
      </c>
    </row>
    <row r="67" spans="1:13" x14ac:dyDescent="0.25">
      <c r="A67" s="2">
        <v>46156</v>
      </c>
      <c r="B67" s="1" t="str">
        <f ca="1">IF(Información1[[#This Row],[Fecha]]='Ajuste de fechas'!$A$2,"Día actual","Día anterior")</f>
        <v>Día anterior</v>
      </c>
      <c r="C67" t="s">
        <v>93</v>
      </c>
      <c r="D67" t="s">
        <v>103</v>
      </c>
      <c r="E67" t="s">
        <v>165</v>
      </c>
      <c r="F67" t="s">
        <v>23</v>
      </c>
      <c r="G67" t="s">
        <v>60</v>
      </c>
      <c r="H67" t="s">
        <v>11</v>
      </c>
      <c r="I67" t="s">
        <v>7</v>
      </c>
      <c r="J67" t="s">
        <v>48</v>
      </c>
      <c r="K67" t="s">
        <v>88</v>
      </c>
      <c r="L67" t="s">
        <v>51</v>
      </c>
      <c r="M67">
        <v>1</v>
      </c>
    </row>
    <row r="68" spans="1:13" x14ac:dyDescent="0.25">
      <c r="A68" s="2">
        <v>46156</v>
      </c>
      <c r="B68" s="1" t="str">
        <f ca="1">IF(Información1[[#This Row],[Fecha]]='Ajuste de fechas'!$A$2,"Día actual","Día anterior")</f>
        <v>Día anterior</v>
      </c>
      <c r="C68" t="s">
        <v>93</v>
      </c>
      <c r="D68" t="s">
        <v>103</v>
      </c>
      <c r="E68" t="s">
        <v>167</v>
      </c>
      <c r="F68" t="s">
        <v>26</v>
      </c>
      <c r="G68" t="s">
        <v>135</v>
      </c>
      <c r="H68" t="s">
        <v>11</v>
      </c>
      <c r="I68" t="s">
        <v>7</v>
      </c>
      <c r="J68" t="s">
        <v>48</v>
      </c>
      <c r="K68" t="s">
        <v>88</v>
      </c>
      <c r="L68" t="s">
        <v>51</v>
      </c>
      <c r="M68">
        <v>1</v>
      </c>
    </row>
    <row r="69" spans="1:13" x14ac:dyDescent="0.25">
      <c r="A69" s="2">
        <v>46156</v>
      </c>
      <c r="B69" s="1" t="str">
        <f ca="1">IF(Información1[[#This Row],[Fecha]]='Ajuste de fechas'!$A$2,"Día actual","Día anterior")</f>
        <v>Día anterior</v>
      </c>
      <c r="C69" t="s">
        <v>93</v>
      </c>
      <c r="D69" t="s">
        <v>103</v>
      </c>
      <c r="E69" t="s">
        <v>182</v>
      </c>
      <c r="F69" t="s">
        <v>15</v>
      </c>
      <c r="G69" t="s">
        <v>130</v>
      </c>
      <c r="H69" t="s">
        <v>11</v>
      </c>
      <c r="I69" t="s">
        <v>7</v>
      </c>
      <c r="J69" t="s">
        <v>48</v>
      </c>
      <c r="K69" t="s">
        <v>97</v>
      </c>
      <c r="L69" t="s">
        <v>49</v>
      </c>
      <c r="M69">
        <v>1</v>
      </c>
    </row>
    <row r="70" spans="1:13" x14ac:dyDescent="0.25">
      <c r="A70" s="2">
        <v>46156</v>
      </c>
      <c r="B70" s="1" t="str">
        <f ca="1">IF(Información1[[#This Row],[Fecha]]='Ajuste de fechas'!$A$2,"Día actual","Día anterior")</f>
        <v>Día anterior</v>
      </c>
      <c r="C70" t="s">
        <v>93</v>
      </c>
      <c r="D70" t="s">
        <v>103</v>
      </c>
      <c r="E70" t="s">
        <v>183</v>
      </c>
      <c r="F70" t="s">
        <v>21</v>
      </c>
      <c r="G70" t="s">
        <v>153</v>
      </c>
      <c r="H70" t="s">
        <v>11</v>
      </c>
      <c r="I70" t="s">
        <v>12</v>
      </c>
      <c r="J70" t="s">
        <v>48</v>
      </c>
      <c r="K70" t="s">
        <v>88</v>
      </c>
      <c r="L70" t="s">
        <v>54</v>
      </c>
      <c r="M70">
        <v>1</v>
      </c>
    </row>
    <row r="71" spans="1:13" x14ac:dyDescent="0.25">
      <c r="A71" s="2">
        <v>46156</v>
      </c>
      <c r="B71" s="1" t="str">
        <f ca="1">IF(Información1[[#This Row],[Fecha]]='Ajuste de fechas'!$A$2,"Día actual","Día anterior")</f>
        <v>Día anterior</v>
      </c>
      <c r="C71" t="s">
        <v>85</v>
      </c>
      <c r="D71" t="s">
        <v>86</v>
      </c>
      <c r="E71" t="s">
        <v>220</v>
      </c>
      <c r="F71" t="s">
        <v>23</v>
      </c>
      <c r="G71" t="s">
        <v>60</v>
      </c>
      <c r="H71" t="s">
        <v>32</v>
      </c>
      <c r="I71" t="s">
        <v>7</v>
      </c>
      <c r="J71" t="s">
        <v>48</v>
      </c>
      <c r="K71" t="s">
        <v>88</v>
      </c>
      <c r="L71" t="s">
        <v>51</v>
      </c>
      <c r="M71">
        <v>1</v>
      </c>
    </row>
    <row r="72" spans="1:13" x14ac:dyDescent="0.25">
      <c r="A72" s="2">
        <v>46156</v>
      </c>
      <c r="B72" s="1" t="str">
        <f ca="1">IF(Información1[[#This Row],[Fecha]]='Ajuste de fechas'!$A$2,"Día actual","Día anterior")</f>
        <v>Día anterior</v>
      </c>
      <c r="C72" t="s">
        <v>85</v>
      </c>
      <c r="D72" t="s">
        <v>86</v>
      </c>
      <c r="E72" t="s">
        <v>90</v>
      </c>
      <c r="F72" t="s">
        <v>23</v>
      </c>
      <c r="G72" t="s">
        <v>80</v>
      </c>
      <c r="H72" t="s">
        <v>32</v>
      </c>
      <c r="I72" t="s">
        <v>7</v>
      </c>
      <c r="J72" t="s">
        <v>48</v>
      </c>
      <c r="K72" t="s">
        <v>88</v>
      </c>
      <c r="L72" t="s">
        <v>51</v>
      </c>
      <c r="M72">
        <v>1</v>
      </c>
    </row>
    <row r="73" spans="1:13" x14ac:dyDescent="0.25">
      <c r="A73" s="2">
        <v>46156</v>
      </c>
      <c r="B73" s="1" t="str">
        <f ca="1">IF(Información1[[#This Row],[Fecha]]='Ajuste de fechas'!$A$2,"Día actual","Día anterior")</f>
        <v>Día anterior</v>
      </c>
      <c r="C73" t="s">
        <v>85</v>
      </c>
      <c r="D73" t="s">
        <v>86</v>
      </c>
      <c r="E73" t="s">
        <v>96</v>
      </c>
      <c r="F73" t="s">
        <v>91</v>
      </c>
      <c r="G73" t="s">
        <v>80</v>
      </c>
      <c r="H73" t="s">
        <v>32</v>
      </c>
      <c r="I73" t="s">
        <v>7</v>
      </c>
      <c r="J73" t="s">
        <v>48</v>
      </c>
      <c r="K73" t="s">
        <v>88</v>
      </c>
      <c r="L73" t="s">
        <v>51</v>
      </c>
      <c r="M73">
        <v>1</v>
      </c>
    </row>
    <row r="74" spans="1:13" x14ac:dyDescent="0.25">
      <c r="A74" s="2">
        <v>46156</v>
      </c>
      <c r="B74" s="1" t="str">
        <f ca="1">IF(Información1[[#This Row],[Fecha]]='Ajuste de fechas'!$A$2,"Día actual","Día anterior")</f>
        <v>Día anterior</v>
      </c>
      <c r="C74" t="s">
        <v>85</v>
      </c>
      <c r="D74" t="s">
        <v>86</v>
      </c>
      <c r="E74" t="s">
        <v>190</v>
      </c>
      <c r="F74" t="s">
        <v>36</v>
      </c>
      <c r="G74" t="s">
        <v>191</v>
      </c>
      <c r="H74" t="s">
        <v>32</v>
      </c>
      <c r="I74" t="s">
        <v>7</v>
      </c>
      <c r="J74" t="s">
        <v>48</v>
      </c>
      <c r="K74" t="s">
        <v>88</v>
      </c>
      <c r="L74" t="s">
        <v>51</v>
      </c>
      <c r="M74">
        <v>1</v>
      </c>
    </row>
    <row r="75" spans="1:13" x14ac:dyDescent="0.25">
      <c r="A75" s="2">
        <v>46156</v>
      </c>
      <c r="B75" s="1" t="str">
        <f ca="1">IF(Información1[[#This Row],[Fecha]]='Ajuste de fechas'!$A$2,"Día actual","Día anterior")</f>
        <v>Día anterior</v>
      </c>
      <c r="C75" t="s">
        <v>85</v>
      </c>
      <c r="D75" t="s">
        <v>86</v>
      </c>
      <c r="E75" t="s">
        <v>221</v>
      </c>
      <c r="F75" t="s">
        <v>222</v>
      </c>
      <c r="G75" t="s">
        <v>68</v>
      </c>
      <c r="H75" t="s">
        <v>32</v>
      </c>
      <c r="I75" t="s">
        <v>7</v>
      </c>
      <c r="J75" t="s">
        <v>48</v>
      </c>
      <c r="K75" t="s">
        <v>88</v>
      </c>
      <c r="L75" t="s">
        <v>51</v>
      </c>
      <c r="M75">
        <v>1</v>
      </c>
    </row>
    <row r="76" spans="1:13" x14ac:dyDescent="0.25">
      <c r="A76" s="2">
        <v>46156</v>
      </c>
      <c r="B76" s="1" t="str">
        <f ca="1">IF(Información1[[#This Row],[Fecha]]='Ajuste de fechas'!$A$2,"Día actual","Día anterior")</f>
        <v>Día anterior</v>
      </c>
      <c r="C76" t="s">
        <v>85</v>
      </c>
      <c r="D76" t="s">
        <v>86</v>
      </c>
      <c r="E76" t="s">
        <v>223</v>
      </c>
      <c r="F76" t="s">
        <v>19</v>
      </c>
      <c r="G76" t="s">
        <v>224</v>
      </c>
      <c r="H76" t="s">
        <v>32</v>
      </c>
      <c r="I76" t="s">
        <v>7</v>
      </c>
      <c r="J76" t="s">
        <v>52</v>
      </c>
      <c r="K76" t="s">
        <v>88</v>
      </c>
      <c r="L76" t="s">
        <v>49</v>
      </c>
      <c r="M76">
        <v>1</v>
      </c>
    </row>
    <row r="77" spans="1:13" x14ac:dyDescent="0.25">
      <c r="A77" s="2">
        <v>46156</v>
      </c>
      <c r="B77" s="1" t="str">
        <f ca="1">IF(Información1[[#This Row],[Fecha]]='Ajuste de fechas'!$A$2,"Día actual","Día anterior")</f>
        <v>Día anterior</v>
      </c>
      <c r="C77" t="s">
        <v>85</v>
      </c>
      <c r="D77" t="s">
        <v>86</v>
      </c>
      <c r="E77" t="s">
        <v>115</v>
      </c>
      <c r="F77" t="s">
        <v>23</v>
      </c>
      <c r="G77" t="s">
        <v>116</v>
      </c>
      <c r="H77" t="s">
        <v>32</v>
      </c>
      <c r="I77" t="s">
        <v>7</v>
      </c>
      <c r="J77" t="s">
        <v>48</v>
      </c>
      <c r="K77" t="s">
        <v>88</v>
      </c>
      <c r="L77" t="s">
        <v>51</v>
      </c>
      <c r="M77">
        <v>1</v>
      </c>
    </row>
    <row r="78" spans="1:13" x14ac:dyDescent="0.25">
      <c r="A78" s="2">
        <v>46156</v>
      </c>
      <c r="B78" s="1" t="str">
        <f ca="1">IF(Información1[[#This Row],[Fecha]]='Ajuste de fechas'!$A$2,"Día actual","Día anterior")</f>
        <v>Día anterior</v>
      </c>
      <c r="C78" t="s">
        <v>85</v>
      </c>
      <c r="D78" t="s">
        <v>86</v>
      </c>
      <c r="E78" t="s">
        <v>132</v>
      </c>
      <c r="F78" t="s">
        <v>87</v>
      </c>
      <c r="G78" t="s">
        <v>134</v>
      </c>
      <c r="H78" t="s">
        <v>32</v>
      </c>
      <c r="I78" t="s">
        <v>7</v>
      </c>
      <c r="J78" t="s">
        <v>48</v>
      </c>
      <c r="K78" t="s">
        <v>88</v>
      </c>
      <c r="L78" t="s">
        <v>51</v>
      </c>
      <c r="M78">
        <v>1</v>
      </c>
    </row>
    <row r="79" spans="1:13" x14ac:dyDescent="0.25">
      <c r="A79" s="2">
        <v>46156</v>
      </c>
      <c r="B79" s="1" t="str">
        <f ca="1">IF(Información1[[#This Row],[Fecha]]='Ajuste de fechas'!$A$2,"Día actual","Día anterior")</f>
        <v>Día anterior</v>
      </c>
      <c r="C79" t="s">
        <v>85</v>
      </c>
      <c r="D79" t="s">
        <v>86</v>
      </c>
      <c r="E79" t="s">
        <v>225</v>
      </c>
      <c r="F79" t="s">
        <v>226</v>
      </c>
      <c r="G79" t="s">
        <v>227</v>
      </c>
      <c r="H79" t="s">
        <v>32</v>
      </c>
      <c r="I79" t="s">
        <v>7</v>
      </c>
      <c r="J79" t="s">
        <v>48</v>
      </c>
      <c r="K79" t="s">
        <v>88</v>
      </c>
      <c r="L79" t="s">
        <v>51</v>
      </c>
      <c r="M79">
        <v>1</v>
      </c>
    </row>
    <row r="80" spans="1:13" x14ac:dyDescent="0.25">
      <c r="A80" s="2">
        <v>46156</v>
      </c>
      <c r="B80" s="1" t="str">
        <f ca="1">IF(Información1[[#This Row],[Fecha]]='Ajuste de fechas'!$A$2,"Día actual","Día anterior")</f>
        <v>Día anterior</v>
      </c>
      <c r="C80" t="s">
        <v>85</v>
      </c>
      <c r="D80" t="s">
        <v>86</v>
      </c>
      <c r="E80" t="s">
        <v>228</v>
      </c>
      <c r="F80" t="s">
        <v>15</v>
      </c>
      <c r="G80" t="s">
        <v>80</v>
      </c>
      <c r="H80" t="s">
        <v>32</v>
      </c>
      <c r="I80" t="s">
        <v>7</v>
      </c>
      <c r="J80" t="s">
        <v>48</v>
      </c>
      <c r="K80" t="s">
        <v>88</v>
      </c>
      <c r="L80" t="s">
        <v>49</v>
      </c>
      <c r="M80">
        <v>1</v>
      </c>
    </row>
    <row r="81" spans="1:13" x14ac:dyDescent="0.25">
      <c r="A81" s="2">
        <v>46156</v>
      </c>
      <c r="B81" s="1" t="str">
        <f ca="1">IF(Información1[[#This Row],[Fecha]]='Ajuste de fechas'!$A$2,"Día actual","Día anterior")</f>
        <v>Día anterior</v>
      </c>
      <c r="C81" t="s">
        <v>85</v>
      </c>
      <c r="D81" t="s">
        <v>86</v>
      </c>
      <c r="E81" t="s">
        <v>229</v>
      </c>
      <c r="F81" t="s">
        <v>15</v>
      </c>
      <c r="G81" t="s">
        <v>215</v>
      </c>
      <c r="H81" t="s">
        <v>32</v>
      </c>
      <c r="I81" t="s">
        <v>7</v>
      </c>
      <c r="J81" t="s">
        <v>48</v>
      </c>
      <c r="K81" t="s">
        <v>88</v>
      </c>
      <c r="L81" t="s">
        <v>49</v>
      </c>
      <c r="M81">
        <v>1</v>
      </c>
    </row>
    <row r="82" spans="1:13" x14ac:dyDescent="0.25">
      <c r="A82" s="2">
        <v>46156</v>
      </c>
      <c r="B82" s="1" t="str">
        <f ca="1">IF(Información1[[#This Row],[Fecha]]='Ajuste de fechas'!$A$2,"Día actual","Día anterior")</f>
        <v>Día anterior</v>
      </c>
      <c r="C82" t="s">
        <v>85</v>
      </c>
      <c r="D82" t="s">
        <v>86</v>
      </c>
      <c r="E82" t="s">
        <v>123</v>
      </c>
      <c r="F82" t="s">
        <v>26</v>
      </c>
      <c r="G82" t="s">
        <v>135</v>
      </c>
      <c r="H82" t="s">
        <v>32</v>
      </c>
      <c r="I82" t="s">
        <v>7</v>
      </c>
      <c r="J82" t="s">
        <v>48</v>
      </c>
      <c r="K82" t="s">
        <v>88</v>
      </c>
      <c r="L82" t="s">
        <v>51</v>
      </c>
      <c r="M82">
        <v>1</v>
      </c>
    </row>
    <row r="83" spans="1:13" x14ac:dyDescent="0.25">
      <c r="A83" s="2">
        <v>46156</v>
      </c>
      <c r="B83" s="1" t="str">
        <f ca="1">IF(Información1[[#This Row],[Fecha]]='Ajuste de fechas'!$A$2,"Día actual","Día anterior")</f>
        <v>Día anterior</v>
      </c>
      <c r="C83" t="s">
        <v>28</v>
      </c>
      <c r="D83" t="s">
        <v>31</v>
      </c>
      <c r="E83" t="s">
        <v>263</v>
      </c>
      <c r="F83" t="s">
        <v>19</v>
      </c>
      <c r="G83" t="s">
        <v>77</v>
      </c>
      <c r="H83" t="s">
        <v>11</v>
      </c>
      <c r="I83" t="s">
        <v>25</v>
      </c>
      <c r="J83" t="s">
        <v>52</v>
      </c>
      <c r="K83" t="s">
        <v>29</v>
      </c>
      <c r="L83" t="s">
        <v>49</v>
      </c>
      <c r="M83">
        <v>1</v>
      </c>
    </row>
    <row r="84" spans="1:13" x14ac:dyDescent="0.25">
      <c r="A84" s="2">
        <v>46156</v>
      </c>
      <c r="B84" s="1" t="str">
        <f ca="1">IF(Información1[[#This Row],[Fecha]]='Ajuste de fechas'!$A$2,"Día actual","Día anterior")</f>
        <v>Día anterior</v>
      </c>
      <c r="C84" t="s">
        <v>28</v>
      </c>
      <c r="D84" t="s">
        <v>31</v>
      </c>
      <c r="E84" t="s">
        <v>264</v>
      </c>
      <c r="F84" t="s">
        <v>19</v>
      </c>
      <c r="G84" t="s">
        <v>265</v>
      </c>
      <c r="H84" t="s">
        <v>11</v>
      </c>
      <c r="I84" t="s">
        <v>25</v>
      </c>
      <c r="J84" t="s">
        <v>52</v>
      </c>
      <c r="K84" t="s">
        <v>29</v>
      </c>
      <c r="L84" t="s">
        <v>49</v>
      </c>
      <c r="M84">
        <v>1</v>
      </c>
    </row>
    <row r="85" spans="1:13" x14ac:dyDescent="0.25">
      <c r="A85" s="2">
        <v>46156</v>
      </c>
      <c r="B85" s="1" t="str">
        <f ca="1">IF(Información1[[#This Row],[Fecha]]='Ajuste de fechas'!$A$2,"Día actual","Día anterior")</f>
        <v>Día anterior</v>
      </c>
      <c r="C85" t="s">
        <v>28</v>
      </c>
      <c r="D85" t="s">
        <v>31</v>
      </c>
      <c r="E85" t="s">
        <v>266</v>
      </c>
      <c r="F85" t="s">
        <v>23</v>
      </c>
      <c r="G85" t="s">
        <v>89</v>
      </c>
      <c r="H85" t="s">
        <v>11</v>
      </c>
      <c r="I85" t="s">
        <v>7</v>
      </c>
      <c r="J85" t="s">
        <v>48</v>
      </c>
      <c r="K85" t="s">
        <v>29</v>
      </c>
      <c r="L85" t="s">
        <v>49</v>
      </c>
      <c r="M85">
        <v>1</v>
      </c>
    </row>
    <row r="86" spans="1:13" x14ac:dyDescent="0.25">
      <c r="A86" s="2">
        <v>46156</v>
      </c>
      <c r="B86" s="1" t="str">
        <f ca="1">IF(Información1[[#This Row],[Fecha]]='Ajuste de fechas'!$A$2,"Día actual","Día anterior")</f>
        <v>Día anterior</v>
      </c>
      <c r="C86" t="s">
        <v>28</v>
      </c>
      <c r="D86" t="s">
        <v>31</v>
      </c>
      <c r="E86" t="s">
        <v>266</v>
      </c>
      <c r="F86" t="s">
        <v>65</v>
      </c>
      <c r="G86" t="s">
        <v>80</v>
      </c>
      <c r="H86" t="s">
        <v>11</v>
      </c>
      <c r="I86" t="s">
        <v>7</v>
      </c>
      <c r="J86" t="s">
        <v>48</v>
      </c>
      <c r="K86" t="s">
        <v>29</v>
      </c>
      <c r="L86" t="s">
        <v>49</v>
      </c>
      <c r="M86">
        <v>1</v>
      </c>
    </row>
    <row r="87" spans="1:13" x14ac:dyDescent="0.25">
      <c r="A87" s="2">
        <v>46156</v>
      </c>
      <c r="B87" s="1" t="str">
        <f ca="1">IF(Información1[[#This Row],[Fecha]]='Ajuste de fechas'!$A$2,"Día actual","Día anterior")</f>
        <v>Día anterior</v>
      </c>
      <c r="C87" t="s">
        <v>28</v>
      </c>
      <c r="D87" t="s">
        <v>31</v>
      </c>
      <c r="E87" t="s">
        <v>266</v>
      </c>
      <c r="F87" t="s">
        <v>23</v>
      </c>
      <c r="G87" t="s">
        <v>80</v>
      </c>
      <c r="H87" t="s">
        <v>11</v>
      </c>
      <c r="I87" t="s">
        <v>7</v>
      </c>
      <c r="J87" t="s">
        <v>48</v>
      </c>
      <c r="K87" t="s">
        <v>29</v>
      </c>
      <c r="L87" t="s">
        <v>49</v>
      </c>
      <c r="M87">
        <v>1</v>
      </c>
    </row>
    <row r="88" spans="1:13" x14ac:dyDescent="0.25">
      <c r="A88" s="2">
        <v>46156</v>
      </c>
      <c r="B88" s="1" t="str">
        <f ca="1">IF(Información1[[#This Row],[Fecha]]='Ajuste de fechas'!$A$2,"Día actual","Día anterior")</f>
        <v>Día anterior</v>
      </c>
      <c r="C88" t="s">
        <v>28</v>
      </c>
      <c r="D88" t="s">
        <v>31</v>
      </c>
      <c r="E88" t="s">
        <v>267</v>
      </c>
      <c r="F88" t="s">
        <v>19</v>
      </c>
      <c r="G88" t="s">
        <v>268</v>
      </c>
      <c r="H88" t="s">
        <v>11</v>
      </c>
      <c r="I88" t="s">
        <v>7</v>
      </c>
      <c r="J88" t="s">
        <v>52</v>
      </c>
      <c r="K88" t="s">
        <v>29</v>
      </c>
      <c r="L88" t="s">
        <v>49</v>
      </c>
      <c r="M88">
        <v>1</v>
      </c>
    </row>
    <row r="89" spans="1:13" x14ac:dyDescent="0.25">
      <c r="A89" s="2">
        <v>46156</v>
      </c>
      <c r="B89" s="1" t="str">
        <f ca="1">IF(Información1[[#This Row],[Fecha]]='Ajuste de fechas'!$A$2,"Día actual","Día anterior")</f>
        <v>Día anterior</v>
      </c>
      <c r="C89" t="s">
        <v>28</v>
      </c>
      <c r="D89" t="s">
        <v>31</v>
      </c>
      <c r="E89" t="s">
        <v>269</v>
      </c>
      <c r="F89" t="s">
        <v>19</v>
      </c>
      <c r="G89" t="s">
        <v>69</v>
      </c>
      <c r="H89" t="s">
        <v>11</v>
      </c>
      <c r="I89" t="s">
        <v>7</v>
      </c>
      <c r="J89" t="s">
        <v>52</v>
      </c>
      <c r="K89" t="s">
        <v>29</v>
      </c>
      <c r="L89" t="s">
        <v>49</v>
      </c>
      <c r="M89">
        <v>1</v>
      </c>
    </row>
    <row r="90" spans="1:13" x14ac:dyDescent="0.25">
      <c r="A90" s="2">
        <v>46156</v>
      </c>
      <c r="B90" s="1" t="str">
        <f ca="1">IF(Información1[[#This Row],[Fecha]]='Ajuste de fechas'!$A$2,"Día actual","Día anterior")</f>
        <v>Día anterior</v>
      </c>
      <c r="C90" t="s">
        <v>28</v>
      </c>
      <c r="D90" t="s">
        <v>31</v>
      </c>
      <c r="E90" t="s">
        <v>270</v>
      </c>
      <c r="F90" t="s">
        <v>26</v>
      </c>
      <c r="G90" t="s">
        <v>271</v>
      </c>
      <c r="H90" t="s">
        <v>11</v>
      </c>
      <c r="I90" t="s">
        <v>7</v>
      </c>
      <c r="J90" t="s">
        <v>48</v>
      </c>
      <c r="K90" t="s">
        <v>29</v>
      </c>
      <c r="L90" t="s">
        <v>49</v>
      </c>
      <c r="M90">
        <v>1</v>
      </c>
    </row>
    <row r="91" spans="1:13" x14ac:dyDescent="0.25">
      <c r="A91" s="2">
        <v>46156</v>
      </c>
      <c r="B91" s="1" t="str">
        <f ca="1">IF(Información1[[#This Row],[Fecha]]='Ajuste de fechas'!$A$2,"Día actual","Día anterior")</f>
        <v>Día anterior</v>
      </c>
      <c r="C91" t="s">
        <v>28</v>
      </c>
      <c r="D91" t="s">
        <v>31</v>
      </c>
      <c r="E91" t="s">
        <v>272</v>
      </c>
      <c r="F91" t="s">
        <v>26</v>
      </c>
      <c r="G91" t="s">
        <v>273</v>
      </c>
      <c r="H91" t="s">
        <v>11</v>
      </c>
      <c r="I91" t="s">
        <v>7</v>
      </c>
      <c r="J91" t="s">
        <v>48</v>
      </c>
      <c r="K91" t="s">
        <v>29</v>
      </c>
      <c r="L91" t="s">
        <v>49</v>
      </c>
      <c r="M91">
        <v>1</v>
      </c>
    </row>
    <row r="92" spans="1:13" x14ac:dyDescent="0.25">
      <c r="A92" s="2">
        <v>46156</v>
      </c>
      <c r="B92" s="1" t="str">
        <f ca="1">IF(Información1[[#This Row],[Fecha]]='Ajuste de fechas'!$A$2,"Día actual","Día anterior")</f>
        <v>Día anterior</v>
      </c>
      <c r="C92" t="s">
        <v>28</v>
      </c>
      <c r="D92" t="s">
        <v>31</v>
      </c>
      <c r="E92" t="s">
        <v>274</v>
      </c>
      <c r="F92" t="s">
        <v>26</v>
      </c>
      <c r="G92" t="s">
        <v>135</v>
      </c>
      <c r="H92" t="s">
        <v>11</v>
      </c>
      <c r="I92" t="s">
        <v>7</v>
      </c>
      <c r="J92" t="s">
        <v>48</v>
      </c>
      <c r="K92" t="s">
        <v>29</v>
      </c>
      <c r="L92" t="s">
        <v>49</v>
      </c>
      <c r="M92">
        <v>1</v>
      </c>
    </row>
    <row r="93" spans="1:13" x14ac:dyDescent="0.25">
      <c r="A93" s="2">
        <v>46156</v>
      </c>
      <c r="B93" s="1" t="str">
        <f ca="1">IF(Información1[[#This Row],[Fecha]]='Ajuste de fechas'!$A$2,"Día actual","Día anterior")</f>
        <v>Día anterior</v>
      </c>
      <c r="C93" t="s">
        <v>28</v>
      </c>
      <c r="D93" t="s">
        <v>31</v>
      </c>
      <c r="E93" t="s">
        <v>275</v>
      </c>
      <c r="F93" t="s">
        <v>276</v>
      </c>
      <c r="G93" t="s">
        <v>277</v>
      </c>
      <c r="H93" t="s">
        <v>11</v>
      </c>
      <c r="I93" t="s">
        <v>7</v>
      </c>
      <c r="J93" t="s">
        <v>24</v>
      </c>
      <c r="K93" t="s">
        <v>29</v>
      </c>
      <c r="L93" t="s">
        <v>54</v>
      </c>
      <c r="M93">
        <v>1</v>
      </c>
    </row>
    <row r="94" spans="1:13" x14ac:dyDescent="0.25">
      <c r="A94" s="2">
        <v>46156</v>
      </c>
      <c r="B94" s="1" t="str">
        <f ca="1">IF(Información1[[#This Row],[Fecha]]='Ajuste de fechas'!$A$2,"Día actual","Día anterior")</f>
        <v>Día anterior</v>
      </c>
      <c r="C94" t="s">
        <v>59</v>
      </c>
      <c r="D94" t="s">
        <v>61</v>
      </c>
      <c r="E94" t="s">
        <v>190</v>
      </c>
      <c r="F94" t="s">
        <v>36</v>
      </c>
      <c r="G94" t="s">
        <v>191</v>
      </c>
      <c r="H94" t="s">
        <v>11</v>
      </c>
      <c r="I94" t="s">
        <v>7</v>
      </c>
      <c r="J94" t="s">
        <v>48</v>
      </c>
      <c r="K94" t="s">
        <v>62</v>
      </c>
      <c r="L94" t="s">
        <v>51</v>
      </c>
      <c r="M94">
        <v>1</v>
      </c>
    </row>
    <row r="95" spans="1:13" x14ac:dyDescent="0.25">
      <c r="A95" s="2">
        <v>46156</v>
      </c>
      <c r="B95" s="1" t="str">
        <f ca="1">IF(Información1[[#This Row],[Fecha]]='Ajuste de fechas'!$A$2,"Día actual","Día anterior")</f>
        <v>Día anterior</v>
      </c>
      <c r="C95" t="s">
        <v>73</v>
      </c>
      <c r="D95" t="s">
        <v>74</v>
      </c>
      <c r="E95" t="s">
        <v>172</v>
      </c>
      <c r="F95" t="s">
        <v>87</v>
      </c>
      <c r="G95" t="s">
        <v>171</v>
      </c>
      <c r="H95" t="s">
        <v>11</v>
      </c>
      <c r="I95" t="s">
        <v>7</v>
      </c>
      <c r="J95" t="s">
        <v>48</v>
      </c>
      <c r="K95" t="s">
        <v>75</v>
      </c>
      <c r="L95" t="s">
        <v>51</v>
      </c>
      <c r="M95">
        <v>1</v>
      </c>
    </row>
    <row r="96" spans="1:13" x14ac:dyDescent="0.25">
      <c r="A96" s="2">
        <v>46156</v>
      </c>
      <c r="B96" s="1" t="str">
        <f ca="1">IF(Información1[[#This Row],[Fecha]]='Ajuste de fechas'!$A$2,"Día actual","Día anterior")</f>
        <v>Día anterior</v>
      </c>
      <c r="C96" t="s">
        <v>59</v>
      </c>
      <c r="D96" t="s">
        <v>61</v>
      </c>
      <c r="E96" t="s">
        <v>168</v>
      </c>
      <c r="F96" t="s">
        <v>87</v>
      </c>
      <c r="G96" t="s">
        <v>169</v>
      </c>
      <c r="H96" t="s">
        <v>11</v>
      </c>
      <c r="I96" t="s">
        <v>7</v>
      </c>
      <c r="J96" t="s">
        <v>48</v>
      </c>
      <c r="K96" t="s">
        <v>62</v>
      </c>
      <c r="L96" t="s">
        <v>51</v>
      </c>
      <c r="M96">
        <v>1</v>
      </c>
    </row>
    <row r="97" spans="1:13" x14ac:dyDescent="0.25">
      <c r="A97" s="2">
        <v>46157</v>
      </c>
      <c r="B97" s="1" t="str">
        <f ca="1">IF(Información1[[#This Row],[Fecha]]='Ajuste de fechas'!$A$2,"Día actual","Día anterior")</f>
        <v>Día actual</v>
      </c>
      <c r="C97" t="s">
        <v>34</v>
      </c>
      <c r="D97" t="s">
        <v>35</v>
      </c>
      <c r="E97" t="s">
        <v>184</v>
      </c>
      <c r="F97" t="s">
        <v>26</v>
      </c>
      <c r="G97" t="s">
        <v>185</v>
      </c>
      <c r="H97" t="s">
        <v>32</v>
      </c>
      <c r="I97" t="s">
        <v>12</v>
      </c>
      <c r="J97" t="s">
        <v>48</v>
      </c>
      <c r="K97" t="s">
        <v>27</v>
      </c>
      <c r="L97" t="s">
        <v>50</v>
      </c>
      <c r="M97">
        <v>4</v>
      </c>
    </row>
    <row r="98" spans="1:13" x14ac:dyDescent="0.25">
      <c r="A98" s="2">
        <v>46157</v>
      </c>
      <c r="B98" s="1" t="str">
        <f ca="1">IF(Información1[[#This Row],[Fecha]]='Ajuste de fechas'!$A$2,"Día actual","Día anterior")</f>
        <v>Día actual</v>
      </c>
      <c r="C98" t="s">
        <v>34</v>
      </c>
      <c r="D98" t="s">
        <v>35</v>
      </c>
      <c r="E98" t="s">
        <v>186</v>
      </c>
      <c r="F98" t="s">
        <v>65</v>
      </c>
      <c r="G98" t="s">
        <v>118</v>
      </c>
      <c r="H98" t="s">
        <v>32</v>
      </c>
      <c r="I98" t="s">
        <v>25</v>
      </c>
      <c r="J98" t="s">
        <v>48</v>
      </c>
      <c r="K98" t="s">
        <v>27</v>
      </c>
      <c r="L98" t="s">
        <v>49</v>
      </c>
      <c r="M98">
        <v>4</v>
      </c>
    </row>
    <row r="99" spans="1:13" x14ac:dyDescent="0.25">
      <c r="A99" s="2">
        <v>46157</v>
      </c>
      <c r="B99" s="1" t="str">
        <f ca="1">IF(Información1[[#This Row],[Fecha]]='Ajuste de fechas'!$A$2,"Día actual","Día anterior")</f>
        <v>Día actual</v>
      </c>
      <c r="C99" t="s">
        <v>34</v>
      </c>
      <c r="D99" t="s">
        <v>35</v>
      </c>
      <c r="E99" t="s">
        <v>187</v>
      </c>
      <c r="F99" t="s">
        <v>19</v>
      </c>
      <c r="G99" t="s">
        <v>188</v>
      </c>
      <c r="H99" t="s">
        <v>32</v>
      </c>
      <c r="I99" t="s">
        <v>7</v>
      </c>
      <c r="J99" t="s">
        <v>52</v>
      </c>
      <c r="K99" t="s">
        <v>27</v>
      </c>
      <c r="L99" t="s">
        <v>49</v>
      </c>
      <c r="M99">
        <v>4</v>
      </c>
    </row>
    <row r="100" spans="1:13" x14ac:dyDescent="0.25">
      <c r="A100" s="2">
        <v>46157</v>
      </c>
      <c r="B100" s="1" t="str">
        <f ca="1">IF(Información1[[#This Row],[Fecha]]='Ajuste de fechas'!$A$2,"Día actual","Día anterior")</f>
        <v>Día actual</v>
      </c>
      <c r="C100" t="s">
        <v>34</v>
      </c>
      <c r="D100" t="s">
        <v>35</v>
      </c>
      <c r="E100" t="s">
        <v>189</v>
      </c>
      <c r="F100" t="s">
        <v>21</v>
      </c>
      <c r="G100" t="s">
        <v>83</v>
      </c>
      <c r="H100" t="s">
        <v>32</v>
      </c>
      <c r="I100" t="s">
        <v>7</v>
      </c>
      <c r="J100" t="s">
        <v>48</v>
      </c>
      <c r="K100" t="s">
        <v>27</v>
      </c>
      <c r="L100" t="s">
        <v>49</v>
      </c>
      <c r="M100">
        <v>4</v>
      </c>
    </row>
    <row r="101" spans="1:13" x14ac:dyDescent="0.25">
      <c r="A101" s="2">
        <v>46157</v>
      </c>
      <c r="B101" s="1" t="str">
        <f ca="1">IF(Información1[[#This Row],[Fecha]]='Ajuste de fechas'!$A$2,"Día actual","Día anterior")</f>
        <v>Día actual</v>
      </c>
      <c r="C101" t="s">
        <v>34</v>
      </c>
      <c r="D101" t="s">
        <v>35</v>
      </c>
      <c r="E101" t="s">
        <v>190</v>
      </c>
      <c r="F101" t="s">
        <v>36</v>
      </c>
      <c r="G101" t="s">
        <v>191</v>
      </c>
      <c r="H101" t="s">
        <v>32</v>
      </c>
      <c r="I101" t="s">
        <v>7</v>
      </c>
      <c r="J101" t="s">
        <v>48</v>
      </c>
      <c r="K101" t="s">
        <v>27</v>
      </c>
      <c r="L101" t="s">
        <v>51</v>
      </c>
      <c r="M101">
        <v>4</v>
      </c>
    </row>
    <row r="102" spans="1:13" x14ac:dyDescent="0.25">
      <c r="A102" s="2">
        <v>46157</v>
      </c>
      <c r="B102" s="1" t="str">
        <f ca="1">IF(Información1[[#This Row],[Fecha]]='Ajuste de fechas'!$A$2,"Día actual","Día anterior")</f>
        <v>Día actual</v>
      </c>
      <c r="C102" t="s">
        <v>34</v>
      </c>
      <c r="D102" t="s">
        <v>35</v>
      </c>
      <c r="E102" t="s">
        <v>192</v>
      </c>
      <c r="F102" t="s">
        <v>15</v>
      </c>
      <c r="G102" t="s">
        <v>34</v>
      </c>
      <c r="H102" t="s">
        <v>32</v>
      </c>
      <c r="I102" t="s">
        <v>7</v>
      </c>
      <c r="J102" t="s">
        <v>48</v>
      </c>
      <c r="K102" t="s">
        <v>27</v>
      </c>
      <c r="L102" t="s">
        <v>50</v>
      </c>
      <c r="M102">
        <v>4</v>
      </c>
    </row>
    <row r="103" spans="1:13" x14ac:dyDescent="0.25">
      <c r="A103" s="2">
        <v>46157</v>
      </c>
      <c r="B103" s="1" t="str">
        <f ca="1">IF(Información1[[#This Row],[Fecha]]='Ajuste de fechas'!$A$2,"Día actual","Día anterior")</f>
        <v>Día actual</v>
      </c>
      <c r="C103" t="s">
        <v>34</v>
      </c>
      <c r="D103" t="s">
        <v>35</v>
      </c>
      <c r="E103" t="s">
        <v>193</v>
      </c>
      <c r="F103" t="s">
        <v>15</v>
      </c>
      <c r="G103" t="s">
        <v>34</v>
      </c>
      <c r="H103" t="s">
        <v>32</v>
      </c>
      <c r="I103" t="s">
        <v>25</v>
      </c>
      <c r="J103" t="s">
        <v>48</v>
      </c>
      <c r="K103" t="s">
        <v>27</v>
      </c>
      <c r="L103" t="s">
        <v>50</v>
      </c>
      <c r="M103">
        <v>4</v>
      </c>
    </row>
    <row r="104" spans="1:13" x14ac:dyDescent="0.25">
      <c r="A104" s="2">
        <v>46157</v>
      </c>
      <c r="B104" s="1" t="str">
        <f ca="1">IF(Información1[[#This Row],[Fecha]]='Ajuste de fechas'!$A$2,"Día actual","Día anterior")</f>
        <v>Día actual</v>
      </c>
      <c r="C104" t="s">
        <v>34</v>
      </c>
      <c r="D104" t="s">
        <v>35</v>
      </c>
      <c r="E104" t="s">
        <v>194</v>
      </c>
      <c r="F104" t="s">
        <v>15</v>
      </c>
      <c r="G104" t="s">
        <v>58</v>
      </c>
      <c r="H104" t="s">
        <v>32</v>
      </c>
      <c r="I104" t="s">
        <v>25</v>
      </c>
      <c r="J104" t="s">
        <v>48</v>
      </c>
      <c r="K104" t="s">
        <v>27</v>
      </c>
      <c r="L104" t="s">
        <v>50</v>
      </c>
      <c r="M104">
        <v>4</v>
      </c>
    </row>
    <row r="105" spans="1:13" x14ac:dyDescent="0.25">
      <c r="A105" s="2">
        <v>46157</v>
      </c>
      <c r="B105" s="1" t="str">
        <f ca="1">IF(Información1[[#This Row],[Fecha]]='Ajuste de fechas'!$A$2,"Día actual","Día anterior")</f>
        <v>Día actual</v>
      </c>
      <c r="C105" t="s">
        <v>34</v>
      </c>
      <c r="D105" t="s">
        <v>35</v>
      </c>
      <c r="E105" t="s">
        <v>195</v>
      </c>
      <c r="F105" t="s">
        <v>6</v>
      </c>
      <c r="G105" t="s">
        <v>196</v>
      </c>
      <c r="H105" t="s">
        <v>32</v>
      </c>
      <c r="I105" t="s">
        <v>7</v>
      </c>
      <c r="J105" t="s">
        <v>48</v>
      </c>
      <c r="K105" t="s">
        <v>27</v>
      </c>
      <c r="L105" t="s">
        <v>49</v>
      </c>
      <c r="M105">
        <v>4</v>
      </c>
    </row>
    <row r="106" spans="1:13" x14ac:dyDescent="0.25">
      <c r="A106" s="2">
        <v>46157</v>
      </c>
      <c r="B106" s="1" t="str">
        <f ca="1">IF(Información1[[#This Row],[Fecha]]='Ajuste de fechas'!$A$2,"Día actual","Día anterior")</f>
        <v>Día actual</v>
      </c>
      <c r="C106" t="s">
        <v>34</v>
      </c>
      <c r="D106" t="s">
        <v>35</v>
      </c>
      <c r="E106" t="s">
        <v>197</v>
      </c>
      <c r="F106" t="s">
        <v>26</v>
      </c>
      <c r="G106" t="s">
        <v>137</v>
      </c>
      <c r="H106" t="s">
        <v>32</v>
      </c>
      <c r="I106" t="s">
        <v>7</v>
      </c>
      <c r="J106" t="s">
        <v>48</v>
      </c>
      <c r="K106" t="s">
        <v>82</v>
      </c>
      <c r="L106" t="s">
        <v>49</v>
      </c>
      <c r="M106">
        <v>4</v>
      </c>
    </row>
    <row r="107" spans="1:13" x14ac:dyDescent="0.25">
      <c r="A107" s="2">
        <v>46157</v>
      </c>
      <c r="B107" s="1" t="str">
        <f ca="1">IF(Información1[[#This Row],[Fecha]]='Ajuste de fechas'!$A$2,"Día actual","Día anterior")</f>
        <v>Día actual</v>
      </c>
      <c r="C107" t="s">
        <v>34</v>
      </c>
      <c r="D107" t="s">
        <v>35</v>
      </c>
      <c r="E107" t="s">
        <v>198</v>
      </c>
      <c r="F107" t="s">
        <v>17</v>
      </c>
      <c r="H107" t="s">
        <v>32</v>
      </c>
      <c r="I107" t="s">
        <v>7</v>
      </c>
      <c r="J107" t="s">
        <v>48</v>
      </c>
      <c r="K107" t="s">
        <v>82</v>
      </c>
      <c r="L107" t="s">
        <v>49</v>
      </c>
      <c r="M107">
        <v>4</v>
      </c>
    </row>
    <row r="108" spans="1:13" x14ac:dyDescent="0.25">
      <c r="A108" s="2">
        <v>46157</v>
      </c>
      <c r="B108" s="1" t="str">
        <f ca="1">IF(Información1[[#This Row],[Fecha]]='Ajuste de fechas'!$A$2,"Día actual","Día anterior")</f>
        <v>Día actual</v>
      </c>
      <c r="C108" t="s">
        <v>34</v>
      </c>
      <c r="D108" t="s">
        <v>35</v>
      </c>
      <c r="E108" t="s">
        <v>199</v>
      </c>
      <c r="F108" t="s">
        <v>67</v>
      </c>
      <c r="G108" t="s">
        <v>161</v>
      </c>
      <c r="H108" t="s">
        <v>32</v>
      </c>
      <c r="I108" t="s">
        <v>7</v>
      </c>
      <c r="J108" t="s">
        <v>24</v>
      </c>
      <c r="K108" t="s">
        <v>27</v>
      </c>
      <c r="L108" t="s">
        <v>49</v>
      </c>
      <c r="M108">
        <v>4</v>
      </c>
    </row>
    <row r="109" spans="1:13" x14ac:dyDescent="0.25">
      <c r="A109" s="2">
        <v>46157</v>
      </c>
      <c r="B109" s="1" t="str">
        <f ca="1">IF(Información1[[#This Row],[Fecha]]='Ajuste de fechas'!$A$2,"Día actual","Día anterior")</f>
        <v>Día actual</v>
      </c>
      <c r="C109" t="s">
        <v>34</v>
      </c>
      <c r="D109" t="s">
        <v>35</v>
      </c>
      <c r="E109" t="s">
        <v>200</v>
      </c>
      <c r="F109" t="s">
        <v>21</v>
      </c>
      <c r="G109" t="s">
        <v>83</v>
      </c>
      <c r="H109" t="s">
        <v>32</v>
      </c>
      <c r="I109" t="s">
        <v>7</v>
      </c>
      <c r="J109" t="s">
        <v>48</v>
      </c>
      <c r="K109" t="s">
        <v>27</v>
      </c>
      <c r="L109" t="s">
        <v>49</v>
      </c>
      <c r="M109">
        <v>4</v>
      </c>
    </row>
    <row r="110" spans="1:13" x14ac:dyDescent="0.25">
      <c r="A110" s="2">
        <v>46157</v>
      </c>
      <c r="B110" s="1" t="str">
        <f ca="1">IF(Información1[[#This Row],[Fecha]]='Ajuste de fechas'!$A$2,"Día actual","Día anterior")</f>
        <v>Día actual</v>
      </c>
      <c r="C110" t="s">
        <v>34</v>
      </c>
      <c r="D110" t="s">
        <v>35</v>
      </c>
      <c r="E110" t="s">
        <v>201</v>
      </c>
      <c r="F110" t="s">
        <v>26</v>
      </c>
      <c r="G110" t="s">
        <v>83</v>
      </c>
      <c r="H110" t="s">
        <v>32</v>
      </c>
      <c r="I110" t="s">
        <v>7</v>
      </c>
      <c r="J110" t="s">
        <v>48</v>
      </c>
      <c r="K110" t="s">
        <v>27</v>
      </c>
      <c r="L110" t="s">
        <v>49</v>
      </c>
      <c r="M110">
        <v>4</v>
      </c>
    </row>
    <row r="111" spans="1:13" x14ac:dyDescent="0.25">
      <c r="A111" s="2">
        <v>46157</v>
      </c>
      <c r="B111" s="1" t="str">
        <f ca="1">IF(Información1[[#This Row],[Fecha]]='Ajuste de fechas'!$A$2,"Día actual","Día anterior")</f>
        <v>Día actual</v>
      </c>
      <c r="C111" t="s">
        <v>34</v>
      </c>
      <c r="D111" t="s">
        <v>35</v>
      </c>
      <c r="E111" t="s">
        <v>202</v>
      </c>
      <c r="F111" t="s">
        <v>26</v>
      </c>
      <c r="G111" t="s">
        <v>84</v>
      </c>
      <c r="H111" t="s">
        <v>32</v>
      </c>
      <c r="I111" t="s">
        <v>7</v>
      </c>
      <c r="J111" t="s">
        <v>48</v>
      </c>
      <c r="K111" t="s">
        <v>27</v>
      </c>
      <c r="L111" t="s">
        <v>49</v>
      </c>
      <c r="M111">
        <v>4</v>
      </c>
    </row>
    <row r="112" spans="1:13" x14ac:dyDescent="0.25">
      <c r="A112" s="2">
        <v>46157</v>
      </c>
      <c r="B112" s="1" t="str">
        <f ca="1">IF(Información1[[#This Row],[Fecha]]='Ajuste de fechas'!$A$2,"Día actual","Día anterior")</f>
        <v>Día actual</v>
      </c>
      <c r="C112" t="s">
        <v>34</v>
      </c>
      <c r="D112" t="s">
        <v>35</v>
      </c>
      <c r="E112" t="s">
        <v>203</v>
      </c>
      <c r="F112" t="s">
        <v>26</v>
      </c>
      <c r="G112" t="s">
        <v>84</v>
      </c>
      <c r="H112" t="s">
        <v>32</v>
      </c>
      <c r="I112" t="s">
        <v>7</v>
      </c>
      <c r="J112" t="s">
        <v>48</v>
      </c>
      <c r="K112" t="s">
        <v>27</v>
      </c>
      <c r="L112" t="s">
        <v>51</v>
      </c>
      <c r="M112">
        <v>4</v>
      </c>
    </row>
    <row r="113" spans="1:13" x14ac:dyDescent="0.25">
      <c r="A113" s="2">
        <v>46157</v>
      </c>
      <c r="B113" s="1" t="str">
        <f ca="1">IF(Información1[[#This Row],[Fecha]]='Ajuste de fechas'!$A$2,"Día actual","Día anterior")</f>
        <v>Día actual</v>
      </c>
      <c r="C113" t="s">
        <v>37</v>
      </c>
      <c r="D113" t="s">
        <v>38</v>
      </c>
      <c r="E113" t="s">
        <v>204</v>
      </c>
      <c r="F113" t="s">
        <v>19</v>
      </c>
      <c r="G113" t="s">
        <v>101</v>
      </c>
      <c r="H113" t="s">
        <v>11</v>
      </c>
      <c r="I113" t="s">
        <v>25</v>
      </c>
      <c r="J113" t="s">
        <v>52</v>
      </c>
      <c r="K113" t="s">
        <v>39</v>
      </c>
      <c r="L113" t="s">
        <v>49</v>
      </c>
      <c r="M113">
        <v>2</v>
      </c>
    </row>
    <row r="114" spans="1:13" x14ac:dyDescent="0.25">
      <c r="A114" s="2">
        <v>46157</v>
      </c>
      <c r="B114" s="1" t="str">
        <f ca="1">IF(Información1[[#This Row],[Fecha]]='Ajuste de fechas'!$A$2,"Día actual","Día anterior")</f>
        <v>Día actual</v>
      </c>
      <c r="C114" t="s">
        <v>37</v>
      </c>
      <c r="D114" t="s">
        <v>38</v>
      </c>
      <c r="E114" t="s">
        <v>205</v>
      </c>
      <c r="F114" t="s">
        <v>65</v>
      </c>
      <c r="G114" t="s">
        <v>206</v>
      </c>
      <c r="H114" t="s">
        <v>11</v>
      </c>
      <c r="I114" t="s">
        <v>25</v>
      </c>
      <c r="J114" t="s">
        <v>48</v>
      </c>
      <c r="K114" t="s">
        <v>39</v>
      </c>
      <c r="L114" t="s">
        <v>49</v>
      </c>
      <c r="M114">
        <v>2</v>
      </c>
    </row>
    <row r="115" spans="1:13" x14ac:dyDescent="0.25">
      <c r="A115" s="2">
        <v>46157</v>
      </c>
      <c r="B115" s="1" t="str">
        <f ca="1">IF(Información1[[#This Row],[Fecha]]='Ajuste de fechas'!$A$2,"Día actual","Día anterior")</f>
        <v>Día actual</v>
      </c>
      <c r="C115" t="s">
        <v>37</v>
      </c>
      <c r="D115" t="s">
        <v>38</v>
      </c>
      <c r="E115" t="s">
        <v>207</v>
      </c>
      <c r="F115" t="s">
        <v>65</v>
      </c>
      <c r="G115" t="s">
        <v>89</v>
      </c>
      <c r="H115" t="s">
        <v>11</v>
      </c>
      <c r="I115" t="s">
        <v>25</v>
      </c>
      <c r="J115" t="s">
        <v>48</v>
      </c>
      <c r="K115" t="s">
        <v>39</v>
      </c>
      <c r="L115" t="s">
        <v>49</v>
      </c>
      <c r="M115">
        <v>2</v>
      </c>
    </row>
    <row r="116" spans="1:13" x14ac:dyDescent="0.25">
      <c r="A116" s="2">
        <v>46157</v>
      </c>
      <c r="B116" s="1" t="str">
        <f ca="1">IF(Información1[[#This Row],[Fecha]]='Ajuste de fechas'!$A$2,"Día actual","Día anterior")</f>
        <v>Día actual</v>
      </c>
      <c r="C116" t="s">
        <v>37</v>
      </c>
      <c r="D116" t="s">
        <v>38</v>
      </c>
      <c r="E116" t="s">
        <v>208</v>
      </c>
      <c r="F116" t="s">
        <v>65</v>
      </c>
      <c r="G116" t="s">
        <v>77</v>
      </c>
      <c r="H116" t="s">
        <v>11</v>
      </c>
      <c r="I116" t="s">
        <v>25</v>
      </c>
      <c r="J116" t="s">
        <v>48</v>
      </c>
      <c r="K116" t="s">
        <v>39</v>
      </c>
      <c r="L116" t="s">
        <v>49</v>
      </c>
      <c r="M116">
        <v>2</v>
      </c>
    </row>
    <row r="117" spans="1:13" x14ac:dyDescent="0.25">
      <c r="A117" s="2">
        <v>46157</v>
      </c>
      <c r="B117" s="1" t="str">
        <f ca="1">IF(Información1[[#This Row],[Fecha]]='Ajuste de fechas'!$A$2,"Día actual","Día anterior")</f>
        <v>Día actual</v>
      </c>
      <c r="C117" t="s">
        <v>37</v>
      </c>
      <c r="D117" t="s">
        <v>38</v>
      </c>
      <c r="E117" t="s">
        <v>209</v>
      </c>
      <c r="F117" t="s">
        <v>210</v>
      </c>
      <c r="G117" t="s">
        <v>137</v>
      </c>
      <c r="H117" t="s">
        <v>11</v>
      </c>
      <c r="I117" t="s">
        <v>7</v>
      </c>
      <c r="J117" t="s">
        <v>104</v>
      </c>
      <c r="K117" t="s">
        <v>39</v>
      </c>
      <c r="L117" t="s">
        <v>49</v>
      </c>
      <c r="M117">
        <v>2</v>
      </c>
    </row>
    <row r="118" spans="1:13" x14ac:dyDescent="0.25">
      <c r="A118" s="2">
        <v>46157</v>
      </c>
      <c r="B118" s="1" t="str">
        <f ca="1">IF(Información1[[#This Row],[Fecha]]='Ajuste de fechas'!$A$2,"Día actual","Día anterior")</f>
        <v>Día actual</v>
      </c>
      <c r="C118" t="s">
        <v>37</v>
      </c>
      <c r="D118" t="s">
        <v>38</v>
      </c>
      <c r="E118" t="s">
        <v>211</v>
      </c>
      <c r="F118" t="s">
        <v>19</v>
      </c>
      <c r="G118" t="s">
        <v>212</v>
      </c>
      <c r="H118" t="s">
        <v>11</v>
      </c>
      <c r="I118" t="s">
        <v>7</v>
      </c>
      <c r="J118" t="s">
        <v>52</v>
      </c>
      <c r="K118" t="s">
        <v>39</v>
      </c>
      <c r="L118" t="s">
        <v>54</v>
      </c>
      <c r="M118">
        <v>2</v>
      </c>
    </row>
    <row r="119" spans="1:13" x14ac:dyDescent="0.25">
      <c r="A119" s="2">
        <v>46157</v>
      </c>
      <c r="B119" s="1" t="str">
        <f ca="1">IF(Información1[[#This Row],[Fecha]]='Ajuste de fechas'!$A$2,"Día actual","Día anterior")</f>
        <v>Día actual</v>
      </c>
      <c r="C119" t="s">
        <v>37</v>
      </c>
      <c r="D119" t="s">
        <v>38</v>
      </c>
      <c r="E119" t="s">
        <v>213</v>
      </c>
      <c r="F119" t="s">
        <v>67</v>
      </c>
      <c r="G119" t="s">
        <v>161</v>
      </c>
      <c r="H119" t="s">
        <v>11</v>
      </c>
      <c r="I119" t="s">
        <v>7</v>
      </c>
      <c r="J119" t="s">
        <v>24</v>
      </c>
      <c r="K119" t="s">
        <v>39</v>
      </c>
      <c r="L119" t="s">
        <v>49</v>
      </c>
      <c r="M119">
        <v>2</v>
      </c>
    </row>
    <row r="120" spans="1:13" x14ac:dyDescent="0.25">
      <c r="A120" s="2">
        <v>46157</v>
      </c>
      <c r="B120" s="1" t="str">
        <f ca="1">IF(Información1[[#This Row],[Fecha]]='Ajuste de fechas'!$A$2,"Día actual","Día anterior")</f>
        <v>Día actual</v>
      </c>
      <c r="C120" t="s">
        <v>37</v>
      </c>
      <c r="D120" t="s">
        <v>38</v>
      </c>
      <c r="E120" t="s">
        <v>214</v>
      </c>
      <c r="F120" t="s">
        <v>15</v>
      </c>
      <c r="G120" t="s">
        <v>215</v>
      </c>
      <c r="H120" t="s">
        <v>11</v>
      </c>
      <c r="I120" t="s">
        <v>7</v>
      </c>
      <c r="J120" t="s">
        <v>48</v>
      </c>
      <c r="K120" t="s">
        <v>39</v>
      </c>
      <c r="L120" t="s">
        <v>51</v>
      </c>
      <c r="M120">
        <v>2</v>
      </c>
    </row>
    <row r="121" spans="1:13" x14ac:dyDescent="0.25">
      <c r="A121" s="2">
        <v>46157</v>
      </c>
      <c r="B121" s="1" t="str">
        <f ca="1">IF(Información1[[#This Row],[Fecha]]='Ajuste de fechas'!$A$2,"Día actual","Día anterior")</f>
        <v>Día actual</v>
      </c>
      <c r="C121" t="s">
        <v>37</v>
      </c>
      <c r="D121" t="s">
        <v>38</v>
      </c>
      <c r="E121" t="s">
        <v>216</v>
      </c>
      <c r="F121" t="s">
        <v>19</v>
      </c>
      <c r="G121" t="s">
        <v>217</v>
      </c>
      <c r="H121" t="s">
        <v>11</v>
      </c>
      <c r="I121" t="s">
        <v>7</v>
      </c>
      <c r="J121" t="s">
        <v>52</v>
      </c>
      <c r="K121" t="s">
        <v>39</v>
      </c>
      <c r="L121" t="s">
        <v>49</v>
      </c>
      <c r="M121">
        <v>2</v>
      </c>
    </row>
    <row r="122" spans="1:13" x14ac:dyDescent="0.25">
      <c r="A122" s="2">
        <v>46157</v>
      </c>
      <c r="B122" s="1" t="str">
        <f ca="1">IF(Información1[[#This Row],[Fecha]]='Ajuste de fechas'!$A$2,"Día actual","Día anterior")</f>
        <v>Día actual</v>
      </c>
      <c r="C122" t="s">
        <v>37</v>
      </c>
      <c r="D122" t="s">
        <v>38</v>
      </c>
      <c r="E122" t="s">
        <v>79</v>
      </c>
      <c r="F122" t="s">
        <v>19</v>
      </c>
      <c r="G122" t="s">
        <v>33</v>
      </c>
      <c r="H122" t="s">
        <v>11</v>
      </c>
      <c r="I122" t="s">
        <v>7</v>
      </c>
      <c r="J122" t="s">
        <v>52</v>
      </c>
      <c r="K122" t="s">
        <v>39</v>
      </c>
      <c r="L122" t="s">
        <v>49</v>
      </c>
      <c r="M122">
        <v>2</v>
      </c>
    </row>
    <row r="123" spans="1:13" x14ac:dyDescent="0.25">
      <c r="A123" s="2">
        <v>46157</v>
      </c>
      <c r="B123" s="1" t="str">
        <f ca="1">IF(Información1[[#This Row],[Fecha]]='Ajuste de fechas'!$A$2,"Día actual","Día anterior")</f>
        <v>Día actual</v>
      </c>
      <c r="C123" t="s">
        <v>37</v>
      </c>
      <c r="D123" t="s">
        <v>38</v>
      </c>
      <c r="E123" t="s">
        <v>218</v>
      </c>
      <c r="F123" t="s">
        <v>65</v>
      </c>
      <c r="G123" t="s">
        <v>76</v>
      </c>
      <c r="H123" t="s">
        <v>11</v>
      </c>
      <c r="I123" t="s">
        <v>7</v>
      </c>
      <c r="J123" t="s">
        <v>48</v>
      </c>
      <c r="K123" t="s">
        <v>39</v>
      </c>
      <c r="L123" t="s">
        <v>49</v>
      </c>
      <c r="M123">
        <v>2</v>
      </c>
    </row>
    <row r="124" spans="1:13" x14ac:dyDescent="0.25">
      <c r="A124" s="2">
        <v>46157</v>
      </c>
      <c r="B124" s="1" t="str">
        <f ca="1">IF(Información1[[#This Row],[Fecha]]='Ajuste de fechas'!$A$2,"Día actual","Día anterior")</f>
        <v>Día actual</v>
      </c>
      <c r="C124" t="s">
        <v>37</v>
      </c>
      <c r="D124" t="s">
        <v>38</v>
      </c>
      <c r="E124" t="s">
        <v>219</v>
      </c>
      <c r="F124" t="s">
        <v>15</v>
      </c>
      <c r="H124" t="s">
        <v>11</v>
      </c>
      <c r="I124" t="s">
        <v>7</v>
      </c>
      <c r="J124" t="s">
        <v>48</v>
      </c>
      <c r="K124" t="s">
        <v>39</v>
      </c>
      <c r="L124" t="s">
        <v>49</v>
      </c>
      <c r="M124">
        <v>2</v>
      </c>
    </row>
    <row r="125" spans="1:13" x14ac:dyDescent="0.25">
      <c r="A125" s="2">
        <v>46157</v>
      </c>
      <c r="B125" s="1" t="str">
        <f ca="1">IF(Información1[[#This Row],[Fecha]]='Ajuste de fechas'!$A$2,"Día actual","Día anterior")</f>
        <v>Día actual</v>
      </c>
      <c r="C125" t="s">
        <v>93</v>
      </c>
      <c r="D125" t="s">
        <v>94</v>
      </c>
      <c r="E125" t="s">
        <v>230</v>
      </c>
      <c r="F125" t="s">
        <v>22</v>
      </c>
      <c r="G125" t="s">
        <v>231</v>
      </c>
      <c r="H125" t="s">
        <v>11</v>
      </c>
      <c r="I125" t="s">
        <v>7</v>
      </c>
      <c r="J125" t="s">
        <v>53</v>
      </c>
      <c r="K125" t="s">
        <v>97</v>
      </c>
      <c r="L125" t="s">
        <v>49</v>
      </c>
      <c r="M125">
        <v>1</v>
      </c>
    </row>
    <row r="126" spans="1:13" x14ac:dyDescent="0.25">
      <c r="A126" s="2">
        <v>46157</v>
      </c>
      <c r="B126" s="1" t="str">
        <f ca="1">IF(Información1[[#This Row],[Fecha]]='Ajuste de fechas'!$A$2,"Día actual","Día anterior")</f>
        <v>Día actual</v>
      </c>
      <c r="C126" t="s">
        <v>93</v>
      </c>
      <c r="D126" t="s">
        <v>94</v>
      </c>
      <c r="E126" t="s">
        <v>232</v>
      </c>
      <c r="F126" t="s">
        <v>22</v>
      </c>
      <c r="G126" t="s">
        <v>233</v>
      </c>
      <c r="H126" t="s">
        <v>11</v>
      </c>
      <c r="I126" t="s">
        <v>7</v>
      </c>
      <c r="J126" t="s">
        <v>53</v>
      </c>
      <c r="K126" t="s">
        <v>95</v>
      </c>
      <c r="L126" t="s">
        <v>49</v>
      </c>
      <c r="M126">
        <v>1</v>
      </c>
    </row>
    <row r="127" spans="1:13" x14ac:dyDescent="0.25">
      <c r="A127" s="2">
        <v>46157</v>
      </c>
      <c r="B127" s="1" t="str">
        <f ca="1">IF(Información1[[#This Row],[Fecha]]='Ajuste de fechas'!$A$2,"Día actual","Día anterior")</f>
        <v>Día actual</v>
      </c>
      <c r="C127" t="s">
        <v>93</v>
      </c>
      <c r="D127" t="s">
        <v>94</v>
      </c>
      <c r="E127" t="s">
        <v>234</v>
      </c>
      <c r="F127" t="s">
        <v>19</v>
      </c>
      <c r="G127" t="s">
        <v>235</v>
      </c>
      <c r="H127" t="s">
        <v>11</v>
      </c>
      <c r="I127" t="s">
        <v>7</v>
      </c>
      <c r="J127" t="s">
        <v>52</v>
      </c>
      <c r="K127" t="s">
        <v>97</v>
      </c>
      <c r="L127" t="s">
        <v>49</v>
      </c>
      <c r="M127">
        <v>1</v>
      </c>
    </row>
    <row r="128" spans="1:13" x14ac:dyDescent="0.25">
      <c r="A128" s="2">
        <v>46157</v>
      </c>
      <c r="B128" s="1" t="str">
        <f ca="1">IF(Información1[[#This Row],[Fecha]]='Ajuste de fechas'!$A$2,"Día actual","Día anterior")</f>
        <v>Día actual</v>
      </c>
      <c r="C128" t="s">
        <v>99</v>
      </c>
      <c r="D128" t="s">
        <v>100</v>
      </c>
      <c r="E128" t="s">
        <v>214</v>
      </c>
      <c r="F128" t="s">
        <v>15</v>
      </c>
      <c r="G128" t="s">
        <v>215</v>
      </c>
      <c r="H128" t="s">
        <v>11</v>
      </c>
      <c r="I128" t="s">
        <v>7</v>
      </c>
      <c r="J128" t="s">
        <v>48</v>
      </c>
      <c r="K128" t="s">
        <v>102</v>
      </c>
      <c r="L128" t="s">
        <v>51</v>
      </c>
      <c r="M128">
        <v>1</v>
      </c>
    </row>
    <row r="129" spans="1:13" x14ac:dyDescent="0.25">
      <c r="A129" s="2">
        <v>46157</v>
      </c>
      <c r="B129" s="1" t="str">
        <f ca="1">IF(Información1[[#This Row],[Fecha]]='Ajuste de fechas'!$A$2,"Día actual","Día anterior")</f>
        <v>Día actual</v>
      </c>
      <c r="C129" t="s">
        <v>99</v>
      </c>
      <c r="D129" t="s">
        <v>100</v>
      </c>
      <c r="E129" t="s">
        <v>162</v>
      </c>
      <c r="F129" t="s">
        <v>72</v>
      </c>
      <c r="G129" t="s">
        <v>163</v>
      </c>
      <c r="H129" t="s">
        <v>11</v>
      </c>
      <c r="I129" t="s">
        <v>7</v>
      </c>
      <c r="J129" t="s">
        <v>48</v>
      </c>
      <c r="K129" t="s">
        <v>102</v>
      </c>
      <c r="L129" t="s">
        <v>51</v>
      </c>
      <c r="M129">
        <v>1</v>
      </c>
    </row>
    <row r="130" spans="1:13" x14ac:dyDescent="0.25">
      <c r="A130" s="2">
        <v>46157</v>
      </c>
      <c r="B130" s="1" t="str">
        <f ca="1">IF(Información1[[#This Row],[Fecha]]='Ajuste de fechas'!$A$2,"Día actual","Día anterior")</f>
        <v>Día actual</v>
      </c>
      <c r="C130" t="s">
        <v>99</v>
      </c>
      <c r="D130" t="s">
        <v>100</v>
      </c>
      <c r="E130" t="s">
        <v>236</v>
      </c>
      <c r="F130" t="s">
        <v>87</v>
      </c>
      <c r="G130" t="s">
        <v>237</v>
      </c>
      <c r="H130" t="s">
        <v>11</v>
      </c>
      <c r="I130" t="s">
        <v>7</v>
      </c>
      <c r="J130" t="s">
        <v>48</v>
      </c>
      <c r="K130" t="s">
        <v>102</v>
      </c>
      <c r="L130" t="s">
        <v>51</v>
      </c>
      <c r="M130">
        <v>1</v>
      </c>
    </row>
    <row r="131" spans="1:13" x14ac:dyDescent="0.25">
      <c r="A131" s="2">
        <v>46157</v>
      </c>
      <c r="B131" s="1" t="str">
        <f ca="1">IF(Información1[[#This Row],[Fecha]]='Ajuste de fechas'!$A$2,"Día actual","Día anterior")</f>
        <v>Día actual</v>
      </c>
      <c r="C131" t="s">
        <v>99</v>
      </c>
      <c r="D131" t="s">
        <v>100</v>
      </c>
      <c r="E131" t="s">
        <v>238</v>
      </c>
      <c r="F131" t="s">
        <v>15</v>
      </c>
      <c r="G131" t="s">
        <v>80</v>
      </c>
      <c r="H131" t="s">
        <v>11</v>
      </c>
      <c r="I131" t="s">
        <v>7</v>
      </c>
      <c r="J131" t="s">
        <v>48</v>
      </c>
      <c r="K131" t="s">
        <v>102</v>
      </c>
      <c r="L131" t="s">
        <v>49</v>
      </c>
      <c r="M131">
        <v>1</v>
      </c>
    </row>
    <row r="132" spans="1:13" x14ac:dyDescent="0.25">
      <c r="A132" s="2">
        <v>46157</v>
      </c>
      <c r="B132" s="1" t="str">
        <f ca="1">IF(Información1[[#This Row],[Fecha]]='Ajuste de fechas'!$A$2,"Día actual","Día anterior")</f>
        <v>Día actual</v>
      </c>
      <c r="C132" t="s">
        <v>93</v>
      </c>
      <c r="D132" t="s">
        <v>103</v>
      </c>
      <c r="E132" t="s">
        <v>239</v>
      </c>
      <c r="F132" t="s">
        <v>65</v>
      </c>
      <c r="G132" t="s">
        <v>240</v>
      </c>
      <c r="H132" t="s">
        <v>11</v>
      </c>
      <c r="I132" t="s">
        <v>7</v>
      </c>
      <c r="J132" t="s">
        <v>48</v>
      </c>
      <c r="K132" t="s">
        <v>97</v>
      </c>
      <c r="L132" t="s">
        <v>49</v>
      </c>
      <c r="M132">
        <v>1</v>
      </c>
    </row>
    <row r="133" spans="1:13" x14ac:dyDescent="0.25">
      <c r="A133" s="2">
        <v>46157</v>
      </c>
      <c r="B133" s="1" t="str">
        <f ca="1">IF(Información1[[#This Row],[Fecha]]='Ajuste de fechas'!$A$2,"Día actual","Día anterior")</f>
        <v>Día actual</v>
      </c>
      <c r="C133" t="s">
        <v>93</v>
      </c>
      <c r="D133" t="s">
        <v>103</v>
      </c>
      <c r="E133" t="s">
        <v>236</v>
      </c>
      <c r="F133" t="s">
        <v>87</v>
      </c>
      <c r="G133" t="s">
        <v>237</v>
      </c>
      <c r="H133" t="s">
        <v>11</v>
      </c>
      <c r="I133" t="s">
        <v>7</v>
      </c>
      <c r="J133" t="s">
        <v>48</v>
      </c>
      <c r="K133" t="s">
        <v>88</v>
      </c>
      <c r="L133" t="s">
        <v>51</v>
      </c>
      <c r="M133">
        <v>1</v>
      </c>
    </row>
    <row r="134" spans="1:13" x14ac:dyDescent="0.25">
      <c r="A134" s="2">
        <v>46157</v>
      </c>
      <c r="B134" s="1" t="str">
        <f ca="1">IF(Información1[[#This Row],[Fecha]]='Ajuste de fechas'!$A$2,"Día actual","Día anterior")</f>
        <v>Día actual</v>
      </c>
      <c r="C134" t="s">
        <v>93</v>
      </c>
      <c r="D134" t="s">
        <v>103</v>
      </c>
      <c r="E134" t="s">
        <v>241</v>
      </c>
      <c r="F134" t="s">
        <v>242</v>
      </c>
      <c r="G134" t="s">
        <v>243</v>
      </c>
      <c r="H134" t="s">
        <v>11</v>
      </c>
      <c r="I134" t="s">
        <v>7</v>
      </c>
      <c r="J134" t="s">
        <v>48</v>
      </c>
      <c r="K134" t="s">
        <v>88</v>
      </c>
      <c r="L134" t="s">
        <v>51</v>
      </c>
      <c r="M134">
        <v>1</v>
      </c>
    </row>
    <row r="135" spans="1:13" x14ac:dyDescent="0.25">
      <c r="A135" s="2">
        <v>46157</v>
      </c>
      <c r="B135" s="1" t="str">
        <f ca="1">IF(Información1[[#This Row],[Fecha]]='Ajuste de fechas'!$A$2,"Día actual","Día anterior")</f>
        <v>Día actual</v>
      </c>
      <c r="C135" t="s">
        <v>93</v>
      </c>
      <c r="D135" t="s">
        <v>103</v>
      </c>
      <c r="E135" t="s">
        <v>244</v>
      </c>
      <c r="F135" t="s">
        <v>26</v>
      </c>
      <c r="G135" t="s">
        <v>84</v>
      </c>
      <c r="H135" t="s">
        <v>11</v>
      </c>
      <c r="I135" t="s">
        <v>7</v>
      </c>
      <c r="J135" t="s">
        <v>48</v>
      </c>
      <c r="K135" t="s">
        <v>88</v>
      </c>
      <c r="L135" t="s">
        <v>51</v>
      </c>
      <c r="M135">
        <v>1</v>
      </c>
    </row>
    <row r="136" spans="1:13" x14ac:dyDescent="0.25">
      <c r="A136" s="2">
        <v>46157</v>
      </c>
      <c r="B136" s="1" t="str">
        <f ca="1">IF(Información1[[#This Row],[Fecha]]='Ajuste de fechas'!$A$2,"Día actual","Día anterior")</f>
        <v>Día actual</v>
      </c>
      <c r="C136" t="s">
        <v>93</v>
      </c>
      <c r="D136" t="s">
        <v>103</v>
      </c>
      <c r="E136" t="s">
        <v>245</v>
      </c>
      <c r="F136" t="s">
        <v>21</v>
      </c>
      <c r="G136" t="s">
        <v>153</v>
      </c>
      <c r="H136" t="s">
        <v>11</v>
      </c>
      <c r="I136" t="s">
        <v>12</v>
      </c>
      <c r="J136" t="s">
        <v>48</v>
      </c>
      <c r="K136" t="s">
        <v>88</v>
      </c>
      <c r="L136" t="s">
        <v>50</v>
      </c>
      <c r="M136">
        <v>1</v>
      </c>
    </row>
    <row r="137" spans="1:13" x14ac:dyDescent="0.25">
      <c r="A137" s="2">
        <v>46157</v>
      </c>
      <c r="B137" s="1" t="str">
        <f ca="1">IF(Información1[[#This Row],[Fecha]]='Ajuste de fechas'!$A$2,"Día actual","Día anterior")</f>
        <v>Día actual</v>
      </c>
      <c r="C137" t="s">
        <v>93</v>
      </c>
      <c r="D137" t="s">
        <v>103</v>
      </c>
      <c r="E137" t="s">
        <v>199</v>
      </c>
      <c r="F137" t="s">
        <v>67</v>
      </c>
      <c r="G137" t="s">
        <v>246</v>
      </c>
      <c r="H137" t="s">
        <v>11</v>
      </c>
      <c r="I137" t="s">
        <v>7</v>
      </c>
      <c r="J137" t="s">
        <v>24</v>
      </c>
      <c r="K137" t="s">
        <v>88</v>
      </c>
      <c r="L137" t="s">
        <v>49</v>
      </c>
      <c r="M137">
        <v>1</v>
      </c>
    </row>
    <row r="138" spans="1:13" x14ac:dyDescent="0.25">
      <c r="A138" s="2">
        <v>46157</v>
      </c>
      <c r="B138" s="1" t="str">
        <f ca="1">IF(Información1[[#This Row],[Fecha]]='Ajuste de fechas'!$A$2,"Día actual","Día anterior")</f>
        <v>Día actual</v>
      </c>
      <c r="C138" t="s">
        <v>73</v>
      </c>
      <c r="D138" t="s">
        <v>74</v>
      </c>
      <c r="E138" t="s">
        <v>247</v>
      </c>
      <c r="F138" t="s">
        <v>242</v>
      </c>
      <c r="G138" t="s">
        <v>243</v>
      </c>
      <c r="H138" t="s">
        <v>11</v>
      </c>
      <c r="I138" t="s">
        <v>7</v>
      </c>
      <c r="J138" t="s">
        <v>48</v>
      </c>
      <c r="K138" t="s">
        <v>75</v>
      </c>
      <c r="L138" t="s">
        <v>51</v>
      </c>
      <c r="M138">
        <v>1</v>
      </c>
    </row>
    <row r="139" spans="1:13" x14ac:dyDescent="0.25">
      <c r="A139" s="2">
        <v>46157</v>
      </c>
      <c r="B139" s="1" t="str">
        <f ca="1">IF(Información1[[#This Row],[Fecha]]='Ajuste de fechas'!$A$2,"Día actual","Día anterior")</f>
        <v>Día actual</v>
      </c>
      <c r="C139" t="s">
        <v>28</v>
      </c>
      <c r="D139" t="s">
        <v>30</v>
      </c>
      <c r="E139" t="s">
        <v>248</v>
      </c>
      <c r="F139" t="s">
        <v>19</v>
      </c>
      <c r="G139" t="s">
        <v>40</v>
      </c>
      <c r="H139" t="s">
        <v>11</v>
      </c>
      <c r="I139" t="s">
        <v>7</v>
      </c>
      <c r="J139" t="s">
        <v>52</v>
      </c>
      <c r="K139" t="s">
        <v>41</v>
      </c>
      <c r="L139" t="s">
        <v>49</v>
      </c>
      <c r="M139">
        <v>1</v>
      </c>
    </row>
    <row r="140" spans="1:13" x14ac:dyDescent="0.25">
      <c r="A140" s="2">
        <v>46157</v>
      </c>
      <c r="B140" s="1" t="str">
        <f ca="1">IF(Información1[[#This Row],[Fecha]]='Ajuste de fechas'!$A$2,"Día actual","Día anterior")</f>
        <v>Día actual</v>
      </c>
      <c r="C140" t="s">
        <v>28</v>
      </c>
      <c r="D140" t="s">
        <v>30</v>
      </c>
      <c r="E140" t="s">
        <v>249</v>
      </c>
      <c r="F140" t="s">
        <v>250</v>
      </c>
      <c r="G140" t="s">
        <v>105</v>
      </c>
      <c r="H140" t="s">
        <v>11</v>
      </c>
      <c r="I140" t="s">
        <v>7</v>
      </c>
      <c r="J140" t="s">
        <v>251</v>
      </c>
      <c r="K140" t="s">
        <v>41</v>
      </c>
      <c r="L140" t="s">
        <v>49</v>
      </c>
      <c r="M140">
        <v>1</v>
      </c>
    </row>
    <row r="141" spans="1:13" x14ac:dyDescent="0.25">
      <c r="A141" s="2">
        <v>46157</v>
      </c>
      <c r="B141" s="1" t="str">
        <f ca="1">IF(Información1[[#This Row],[Fecha]]='Ajuste de fechas'!$A$2,"Día actual","Día anterior")</f>
        <v>Día actual</v>
      </c>
      <c r="C141" t="s">
        <v>28</v>
      </c>
      <c r="D141" t="s">
        <v>30</v>
      </c>
      <c r="E141" t="s">
        <v>252</v>
      </c>
      <c r="F141" t="s">
        <v>19</v>
      </c>
      <c r="G141" t="s">
        <v>253</v>
      </c>
      <c r="H141" t="s">
        <v>11</v>
      </c>
      <c r="I141" t="s">
        <v>7</v>
      </c>
      <c r="J141" t="s">
        <v>52</v>
      </c>
      <c r="K141" t="s">
        <v>41</v>
      </c>
      <c r="L141" t="s">
        <v>49</v>
      </c>
      <c r="M141">
        <v>1</v>
      </c>
    </row>
    <row r="142" spans="1:13" x14ac:dyDescent="0.25">
      <c r="A142" s="2">
        <v>46157</v>
      </c>
      <c r="B142" s="1" t="str">
        <f ca="1">IF(Información1[[#This Row],[Fecha]]='Ajuste de fechas'!$A$2,"Día actual","Día anterior")</f>
        <v>Día actual</v>
      </c>
      <c r="C142" t="s">
        <v>28</v>
      </c>
      <c r="D142" t="s">
        <v>30</v>
      </c>
      <c r="E142" t="s">
        <v>254</v>
      </c>
      <c r="F142" t="s">
        <v>19</v>
      </c>
      <c r="G142" t="s">
        <v>255</v>
      </c>
      <c r="H142" t="s">
        <v>11</v>
      </c>
      <c r="I142" t="s">
        <v>7</v>
      </c>
      <c r="J142" t="s">
        <v>52</v>
      </c>
      <c r="K142" t="s">
        <v>41</v>
      </c>
      <c r="L142" t="s">
        <v>49</v>
      </c>
      <c r="M142">
        <v>1</v>
      </c>
    </row>
    <row r="143" spans="1:13" x14ac:dyDescent="0.25">
      <c r="A143" s="2">
        <v>46157</v>
      </c>
      <c r="B143" s="1" t="str">
        <f ca="1">IF(Información1[[#This Row],[Fecha]]='Ajuste de fechas'!$A$2,"Día actual","Día anterior")</f>
        <v>Día actual</v>
      </c>
      <c r="C143" t="s">
        <v>28</v>
      </c>
      <c r="D143" t="s">
        <v>30</v>
      </c>
      <c r="E143" t="s">
        <v>256</v>
      </c>
      <c r="F143" t="s">
        <v>242</v>
      </c>
      <c r="G143" t="s">
        <v>243</v>
      </c>
      <c r="H143" t="s">
        <v>11</v>
      </c>
      <c r="I143" t="s">
        <v>7</v>
      </c>
      <c r="J143" t="s">
        <v>48</v>
      </c>
      <c r="K143" t="s">
        <v>41</v>
      </c>
      <c r="L143" t="s">
        <v>51</v>
      </c>
      <c r="M143">
        <v>1</v>
      </c>
    </row>
    <row r="144" spans="1:13" x14ac:dyDescent="0.25">
      <c r="A144" s="2">
        <v>46157</v>
      </c>
      <c r="B144" s="1" t="str">
        <f ca="1">IF(Información1[[#This Row],[Fecha]]='Ajuste de fechas'!$A$2,"Día actual","Día anterior")</f>
        <v>Día actual</v>
      </c>
      <c r="C144" t="s">
        <v>28</v>
      </c>
      <c r="D144" t="s">
        <v>30</v>
      </c>
      <c r="E144" t="s">
        <v>257</v>
      </c>
      <c r="F144" t="s">
        <v>22</v>
      </c>
      <c r="G144" t="s">
        <v>258</v>
      </c>
      <c r="H144" t="s">
        <v>11</v>
      </c>
      <c r="I144" t="s">
        <v>7</v>
      </c>
      <c r="J144" t="s">
        <v>53</v>
      </c>
      <c r="K144" t="s">
        <v>41</v>
      </c>
      <c r="L144" t="s">
        <v>49</v>
      </c>
      <c r="M144">
        <v>1</v>
      </c>
    </row>
    <row r="145" spans="1:13" x14ac:dyDescent="0.25">
      <c r="A145" s="2">
        <v>46157</v>
      </c>
      <c r="B145" s="1" t="str">
        <f ca="1">IF(Información1[[#This Row],[Fecha]]='Ajuste de fechas'!$A$2,"Día actual","Día anterior")</f>
        <v>Día actual</v>
      </c>
      <c r="C145" t="s">
        <v>28</v>
      </c>
      <c r="D145" t="s">
        <v>30</v>
      </c>
      <c r="E145" t="s">
        <v>259</v>
      </c>
      <c r="F145" t="s">
        <v>26</v>
      </c>
      <c r="G145" t="s">
        <v>80</v>
      </c>
      <c r="H145" t="s">
        <v>11</v>
      </c>
      <c r="I145" t="s">
        <v>7</v>
      </c>
      <c r="J145" t="s">
        <v>48</v>
      </c>
      <c r="K145" t="s">
        <v>41</v>
      </c>
      <c r="L145" t="s">
        <v>49</v>
      </c>
      <c r="M145">
        <v>1</v>
      </c>
    </row>
    <row r="146" spans="1:13" x14ac:dyDescent="0.25">
      <c r="A146" s="2">
        <v>46157</v>
      </c>
      <c r="B146" s="1" t="str">
        <f ca="1">IF(Información1[[#This Row],[Fecha]]='Ajuste de fechas'!$A$2,"Día actual","Día anterior")</f>
        <v>Día actual</v>
      </c>
      <c r="C146" t="s">
        <v>28</v>
      </c>
      <c r="D146" t="s">
        <v>30</v>
      </c>
      <c r="E146" t="s">
        <v>260</v>
      </c>
      <c r="F146" t="s">
        <v>26</v>
      </c>
      <c r="G146" t="s">
        <v>84</v>
      </c>
      <c r="H146" t="s">
        <v>11</v>
      </c>
      <c r="I146" t="s">
        <v>7</v>
      </c>
      <c r="J146" t="s">
        <v>48</v>
      </c>
      <c r="K146" t="s">
        <v>41</v>
      </c>
      <c r="L146" t="s">
        <v>49</v>
      </c>
      <c r="M146">
        <v>1</v>
      </c>
    </row>
    <row r="147" spans="1:13" x14ac:dyDescent="0.25">
      <c r="A147" s="2">
        <v>46157</v>
      </c>
      <c r="B147" s="1" t="str">
        <f ca="1">IF(Información1[[#This Row],[Fecha]]='Ajuste de fechas'!$A$2,"Día actual","Día anterior")</f>
        <v>Día actual</v>
      </c>
      <c r="C147" t="s">
        <v>28</v>
      </c>
      <c r="D147" t="s">
        <v>30</v>
      </c>
      <c r="E147" t="s">
        <v>236</v>
      </c>
      <c r="F147" t="s">
        <v>87</v>
      </c>
      <c r="G147" t="s">
        <v>237</v>
      </c>
      <c r="H147" t="s">
        <v>11</v>
      </c>
      <c r="I147" t="s">
        <v>7</v>
      </c>
      <c r="J147" t="s">
        <v>48</v>
      </c>
      <c r="K147" t="s">
        <v>41</v>
      </c>
      <c r="L147" t="s">
        <v>51</v>
      </c>
      <c r="M147">
        <v>1</v>
      </c>
    </row>
    <row r="148" spans="1:13" x14ac:dyDescent="0.25">
      <c r="A148" s="2">
        <v>46157</v>
      </c>
      <c r="B148" s="1" t="str">
        <f ca="1">IF(Información1[[#This Row],[Fecha]]='Ajuste de fechas'!$A$2,"Día actual","Día anterior")</f>
        <v>Día actual</v>
      </c>
      <c r="C148" t="s">
        <v>28</v>
      </c>
      <c r="D148" t="s">
        <v>30</v>
      </c>
      <c r="E148" t="s">
        <v>261</v>
      </c>
      <c r="F148" t="s">
        <v>21</v>
      </c>
      <c r="G148" t="s">
        <v>83</v>
      </c>
      <c r="H148" t="s">
        <v>11</v>
      </c>
      <c r="I148" t="s">
        <v>7</v>
      </c>
      <c r="J148" t="s">
        <v>48</v>
      </c>
      <c r="K148" t="s">
        <v>41</v>
      </c>
      <c r="L148" t="s">
        <v>49</v>
      </c>
      <c r="M148">
        <v>1</v>
      </c>
    </row>
    <row r="149" spans="1:13" x14ac:dyDescent="0.25">
      <c r="A149" s="2">
        <v>46157</v>
      </c>
      <c r="B149" s="1" t="str">
        <f ca="1">IF(Información1[[#This Row],[Fecha]]='Ajuste de fechas'!$A$2,"Día actual","Día anterior")</f>
        <v>Día actual</v>
      </c>
      <c r="C149" t="s">
        <v>28</v>
      </c>
      <c r="D149" t="s">
        <v>30</v>
      </c>
      <c r="E149" t="s">
        <v>262</v>
      </c>
      <c r="F149" t="s">
        <v>26</v>
      </c>
      <c r="G149" t="s">
        <v>83</v>
      </c>
      <c r="H149" t="s">
        <v>11</v>
      </c>
      <c r="I149" t="s">
        <v>7</v>
      </c>
      <c r="J149" t="s">
        <v>48</v>
      </c>
      <c r="K149" t="s">
        <v>41</v>
      </c>
      <c r="L149" t="s">
        <v>49</v>
      </c>
      <c r="M149">
        <v>1</v>
      </c>
    </row>
    <row r="150" spans="1:13" x14ac:dyDescent="0.25">
      <c r="A150" s="2">
        <v>46157</v>
      </c>
      <c r="B150" s="1" t="str">
        <f ca="1">IF(Información1[[#This Row],[Fecha]]='Ajuste de fechas'!$A$2,"Día actual","Día anterior")</f>
        <v>Día actual</v>
      </c>
      <c r="C150" t="s">
        <v>28</v>
      </c>
      <c r="D150" t="s">
        <v>31</v>
      </c>
      <c r="E150" t="s">
        <v>278</v>
      </c>
      <c r="F150" t="s">
        <v>17</v>
      </c>
      <c r="G150" t="s">
        <v>279</v>
      </c>
      <c r="H150" t="s">
        <v>11</v>
      </c>
      <c r="I150" t="s">
        <v>25</v>
      </c>
      <c r="J150" t="s">
        <v>48</v>
      </c>
      <c r="K150" t="s">
        <v>29</v>
      </c>
      <c r="L150" t="s">
        <v>49</v>
      </c>
      <c r="M150">
        <v>1</v>
      </c>
    </row>
    <row r="151" spans="1:13" x14ac:dyDescent="0.25">
      <c r="A151" s="2">
        <v>46157</v>
      </c>
      <c r="B151" s="1" t="str">
        <f ca="1">IF(Información1[[#This Row],[Fecha]]='Ajuste de fechas'!$A$2,"Día actual","Día anterior")</f>
        <v>Día actual</v>
      </c>
      <c r="C151" t="s">
        <v>28</v>
      </c>
      <c r="D151" t="s">
        <v>31</v>
      </c>
      <c r="E151" t="s">
        <v>280</v>
      </c>
      <c r="F151" t="s">
        <v>281</v>
      </c>
      <c r="G151" t="s">
        <v>282</v>
      </c>
      <c r="H151" t="s">
        <v>11</v>
      </c>
      <c r="I151" t="s">
        <v>7</v>
      </c>
      <c r="J151" t="s">
        <v>48</v>
      </c>
      <c r="K151" t="s">
        <v>29</v>
      </c>
      <c r="L151" t="s">
        <v>49</v>
      </c>
      <c r="M151">
        <v>1</v>
      </c>
    </row>
    <row r="152" spans="1:13" x14ac:dyDescent="0.25">
      <c r="A152" s="2">
        <v>46157</v>
      </c>
      <c r="B152" s="1" t="str">
        <f ca="1">IF(Información1[[#This Row],[Fecha]]='Ajuste de fechas'!$A$2,"Día actual","Día anterior")</f>
        <v>Día actual</v>
      </c>
      <c r="C152" t="s">
        <v>28</v>
      </c>
      <c r="D152" t="s">
        <v>31</v>
      </c>
      <c r="E152" t="s">
        <v>283</v>
      </c>
      <c r="F152" t="s">
        <v>15</v>
      </c>
      <c r="G152" t="s">
        <v>215</v>
      </c>
      <c r="H152" t="s">
        <v>11</v>
      </c>
      <c r="I152" t="s">
        <v>7</v>
      </c>
      <c r="J152" t="s">
        <v>48</v>
      </c>
      <c r="K152" t="s">
        <v>29</v>
      </c>
      <c r="L152" t="s">
        <v>49</v>
      </c>
      <c r="M152">
        <v>1</v>
      </c>
    </row>
    <row r="153" spans="1:13" x14ac:dyDescent="0.25">
      <c r="A153" s="2">
        <v>46157</v>
      </c>
      <c r="B153" s="1" t="str">
        <f ca="1">IF(Información1[[#This Row],[Fecha]]='Ajuste de fechas'!$A$2,"Día actual","Día anterior")</f>
        <v>Día actual</v>
      </c>
      <c r="C153" t="s">
        <v>28</v>
      </c>
      <c r="D153" t="s">
        <v>31</v>
      </c>
      <c r="E153" t="s">
        <v>284</v>
      </c>
      <c r="F153" t="s">
        <v>87</v>
      </c>
      <c r="G153" t="s">
        <v>171</v>
      </c>
      <c r="H153" t="s">
        <v>11</v>
      </c>
      <c r="I153" t="s">
        <v>7</v>
      </c>
      <c r="J153" t="s">
        <v>48</v>
      </c>
      <c r="K153" t="s">
        <v>29</v>
      </c>
      <c r="L153" t="s">
        <v>49</v>
      </c>
      <c r="M153">
        <v>1</v>
      </c>
    </row>
    <row r="154" spans="1:13" x14ac:dyDescent="0.25">
      <c r="A154" s="2">
        <v>46157</v>
      </c>
      <c r="B154" s="1" t="str">
        <f ca="1">IF(Información1[[#This Row],[Fecha]]='Ajuste de fechas'!$A$2,"Día actual","Día anterior")</f>
        <v>Día actual</v>
      </c>
      <c r="C154" t="s">
        <v>28</v>
      </c>
      <c r="D154" t="s">
        <v>31</v>
      </c>
      <c r="E154" t="s">
        <v>285</v>
      </c>
      <c r="F154" t="s">
        <v>87</v>
      </c>
      <c r="G154" t="s">
        <v>237</v>
      </c>
      <c r="H154" t="s">
        <v>11</v>
      </c>
      <c r="I154" t="s">
        <v>7</v>
      </c>
      <c r="J154" t="s">
        <v>48</v>
      </c>
      <c r="K154" t="s">
        <v>29</v>
      </c>
      <c r="L154" t="s">
        <v>49</v>
      </c>
      <c r="M154">
        <v>1</v>
      </c>
    </row>
    <row r="155" spans="1:13" x14ac:dyDescent="0.25">
      <c r="A155" s="2">
        <v>46157</v>
      </c>
      <c r="B155" s="1" t="str">
        <f ca="1">IF(Información1[[#This Row],[Fecha]]='Ajuste de fechas'!$A$2,"Día actual","Día anterior")</f>
        <v>Día actual</v>
      </c>
      <c r="C155" t="s">
        <v>28</v>
      </c>
      <c r="D155" t="s">
        <v>31</v>
      </c>
      <c r="E155" t="s">
        <v>286</v>
      </c>
      <c r="F155" t="s">
        <v>287</v>
      </c>
      <c r="G155" t="s">
        <v>288</v>
      </c>
      <c r="H155" t="s">
        <v>11</v>
      </c>
      <c r="I155" t="s">
        <v>7</v>
      </c>
      <c r="J155" t="s">
        <v>48</v>
      </c>
      <c r="K155" t="s">
        <v>29</v>
      </c>
      <c r="L155" t="s">
        <v>49</v>
      </c>
      <c r="M155">
        <v>1</v>
      </c>
    </row>
    <row r="156" spans="1:13" x14ac:dyDescent="0.25">
      <c r="A156" s="2">
        <v>46157</v>
      </c>
      <c r="B156" s="1" t="str">
        <f ca="1">IF(Información1[[#This Row],[Fecha]]='Ajuste de fechas'!$A$2,"Día actual","Día anterior")</f>
        <v>Día actual</v>
      </c>
      <c r="C156" t="s">
        <v>28</v>
      </c>
      <c r="D156" t="s">
        <v>31</v>
      </c>
      <c r="E156" t="s">
        <v>289</v>
      </c>
      <c r="F156" t="s">
        <v>66</v>
      </c>
      <c r="G156" t="s">
        <v>243</v>
      </c>
      <c r="H156" t="s">
        <v>11</v>
      </c>
      <c r="I156" t="s">
        <v>7</v>
      </c>
      <c r="J156" t="s">
        <v>48</v>
      </c>
      <c r="K156" t="s">
        <v>29</v>
      </c>
      <c r="L156" t="s">
        <v>49</v>
      </c>
      <c r="M156">
        <v>1</v>
      </c>
    </row>
    <row r="157" spans="1:13" x14ac:dyDescent="0.25">
      <c r="A157" s="2">
        <v>46157</v>
      </c>
      <c r="B157" s="1" t="str">
        <f ca="1">IF(Información1[[#This Row],[Fecha]]='Ajuste de fechas'!$A$2,"Día actual","Día anterior")</f>
        <v>Día actual</v>
      </c>
      <c r="C157" t="s">
        <v>28</v>
      </c>
      <c r="D157" t="s">
        <v>31</v>
      </c>
      <c r="E157" t="s">
        <v>290</v>
      </c>
      <c r="F157" t="s">
        <v>66</v>
      </c>
      <c r="G157" t="s">
        <v>243</v>
      </c>
      <c r="H157" t="s">
        <v>11</v>
      </c>
      <c r="I157" t="s">
        <v>7</v>
      </c>
      <c r="J157" t="s">
        <v>48</v>
      </c>
      <c r="K157" t="s">
        <v>29</v>
      </c>
      <c r="L157" t="s">
        <v>49</v>
      </c>
      <c r="M157">
        <v>1</v>
      </c>
    </row>
    <row r="158" spans="1:13" x14ac:dyDescent="0.25">
      <c r="A158" s="2">
        <v>46157</v>
      </c>
      <c r="B158" s="1" t="str">
        <f ca="1">IF(Información1[[#This Row],[Fecha]]='Ajuste de fechas'!$A$2,"Día actual","Día anterior")</f>
        <v>Día actual</v>
      </c>
      <c r="C158" t="s">
        <v>28</v>
      </c>
      <c r="D158" t="s">
        <v>31</v>
      </c>
      <c r="E158" t="s">
        <v>291</v>
      </c>
      <c r="F158" t="s">
        <v>21</v>
      </c>
      <c r="G158" t="s">
        <v>116</v>
      </c>
      <c r="H158" t="s">
        <v>11</v>
      </c>
      <c r="I158" t="s">
        <v>7</v>
      </c>
      <c r="J158" t="s">
        <v>48</v>
      </c>
      <c r="K158" t="s">
        <v>29</v>
      </c>
      <c r="L158" t="s">
        <v>49</v>
      </c>
      <c r="M158">
        <v>1</v>
      </c>
    </row>
    <row r="159" spans="1:13" x14ac:dyDescent="0.25">
      <c r="A159" s="2">
        <v>46157</v>
      </c>
      <c r="B159" s="1" t="str">
        <f ca="1">IF(Información1[[#This Row],[Fecha]]='Ajuste de fechas'!$A$2,"Día actual","Día anterior")</f>
        <v>Día actual</v>
      </c>
      <c r="C159" t="s">
        <v>28</v>
      </c>
      <c r="D159" t="s">
        <v>31</v>
      </c>
      <c r="E159" t="s">
        <v>292</v>
      </c>
      <c r="F159" t="s">
        <v>281</v>
      </c>
      <c r="G159" t="s">
        <v>293</v>
      </c>
      <c r="H159" t="s">
        <v>11</v>
      </c>
      <c r="I159" t="s">
        <v>7</v>
      </c>
      <c r="J159" t="s">
        <v>48</v>
      </c>
      <c r="K159" t="s">
        <v>29</v>
      </c>
      <c r="L159" t="s">
        <v>49</v>
      </c>
      <c r="M159">
        <v>1</v>
      </c>
    </row>
    <row r="160" spans="1:13" x14ac:dyDescent="0.25">
      <c r="A160" s="2">
        <v>46157</v>
      </c>
      <c r="B160" s="1" t="str">
        <f ca="1">IF(Información1[[#This Row],[Fecha]]='Ajuste de fechas'!$A$2,"Día actual","Día anterior")</f>
        <v>Día actual</v>
      </c>
      <c r="C160" t="s">
        <v>28</v>
      </c>
      <c r="D160" t="s">
        <v>31</v>
      </c>
      <c r="E160" t="s">
        <v>294</v>
      </c>
      <c r="F160" t="s">
        <v>281</v>
      </c>
      <c r="G160" t="s">
        <v>273</v>
      </c>
      <c r="H160" t="s">
        <v>11</v>
      </c>
      <c r="I160" t="s">
        <v>7</v>
      </c>
      <c r="J160" t="s">
        <v>48</v>
      </c>
      <c r="K160" t="s">
        <v>29</v>
      </c>
      <c r="L160" t="s">
        <v>49</v>
      </c>
      <c r="M160">
        <v>1</v>
      </c>
    </row>
    <row r="161" spans="1:13" x14ac:dyDescent="0.25">
      <c r="A161" s="2">
        <v>46157</v>
      </c>
      <c r="B161" s="1" t="str">
        <f ca="1">IF(Información1[[#This Row],[Fecha]]='Ajuste de fechas'!$A$2,"Día actual","Día anterior")</f>
        <v>Día actual</v>
      </c>
      <c r="C161" t="s">
        <v>28</v>
      </c>
      <c r="D161" t="s">
        <v>31</v>
      </c>
      <c r="E161" t="s">
        <v>295</v>
      </c>
      <c r="F161" t="s">
        <v>296</v>
      </c>
      <c r="G161" t="s">
        <v>297</v>
      </c>
      <c r="H161" t="s">
        <v>11</v>
      </c>
      <c r="I161" t="s">
        <v>7</v>
      </c>
      <c r="J161" t="s">
        <v>48</v>
      </c>
      <c r="K161" t="s">
        <v>29</v>
      </c>
      <c r="L161" t="s">
        <v>49</v>
      </c>
      <c r="M161">
        <v>1</v>
      </c>
    </row>
    <row r="162" spans="1:13" x14ac:dyDescent="0.25">
      <c r="A162" s="2">
        <v>46157</v>
      </c>
      <c r="B162" s="1" t="str">
        <f ca="1">IF(Información1[[#This Row],[Fecha]]='Ajuste de fechas'!$A$2,"Día actual","Día anterior")</f>
        <v>Día actual</v>
      </c>
      <c r="C162" t="s">
        <v>28</v>
      </c>
      <c r="D162" t="s">
        <v>31</v>
      </c>
      <c r="E162" t="s">
        <v>295</v>
      </c>
      <c r="F162" t="s">
        <v>72</v>
      </c>
      <c r="G162" t="s">
        <v>297</v>
      </c>
      <c r="H162" t="s">
        <v>11</v>
      </c>
      <c r="I162" t="s">
        <v>7</v>
      </c>
      <c r="J162" t="s">
        <v>48</v>
      </c>
      <c r="K162" t="s">
        <v>29</v>
      </c>
      <c r="L162" t="s">
        <v>49</v>
      </c>
      <c r="M162">
        <v>1</v>
      </c>
    </row>
    <row r="163" spans="1:13" x14ac:dyDescent="0.25">
      <c r="A163" s="2">
        <v>46157</v>
      </c>
      <c r="B163" s="1" t="str">
        <f ca="1">IF(Información1[[#This Row],[Fecha]]='Ajuste de fechas'!$A$2,"Día actual","Día anterior")</f>
        <v>Día actual</v>
      </c>
      <c r="C163" t="s">
        <v>28</v>
      </c>
      <c r="D163" t="s">
        <v>31</v>
      </c>
      <c r="E163" t="s">
        <v>298</v>
      </c>
      <c r="F163" t="s">
        <v>26</v>
      </c>
      <c r="G163" t="s">
        <v>299</v>
      </c>
      <c r="H163" t="s">
        <v>11</v>
      </c>
      <c r="I163" t="s">
        <v>7</v>
      </c>
      <c r="J163" t="s">
        <v>48</v>
      </c>
      <c r="K163" t="s">
        <v>29</v>
      </c>
      <c r="L163" t="s">
        <v>49</v>
      </c>
      <c r="M163">
        <v>1</v>
      </c>
    </row>
    <row r="164" spans="1:13" x14ac:dyDescent="0.25">
      <c r="A164" s="2">
        <v>46157</v>
      </c>
      <c r="B164" s="1" t="str">
        <f ca="1">IF(Información1[[#This Row],[Fecha]]='Ajuste de fechas'!$A$2,"Día actual","Día anterior")</f>
        <v>Día actual</v>
      </c>
      <c r="C164" t="s">
        <v>28</v>
      </c>
      <c r="D164" t="s">
        <v>31</v>
      </c>
      <c r="E164" t="s">
        <v>300</v>
      </c>
      <c r="F164" t="s">
        <v>22</v>
      </c>
      <c r="G164" t="s">
        <v>135</v>
      </c>
      <c r="H164" t="s">
        <v>11</v>
      </c>
      <c r="I164" t="s">
        <v>7</v>
      </c>
      <c r="J164" t="s">
        <v>53</v>
      </c>
      <c r="K164" t="s">
        <v>29</v>
      </c>
      <c r="L164" t="s">
        <v>49</v>
      </c>
      <c r="M164">
        <v>1</v>
      </c>
    </row>
    <row r="165" spans="1:13" x14ac:dyDescent="0.25">
      <c r="A165" s="2">
        <v>46157</v>
      </c>
      <c r="B165" s="1" t="str">
        <f ca="1">IF(Información1[[#This Row],[Fecha]]='Ajuste de fechas'!$A$2,"Día actual","Día anterior")</f>
        <v>Día actual</v>
      </c>
      <c r="C165" t="s">
        <v>28</v>
      </c>
      <c r="D165" t="s">
        <v>31</v>
      </c>
      <c r="E165" t="s">
        <v>203</v>
      </c>
      <c r="F165" t="s">
        <v>26</v>
      </c>
      <c r="G165" t="s">
        <v>84</v>
      </c>
      <c r="H165" t="s">
        <v>11</v>
      </c>
      <c r="I165" t="s">
        <v>7</v>
      </c>
      <c r="J165" t="s">
        <v>48</v>
      </c>
      <c r="K165" t="s">
        <v>29</v>
      </c>
      <c r="L165" t="s">
        <v>51</v>
      </c>
      <c r="M165">
        <v>1</v>
      </c>
    </row>
    <row r="166" spans="1:13" x14ac:dyDescent="0.25">
      <c r="A166" s="2">
        <v>46157</v>
      </c>
      <c r="B166" s="1" t="str">
        <f ca="1">IF(Información1[[#This Row],[Fecha]]='Ajuste de fechas'!$A$2,"Día actual","Día anterior")</f>
        <v>Día actual</v>
      </c>
      <c r="C166" t="s">
        <v>8</v>
      </c>
      <c r="D166" t="s">
        <v>10</v>
      </c>
      <c r="E166" t="s">
        <v>301</v>
      </c>
      <c r="F166" t="s">
        <v>19</v>
      </c>
      <c r="G166" t="s">
        <v>302</v>
      </c>
      <c r="H166" t="s">
        <v>11</v>
      </c>
      <c r="I166" t="s">
        <v>25</v>
      </c>
      <c r="J166" t="s">
        <v>52</v>
      </c>
      <c r="K166" t="s">
        <v>9</v>
      </c>
      <c r="L166" t="s">
        <v>50</v>
      </c>
      <c r="M166">
        <v>1</v>
      </c>
    </row>
    <row r="167" spans="1:13" x14ac:dyDescent="0.25">
      <c r="A167" s="2">
        <v>46157</v>
      </c>
      <c r="B167" s="1" t="str">
        <f ca="1">IF(Información1[[#This Row],[Fecha]]='Ajuste de fechas'!$A$2,"Día actual","Día anterior")</f>
        <v>Día actual</v>
      </c>
      <c r="C167" t="s">
        <v>8</v>
      </c>
      <c r="D167" t="s">
        <v>10</v>
      </c>
      <c r="E167" t="s">
        <v>303</v>
      </c>
      <c r="F167" t="s">
        <v>6</v>
      </c>
      <c r="G167" t="s">
        <v>304</v>
      </c>
      <c r="H167" t="s">
        <v>11</v>
      </c>
      <c r="I167" t="s">
        <v>25</v>
      </c>
      <c r="J167" t="s">
        <v>48</v>
      </c>
      <c r="K167" t="s">
        <v>9</v>
      </c>
      <c r="L167" t="s">
        <v>50</v>
      </c>
      <c r="M167">
        <v>1</v>
      </c>
    </row>
    <row r="168" spans="1:13" x14ac:dyDescent="0.25">
      <c r="A168" s="2">
        <v>46157</v>
      </c>
      <c r="B168" s="1" t="str">
        <f ca="1">IF(Información1[[#This Row],[Fecha]]='Ajuste de fechas'!$A$2,"Día actual","Día anterior")</f>
        <v>Día actual</v>
      </c>
      <c r="C168" t="s">
        <v>8</v>
      </c>
      <c r="D168" t="s">
        <v>10</v>
      </c>
      <c r="E168" t="s">
        <v>305</v>
      </c>
      <c r="F168" t="s">
        <v>6</v>
      </c>
      <c r="G168" t="s">
        <v>64</v>
      </c>
      <c r="H168" t="s">
        <v>11</v>
      </c>
      <c r="I168" t="s">
        <v>25</v>
      </c>
      <c r="J168" t="s">
        <v>48</v>
      </c>
      <c r="K168" t="s">
        <v>9</v>
      </c>
      <c r="L168" t="s">
        <v>50</v>
      </c>
      <c r="M168">
        <v>1</v>
      </c>
    </row>
    <row r="169" spans="1:13" x14ac:dyDescent="0.25">
      <c r="A169" s="2">
        <v>46157</v>
      </c>
      <c r="B169" s="1" t="str">
        <f ca="1">IF(Información1[[#This Row],[Fecha]]='Ajuste de fechas'!$A$2,"Día actual","Día anterior")</f>
        <v>Día actual</v>
      </c>
      <c r="C169" t="s">
        <v>8</v>
      </c>
      <c r="D169" t="s">
        <v>10</v>
      </c>
      <c r="E169" t="s">
        <v>306</v>
      </c>
      <c r="F169" t="s">
        <v>6</v>
      </c>
      <c r="G169" t="s">
        <v>64</v>
      </c>
      <c r="H169" t="s">
        <v>11</v>
      </c>
      <c r="I169" t="s">
        <v>25</v>
      </c>
      <c r="J169" t="s">
        <v>48</v>
      </c>
      <c r="K169" t="s">
        <v>9</v>
      </c>
      <c r="L169" t="s">
        <v>50</v>
      </c>
      <c r="M169">
        <v>1</v>
      </c>
    </row>
    <row r="170" spans="1:13" x14ac:dyDescent="0.25">
      <c r="A170" s="2">
        <v>46157</v>
      </c>
      <c r="B170" s="1" t="str">
        <f ca="1">IF(Información1[[#This Row],[Fecha]]='Ajuste de fechas'!$A$2,"Día actual","Día anterior")</f>
        <v>Día actual</v>
      </c>
      <c r="C170" t="s">
        <v>8</v>
      </c>
      <c r="D170" t="s">
        <v>10</v>
      </c>
      <c r="E170" t="s">
        <v>307</v>
      </c>
      <c r="F170" t="s">
        <v>67</v>
      </c>
      <c r="G170" t="s">
        <v>246</v>
      </c>
      <c r="H170" t="s">
        <v>11</v>
      </c>
      <c r="I170" t="s">
        <v>7</v>
      </c>
      <c r="J170" t="s">
        <v>24</v>
      </c>
      <c r="K170" t="s">
        <v>14</v>
      </c>
      <c r="L170" t="s">
        <v>49</v>
      </c>
      <c r="M170">
        <v>1</v>
      </c>
    </row>
    <row r="171" spans="1:13" x14ac:dyDescent="0.25">
      <c r="A171" s="2">
        <v>46157</v>
      </c>
      <c r="B171" s="1" t="str">
        <f ca="1">IF(Información1[[#This Row],[Fecha]]='Ajuste de fechas'!$A$2,"Día actual","Día anterior")</f>
        <v>Día actual</v>
      </c>
      <c r="C171" t="s">
        <v>8</v>
      </c>
      <c r="D171" t="s">
        <v>10</v>
      </c>
      <c r="E171" t="s">
        <v>164</v>
      </c>
      <c r="F171" t="s">
        <v>133</v>
      </c>
      <c r="G171" t="s">
        <v>134</v>
      </c>
      <c r="H171" t="s">
        <v>11</v>
      </c>
      <c r="I171" t="s">
        <v>7</v>
      </c>
      <c r="J171" t="s">
        <v>48</v>
      </c>
      <c r="K171" t="s">
        <v>14</v>
      </c>
      <c r="L171" t="s">
        <v>51</v>
      </c>
      <c r="M171">
        <v>1</v>
      </c>
    </row>
    <row r="172" spans="1:13" x14ac:dyDescent="0.25">
      <c r="A172" s="2">
        <v>46157</v>
      </c>
      <c r="B172" s="1" t="str">
        <f ca="1">IF(Información1[[#This Row],[Fecha]]='Ajuste de fechas'!$A$2,"Día actual","Día anterior")</f>
        <v>Día actual</v>
      </c>
      <c r="C172" t="s">
        <v>8</v>
      </c>
      <c r="D172" t="s">
        <v>10</v>
      </c>
      <c r="E172" t="s">
        <v>170</v>
      </c>
      <c r="F172" t="s">
        <v>87</v>
      </c>
      <c r="G172" t="s">
        <v>171</v>
      </c>
      <c r="H172" t="s">
        <v>11</v>
      </c>
      <c r="I172" t="s">
        <v>7</v>
      </c>
      <c r="J172" t="s">
        <v>48</v>
      </c>
      <c r="K172" t="s">
        <v>14</v>
      </c>
      <c r="L172" t="s">
        <v>51</v>
      </c>
      <c r="M172">
        <v>1</v>
      </c>
    </row>
    <row r="173" spans="1:13" x14ac:dyDescent="0.25">
      <c r="A173" s="2">
        <v>46157</v>
      </c>
      <c r="B173" s="1" t="str">
        <f ca="1">IF(Información1[[#This Row],[Fecha]]='Ajuste de fechas'!$A$2,"Día actual","Día anterior")</f>
        <v>Día actual</v>
      </c>
      <c r="C173" t="s">
        <v>8</v>
      </c>
      <c r="D173" t="s">
        <v>10</v>
      </c>
      <c r="E173" t="s">
        <v>308</v>
      </c>
      <c r="F173" t="s">
        <v>22</v>
      </c>
      <c r="G173" t="s">
        <v>258</v>
      </c>
      <c r="H173" t="s">
        <v>11</v>
      </c>
      <c r="I173" t="s">
        <v>7</v>
      </c>
      <c r="J173" t="s">
        <v>53</v>
      </c>
      <c r="K173" t="s">
        <v>14</v>
      </c>
      <c r="L173" t="s">
        <v>49</v>
      </c>
      <c r="M173">
        <v>1</v>
      </c>
    </row>
    <row r="174" spans="1:13" x14ac:dyDescent="0.25">
      <c r="A174" s="2">
        <v>46157</v>
      </c>
      <c r="B174" s="1" t="str">
        <f ca="1">IF(Información1[[#This Row],[Fecha]]='Ajuste de fechas'!$A$2,"Día actual","Día anterior")</f>
        <v>Día actual</v>
      </c>
      <c r="C174" t="s">
        <v>8</v>
      </c>
      <c r="D174" t="s">
        <v>10</v>
      </c>
      <c r="E174" t="s">
        <v>309</v>
      </c>
      <c r="F174" t="s">
        <v>22</v>
      </c>
      <c r="G174" t="s">
        <v>310</v>
      </c>
      <c r="H174" t="s">
        <v>11</v>
      </c>
      <c r="I174" t="s">
        <v>7</v>
      </c>
      <c r="J174" t="s">
        <v>53</v>
      </c>
      <c r="K174" t="s">
        <v>14</v>
      </c>
      <c r="L174" t="s">
        <v>49</v>
      </c>
      <c r="M174">
        <v>1</v>
      </c>
    </row>
    <row r="175" spans="1:13" x14ac:dyDescent="0.25">
      <c r="A175" s="2">
        <v>46157</v>
      </c>
      <c r="B175" s="1" t="str">
        <f ca="1">IF(Información1[[#This Row],[Fecha]]='Ajuste de fechas'!$A$2,"Día actual","Día anterior")</f>
        <v>Día actual</v>
      </c>
      <c r="C175" t="s">
        <v>8</v>
      </c>
      <c r="D175" t="s">
        <v>10</v>
      </c>
      <c r="E175" t="s">
        <v>311</v>
      </c>
      <c r="F175" t="s">
        <v>6</v>
      </c>
      <c r="G175" t="s">
        <v>312</v>
      </c>
      <c r="H175" t="s">
        <v>11</v>
      </c>
      <c r="I175" t="s">
        <v>7</v>
      </c>
      <c r="J175" t="s">
        <v>48</v>
      </c>
      <c r="K175" t="s">
        <v>14</v>
      </c>
      <c r="L175" t="s">
        <v>49</v>
      </c>
      <c r="M175">
        <v>1</v>
      </c>
    </row>
    <row r="176" spans="1:13" x14ac:dyDescent="0.25">
      <c r="A176" s="2">
        <v>46157</v>
      </c>
      <c r="B176" s="1" t="str">
        <f ca="1">IF(Información1[[#This Row],[Fecha]]='Ajuste de fechas'!$A$2,"Día actual","Día anterior")</f>
        <v>Día actual</v>
      </c>
      <c r="C176" t="s">
        <v>8</v>
      </c>
      <c r="D176" t="s">
        <v>10</v>
      </c>
      <c r="E176" t="s">
        <v>20</v>
      </c>
      <c r="F176" t="s">
        <v>19</v>
      </c>
      <c r="G176" t="s">
        <v>40</v>
      </c>
      <c r="H176" t="s">
        <v>11</v>
      </c>
      <c r="I176" t="s">
        <v>7</v>
      </c>
      <c r="J176" t="s">
        <v>52</v>
      </c>
      <c r="K176" t="s">
        <v>14</v>
      </c>
      <c r="L176" t="s">
        <v>50</v>
      </c>
      <c r="M176">
        <v>1</v>
      </c>
    </row>
    <row r="177" spans="1:13" x14ac:dyDescent="0.25">
      <c r="A177" s="2">
        <v>46157</v>
      </c>
      <c r="B177" s="1" t="str">
        <f ca="1">IF(Información1[[#This Row],[Fecha]]='Ajuste de fechas'!$A$2,"Día actual","Día anterior")</f>
        <v>Día actual</v>
      </c>
      <c r="C177" t="s">
        <v>8</v>
      </c>
      <c r="D177" t="s">
        <v>10</v>
      </c>
      <c r="E177" t="s">
        <v>18</v>
      </c>
      <c r="F177" t="s">
        <v>19</v>
      </c>
      <c r="G177" t="s">
        <v>40</v>
      </c>
      <c r="H177" t="s">
        <v>11</v>
      </c>
      <c r="I177" t="s">
        <v>7</v>
      </c>
      <c r="J177" t="s">
        <v>52</v>
      </c>
      <c r="K177" t="s">
        <v>14</v>
      </c>
      <c r="L177" t="s">
        <v>50</v>
      </c>
      <c r="M177">
        <v>1</v>
      </c>
    </row>
    <row r="178" spans="1:13" x14ac:dyDescent="0.25">
      <c r="A178" s="2">
        <v>46157</v>
      </c>
      <c r="B178" s="1" t="str">
        <f ca="1">IF(Información1[[#This Row],[Fecha]]='Ajuste de fechas'!$A$2,"Día actual","Día anterior")</f>
        <v>Día actual</v>
      </c>
      <c r="C178" t="s">
        <v>8</v>
      </c>
      <c r="D178" t="s">
        <v>10</v>
      </c>
      <c r="E178" t="s">
        <v>13</v>
      </c>
      <c r="F178" t="s">
        <v>15</v>
      </c>
      <c r="G178" t="s">
        <v>40</v>
      </c>
      <c r="H178" t="s">
        <v>11</v>
      </c>
      <c r="I178" t="s">
        <v>7</v>
      </c>
      <c r="J178" t="s">
        <v>48</v>
      </c>
      <c r="K178" t="s">
        <v>14</v>
      </c>
      <c r="L178" t="s">
        <v>50</v>
      </c>
      <c r="M178">
        <v>1</v>
      </c>
    </row>
    <row r="179" spans="1:13" x14ac:dyDescent="0.25">
      <c r="A179" s="2">
        <v>46157</v>
      </c>
      <c r="B179" s="1" t="str">
        <f ca="1">IF(Información1[[#This Row],[Fecha]]='Ajuste de fechas'!$A$2,"Día actual","Día anterior")</f>
        <v>Día actual</v>
      </c>
      <c r="C179" t="s">
        <v>8</v>
      </c>
      <c r="D179" t="s">
        <v>10</v>
      </c>
      <c r="E179" t="s">
        <v>16</v>
      </c>
      <c r="F179" t="s">
        <v>17</v>
      </c>
      <c r="G179" t="s">
        <v>40</v>
      </c>
      <c r="H179" t="s">
        <v>11</v>
      </c>
      <c r="I179" t="s">
        <v>7</v>
      </c>
      <c r="J179" t="s">
        <v>48</v>
      </c>
      <c r="K179" t="s">
        <v>14</v>
      </c>
      <c r="L179" t="s">
        <v>50</v>
      </c>
      <c r="M179">
        <v>1</v>
      </c>
    </row>
    <row r="180" spans="1:13" x14ac:dyDescent="0.25">
      <c r="A180" s="2">
        <v>46157</v>
      </c>
      <c r="B180" s="1" t="str">
        <f ca="1">IF(Información1[[#This Row],[Fecha]]='Ajuste de fechas'!$A$2,"Día actual","Día anterior")</f>
        <v>Día actual</v>
      </c>
      <c r="C180" t="s">
        <v>8</v>
      </c>
      <c r="D180" t="s">
        <v>10</v>
      </c>
      <c r="E180" t="s">
        <v>313</v>
      </c>
      <c r="F180" t="s">
        <v>6</v>
      </c>
      <c r="G180" t="s">
        <v>40</v>
      </c>
      <c r="H180" t="s">
        <v>11</v>
      </c>
      <c r="I180" t="s">
        <v>7</v>
      </c>
      <c r="J180" t="s">
        <v>48</v>
      </c>
      <c r="K180" t="s">
        <v>14</v>
      </c>
      <c r="L180" t="s">
        <v>50</v>
      </c>
      <c r="M18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56</v>
      </c>
      <c r="B1" t="s">
        <v>57</v>
      </c>
    </row>
    <row r="2" spans="1:2" x14ac:dyDescent="0.25">
      <c r="A2" s="2">
        <f ca="1">TODAY()</f>
        <v>46157</v>
      </c>
      <c r="B2" s="2">
        <f ca="1">A2-1</f>
        <v>46156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2026-05-16T01:05:29Z</dcterms:modified>
</cp:coreProperties>
</file>