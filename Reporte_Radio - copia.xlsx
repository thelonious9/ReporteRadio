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E58EF93A-8055-4E7E-8C60-3B7A2989BD2C}"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118" i="2" l="1"/>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236" i="2"/>
  <c r="B238" i="2"/>
  <c r="B70" i="2"/>
  <c r="B72" i="2"/>
  <c r="B75" i="2"/>
  <c r="B79" i="2"/>
  <c r="B82" i="2"/>
  <c r="B85" i="2"/>
  <c r="B90" i="2"/>
  <c r="B92" i="2"/>
  <c r="B95" i="2"/>
  <c r="B98" i="2"/>
  <c r="B101" i="2"/>
  <c r="B104" i="2"/>
  <c r="B107" i="2"/>
  <c r="B110" i="2"/>
  <c r="B243" i="2"/>
  <c r="B114" i="2"/>
  <c r="B11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7" i="2"/>
  <c r="B69" i="2"/>
  <c r="B71" i="2"/>
  <c r="B74" i="2"/>
  <c r="B77" i="2"/>
  <c r="B78" i="2"/>
  <c r="B81" i="2"/>
  <c r="B84" i="2"/>
  <c r="B87" i="2"/>
  <c r="B88" i="2"/>
  <c r="B242" i="2"/>
  <c r="B93" i="2"/>
  <c r="B96" i="2"/>
  <c r="B99" i="2"/>
  <c r="B102" i="2"/>
  <c r="B105" i="2"/>
  <c r="B109" i="2"/>
  <c r="B112" i="2"/>
  <c r="B115" i="2"/>
  <c r="B239" i="2"/>
  <c r="B240" i="2"/>
  <c r="B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241" i="2"/>
  <c r="B73" i="2"/>
  <c r="B76" i="2"/>
  <c r="B80" i="2"/>
  <c r="B83" i="2"/>
  <c r="B86" i="2"/>
  <c r="B89" i="2"/>
  <c r="B91" i="2"/>
  <c r="B94" i="2"/>
  <c r="B97" i="2"/>
  <c r="B100" i="2"/>
  <c r="B103" i="2"/>
  <c r="B106" i="2"/>
  <c r="B108" i="2"/>
  <c r="B111" i="2"/>
  <c r="B113" i="2"/>
  <c r="B116"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<sst xmlns="http://schemas.openxmlformats.org/spreadsheetml/2006/main" count="2435" uniqueCount="412">
  <si>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</si>
  <si>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</si>
  <si>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</si>
  <si>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</si>
  <si>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</si>
  <si>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</si>
  <si>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</si>
  <si>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</si>
  <si>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</si>
  <si>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</si>
  <si>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</si>
  <si>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</si>
  <si>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</si>
  <si>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</si>
  <si>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</si>
  <si>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</si>
  <si>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</si>
  <si>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</si>
  <si>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</si>
  <si>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</si>
  <si>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</si>
  <si>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</si>
  <si>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Congreso</t>
  </si>
  <si>
    <t>Presidencia</t>
  </si>
  <si>
    <t>SSPH</t>
  </si>
  <si>
    <t>SSH</t>
  </si>
  <si>
    <t>Otros</t>
  </si>
  <si>
    <t>Negativa</t>
  </si>
  <si>
    <t>Gobernador</t>
  </si>
  <si>
    <t>Luminarias</t>
  </si>
  <si>
    <t>Gobierno</t>
  </si>
  <si>
    <t>Andrés Torres</t>
  </si>
  <si>
    <t>Ke Buena 106.7 FM</t>
  </si>
  <si>
    <t>David Cárdenas</t>
  </si>
  <si>
    <t>Noticias 106.7</t>
  </si>
  <si>
    <t>La Poderosa Tuxpan 93.1 FM</t>
  </si>
  <si>
    <t>Liz Argüelles</t>
  </si>
  <si>
    <t>NN Nuestras Noticias Zona Norte</t>
  </si>
  <si>
    <t>Turismo</t>
  </si>
  <si>
    <t>Súper Stéreo 100.5 FM</t>
  </si>
  <si>
    <t>Rodolfo López</t>
  </si>
  <si>
    <t>Enfoque Regional Meridiano</t>
  </si>
  <si>
    <t>Enfoque Regional Matutino</t>
  </si>
  <si>
    <t>TV Cable hidalguense Canal 6</t>
  </si>
  <si>
    <t>Juan Carlos Santamaria</t>
  </si>
  <si>
    <t>Contigo Noticias</t>
  </si>
  <si>
    <t>TV local</t>
  </si>
  <si>
    <t>Auxilio a la ciudadanía</t>
  </si>
  <si>
    <t>PGJEH</t>
  </si>
  <si>
    <t>Contraloría</t>
  </si>
  <si>
    <t>Canal del Pueblo</t>
  </si>
  <si>
    <t>Vocales Radio</t>
  </si>
  <si>
    <t>Semarnath</t>
  </si>
  <si>
    <t>STPSH</t>
  </si>
  <si>
    <t>NQ 90.1 FM</t>
  </si>
  <si>
    <t>Jesús Riveros</t>
  </si>
  <si>
    <t>Enlace Hidalgo1</t>
  </si>
  <si>
    <t>Enlace Hidalgo2</t>
  </si>
  <si>
    <t>Radio Lobo 96.7 FM</t>
  </si>
  <si>
    <t>Gina Lorenzo</t>
  </si>
  <si>
    <t>Enlace Noticias</t>
  </si>
  <si>
    <t>Planeación</t>
  </si>
  <si>
    <t>Ultra 102.9 FM</t>
  </si>
  <si>
    <t>Ultra Noticias1</t>
  </si>
  <si>
    <t>Daniel Martínez</t>
  </si>
  <si>
    <t>Cultura</t>
  </si>
  <si>
    <t>Firma De Convenio</t>
  </si>
  <si>
    <t>Sarampión</t>
  </si>
  <si>
    <t>Eulalio Larrieta agradece a Carlos Gamiño por estar al pendiente de temas</t>
  </si>
  <si>
    <t>Iniciativa</t>
  </si>
  <si>
    <t>Intervención Gráfica</t>
  </si>
  <si>
    <t>Justicia Por Propia Mano</t>
  </si>
  <si>
    <t>Abasto De Agua</t>
  </si>
  <si>
    <t>Control de incendios</t>
  </si>
  <si>
    <t>Atención Ciudadana</t>
  </si>
  <si>
    <t>Incendios forestales</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</si>
  <si>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</si>
  <si>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</si>
  <si>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</si>
  <si>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</si>
  <si>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</si>
  <si>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</si>
  <si>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</si>
  <si>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</si>
  <si>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</si>
  <si>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</si>
  <si>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</si>
  <si>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</si>
  <si>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</si>
  <si>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</si>
  <si>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</si>
  <si>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</si>
  <si>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</si>
  <si>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</si>
  <si>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Eulalio Larrieta agradece a Edith Balderas de la Secretaria de Educación Pública.</t>
  </si>
  <si>
    <t>Drenaje tapado</t>
  </si>
  <si>
    <t>Maltrato animal</t>
  </si>
  <si>
    <t>Mañanera de Hidalgo</t>
  </si>
  <si>
    <t>CGCG</t>
  </si>
  <si>
    <t>Queja transporte público</t>
  </si>
  <si>
    <t>Robo a comercio</t>
  </si>
  <si>
    <t>Tauromaquia</t>
  </si>
  <si>
    <t>Prevención De Riesgos</t>
  </si>
  <si>
    <t>Sedeco</t>
  </si>
  <si>
    <t>Despojo</t>
  </si>
  <si>
    <t>Verificentros</t>
  </si>
  <si>
    <t>Desarrollo Urbano</t>
  </si>
  <si>
    <t>Combate Al Narcomenudeo</t>
  </si>
  <si>
    <t>En Tula, autoridades municipales, estatales y federales presentaron en el auditorio Jorge Reacosta, el cuaderno infantil de actividades para conocer la zona arqueológica de los Atlantes. El director del Centro INAH en Hidalgo, Manuel Villarruel Vásquez, hablo sobre la presentación del cuadernillo sobre la historia de Tula, es un documento que plantea ideas históricas sobre la evolución de este importante sitio arqueológico, pero a través de una forma visual muy gráfica y con un lenguaje adecuado para los niños puedan aprovecharlo, usarlo y disfrutarlo. Este es para conocer sobre Tula, sobre la zona arqueológica, todo lo que tiene que ver con los toltecas.</t>
  </si>
  <si>
    <t>Presentación Editorial</t>
  </si>
  <si>
    <t>Entrevista pautada</t>
  </si>
  <si>
    <t>Rehabilitación Vial</t>
  </si>
  <si>
    <t>Semaforización</t>
  </si>
  <si>
    <t>La Secretaria de Gobierno del Estado de Hidalgo informa que se identificó un perfil apócrifo en Facebook, que utiliza de menera indebibala identidad del titular de esta dependencia. Desde dicha cuenta se realizan solicitudes de amistad y envian mensajes privados que no son propias de la institución ni a la comunicaciñon oficial</t>
  </si>
  <si>
    <t>Vestigios Arqueológicos</t>
  </si>
  <si>
    <t>Aumento Tarifa De Transporte</t>
  </si>
  <si>
    <t>Presa Endhó</t>
  </si>
  <si>
    <t>Concurso De Huapango</t>
  </si>
  <si>
    <t>Reparto de utilidades</t>
  </si>
  <si>
    <t>Radioescucha Pedro Nieto reporta falta de agua en Barrio San Clemente</t>
  </si>
  <si>
    <t>Radioescucha reporta que sigue sin agua en calle Santiago y Arizpe</t>
  </si>
  <si>
    <t>La Oficina de Defensa del Consumidor (Odeco) en Pachuca colocó la primera lona con la leyenda “No cargues aquí, se vuelan la barda con los precios” en una gasolinera en Mineral de la Reforma, ubicada sobre la carretera Pachuca–Ciudad Sahagún, por registrar precios elevados de gasolina en Hidalgo.</t>
  </si>
  <si>
    <t>Alerta al consumidor</t>
  </si>
  <si>
    <t>Eulalio Larrieta agradece Hans Islas del ayuntamiento de Mineral de la Reforma , por su apoyo en pasar los reportes</t>
  </si>
  <si>
    <t>Sobre el tema de aumento tarifa de transporte el conductor Jesús Gonzalez comentó : “Amigos transportistas y usuarios del transporte público, hasta hoy no se ha autorizado ningún aumento, ya existen reportes que algunos choferes gandallas que ya están cobrando, si le cobran más de lo que regularmente usted paga, denúncielo, todavía no se da el aumento, esperemos y en los próximos días la autoridad de a conocer cuál va a ser el aumento”</t>
  </si>
  <si>
    <t>Comentó conductor Jesús Gonzalez que, el dia lunes durante la mesa de analisis de Enfoque Regional Alberto Tapia Serrano presidente de los Transportistas Unidos de Hidalgo, dijo que tiene la apertura para negociar el costo del trasnporte público, comentó tambien que el viernes se tuvo el acercamiento con gobierno y tuvo que tomar la palabra el secretario de gobieno en donde se comentó que estamos abiertos al dialogo, no debe de pasar de un mes para dar una solución, ya que esto es insostenible, se esta haciendo todo el esfuerzo para que no se cause ningún problema, en la movilidad de la economía, ni en la movilidad de los usuarios. AUDIO APOYO</t>
  </si>
  <si>
    <t>El gobernador de Hidalgo, Julio Menchaca, señaló que este mes se dará a conocer la nueva tarifa del transporte público en la entidad, tras la realización de los estudios por parte de la secretaría de movilidad, subrayó que el aumento será de entre 10 y 15 pesos, con base en las necesidades de los transportistas y el bolsillo de los usuarios.AUDIO APOYO</t>
  </si>
  <si>
    <t>Radioescucha comenta: Que el gobierno se entere de que miles de hidalguenses estamos arrepentidos de este gobierno, que se doblegó ante los intereses de los concesionarios por el aumento del transporte público; nos haremos escuchar.</t>
  </si>
  <si>
    <t>Radioescucha comenta: Los hidalguenses estamos muy enojados porque el gobernador se dejó vencer por los concesionarios, y será que vendrá el aumento del transporte público; también los usuarios nos debemos poner exigentes. 1. Las colectivas amplíen los horarios, ya que después de las 9 de la noche escasean. 2. Colectivas exclusivas para mujeres, 3. Descuentos de INAPAM sean permanentes sin restricciones. 4. Descuentos a estudiantes, 5.Que quede estrictamente no viajar parados. Esas son algunas de nuestras exigencias.</t>
  </si>
  <si>
    <t>El gobernador de Hidalgo, Julio Menchaca Salazar, indicó que este mes se dará a conocer la nueva tarifa del transporte público y dijo que no se aceptarán “chantajes”, tras la amenaza de paro por parte de transportistas que exigieron el incremento al pasaje. Explicó que, luego de varios meses de análisis, se dará a conocer el anuncio, aunque recalcó que no será un incremento considerable, sino “razonable y equilibrado” entre las necesidades de concesionarios y la economía.</t>
  </si>
  <si>
    <t>Durante el mediodía de este martes 14 de abril de 2026, una barda perimetral de aproximadamente 15 metros de longitud colapsó en la colonia Maestranza, en Pachuca, dejando una camioneta tipo MG completamente dañada bajo los escombros.El incidente ocurrió en la intersección de las calles República de Brasil y República del Perú, dentro de una propiedad perteneciente a la empresa INFRA, de acuerdo con reportes de autoridades locales.A pesar de la magnitud del incidente, no se reportaron personas lesionadas. La conductora del vehículo afectado resultó ilesa, registrándose únicamente pérdidas materiales totales en la unidad.Tras el colapso, elementos de Protección Civil de Pachuca, en coordinación con la policía municipal, acordonaron el área para evitar riesgos adicionales, ante la posibilidad de nuevos derrumbes en la estructura restante.</t>
  </si>
  <si>
    <t>Caída de barda</t>
  </si>
  <si>
    <t>Boletín 714: Caen 2 presuntos narcomenudistas en Tizayuca tras despliegue operativo de la SSPH</t>
  </si>
  <si>
    <t>Boletín 634: Convocan a participar en el 2º Concurso Nacional de Huapango en Apan, AUDIO APOYO</t>
  </si>
  <si>
    <t>Comenta conductora Jaquelin Servín que no funciona tampoco la pantalla que está en la estación Presidente Alemán</t>
  </si>
  <si>
    <t>Deficiencias Tuzobús</t>
  </si>
  <si>
    <t>Radioescucha reporta que la pantalla que indica la hora de llegada de la unidad del Tuzobús en la estación de Prepa 1 no funciona</t>
  </si>
  <si>
    <t>Boletín: Crecimiento urbano ordenado, prioridad para el gobierno de Julio Menchaca, AUDIO APOYO</t>
  </si>
  <si>
    <t>Al considerar que la respuesta de la PGJEH, ha sido nulas, familiares y amigos de Iván Salvador Ortega González realizarán hoy miércoles 15 de abril una manifestación pacífica para exigir justicia por el homicidio del joven , frente a la PGJEH a las 12:00 pm</t>
  </si>
  <si>
    <t>Exigen esclarecer homicidio</t>
  </si>
  <si>
    <t>"NN Nuestras Noticias ""El Resumen"""</t>
  </si>
  <si>
    <t>Tomás Sosa</t>
  </si>
  <si>
    <t>Cinco de las 32 entidades federativas destacaron en crecimiento industrial al cierre del 2025.Destacan crecimientos de Baja California Sur con 9.7% e Hidalgo ocupó el segundo lugar nacional con un crecimiento de 7.1%.A estos estados siguieron Nayarit, Tamaulipas y Colima, impulsados principalmente por infraestructura y manufactura.</t>
  </si>
  <si>
    <t>Índice De Actividad Industrial</t>
  </si>
  <si>
    <t>Hidalgo registró tres muertes por influenza y seis nuevos contagios durante la primera semana de abril, lo que mantiene a la entidad entre los estados con mayor impacto por esta enfermedad a nivel nacional.De acuerdo con la Dirección General de Epidemiología, el acumulado asciende a 403 casos confirmados, luego de que al cierre de marzo se reportaran 397.En cuanto a la mortalidad, la Secretaría de Salud Federal informó que suman 26 defunciones en la entidad, de las cuales tres ocurrieron en los primeros días de abril. Con estas cifras, Hidalgo se ubica en el segundo lugar nacional en número de fallecimientos, solo por debajo de Puebla, y en la quinta posición por casos confirmados.A un mes de que concluya la temporada estacional —que inició en septiembre de 2025 y termina a mediados de mayo—, autoridades de salud mantienen el llamado a reforzar medidas preventivas y atención oportuna ante síntomas.</t>
  </si>
  <si>
    <t>Influenza</t>
  </si>
  <si>
    <t>El diputado Andrés Velázquez Vázquez y la diputada Lizbeth Iraís Ordaz Islas (Morena) presentaron la iniciativa que reforma la Ley de Turismo Sustentable y la Ley de los Derechos de Niñas, Niños y Adolescentes para el Estado de Hidalgo, con el objetivo de incorporar medidas preventivas y mecanismos de verificación en los servicios de hospedaje para garantizar la integridad, seguridad y protección de dicho sector.Lo anterior, mediante la implementación de disposiciones que obliguen a dichos prestadores de servicios a corroborar que las personas adultas que ingresen acompañadas de personas menores de edad acrediten fehacientemente su calidad de madre, padre, tutor legal o su vínculo de parentesco consanguíneo.</t>
  </si>
  <si>
    <t>Boletín 1045 : Como un “acto de reconstrucción”, Julio Menchaca inaugura Intervención Gráfica 4.1 Hióki, AUDIO APOYO</t>
  </si>
  <si>
    <t>Boletín 1045 : Como un “acto de reconstrucción”, Julio Menchaca inaugura Intervención Gráfica 4.1 Hióki</t>
  </si>
  <si>
    <t>Boletín 1043: Educación, salud y ciencia: ejes estratégicos para el bienestar de Hidalgo, AUDIO APOYO</t>
  </si>
  <si>
    <t>Sobre la entrevista realizada a Humberto Gándara, director internacional de Grupo Pachuca, el conductor Jesús González comentó lo siguiente: “Qué importante que él, como parte del Grupo Pachuca, reconozca el trabajo que está haciendo el gobernador Julio Menchaca y el trabajo que se hace en turismo la secretaría Liz Quintanar”</t>
  </si>
  <si>
    <t>Mundial De Futbol</t>
  </si>
  <si>
    <t>Entrevista Humberto Gándara, director internacional de Grupo Pachuca, quien detalló cómo avanza la preparación de la capital hidalguense para recibir a la selección de Sudáfrica, equipo que tendrá un papel protagónico al inaugurar el torneo enfrentando a la selección Mexicana en el Estadio Azteca. La designación de Pachuca como campamento sede responde al trabajo coordinado entre el Grupo Pachuca y el Gobierno del Estado de Hidalgo. El gobierno del estado junto con la Secretaría de Turismo con con Liz Quintanar quien lidera muy bien este tema, llamó a la embajadora de Sudáfrica a que viniera a conocer nuestro estado, conoció el estado y ahora se está proyectando que no que sea la sede de los viajeros sudafricanos durante el mundial.</t>
  </si>
  <si>
    <t>Boletín 14:Hidalgo fortalece acciones para prevenir el embarazo en niñas y adolescentes</t>
  </si>
  <si>
    <t>Prevención De Embarazo Adolescente</t>
  </si>
  <si>
    <t>Radioescucha reporta que la colectiva de la Ruta Central - Pedregal - Plaza Juárez urge que se exija a los concesionarios que la ruta, después de las 8:00 pm, el servicio sea cada 6 minutos porque en los recorridos van muy llenas.</t>
  </si>
  <si>
    <t>Para disminuir los asaltos a transportistas en los estados de Puebla, Querétaro, Hidalgo y San Luis Potosí, se implementó el Plan Cero Robos, que cuenta con 20 mil elementos de la Guardia Nacional, explicó el General de División de Guardia Nacional de Estado Mayor, Guillermo Briseño Lobera. AUDIO APOYO</t>
  </si>
  <si>
    <t>Refuerzo De Seguridad</t>
  </si>
  <si>
    <t>El Ayuntamiento de Pachuca, encabezado por el alcalde Jorge Reyes, rehabilitó el Jardín del Arte, ubicado en el Centro Histórico, mediante un trabajo conjunto con tiendas Oxxo, con el objetivo de reactivar este espacio como punto de encuentro ciudadano y de expresión cultural.Las acciones realizadas incluyeron limpieza integral, retiro de maleza, atención de áreas verdes, reconstrucción de bancas y mesas, así como trabajos de pintura y mejora general del entorno. Con ello, se restablecen condiciones adecuadas para su uso y se impulsa nuevamente la convivencia en uno de los espacios más representativos de la ciudad.</t>
  </si>
  <si>
    <t>Rehabilitación de espacios públicos</t>
  </si>
  <si>
    <t>En Ixmiquilpan, en plena luz del día, un hombre y una mujer realizaron un asalto con armas blancas en el barrio de la Reforma en Ixmiquilpan. Lograron huir con un botín de 7 mil pesos. Este hecho se suma a otros robos que se realizaron ya en el municipio; ya los habitantes solicitan reforzamiento de la seguridad en esa zona</t>
  </si>
  <si>
    <t>Robo de identidad</t>
  </si>
  <si>
    <t>Boletín 47: Más de 2.4 millones de visitantes llegan a Hidalgo en el periodo vacacional de Semana Santa</t>
  </si>
  <si>
    <t>Semana Santa</t>
  </si>
  <si>
    <t>Boletín : Más de 2.4 millones de visitantes llegan a Hidalgo en el periodo vacacional de Semana Santa, AUDIO APOYO.</t>
  </si>
  <si>
    <t>Habitantes de la localidad de Caxuxi de San Salvador, perteneciente al municipio de San Salvador, se manifestarón esta mañana en Pachuca. El contingente inició en las inmediaciones de la Plaza de Toros Vicente Segura con dirección al Congreso del Estado de Hidalgo, protestan ante la posible prohibición de la "fiesta brava</t>
  </si>
  <si>
    <t>El Congreso del Estado ha anunciado que abrirá un espacio de diálogo antes de tomar una decisión sobre una posible prohibición de las Correas de Toros. El presidente de la Junta de Gobierno del Congreso de Hidalgo, Andrés Velásquez Vázquez, informó que se va a organizar un foro de discusión en el que van a participar voces a favor y en contra de la llamada fiesta brava, con el objetivo de construir una resolución incluyente</t>
  </si>
  <si>
    <t>A días de que se realicen corridas de toros anunciadas en Pachuca, el ayuntamiento capitalino no ha recibido ni autorizado solicitudes para estos eventos, por lo que, de llevarse a cabo, podrían derivar en sanciones administrativas como la cancelación.Así lo informó el alcalde pachuqueño, Jorge Reyes Hernández, quien aseguró que hasta el momento ninguna empresa u organizador ha ingresado trámites ante el área de Reglamentos, instancia encargada de validar este tipo de espectáculos, AUDIO APOYO</t>
  </si>
  <si>
    <t>El grupo Tauromaquia Mexicana, Capítulo Hidalgo, solicitó al Congreso del Estado realizar "una consulta a pueblos y comunidades indígenas" antes de dictaminar una eventual prohibición de las corridas de toros, con el argumento de "evitar acciones legales y garantizar el respeto a sus derechos".En un encuentro con medios de comunicación locales, representantes de la organización Tauromaquia Mexicana anunciaron la presentación oficial del libro "México es Taurino", una obra que documenta la trascendencia histórica, social y ecológica de la tauromaquia en nuestro país.El evento se llevará a cabo el jueves 16 de abril en el auditorio del Consejo Coordinador Empresarial.</t>
  </si>
  <si>
    <t>El Sistema Estatal de Donación y Trasplantes en Hidalgo, una política que salva vidas y refleja el lado más solidario de nuestra sociedad.En la entidad se registran mil 36 donadores de origen cadavérico; de ellos, se han procurado 958 órganos y tejidos, con niveles de viabilidad superiores al 85 por ciento.Son poco más de 20 mil personas que esperan un trasplante de órgano. "Donar es dar una nueva oportunidad de vida." AUDIO APOYO</t>
  </si>
  <si>
    <t>Trasplante de órganos</t>
  </si>
  <si>
    <t>Durante los trabajos del proyecto de salvamento arqueológico del Tren de Pasajeros Ciudad de México-Querétaro, se hallaron nuevas manifestaciones gráfico-rupestres en el lugar identificado como "Sitio 77, El Venado", ubicado en el cerro homónimo.Se trata de 15 elementos, entre petrograbados y pinturas rupestres que, por sus características estilísticas, datan posiblemente de la prehistoria y del periodo posclásico (900-1521 d.C.). Se localizan en dos acantilados cercanos al Río Tula y la Presa La Requena, en las inmediaciones de las comunidades de San José Acoculco en Atotonilco de Tula, y Benito Juárez en Tepeji del Río de Ocampo.El arqueólogo Abel José Romero García añadió que las pinturas se encuentran en buen estado de conservación y estimó que, en el caso de aquellas de origen prehispánico, posiblemente tengan relación con la etapa final de Tula.El sitio fue registrado en los años 70 del siglo pasado, dentro del proyecto arqueológico Tula coordinado por el investigador emérito del INAH, Eduardo Matos Moctezuma, y en aquella década se halló un elemento pintado alusivo a un venado, a partir del cual se dio nombre al cerro, AUDIO APOYO</t>
  </si>
  <si>
    <t>La Oficina de Defensa del Consumidor (Odeco) en Pachuca colocó la primera lona con la leyenda “No cargues aquí, se vuelan la barda con los precios” una gasolinera en Mineral de la Reforma, ubicada sobre la carretera Pachuca–Ciudad Sahagún, por registrar precios elevados de gasolina en Hidalgo. El operativo forma parte de una estrategia federal orientada a identificar y exhibir a estaciones de servicio que ofertan gasolina cara en Hidalgo con precios superiores a los parámetros definidos.</t>
  </si>
  <si>
    <t>Durante la reunión semanal, el Comité Jurisdiccional de Vigilancia Epidemiológica de Tulancingo, se trataron temas como la vacunación canina y felina en donde destacan municipios como Singuilucan que rebasa la meta ; Tulancingo con un 76.6 por ciento de cobertura alcanzada; Santiago Tulantepec con la aplicación de dos mil 525 vacunas, por mencionar algunos. En números rojas aparecen Agua Blanca, Huehuetla, Metepec y San Bartolo Tutotepec. Respecto al panorama epidemiológico de sarampión, se informó que hasta la fecha se han registrado 19 casos correspondientes al 2026 y uno del 2025, lo anterior, a nivel estatal, por lo anterior, las autoridades hicieron un llamado a la población que todavía no se ha vacunado, para que aproveche la disponibilidad de esta vacuna y se proteja con la enfermedad.</t>
  </si>
  <si>
    <t>Vigilancia Epidemiológica</t>
  </si>
  <si>
    <t>Como parte de las estrategias de sustentabilidad y responsabilidad social impulsadas por el Ayuntamiento de Tulancingo, la Dirección de Medio Ambiente informó que, durante el primer trimestre del año, se recolectaron más de 240 kilogramos de residuos a través de sus centros de acopio permanentes, de los cuales 201.36 kilogramos corresponden a desechos electrónicos y 39 kilogramos a papel de oficina. Entre los materiales captados destacan equipos de cómputo, laptops, teléfonos celulares, archivos documentales en desuso, monitores, CPU, teclados e impresoras, los cuales, de no ser manejados adecuadamente, representan un riesgo para el entorno y la salud pública. La dependencia destacó que los centros de acopio operan de manera permanente, brindando tanto a la ciudadanía como a las dependencias gubernamentales un espacio seguro y responsable para la disposición final de residuos, fortaleciendo así una cultura de reciclaje y manejo adecuado. Todo el material recolectado es canalizado a la Secretaría de Medio Ambiente y Recursos Naturales de Hidalgo (Semarnath), lo que garantiza su tratamiento conforme a la normativa vigente y bajo procesos técnicos que contribuyen a la protección del medio ambiente. De acuerdo con datos de la Dirección de Limpias, en el municipio se recolectan en promedio 10 aparatos electrónicos en desuso por semana, lo que evidencia la necesidad de fortalecer la participación ciudadana en este tipo de campañas. La alcaldía hizo un llamado a la ciudadanía para sumarse activamente a prácticas responsables de reciclaje, contribuyendo así a la construcción de un Tulancingo más limpio, ordenado y sustentable.</t>
  </si>
  <si>
    <t>Disposición de residuos</t>
  </si>
  <si>
    <t>Tras el ingreso de la excitativa del diputado Avelino Tovar Iglesias a la Comisión de Legislación y Puntos Constitucionales para que en un plazo de 10 días se vote la iniciativa que busca prohibir las corridas de toros en el estado, se estará resolviendo sin opiniones técnicas y sin la consulta a pueblos y comunidades indígenas. La diputada Lizbeth Iraís Ordaz Islas, presidenta de dicha comisión, explicó que ante la “prisa” del diputado promovente, la propuesta deberá someterse a votación a pesar de no contar con las opiniones del impacto de esta actividad en el estado, de no haberse realizado foros ni la consulta respectiva.</t>
  </si>
  <si>
    <t>La manifestación taurina comenzó esta mañana en la Plaza de Toros de Pachuca, marchando hacia el Congreso local. El contingente avanza por el bulevar Felipe Ángeles, lo que ha generado tráfico lento en la zona sur de la ciudad. Las autoridades han solicitado a los conductores tomar precauciones debido a las afectaciones viales que está provocando la movilización.</t>
  </si>
  <si>
    <t>La Procuraduría Federal del Consumidor (Profeco) colocó las primeras lonas con la frase “No cargues aquí, se vuelan la barda con los precios” en estaciones de servicio con precios superiores a lo acordado. Estas lonas tienen el objetivo de alertar a las personas sobre un precio caro y puedan elegir algún otro proveedor que tenga precios justos. Como resultado del primer día del operativo, el procurador Federal del Consumidor, Iván Escalante Ruiz, colocó una lona en una estación de servicio de Repsol, ubicada en Amecameca, Estado de México, donde se encontró el precio del diésel en $31.99 pesos el litro, y una más en una Mobil, en la alcaldía Iztapalapa, Ciudad de México, donde el litro de gasolina regular está en $24.39. Las brigadas de verificación se desplegaron en otros puntos del país con los siguientes resultados: Se colocaron mantas por exceder el precio de $24.00 pesos por litro de gasolina en una estación de servicio de Oxxo Gas ubicada en Aguascalientes, Aguascalientes, donde el litro de combustible se vende en $24.99. Del mismo proveedor, pero en Toluca, Estado de México, el precio fue de $24.99, igual que en una ubicada en Moroleón, Guanajuato y otra en Mineral de la Reforma, Hidalgo.</t>
  </si>
  <si>
    <t>El municipio de Tasquillo acumula un promedio de 60 incendios registrados durante los primeros cuatro meses de este 2026, el de mayor magnitud ocurrió el pasado 29 de marzo, afectando más de 70 hectáreas de pastizal. En rueda de prensa, Itzel Olguín, Directora de Protección Civil Municipal explicó que de todos los siniestros reportados durante dicho período, solo uno represento más complicaciones Puede leer Reportan 2 incendios en Ixmiquilpan en menos de 24 horas "El 29 de marzo tuvimos seis incendios activos en distintas localidades, siendo más afectadas de la de Remedios y Santiago Ixtlachuaca". Los hechos dejaron un total de 70 hectáreas consumidas por el fuego, además de pérdidas de flora y fauna endémica. En otro tenor, Itzel Olguín destacó saldo blanco en la demarcación durante el período vacacional que concluyó este domingo 12 de abril.</t>
  </si>
  <si>
    <t>La racha de robos continúa en el municipio de Ixmiquilpan, esta vez le tocó a una tienda ubicada sobre avenida Insurgentes, en el Barrio de La Reforma con razón social Tiendas 3B. De acuerdo con información preliminar, la noche de este martes, una pareja ingresó al establecimiento haciéndose pasar por clientes; sin embargo, una vez en el interior, sacaron de entre sus ropas armas blancas con las que amenazaron a los trabajadores. Tras someter al personal, los responsables la pareja de ladrones se apoderaron del dinero correspondiente a las ventas del día, así como de algunos productos del lugar. De manera extraoficial, se indicó que el monto de lo robado podría superar los 7 mil pesos. Luego del reporte del robo, elementos de seguridad pública y paramédicos acudieron al sitio para brindar apoyo, ya que los empleados presentaron crisis nerviosa tras lo ocurrido. Hasta el momento no se ha informado sobre la localización de los presuntos responsables, mientras autoridades continúan con las indagatorias correspondientes. Apenas antier se reportó un robo similar en un establecimiento del barrio del Fitzhi, además de otros asaltos a comercios del municipio, sin que se tengan personas detenidas por estos hechos.</t>
  </si>
  <si>
    <t>Inseguridad</t>
  </si>
  <si>
    <t>En un momento en que la economía social adquiere mayor relevancia en México, la Cámara de Diputados anunció la realización del foro “Los Retos de las Cooperativas en México”, programado para el próximo 18 de abril a las 9:30 horas en el lobby del Congreso del Estado de Hidalgo. El encuentro busca generar un espacio de diálogo sobre el papel de las cooperativas como eje de desarrollo comunitario, justicia económica y organización solidaria frente a los modelos tradicionales. El evento contará con la participación de la diputada federal Tatiana Ángeles Moreno, quien ha consolidado una trayectoria destacada como luchadora social y referente progresista en la vida pública nacional. Con más de cuatro décadas de trabajo desde la izquierda, ha impulsado iniciativas enfocadas en la transparencia, el combate a la corrupción y el fortalecimiento de las economías locales, priorizando a los sectores históricamente marginados. Más allá de una discusión técnica, el foro se plantea como un acto político con profundo sentido social: visibilizar alternativas económicas más equitativas. La presencia de Tatiana Ángeles refuerza su perfil como una legisladora cercana a la ciudadanía, convencida de que el futuro del país pasa por modelos solidarios, incluyentes y orientados a la justicia social.</t>
  </si>
  <si>
    <t>Economía social</t>
  </si>
  <si>
    <t>Boletín: CEDSPI continúa con su campaña “¡A ver… a ver!”</t>
  </si>
  <si>
    <t>Salud Visual</t>
  </si>
  <si>
    <t>Entrevista vía telefónica Román Bernal Díaz, subsecretario de Protección Civil y Gestión de Riesgos - Fenómenos Meteorológicos en Hidalgo - Habló sobre los recientes cambios en el equilibrio ecológico, los cuales alteran los eventos meteorológicos extremos, en ese sentido, dijo, que el Estado cuenta un sistema de monitoreo suficiente para estar en condiciones de alertar a la población de manera oportuna sobre los fenómenos meteorológicos que puedan presentarse, en ese sentido, llamó a la población a mantenerse informados a través de canales oficiales.</t>
  </si>
  <si>
    <t>Boletín: CCLEH brinda asesoría gratuita sobre reparto de utilidades</t>
  </si>
  <si>
    <t>Boletín 1045: Como un “acto de reconstrucción”, Julio Menchaca inaugura Intervención Gráfica 4.1 Hióki (AUDIO JMS);(AUDIO AVM)</t>
  </si>
  <si>
    <t>Enlace Hidalgo</t>
  </si>
  <si>
    <t>Columna a media semana - La situación jurídica del empresario iraquí nacionalizado mexicano, Rafael Zaga Tawil detenido en Florida, Estados Unidos, causa inquietud entre algunos políticos hidalguenses y no es para menos, ya que se mantienen vigentes los señalamientos en su contra por delincuencia organizada y lavado de dinero, que surgieron tras el desfalco de 5 mil millones de pesos al INFONAVIT, en los tiempos en los que el hoy morenista Alejandro Murat y el ex-senador David Penchyna Grub estuvieron al frente de la dirección general. El hidalguense habría avalado el saqueo y parece que la captura del ricachón podría escribir un nuevo capítulo a esta historia.</t>
  </si>
  <si>
    <t>Desvío de recursos</t>
  </si>
  <si>
    <t>Joel Sánchez</t>
  </si>
  <si>
    <t>Columna a media semana - Hace unos días en este mismo espacio, destacamos el trabajo que el Instituto Nacional de Antropología e Historia lleva a cabo en torno al descubrimiento de un altar, ofrendas humanas, vestigios y muros localizados durante la construcción del tren México-Querétaro; pero de la riqueza arqueológica de la zona habla también el hallazgo de 16 petrograbados y pinturas rupestres, manifestaciones gráficas localizadas en El Venado, entre Atotonilco de Tula y Tepeji del Río, las cuales han sido catalogadas por los especialistas como pertenecientes al periodo posclásico (900 y 1521 d.C.). Interesante es el trabajo histórico y la labor de conservación.</t>
  </si>
  <si>
    <t>Columna a media semana - El gobierno federal y el estatal de Hidalgo, impulsan importantes proyectos para la generación y aprovechamiento de energía limpia en la entidad, ejemplo de ello es que la Comisión Nacional del Agua, ha inaugurado el 1er sistema solar sin respaldo para la alimentación de la bomba de riego que beneficiará a cientos de productores agrícolas de la Unidad de Riesgo el Yolo en Acatlán, con lo que se tecnifican 95.3 hectáreas; a ello hay que sumarle que ya se desarrolla el plan ejecutivo para instalar un mega parque fotovoltaico en Huichapan, proyecto similar a los ya existentes en Nopala de Villagrán y Emiliano Zapata. Energía sin contaminar el ambiente. Bien.</t>
  </si>
  <si>
    <t>Energías renovables</t>
  </si>
  <si>
    <t>A través de un video publicado en redes sociales, la presidenta de Tulancingo, Lorena García, se pronunció sobre los señalamientos sobre presuntas irregularidades, señalando, que su administración trabaja con legalidad y transparencia, calificando su gestión como enfocada en "resultados visibles". (AUDIO LGC).</t>
  </si>
  <si>
    <t>El síndico procurador hacendario del municipio de Tulancingo, Pedro Hiram Soto Márquez, dio a conocer presuntas irregularidades en la administración municipal encabezada por Lorena García Cázares, que podrían haber generado un posible daño al erario. El funcionario señaló que desde finales de 2024 detectó inconsistencias administrativas. Entre los señalamientos, mencionó el presunto ofrecimiento de un recurso de 200 mil pesos para cada integrante del ayuntamiento con el objetivo de facilitar acuerdos internos; indicó que para 2025 tuvo conocimiento de que dicho “bono” habría sido entregado a través de terceros. El síndico informó que presentó denuncias ante distintas instancias: el 28 de febrero de 2025 ante el Órgano Interno de Control; el 26 de marzo ante la Auditoría Superior del Estado de Hidalgo; y el 13 de abril de 2026 ante la Fiscalía Especializada en Delitos de Corrupción.</t>
  </si>
  <si>
    <t>Con el objetivo de fortalecer el funcionamiento de los tianguis y garantizar condiciones seguras para comerciantes y consumidores, se realizará reunión de trabajo entre líderes tianguistas y autoridades municipales el próximo miércoles, afirmó el secretario municipal, Edmundo Aguilar Aranda. En este encuentro participarán las direcciones de Mercados, Reglamentos, así como Bomberos y Protección Civil, quienes reiterarán los lineamientos de operación y promoverán la prevención de riesgos, los cuales de manera consecutiva se promueven. Se anticipó que, como parte de los acuerdos, los dirigentes firmarán una minuta de compromiso para que sus agremiados participen en capacitaciones sobre uso de extintores, manejo de gas LP, instalaciones eléctricas y atención a emergencias. Además, se emitirán recomendaciones para su implementación gradual, como el uso de tanques de gas de hasta 10 kilogramos con regulador, contar con extintores y botiquín de primeros auxilios, así como respetar distancias para garantizar la seguridad y el libre tránsito. También se establecerá un cronograma de supervisión en los 13 tianguis del municipio para verificar el cumplimiento de estas disposiciones, anticipando que, de no cumplirse, se emitirán sanciones.</t>
  </si>
  <si>
    <t>Como parte de los resultados de la implementación del “Operativo Mineral Seguro”, elementos de la Secretaría de Seguridad Ciudadana de Mineral de la Reforma detuvieron a cuatro personas quienes tenían en su posesión enervantes. De acuerdo con policías municipales, tras establecer recorridos preventivos en la avenida de Los Árboles, a la altura de una farmacia, en la colonia Fraccionamientos del Sur, se efectuó la intervención de un vehículo Nissan Sentra, color blanco, en el que viajaban los presuntos responsables. Al revisar el automotor, se encontraron en su interior 13 bolsas con marihuana, 28 bolsas con cristal (metanfetamina) y una báscula gramera. Las personas detenidas se identificaron con las iniciales M. A. H. G., J. A. V. S., A. L. T. y D. M. H. S. Tanto los cuatro detenidos, como las dosis de enervantes y el vehículo, fueron puestos a disposición del Ministerio Público del fuero común para las investigaciones correspondientes. Esta acción forma parte de las medidas preventivas implementadas para evitar la comisión de delitos en la zona.</t>
  </si>
  <si>
    <t>Columna a media semana: Quien enfrenta un serio conflicto es el director general del Colegio del Estado de Hidalgo, Pablo Vargas González, pues con razón o sin ella, su nombre salió a relucir tras un cateo en una vivienda de El Cerezo, diligencia derivada de la carpeta de investigación 12-2025-051-65 por el delito de despojo y lo que resulte en agravio de Sergio Loreto Hernández; es previsible que el asunto llegará muy lejos, ya que lo que se disputan es un predio de más de 21 mil metros en Ampliación El Palmar, cuyo valor se estima en 100 millones de pesos y ninguna de las partes lo va a dejar perder sin pelear. Mientras tanto el morenista ex-candidato a presidente municipal de Pachuca y funcionario público, está en medio del escándalo.</t>
  </si>
  <si>
    <t>Columna a media semana: Cuentan que en el marco del posible relevo en la sección XV del Sindicato Nacional de Trabajadores de la Educación, en el magisterio hidalguense se están cocinando enroques y relevos en importantes áreas de la SEPH; según los informados, Taurino Ramírez Lara y Francisco Morelos, director de Educación Normal (DEN-SEPH) y director de Formación y Superación Docente, podrían cambiar cargos entre sí; Enriqueta Vargas, podría pasar del Centro Regional de Educación Normal “Benito Juárez” a la dirección de la Escuela Normal Superior del Estado de Hidalgo, mientras que Benigno Sánchez Naranjo, de la Secretaría de Conflictos del SNTE, pasaría a la DEN; algunos llevan décadas ahí y ya era tiempo de sacarlos.</t>
  </si>
  <si>
    <t>Nombramientos</t>
  </si>
  <si>
    <t>Joselyn Sánchez</t>
  </si>
  <si>
    <t>Miled 97.1 FM</t>
  </si>
  <si>
    <t>Línea en Alta Tensión</t>
  </si>
  <si>
    <t>Entrevista vía telefónica Román Bernal Díaz, subsecretario de Protección Civil y Gestión de Riesgos - Fenómenos Meteorológicos en Hidalgo</t>
  </si>
  <si>
    <t>María Antonieta Islas</t>
  </si>
  <si>
    <t>Nacionales Conade</t>
  </si>
  <si>
    <t>Una barda de la empresa Infra cayó sobre un vehículo particular. Sin embargo, no se reportaron personas lesionadas, aunque el vehículo sufrió daños materiales. De acuerdo con los informes de la Policía de Pachuca, el hecho ocurrió cuando la barda de la mencionada empresa se desplomó sobre el automóvil estacionado en la vía pública.</t>
  </si>
  <si>
    <t>En el lugar conocido como Las Vidriera, municipio de Singuilucan, se registra el incendio de un local comercial ubicado a un costado de la carretera federal México-Tuxpan, en el carril con dirección a la Ciudad de México (CDMX). Tras el hecho, se cerró la carrera en el tramo Pirámides- Tulancingo, pues cuerpos de emergencia atienden el siniestro.</t>
  </si>
  <si>
    <t>Reubicación de viviendas</t>
  </si>
  <si>
    <t>Comerciantes de la zona centro del municipio de Actopan retuvieron, golpearon, raparon y amarraron a una pareja de presuntos delincuentes. Los hechos ocurrieron cuando los implicados, un hombre y una mujer, fueron detenidos tras ser señalados por los vendedores de cometer varios robos a los establecimientos. Ambos implicados fueron golpeados, rapados y amarrados, como les decía, en el obelisco del jardín municipal, con el objetivo de exhibirlos ante la ciudadanía. La policía municipal llegó al lugar y tras un diálogo los presuntos ladrones les fueron entregados.</t>
  </si>
  <si>
    <t>La presidenta del Partido Acción Nacional (PAN) en Hidalgo, Marcela Isidro García, reconoció que incurrieron en irregularidades en el uso de recursos públicos en 2024, mismas que no pudieron solventar, por lo que deberán pagar la multa superior a 7 millones de pesos que les impuso el Instituto Nacional Electoral (INE). La expresidenta municipal de Nicolás Flores afirmó que la sanción ya no puede revertirse, al señalar que las observaciones debieron atenderse en su momento. “Las observaciones que se hacen, en su momento, se debieron de solventar, hoy, efectivamente, se tienen que pagar estas multas”, afirmó. La dirigente panista evitó detallar las irregularidades específicas señaladas por el INE y sostuvo que el partido asumirá las consecuencias. “Sí o sí se tendrá que pagar”, reiteró. Isidro García también deslindó su responsabilidad directa al señalar que las inconsistencias corresponden al ejercicio 2024, cuando la diputada Claudia Luna Islas era presidenta, aunque indicó que el PAN debe responder como institución.</t>
  </si>
  <si>
    <t>PAN</t>
  </si>
  <si>
    <t>Multas INE</t>
  </si>
  <si>
    <t>Partidos</t>
  </si>
  <si>
    <t>UTMZ mantiene abierta su convocatoria de nuevo ingreso</t>
  </si>
  <si>
    <t>Oferta académica</t>
  </si>
  <si>
    <t>Como parte de las estrategias de sustentabilidad y responsabilidad social impulsadas por el Gobierno Municipal de Tulancingo, la Dirección de Medio Ambiente informó que, durante el primer trimestre del año, se logró la recolección de más de 240 kilogramos de residuos, integrados por 201.36 kilogramos de desechos electrónicos y 39 kilogramos de papel de oficina, a través de sus centros de acopio permanentes. Entre los materiales captados destacan equipos de cómputo, laptops, teléfonos celulares, archivos documentales en desuso, monitores, CPU, teclados e impresoras, los cuales, de no ser manejados adecuadamente, representan un riesgo para el entorno y la salud pública. La Dirección de Medio Ambiente destacó que los centros de acopio operan de manera permanente, brindando tanto a la ciudadanía como a las dependencias gubernamentales un espacio seguro y responsable para la disposición final de residuos electrónicos y papelería en desuso, fortaleciendo así una cultura de reciclaje y manejo adecuado de residuos.</t>
  </si>
  <si>
    <t>Con el objetivo de ordenar el crecimiento de la ciudad, se llevó a cabo la Audiencia Pública del Programa Parcial de Desarrollo Urbano Pachuca–Mineral de la Reforma, un ejercicio que reunió a autoridades de los tres niveles de gobierno, así como a representantes del sector académico, empresarial y ciudadanía interesada. En el encuentro participaron Eduardo Medécigo, presidente municipal de Mineral de la Reforma; Edgar Buenrostro, en representación de la Secretaría de Desarrollo Agrario, Territorial y Urbano (Sedatu); Miguel Tello, secretario de Planeación y Prospectiva; Julio Valera; Horacio Castañeda; y Octavio Díaz, rector del Tecnológico de Monterrey. Durante la sesión se presentaron los objetivos, alcances y lineamientos de esta estrategia, que busca establecer bases claras para guiar el desarrollo de Pachuca y fortalecer su integración con el municipio vecino.</t>
  </si>
  <si>
    <t>Integrantes de diversas dependencias de los tres órdenes de gobierno, se llevó a cabo una evaluación de la operatividad de los corralones o depósitos vehiculares, así como el manejo del servicio de grúas. Durante un encuentro encabezado por el secretario de Gobierno Guillermo Olivares Reyna, se escuchó a víctimas de malos tratos, abusos o a quienes se les proveyó de un mal servicio por parte de alguno de los operadores de los sitios evaluados. A lo largo de este encuentro, se generaron observaciones y compromisos para solventar lo antes posible desde cada área de responsabilidad, con la finalidad de evitar que, en su mayoría, los cobros excesivos, sean una constante.</t>
  </si>
  <si>
    <t>Cobro de grúas</t>
  </si>
  <si>
    <t>La segunda semana del periodo vacacional encendió las alertas en Tulancingo, luego de que se registraran 10 accidentes automovilísticos entre el 5 y el 12 de abril, de acuerdo con información de Bomberos y Protección Civil del municipio. Del total de percances, siete ocurrieron en la zona urbana, mientras que tres más se registraron en tramos carreteros de Las Lajas, San Alejo y Zempoala, donde el flujo vehicular se mantuvo constante durante estos días. Este repunte se suma al balance general del periodo de Semana Santa, en el que se contabilizaron ocho accidentes que dejaron como saldo cuatro personas lesionadas. Las autoridades señalaron que los puntos con mayor incidencia continúan siendo la carretera México-Tuxpan, así como las colonias Centro y Loma Bonita, zonas donde se concentra gran parte de la movilidad.</t>
  </si>
  <si>
    <t>Hidalgo refuerza acciones de atención y control del Gusano Barrenador del Ganado</t>
  </si>
  <si>
    <t>Saderh</t>
  </si>
  <si>
    <t>Gusano barrenador</t>
  </si>
  <si>
    <t>En el Estado de Hidalgo se ha registrado un incremento importante de casos de sarampión en el comparativo con el año anterior, reconoció la titular de la Secretaría de Salud de Hidalgo, Vanesa Escalante Arroyo. En el comparativo, durante todo el año 2025 se registró un caso de la enfermedad, mientras que en lo que va del presente, ya han sido confirmados 20 contagios. La funcionaria aclaró que del total de dichos casos sólo cuatro se mantienen activos, agregando que Hidalgo se encuentra en lugar 27 de las 32 entidades federativas que conforman el país en cuanto al registro correspondiente. A mediados de la semana pasada, funcionarios de la Secretaría de Salud federal señalaron durante una conferencia de prensa matutina en Palacio Nacional que el registro de casos de sarampión iba a la baja.</t>
  </si>
  <si>
    <t>La temporada vacacional de Semana Santa 2026 dejó resultados por debajo de lo esperado para el sector hotelero en Hidalgo, donde la ocupación promedio se ubicó en 57 por ciento, inferior a la registrada el año anterior. Así lo dio a conocer Roxana Vargas Juárez, presidenta de la Asociación Mexicana de Hoteles y Moteles del Estado de Hidalgo (AMHMH), quien señaló que esta disminución forma parte de una tendencia que también se observó a nivel nacional. De acuerdo con la dirigente, aunque se registraron picos de visitantes durante el primer fin de semana del periodo vacacional, así como en viernes y sábado santos, la afluencia disminuyó en los días posteriores. Indicó que parte de la ocupación hotelera en la capital se vio impulsada por la llegada de jóvenes futbolistas que acudieron a visorías con el Club Pachuca, lo que generó movimiento en algunos establecimientos.</t>
  </si>
  <si>
    <t>Ocupación Hotelera</t>
  </si>
  <si>
    <t>Durante la recién concluida temporada vacacional de Semana Santa, en el Estado de Hidalgo se registró la llegada de 2.4 millones de visitantes, aumentando la derrama económica en 5.23 por ciento. La información fue ofrecida por Elizabeth Quintanar Gómez, titular de la Secretaría de Turismo de la entidad, señalando que la derrama económica fue de mil 235 millones de pesos, lo que significó un aumento del 5.23 por ciento. La secretaria de Turismo de Hidalgo, Elizabeth Quintanar Gómez, presentó el informe oficial de resultados correspondiente al periodo vacacional de Semana Santa 2026, con un balance positivo en afluencia turística de 2.4 millones de visitantes y un aumento en derrama económica del 5.23 por ciento.</t>
  </si>
  <si>
    <t>Entrevista en cabina de Ultra Noticias con el Síndico Hacendario del Ayuntamiento, Pedro Hiram Soto Márquez y el tema del presunto desvío de recursos públicos del municipio de Tulancingo. Por lo menos 4 millones de pesos de recursos públicos de Tulancingo habrían sido desviados en un esquema de entrega de apoyos sociales en efectivo. Se descubrió que los cheques eran emitidos a nombre del entonces titular de la Secretaría de Administración y Finanzas, y el dinero fue repartido con ayuda de la Secretaría Particular. Se detectaron 38 apoyos entregados a 11 domicilios, incluidos algunos de otros municipios. Algunos beneficiarios eran empleados del gobierno municipal. Negó que exista una partida especial para apoyos como lo ha declarado la alcaldesa de Tulancingo. Aseveró que confía en la Procuraduría y los órganos de justicia y es por ello que acudió a ellos y que este análisis es hasta el mes de mayo del año pasado. Señala que lo que busca es que cese este desvío y los recursos lleguen a quine de verdad lo necesita.</t>
  </si>
  <si>
    <t>Vía telefónica el reporte de Bombero y Protección Civil con Abner Yáñez informa que se atendieron diversas emergencias.</t>
  </si>
  <si>
    <t>El promedio diario de homicidios dolosos en México mostró una disminución significativa del 41% entre septiembre de 2024 y marzo de 2026, de acuerdo con datos presentados por Marcela Figueroa, secretaria ejecutiva del Sistema Nacional de Seguridad Pública, con base en información de las 32 fiscalías estatales. Durante la conferencia matutina de la presidenta Claudia Sheinbaum, se detalló que el promedio nacional pasó de 86.9 víctimas diarias en septiembre de 2024 a 51.4 en marzo de este año, lo que equivale a una reducción de 35 casos por día. En el análisis por entidades correspondiente a marzo de 2026, siete estados concentraron el 50.2% de los homicidios en el país, evidenciando una alta concentración de este delito. Entre las entidades con mayor incidencia se encuentran Guanajuato (9.2%), Chihuahua (8.3%), Baja California (8%), Morelos (6.4%), Guerrero (6.3%), Estado de México (6%) y Oaxaca (5.9%). En contraste, Hidalgo registró 18 homicidios dolosos durante marzo, lo que representa apenas el 1.1% del total nacional, colocándose entre las entidades con menor incidencia en este delito.</t>
  </si>
  <si>
    <t>Incidencia Delictiva</t>
  </si>
  <si>
    <t>Se anunció un bloqueo carretero sobre la carretera Pachuca- Ixmiquilpan a la altura de Yolotepec, esto por falta de agua desde hace varios meses. Se desconoce si ya se realiza o a qué hora iniciará.</t>
  </si>
  <si>
    <t>Al medio día e la sede de la Procuraduría General de Justicia se espera una manifestación que busca que se revise el caso de Iván. No se tiene considerado bloque carretero.</t>
  </si>
  <si>
    <t>Se esperan manifestaciones el día de hoy. Una a partir de las 10 de la mañana en la Plaza de Toros de Pachuca, esto por parte de habitantes de la comunidad de Caxuxi, se manifestarán en defensa de la tradición taurina.</t>
  </si>
  <si>
    <t>Con el acompañamiento de notarios públicos, el Gobierno del Estado de Hidalgo inició la notificación formal a los habitantes de cuatro comunidades ubicadas dentro del municipio de Tianguistengo, dentro de zonas consideradas de alto riesgo. El gobernador de Hidalgo, Julio Menchaca Salazar, explicó que estas notificaciones tienen el objetivo de dejar constancia legal de que las autoridades han advertido oportunamente a la población sobre los riesgos. Particularmente en zonas serranas y cercanas a cauces, donde ya se han registrado afectaciones graves, y hacerle saber a los habitantes sobre la necesidad de reubicarse ante los peligros que representan las lluvias y las condiciones geográficas.</t>
  </si>
  <si>
    <t>20 obras ejecutadas durante la anterior administración municipal de Santiago Tulantepec están aún sin recepcionarse hasta la fecha en diferentes colonias y comunidades del municipio. La información fue presentada por el titular de la dirección de Obras Públicas municipal, Damián Hernández Bautista, ante integrantes de la Asamblea Municipal, tras solicitud previa de los datos por parte del regidor Horacio Islas Díaz. El funcionario municipal señaló que las obras no han sido recepcionadas debido a anomalías detectadas en las metas, mala calidad de los trabajos y falta de documentación en los expedientes, principalmente.</t>
  </si>
  <si>
    <t>Municipalización</t>
  </si>
  <si>
    <t>La empresa Rubrum, presenta los resultados de la encuesta que realizó en las 31 capitales del país para conocer su evaluación al desempeño de los alcaldes, de sus oficinas municipales y de toda la estructura encargada de atender estas ciudades que son carta de presentación de cada estado. Los puntos a evaluar son: Calificación de Trabajo y Desempeño de Presidentes Municipales, Calificación de los Servicios Públicos, Calificación de Cercanía de Presidente Municipal con la población y Percepción ciudadana de Seguridad. en esta encuesta el alcalde Pachuca se encuentra en el lugar 17.</t>
  </si>
  <si>
    <t>Aprobación Alcalde</t>
  </si>
  <si>
    <t>Andrés Torres relata que durante la clausura de la Feria del Calvario y mientras la Banda Cuisillos hacía su presentación, la alcaldesa de Huichapan, Yeymi Yadira Solís Zavala, la interrumpió para dar un mensaje; lo que provocó la molesta de los asistentes y su equipo tuvo que sacarla del lugar.</t>
  </si>
  <si>
    <t>Impericia</t>
  </si>
  <si>
    <t>Se ha anunciado una jornada de vacunación contra el sarampión por parte del DIF Pachuca, ubicado en el Parque Hidalgo de Pachuca el día 16 de abril de 2026 de 09:00 a 14:00 hrs. se hará la aplicación de vacunas contra sarampión, rubéola y parotiditis (SRP) en niñas y niños</t>
  </si>
  <si>
    <t>Vacunación</t>
  </si>
  <si>
    <t>El secretario de Educación Pública de Hidalgo, Natividad Castrejón Valdez, encabezó la ceremonia de abanderamiento de la delegación que representará a la entidad en la Olimpiada Nacional CONADE 2026. El contingente, integrado por alrededor de 450 personas entre deportistas, entrenadores, delegados, jefes de misión, oficiales y jueces, competirá en 38 disciplinas, con el objetivo de poner en alto el nombre de Hidalgo en el certamen deportivo más importante del país. Durante su mensaje, el titular de la SEPH reconoció la dedicación de las y los atletas para alcanzar un óptimo nivel de preparación técnica y física, y subrayó que, bajo la visión del gobernador Julio Menchaca Salazar, el deporte se impulsa como un motor de movilidad social.</t>
  </si>
  <si>
    <t>El IMSS Bienestar Hidalgo promueve la detección oportuna de la Enfermedad Renal Crónica (ERC) como una medida fundamental para prevenir complicaciones graves y mejorar la calidad de vida de la población. Durante la atención médica en el Hospital General de Alta Especialidad IMSS Bienestar en Pachuca, el especialista en medicina interna y nefrología, doctor José Ramón Legorreta Ramírez, explicó que esta enfermedad se caracteriza por la pérdida progresiva de la función renal y puede avanzar sin causar síntomas en sus primeras etapas.</t>
  </si>
  <si>
    <t>IMSS Bienestar</t>
  </si>
  <si>
    <t>El día de hoy en Ixmiquilpan se inaugurarán las Olimpiadas infantiles y juveniles y habrá una carrera de 100 metros planos entre el alcalde de Ixmiquilpan, Emmanuel Hernández, que seguramente tiene mucho qué hacer, contra "El Alushe", uno de los Hijos del Pueblo.</t>
  </si>
  <si>
    <t>Una persona perdió la vida tras desvanecerse en la vía pública frente a una farmacia en avenida Constitución, Pachuca. Paramédicos confirmaron que ya no tenía s1gnos vitales; autoridades investigan causas.</t>
  </si>
  <si>
    <t>La noche de este martes se registró un asalto a mano armada en una tienda 3B en el municipio de Ixmiquilpan.</t>
  </si>
  <si>
    <t>Asalto A Comercio</t>
  </si>
  <si>
    <t>El Ayuntamiento de Pachuca, encabezado por el alcalde Jorge Reyes, rehabilitó el Jardín del Arte, ubicado en el centro histórico, mediante un trabajo conjunto con tiendas Oxxo, con el objetivo de reactivar este espacio como punto de encuentro ciudadano y de expresión cultural. Las acciones realizadas incluyeron limpieza integral, retiro de maleza, atención de áreas verdes, reconstrucción de bancas y mesas, así como trabajos de pintura y mejora general del entorno. Con ello, se restablecen condiciones adecuadas para su uso y se impulsa nuevamente la convivencia en uno de los espacios más representativos de la ciudad.</t>
  </si>
  <si>
    <t>En el marco del Día Nacional del Tenango, conmemorado cada 10 de abril, y del Día del Niño y la Niña, celebrado cada 30 de abril, el Congreso del Estado de Hidalgo reconoció a Malintsin Cruz Méndez y Rafael Bautista Bautista, jóvenes de Atlapexco bailarines de huapango, quienes representan con orgullo las tradiciones de Hidalgo a nivel nacional. El diputado Andrés Velázquez Vázquez, presidente de la Junta de Gobierno, aseguró que el huapango es una de sus expresiones más auténticas y vibrantes. “A través del talento infantil, vemos cómo esta herencia no solo se preserva, sino que florece con fuerza. Reconozco con profunda admiración a Malintsin y Rafael, jóvenes que nos inspiran con su talento, disciplina y amor por sus raíces. Son ejemplo de que la cultura se construye día a día con esfuerzo, dedicación y pasión”.</t>
  </si>
  <si>
    <t>Reconocimiento</t>
  </si>
  <si>
    <t>El diputado Andrés Velázquez Vázquez y la diputada Lizbeth Iraís Ordaz Islas (Morena) presentaron la iniciativa que reforma la Ley de Turismo Sustentable y la Ley de los Derechos de Niñas, Niños y Adolescentes para el Estado de Hidalgo, con el objetivo de incorporar medidas preventivas y mecanismos de verificación en los servicios de hospedaje para garantizar la integridad, seguridad y protección de dicho sector. Lo anterior, mediante la implementación de disposiciones que obliguen a dichos prestadores de servicios a corroborar que las personas adultas que ingresen acompañadas de personas menores de edad acrediten fehacientemente su calidad de madre, padre, tutor legal o su vínculo de parentesco consanguíneo.</t>
  </si>
  <si>
    <t>Como un “acto de reconstrucción”, Julio Menchaca inaugura Intervención Gráfica 4.1 Hióki</t>
  </si>
  <si>
    <t>Caen 2 presuntos narcomenudistas en Tizayuca tras despliegue operativo de la SSPH</t>
  </si>
  <si>
    <t>Rehabilitación de la calle Vía de los Reyes fortalece la conectividad en El Daxthá, Actopan</t>
  </si>
  <si>
    <t>CEDSPI continúa con su campaña “¡A ver… a ver!”</t>
  </si>
  <si>
    <t>Natividad Castrejón abandera delegación hidalguense rumbo a la Olimpiada Nacional CONADE</t>
  </si>
  <si>
    <t>Inhjuve abre convocatorias de emprendimiento y liderazgo juvenil</t>
  </si>
  <si>
    <t>Bienestar</t>
  </si>
  <si>
    <t>Apoyo A Jóvenes</t>
  </si>
  <si>
    <t>En cabina el matador Javier Gallardo, dio a conocer su inicios y trayectoria en el medio taurino. Incita a la población a acudir este 18 de abril en la Plaza de Toros de Pachuca. Juan Carlos Santa María recuerda que este evento forma parte de la Expo Feria 2026.</t>
  </si>
  <si>
    <t>Expo feria</t>
  </si>
  <si>
    <t>Hidalgo fortalece acciones para prevenir el embarazo en niñas y adolescentes</t>
  </si>
  <si>
    <t>Más de 2.4 millones de visitantes llegan a Hidalgo en el periodo vacacional de Semana Santa</t>
  </si>
  <si>
    <t>La tercera edición del Festival del Helado Artesanal se llevará a cabo el próximo 19 de abril en el municipio de Atotonilco, en un horario de 10 de la mañana a 6 de la tarde. En esta ocasión participarán 16 heladeros provenientes de distintos municipios de Hidalgo, así como de Querétaro y Tepeji, quienes ofrecerán al público una amplia variedad de hasta 60 sabores de helado que van desde los tradicionales hasta propuestas culinarias innovadoras.</t>
  </si>
  <si>
    <t>Turismo Gastronómico</t>
  </si>
  <si>
    <t>El fútbol femenil sigue ganando terreno en el municipio y, por segundo año consecutivo, se abre una nueva oportunidad para que jóvenes futbolistas den el salto hacia el alto rendimiento. Con el respaldo de la presidenta municipal, Lorena García Cázares, la Dirección de Cultura Física y Recreación lanzó la convocatoria para integrar el equipo de tercera división femenil profesional de Tulancingo. La invitación está dirigida a jugadoras de entre 15 y 22 años, quienes podrán demostrar su talento en las visorias que se realizan en la cancha uno de la Unidad Deportiva Municipal, en busca de un lugar dentro del representativo local. El objetivo es claro: consolidar un equipo competitivo que represente al municipio, al tiempo que se impulsa el desarrollo integral de las jóvenes, brindándoles una plataforma para proyectarse tanto en el ámbito deportivo como académico.</t>
  </si>
  <si>
    <t>Fomento Al Deporte</t>
  </si>
  <si>
    <t>La organización Biofutura presentó una queja ante la Comisión de Derechos Humanos del Estado de Hidalgo en contra del titular de la Procuraduría Estatal de Protección al Ambiente, por presuntas irregularidades en la atención de denuncias relacionadas con maltrato animal. De acuerdo con la agrupación, la denuncia se basa en datos oficiales obtenidos mediante solicitudes de transparencia, en los que se reporta que la dependencia ha recibido mil 618 denuncias por crueldad animal desde 2015. No obstante, señalan que en ese periodo únicamente se han emitido dos resoluciones con sanción: una en 2015 contra el establecimiento “+Kota”, que derivó en su clausura, y otra en 2019 contra particulares, que concluyó con una amonestación. Para Biofutura, estas cifras evidencian un nivel de impunidad considerable, al representar un porcentaje mínimo de casos sancionados frente al total de denuncias, lo que afirman, podría constituir una afectación a derechos en materia ambiental, de protección animal y al debido proceso. Asimismo, la organización indicó que durante la actual administración encabezada por Hugo Cortés Osorno no se han aplicado sanciones por este tipo de conductas. Otro de los señalamientos apunta a que la Procuraduría ha declinado su competencia en la mayoría de los casos, canalizando las denuncias hacia los municipios, muchos de los cuales carecen de normativas adecuadas en materia ambiental y de bienestar animal. La agrupación sostiene que esta práctica contraviene lo establecido en la legislación vigente, ya que la autoridad estatal tendría la responsabilidad de investigar, supervisar y, en su caso, sancionar las conductas denunciadas.</t>
  </si>
  <si>
    <t>El debate sobre la continuidad de las corridas de toros en Hidalgo tomó impulso esta semana, luego de que en el Congreso del Estado de Hidalgo se activara el proceso para analizar una iniciativa que busca su prohibición. Durante la sesión ordinaria del martes, la diputada Paloma Barragán Santos, presidenta de la Mesa Directiva, dio lectura a una excitativa promovida por el legislador Avelino Tovar Iglesias, con el objetivo de destrabar el avance de la propuesta. El documento, presentado el 10 de abril, fue turnado a la Comisión de Legislación y Puntos Constitucionales, lo que abre un plazo de 10 días hábiles para que se emita un dictamen, conforme a la normativa interna del Poder Legislativo estatal. Con este paso, la iniciativa entra en una etapa clave que podría llevarla al pleno para su discusión y eventual votación, en medio de un contexto que involucra posturas encontradas entre tradición, economía y bienestar animal. En paralelo, Avelino Tovar difundió un posicionamiento dirigido a distintos sectores vinculados con la tauromaquia, en el que aseguró que la propuesta no busca confrontar, sino generar un cambio en la percepción social sobre estas prácticas.</t>
  </si>
  <si>
    <t>Defensores de la tauromaquia realizaron una marcha en Pachuca para manifestar su rechazo a iniciativas que buscan prohibir esta actividad en la entidad y exigir que se consulte a comunidades indígenas antes de tomar una decisión. Con consignas a favor de la llamada “fiesta brava”, matadores, ganaderos y alrededor de 40 habitantes de la comunidad de Caxuxi, perteneciente al municipio de San Salvador, participaron en la movilización para respaldar la continuidad de esta práctica. El contingente partió de la Plaza de Toros Vicente Segura con destino al Congreso del estado, donde solicitaron a las y los legisladores (en particular a Avelino Tovar Iglesias) que no se avance en propuestas antitaurinas sin antes realizar un proceso de consulta indígena.</t>
  </si>
  <si>
    <t>Invierte Hidalgo 2 mdp en equipamiento tecnológico para la UPE</t>
  </si>
  <si>
    <t>Equipamiento Escolar</t>
  </si>
  <si>
    <t>La Secretaría de Contraloría de Hidalgo informó que, como parte de la política de cero tolerancia a la corrupción impulsada por el gobierno estatal, se han expulsado del sistema de contrataciones públicas a dos mil 330 proveedores y contratistas que incurrieron en irregularidades. En los últimos tres años, la dependencia ha inhabilitado a 99 proveedores y un contratista por faltas administrativas graves. Por incumplimientos, se ha dado de baja del padrón a mil 658 proveedores y 572 contratistas. Detalló que todos los proveedores y contratistas inhabilitados son publicados en un portal digital de consulta pública, lo que permite que cualquier autoridad en México identifique a quienes han fallado y evite contratarlos.</t>
  </si>
  <si>
    <t>Padrón de proveedores</t>
  </si>
  <si>
    <t>Familiares y amigos de Iván O. G., joven de 24 de años de edad quien fuera localizado sin vida y con aparentes huellas de violencia, se manifestaron afuera de las instalaciones de la Procuraduría General de Justicia del estado (PGJEH) para exigir que se aceleren las investigaciones respectivas. El joven fue reportado como desaparecido el pasado 4 de febrero de este año, siendo localizado sin vida un par de días después en Ciudad Sahagún, dentro del municipio de Tepeapulco. El cuerpo sin vida fue localizado en un camino de la comunidad de Tepetates,; previamente, la asociación civil Sonrisas Perdidas emitió una ficha de búsqueda señalando que Iván O.G. fue visto por última vez en la colonia Miguel Hidalgo, ubicada precisamente en Ciudad Sahagún. La asesora jurídica de la familia, Estéfani Shadai Vera Ángeles, señaló que hasta el momento no se ha integrado la carpeta de investigación sobre el caso. Por lo cual no se ha tenido acceso a ella, ni a los registros periciales, y, por lo tanto, se desconocen detalles sobre la forma en la cual fue hallado el cuerpo sin vida del joven.</t>
  </si>
  <si>
    <t>De acuerdo al Servicio Meteorológico Nacional, para este año se prevé aumento de la temperatura ambiente entre dos a tres grados en la ya presente temporada de calor, lo que implica atención a situaciones de salud. Lo anterior fue señalado durante la sesión del Consejo Jurisdiccional de Vigilancia Epidemiológica (Cojuve), enfatizando que las altas temperaturas aumentan 1.6 veces las posibilidades de enfermedades gastrointestinales entre menores de edad. Por lo que se solicita a la población aplicar medidas sanitarias preventivas a este tipo de padecimientos, así como para evitar golpes de calor. Incluso las medidas deberían reforzarse en los próximos años, pues expertos tanto en temas de salud como ambientales prevén aumento a la temperatura ambiente cada año.</t>
  </si>
  <si>
    <t>Prevención De Enfermedades</t>
  </si>
  <si>
    <t>Autoridades municipales y líderes de distintos tianguis del municipio de Tulancingo, acordaron implementar una serie de medidas obligatorias con el objetivo de reforzar la seguridad, mejorar el orden y garantizar condiciones adecuadas tanto para comerciantes como para la ciudadanía. Durante una reunión de trabajo, se destacó que recientes incidentes, como el accidente registrado el pasado miércoles, evidencian el incumplimiento de normas básicas de seguridad, lo que incrementa los riesgos en estos espacios de alta afluencia. Ante ello, los representantes de los tianguis coincidieron en la urgencia de fortalecer la organización interna y respetar la normatividad vigente. Asimismo, se expusieron antecedentes de puestos que han ignorado reiteradamente indicaciones de reordenamiento, generando condiciones peligrosas para quienes laboran y transitan en estos puntos. Entre los principales acuerdos, se estableció mantener pasillos y banquetas libres para facilitar la movilidad y el acceso en caso de emergencias; corregir instalaciones eléctricas irregulares; y cumplir con disposiciones en materia de Protección Civil.</t>
  </si>
  <si>
    <t>Ayer por la noche inició el retiro de estructuras, puestos, palos de la Plaza Constitución en Pachuca, esto establecido por el alcalde Jorge Reyes de que a mediados del mes de abril se retirarían pata iniciar paulatinamente la reubicación.</t>
  </si>
  <si>
    <t>Ambulantaje</t>
  </si>
  <si>
    <t>Gobierno de Hidalgo acerca atención directa a familias migrantes</t>
  </si>
  <si>
    <t>Atención A Migrantes</t>
  </si>
  <si>
    <t>Una fuga de hidrocarburo se presentó esta tarde en el ducto de Petróleos Mexicanos (PEMEX) que cruza la comunidad Texcaltepec, en el municipio Cuautepec de Hinojosa. Se conoció que el lugar de inmediato fue resguardado por efectivos del Ejército Mexicano, y que elementos de la dirección de Bomberos y Protección Civil de Cuautepec de Hinojosa acudieron en apoyo del personal de Seguridad Física de Pemex.</t>
  </si>
  <si>
    <t>Fuga de hidrocarburo</t>
  </si>
  <si>
    <t>Atiende gobierno de Hidalgo derrumbe en carretera estatal Tianguistengo–Yatipán</t>
  </si>
  <si>
    <t>Derrumbe Carretero</t>
  </si>
  <si>
    <t>El Gobierno del Estado de Hidalgo no permitirá medidas de presión por parte de representantes de concesionarios y representantes del transporte público de pasajeros, enfatizó el Gobernador Julio Menchaca Salazar. La declaración fue ofrecida en entrevista, luego de que a mediados de la semana pasada se advirtiera sobre un paro de labores por parte de dicho sector, precisamente para exigir que se autorice ajuste a las tarifas del servicio. “Sería un chantaje y no lo vamos a aceptar. El Estado tiene la facultad de cancelar concesiones a quien no cumpla con la ley”, estableció Menchaca Salazar.</t>
  </si>
  <si>
    <t>El alcalde Jorge Reyes participó en la firma del Convenio Marco de Coordinación para la Intervención y Modernización de Infraestructura Deportivo Comunitaria. Este convenio, impulsado por el Gobierno de México a través de la SEDATU y la CONADE, busca modernizar espacios deportivos en la comunidad. La iniciativa forma parte de las acciones preparatorias de cara al Mundial de la FIFA 2026.</t>
  </si>
  <si>
    <t>Una patrulla de Mineral de la Reforma se impactó contra al menos tres vehículos que se encontraban estacionados en la calle Santa Cecilia de la colonia La Providencia.</t>
  </si>
  <si>
    <t>Accidente de patrulla</t>
  </si>
  <si>
    <t>Un conductor del transporte público de la ruta Tlapacoya-Centro protagonizó un acto de agresión al amenazar con un machete a un automovilista en Pachuca. Según los reportes, los hechos ocurrieron sobre la calle Abasolo, donde se registró una discusión por el paso vehicular luego de que el particular le silbara al operador por estar estacionado en doble fila. Tras el intercambio, el chofer descendió de su unidad con un machete y abrió la puerta del automóvil para encarar directamente al conductor, además de lanzar insultos.</t>
  </si>
  <si>
    <t>Agresión de transportista</t>
  </si>
  <si>
    <t>En marzo, el 50.6% de los ciudadanos aprobó en promedio el desempeño de sus gobernadores y la jefa de Gobierno de la Ciudad de México, el nivel más alto del primer trimestre del año. Julio Menchaca registra un 59.8% de aprobación siendo el mandatario mejor evaluado de la región centro del país. De acuerdo con el Ranking Mitofsky, 23 mandatarios mejoraron su calificación respecto a febrero, mientras que nueve registraron una baja. Entre quienes subieron su aprobación predominan los de Morena, seguidos por PAN, PRI, Movimiento Ciudadano y PVEM; en contraste, todas las caídas corresponden a gobernantes del partido oficial. Solo tres estados alcanzaron nivel “sobresaliente” (más de 60% de aprobación), 16 se ubicaron en rango “alto”, diez en “medio” y tres en nivel “bajo”.</t>
  </si>
  <si>
    <t>Aprobación Gobernador</t>
  </si>
  <si>
    <t>En sesión ordinaria, diputadas y diputados integrantes de la LXVI Legislatura avalaron con 20 votos a favor, cero en contra y cero abstenciones, el dictamen que aprueba con modificaciones las iniciativas que reforman la Ley de Educación del Estado de Hidalgo, promovido por diputadas y diputados, emitido por la primera Comisión Permanente de Legislación y Puntos Constitucionales. La diputada Alma Rosa Elías Paso (Morena) recordó que los objetivos de las propuestas son: garantizar que las y los estudiantes adquieran conocimientos básicos en materia de primeros auxilios y atención inmediata de emergencias, que les permitan salvaguardar la vida y la salud en situaciones de riesgo. Así como consolidar en el ámbito educativo valores que fortalezcan la convivencia armónica y el respeto mutuo, fomentando en las y los estudiantes una visión de justicia, equidad y apego a la legalidad como principios esenciales para el desarrollo social.</t>
  </si>
  <si>
    <t>Reforma De Ley</t>
  </si>
  <si>
    <t>Vía telefónica Milton Cortés comenta que ayer acudieron al Congreso ganaderos y personas defensores de las corridas de toros para pedir a los legisladores que no se prohíba esta actividad en el estado.</t>
  </si>
  <si>
    <t>Milton Cortés</t>
  </si>
  <si>
    <t>Vía telefónica Milton Cortés informó que ayer en la Plaza Constitución de Pachuca un grupo de ambulantes fueron retirados, lo que generó un fuerte despliegue policiaco y la molestia de los comerciantes quienes aseguraron que la presidencia municipal de Pachuca violó los acuerdos que tenían. Por tal motivo no se descarta que hoy agremiados a la Foideh puedan manifestarse.</t>
  </si>
  <si>
    <t>Como parte de un operativo municipal, la noche de este miércoles fueron retirados más de 200 puestos ambulantes instalados en la plaza Constitución, luego de que un grupo de comerciantes incumpliera acuerdos previamente establecidos con autoridades del primer cuadro de la ciudad. El ayuntamiento habilitó un espacio alterno para la actividad comercial a un costado del mercado Benito Juárez y notificó oportunamente a los vendedores sobre su reubicación; no obstante, algunos se negaron a trasladarse a la nueva zona.</t>
  </si>
  <si>
    <t xml:space="preserve">Reconocen a ITESHU por su cuerpo académico en consolidación </t>
  </si>
  <si>
    <t>Prodep</t>
  </si>
  <si>
    <t>HR Ratings ratifica a Hidalgo con alta calificación y eleva su perspectiva de estable a positiva</t>
  </si>
  <si>
    <t>Hacienda</t>
  </si>
  <si>
    <t>Disciplina financiera</t>
  </si>
  <si>
    <t>El síndico procurador hacendario del municipio de Tulancingo, Pedro Hiram Soto Márquez, dio a conocer presuntas irregularidades en la administración municipal encabezada por Lorena García Cázares. Denunció que hay moches, cobros por parte de presta nombres de otros regidores que podrían llegar hasta por 4 millones de pesos, situación que ha sido negada por la alcaldesa.</t>
  </si>
  <si>
    <t>Entrevista vía telefónica Lizbeth Robles Gutiérrez, secretaria de Movilidad y Transporte - Habló sobre las acciones implementadas a través de Semot para promover la seguridad vial, específicamente en la capital hidalguense, entre las que destacan: Campañas de concientización e información que fomenten el respeto en todos los espacios del transporte público, como la jerarquía de movilidad, destacando como ejemplo la implementación del uno por uno en Tulancingo, acercamiento con la sociedad con el objetivo de sumar esfuerzos para lograr en su totalidad la implementación de la jerarquía de movilidad. Respecto al control del Tuzobús que tendrá´el Gobierno de Hidalgo a partir del mes de mayo, dijo, es política del señor gobernador, brindar la atención a los usuarios del Tuzobús, motivo por el cual se tomarán acciones que permitan mejorar el servicio en favor de la ciudadanía, como la incorporación de 140 unidades. “La instrucción del gobernador es atender la necesidad social, por lo que, se mantendrá la tarifa de diez pesos en el Tuzobús”, expresó.</t>
  </si>
  <si>
    <t>Ordenamiento vial</t>
  </si>
  <si>
    <t>Tortilleros de Pachuca, Tulancingo, Tula y Huejutla, en Hidalgo, dijeron desconocer si habrá o no aumento del precio en el kilogramo de tortilla. Actualmente su costo oscila de los 22 hasta 24 pesos. De acuerdo con David Sánchez, tortillero en el mercado La Surtidora en Pachuca, todavía no hay nada en concreto sobre subir el costo, por ahora el kilogramo con papel está en 25 pesos.</t>
  </si>
  <si>
    <t>Precios de garantía</t>
  </si>
  <si>
    <t>A nivel nacional, el precio promedio de la tortilla se mantiene en 25.64 pesos el kilo, siendo Mexicali, Baja California, la ciudad donde se vende más caro el kilo en 33.29 pesos, mientras en Xalapa, Veracruz se vende en 15.75 pesos, el nivel más bajo, de acuerdo con datos al 15 de abril del Sistema Nacional de Información e Integración de Mercados (SNIIM) de la Secretaría de Economía (SE). Tortilleros dijeron que, en la Ciudad de México, el precio se ha mantenido en 22 pesos el kilo y que hasta ahora no han sido convocados para iniciar un aumento de los precios en este producto básico. “Aún no subimos el precio porque no nos han dicho nada, pero no tarda en subir. Cuando hay aumentos de precios, hablan entre todos para fijar los costos y que no haya problemas de competencia. Las últimas veces, el kilo aumentó dos pesos”, dijo Sergio Iván, trabajador de una tortillería ubicada en la colonia Santa María La Ribera. El precio promedio de la tortilla en México es de 25.64 pesos por kilo, con un máximo de 33.29 pesos en Mexicali y un mínimo de 15.75 en Xalapa, según el SNIIM Los datos del Instituto Nacional de Estadística y Geografía (Inegi) también muestran que la inflación de la tortilla está por debajo del promedio nacional, que al cierre de marzo fue de 4.59 por ciento. Juan Mendiola, propietario de una tortillería en la zona oriente de la capital, asegura que un incremento sería lo más viable para poder sostener su negocio durante los próximos meses. “Un aumento de dos pesos sería lo justo para poder seguir trabajando sin sacrificar calidad ni operar con pérdidas”.</t>
  </si>
  <si>
    <t>Autoridades de Tulancingo y líderes de comerciantes acordaron nuevas medidas obligatorias para reforzar la seguridad y el orden en los tianguis del municipio, luego de un accidente reciente que evidenció fallas en el cumplimiento de normas básicas. Durante la reunión de trabajo, se reconoció que este tipo de incidentes deriva de omisiones en medidas de seguridad, lo que pone en riesgo tanto a vendedores como a clientes. Por ello, representantes de distintos tianguis coincidieron en la urgencia de mejorar la organización interna y respetar la normatividad vigente.</t>
  </si>
  <si>
    <t>Refuerzo de seguridad</t>
  </si>
  <si>
    <t>Locutor Jesús Riveros da lectura a comentario de radioescucha que pregunta, qué paso con los verificentros, uno agenda cita a una hora especifica y cuando acude a realizar el trámite hay unas filas enormes; de qué sirve entonces, que se agende cita. Locutor Jesús Riveros responde, que efectivamente es un desastre en los verificentros, si bien se agendan las citas, los verificentros van retrasados con el trámite y se va acumulando el número de vehículos.</t>
  </si>
  <si>
    <t>Locutor Jesús Riveros da lectura a comentario de radioescucha que pregunta si va a subir la tarifa al transporte público, a partir de cuándo y cuánto subirá; Jesús Riveros responde, que el gobernador comentó hace unos días, que en efecto, en lo que resta de este mes se estaría confirmando el precio a la tarifa del transporte público que va a oscilar entre los 2.00 y los 2.50 pesos, no es oficial, pero es algo que los transportistas esperan. Habrá que esperar el anuncio oficial y ya lo estaremos comentando con la titular de la Semot.</t>
  </si>
  <si>
    <t>Este jueves 16 de abril, un fuerte estruendo seguido de una enorme nube de humo por un incendio fue registrado al interior de la Refinería Miguel Hidalgo, ubicada en Tula de Allende. El incidente, que presuntamente ocurrió en uno de los calentadores del área HDR o Hidros, ha causado una intensa movilización de cuerpos de emergencia y preocupación entre los habitantes de la región. Una columna de humo negro, visible desde diferentes puntos de Tula de Allende y municipios cercanos, ha generado alarma en la población. La Subsecretaría de Protección Civil y Gestión de Riesgos informó que, tras el incidente registrado en la Refinería Miguel Hidalgo de Tula de Allende, se activaron de manera oportuna los protocolos internos de atención a emergencias establecidos por la misma instalación. De acuerdo con las autoridades, la situación está actualmente bajo control y no representa un peligro para la población de Tula de Allende ni para las zonas aledañas. El personal especializado de la refinería, junto con las instancias de emergencia locales y regionales, continúa trabajando en la contención total de los efectos del incidente. Se hace un llamado a la ciudadanía para que mantenga la calma, evite la propagación de rumores y se informe únicamente a través de los medios oficiales y las autoridades competentes.</t>
  </si>
  <si>
    <t>Incendio refinería</t>
  </si>
  <si>
    <t>Nuevamente el municipio de Ixmiquilpan se posiciona como los municipios más visitados durante la pasada temporada vacacional de Semana Santa, además de Tecozautla, Huasca de Ocampo, Mineral del Monte, Mineral del Chico, Villa de Tezontepec, Acaxochitlán, Atotonilco el Grande y Tulancingo, informó la secretaria de Turismo, Elizabeth Quintanar.</t>
  </si>
  <si>
    <t>Las y los legisladores Tania Eréndira Meza Escorza, Yarabi González Martínez, Julián Nochebuena Hernández, Diana Rangel Zúñiga y José Luis Rodríguez Higareda (Morena) detallaron la iniciativa que reforma la Ley para la Prevención, Atención y Erradicación de Violencia Escolar en el Estado de Hidalgo, con la finalidad de especificar la mediación escolar como mecanismo de atención temprana, solución pacífica de conflictos y fortalecimiento de la convivencia armónica en las instituciones educativas públicas y privadas.</t>
  </si>
  <si>
    <t>En sesión ordinaria, diputadas y diputados integrantes de la LXVI Legislatura avalaron con 20 votos a favor, cero en contra y cero abstenciones, el dictamen que aprueba con modificaciones las iniciativas que reforman la Ley de Educación del Estado de Hidalgo, promovido por diputadas y diputados, emitido por la primera Comisión Permanente de Legislación y Puntos Constitucionales.</t>
  </si>
  <si>
    <t>Boletín: “Ciudad Policía” impulsa la cultura de la prevención y la legalidad en niñas y niños del Valle del Mezquital</t>
  </si>
  <si>
    <t>Prevención del delito</t>
  </si>
  <si>
    <t>Boletín: Gobierno de Hidalgo acerca atención directa a familias migrantes</t>
  </si>
  <si>
    <t>Boletín: Inicia en Tepetitlán cuarta etapa de “Esferas de vida”</t>
  </si>
  <si>
    <t>Reforestación</t>
  </si>
  <si>
    <t>Boletín: Refuerzan acciones de salud pública en Hidalgo ante el Mundial FIFA 2026</t>
  </si>
  <si>
    <t>Boletín 38: Reconstrucción de la carretera estatal Ajacuba–San Agustín Tlaxiaca fortalece la conectividad regional</t>
  </si>
  <si>
    <t>Boletín 39: Atiende gobierno de Hidalgo derrumbe en carretera estatal Tianguistengo–Yatipán</t>
  </si>
  <si>
    <t>Boletín: HR Ratings ratifica a Hidalgo con alta calificación y eleva su perspectiva de estable a positiva</t>
  </si>
  <si>
    <t>Calificación crediticia</t>
  </si>
  <si>
    <t>Boletín 264: Alianza estratégica con el sector financiero impulsa la confianza económica: Sedeco</t>
  </si>
  <si>
    <t>Reunión con banqueros</t>
  </si>
  <si>
    <t>Una fuga de hidrocarburo en el municipio de Cuautepec de Hinojosa provocó un fuerte operativo de emergencia la tarde del miércoles, luego de que se reportara un escape de combustible en la comunidad de Texcaltepec. De acuerdo con los primeros reportes, la fuga se presentó en forma de “fuente”, alcanzando una altura aproximada de nueve metros, lo que encendió las alertas entre autoridades y habitantes de la zona. El incidente se originó mientras se realizaban trabajos para reparar una toma clandestina, según informaron representantes de Petróleos Mexicanos (Pemex). Elementos de Protección Civil, Bomberos y personal de Pemex implementaron maniobras para contener la dispersión del hidrocarburo. Tras varias horas de trabajo, se logró el cierre de la toma durante la noche, aunque las labores continuarán para eliminar riesgos por acumulación de gases. En el sitio también participaron fuerzas federales y corporaciones de seguridad para resguardar el área. Debido a la cercanía del incidente con planteles educativos, autoridades determinaron la suspensión de clases en niveles preescolar y primaria como medida preventiva. La decisión busca garantizar la seguridad de estudiantes, docentes y personal educativo ante posibles riesgos derivados de la fuga.</t>
  </si>
  <si>
    <t>Un par de compañeros hombres se encontraban ingiriendo bebidas alcohólicas al interior de un taller de hojalatería en el municipio de Tlanchinol, hasta que debido a las copas en su cuerpo comenzaron a discutir y golpeó hasta la muerte a otro. De acuerdo con la narrativa preliminar dada por las autoridades, era por la noche de ayer martes 14 de abril cuando los varones estaban al interior de un inmueble que opera como establecimiento, situado a un costado sobre la carretera México-Tampico, en la salida con dirección hacia Huejutla. Se trataba de Gerardo HH y Bartolo BT, quienes si bien parecía estaban tranquilos, el primeo dicho habría reaccionado de manera violenta por un posible altercado que no hizo más que escalar y sin que nadie más pudiera intervenir, ya que se encontraban solos y a la redonda no había nadie más. La violencia con la que el primer hombre dicho actuó, fue tal, que en cuestión de minutos le arrebató la vida a su compañero de copas, quien fue dejado inconsciente al interior del taller de hojalatería referido, pues el agresor escapó y fue a la llegada de la Policía de Tlanchinol que ayudó.</t>
  </si>
  <si>
    <t>Muerte por riña</t>
  </si>
  <si>
    <t>Después de más de 15 años de rezago en el servicio de alumbrado público, el presidente municipal de Mineral de la Reforma, Eduardo Medécigo Rubio, puso en marcha acciones de renovación de luminarias en las colonias Francisco Villa, La Calera y Fraccionamiento Pradera de Virreyes, con el objetivo de mejorar la seguridad y calidad de vida de las familias. Durante el arranque de estos trabajos, el alcalde destacó que una de las prioridades de la actual administración es atender las necesidades históricas de la población, especialmente en zonas que durante años permanecieron en el abandono. “Nos encontramos en el camino que conecta La Calera con la colonia Francisco Villa, una vialidad que durante más de 15 años enfrentó la falta de luminarias y el deterioro del alumbrado público”, señaló el edil. Explicó que la falta de iluminación no solo afectaba la visibilidad en calles y avenidas, sino que también representaba un factor de inseguridad para quienes salen de madrugada a trabajar o regresan por la noche a sus hogares. Como parte de esta intervención, se realizaron 39 reemplazos de luminarias con tecnología LED en las tres colonias beneficiadas, además de la instalación de 60 nuevas lámparas en avenidas secundarias de estas zonas. Con estas acciones, se estima beneficiar de manera directa a más de 6 mil habitantes, quienes ahora contarán con espacios públicos mejor iluminados y más seguros. La modernización del sistema de alumbrado público también permitirá una reducción en costos de energía eléctrica, mayor eficiencia en el servicio y un impacto positivo al medio ambiente gracias al uso de tecnología LED. Con obras y acciones concretas, el Gobierno de la Ciudad de la Comunidad refrenda su compromiso de seguir transformando las colonias del municipio y atender demandas ciudadanas que durante años permanecieron sin respuesta.</t>
  </si>
  <si>
    <t>Colaboración Gustavo Rosales - Anunció su participación, jueves, viernes y lunes con información deportiva estatal y nacional. En ese sentido, informó sobre el abanderamiento de la selección hidalguense que estará acudiendo a la Olimpiada Nacional Conade 2026, 28 disciplinas son las que estarán compitiendo por parte de los atletas hidalguenses con más de 300 atletas. En esta oportunidad, el abanderado de la delegación hidalguense es Erick Olvera, quien dirigió un mensaje a nombre de todos sus compañeros, haciendo el compromiso de participar de la mejor manera, esperemos que los resultados a finales de junio sean mejor y que con esta administración del Prof. Óscar Pérez ya de sus frutos.</t>
  </si>
  <si>
    <t>Durante la sesión ordinaria de este martes en el Congreso del Estado de Hidalgo, la presidenta de la Mesa Directiva, diputada Paloma Barragán Santos, dio lectura a la excitativa presentada por el legislador Avelino Tovar el pasado 10 de abril. En dicho documento se solicita el dictamen de la iniciativa que busca prohibir las corridas de toros en la entidad. La excitativa fue turnada a la Comisión de Legislación y Puntos Constitucionales, la cual cuenta ahora con un plazo de diez días hábiles para emitir el dictamen correspondiente, conforme a lo establecido en la Ley Orgánica del Poder Legislativo del Estado de Hidalgo.</t>
  </si>
  <si>
    <t>Boletín 1622: Invierte Hidalgo 2 mdp en equipamiento tecnológico para la UP</t>
  </si>
  <si>
    <t>Boletín: Formalizan alianza DESCTI-CIATEQ para impulso de innovación y desarrollo tecnológico en Hidalgo</t>
  </si>
  <si>
    <t>Locutor Jesús Riveros informa que le reportan fuerte movilización por parte de elementos de la policía estatal en la colonia Francisco I. Madero en el municipio de Cuautepec, reportan que están reteniendo camionetas y tambos.</t>
  </si>
  <si>
    <t>Operativo de Seguridad</t>
  </si>
  <si>
    <t>Boletín: El laboratorio de control de calidad ha realizado casi 2 mil pruebas a obras en todo el estado</t>
  </si>
  <si>
    <t>Laboratorio de Control de Calidad</t>
  </si>
  <si>
    <t>Pobladores de la comunidad de Santa María Daxthó, en el municipio de Tepetitlán, realizaron la tarde de ayer una manifestación en las riberas de la presa Endhó, para exigir atención a los problemas ambientales que afectan la zona. Los habitantes formaron una valla humana como medida de protesta ante el crecimiento del Lirio acuático, los altos niveles de contaminación y la proliferación del mosco cúlex, situación que aseguran impacta directamente en su calidad de vida, AUDIO AFECTADOS</t>
  </si>
  <si>
    <t>La admistración y operación del Tuzobús será totalmente del gobierno estatal una vez que se renueve el par­que vehicular en mayo, garantizó el gobernador Julio Menchaca Salazar, por lo que no será necesa­rio concesionar el servicio a personas físicas o morales, tal como se hizo durante la década pasada.</t>
  </si>
  <si>
    <t>Modernizacion Tuzobús</t>
  </si>
  <si>
    <t>La Subsecretaría de Protección Civil y Gestión de Riesgos del Gobierno del Estado de Hidalgo informó que, tras lo ocurrido en instalaciones de la Refinería Miguel Hidalgo, en el municipio de Tula de Allende, se activaron de manera oportuna los protocolos internos de atención a emergencias. De acuerdo con la información disponible hasta el momento, la situación se encuentra bajo control y no representa riesgo para la población. Las instancias correspondientes continúan atentas al seguimiento del evento en coordinación con autoridades y cuerpos de atención internos de la refinería. Se exhorta a la ciudadanía a mantener la calma, informarse únicamente a través de medios oficiales y evitar la difusión de rumores.</t>
  </si>
  <si>
    <t>La alarma se encendió en Tula, parecía que algo fuerte sucedía al interior de la refinería Miguel Hidalgo de Tula, se lograba ver a través de varios puntos de municipios como Atitalaquia, Atotonilco de Tula, una humareda color negro que salía de la refinería Miguel Hidalgo, se hablaba de una explosión en Enfoque Regional somos muy responsables de lo que sucede para no causar alarma o pánico en la población. Se habló con personal de protección civil, tanto de Atitalaquia como de Tula, quienes amablemente nos dieron información y nos dijeron que hasta el momento no había ninguna indicación extraordinaria.</t>
  </si>
  <si>
    <t>COMENTARIO SOBRE TEMA CONDUCTOR: Hay que recordar que semanas anteriores de la Semana Santa pues se presentaron al menos dos bloqueos a la altura del municipio de San Salvador de la México - Laredo sobre todo para dirigirse al corredor de los balnearios y eso sin duda pues genera incertidumbre en los visitantes de elegir o no esos destinos turísticos aquí en la entidad y también pues otros bloqueos que se han presentado a lo largo y ancho de la entidad lo que pues complica un poco la toma de decisiones a la hora de elegir el destino turístico para las vacaciones de Semana Santa ojalá que estos factores no se repitan y no pues mermen el número de visitantes para las vacaciones de verano</t>
  </si>
  <si>
    <t>Radioescucha reporta falta de agua en Ferrocarril Central</t>
  </si>
  <si>
    <t>Radioescucha Sra Cristina Fernández , reporta que llevan 10 días sin agua en Ferrocarril Central, 3.ª sección Santa Julia.</t>
  </si>
  <si>
    <t>Radioescucha reporta falta de agua en colonia Valle del Palmar</t>
  </si>
  <si>
    <t>Radioescucha felicita al ayuntamiento por limpiar de ambulantes la Plaza Constitución</t>
  </si>
  <si>
    <t>Vía telefónica, Jorge Reyes presidente municipal de Pachuca, sobre todos los proyectos que se tienen en el Reloj de Pachuca, habló que ya se están empezando los trabajos , ya que se quiere embellecer de nuevo la Plaza Independencia. La intención es recuperar la grandeza de este lugar, que no sea un lugar donde no te puedas comer ni un helado, por tanto calor; por tanto, también le daremos continuidad a las jardineras, y cambiar el piso. Sobre el tema de la Plaza Constitución, ayer se entró en acción para desalojar el ambulantaje, para realizar su reubicación , hoy se empiezan ellos a trasladarse a otra explanada para que sigan con su comercio, lo que queremos es dejar este lugar en perfectas condiciones.</t>
  </si>
  <si>
    <t>Boletín 2:Entrega Saderh paquetes apícolas en Huautla</t>
  </si>
  <si>
    <t>Apicultura</t>
  </si>
  <si>
    <t>Boletín : Gobierno de Hidalgo acerca atención directa a familias migrantes</t>
  </si>
  <si>
    <t>Atención A Manifestantes</t>
  </si>
  <si>
    <t>Eulalio Larrieta agradece a Edith Balderas de la Secretaria de Educación Pública</t>
  </si>
  <si>
    <t>Larrieta agradece a Jair Martínez de la SEGOBH, porque esta al pendiente de lo que se necesite y los reportes.</t>
  </si>
  <si>
    <t>¿Se acuerda usted que desde septiembre de dos mil veinticinco se hablaba del aumento al pasaje en Hidalgo se generaron rumores de que iba a subir al cierre del año o a inicios de este dos mil veintiséis no había nada claro pero ya si es una realidad así lo dijo el gobernador que será este mes de abril cuando se defina cuanto va a subir el pasaje y desde cuando se aplica.Ante el aumento del combustible y es que los precios de hidrocarburo se ha incrementado en fechas recientes por lo que operadores consideran que si debe subir el costo del pasaje. AUDIOS DE APOYO DE OPERADORES Y USUARIOS.</t>
  </si>
  <si>
    <t>El diputado Miguel Ángel Moreno dio a conocer que actualmente existen presidencias municipales con sueldos más altos que el propio gobernador, lo anterior tras la iniciativa en materia de regulación de sueldos en los 84 municipios. AUDIO APOYO.</t>
  </si>
  <si>
    <t>Austeridad</t>
  </si>
  <si>
    <t>La calificadora HR ratings ratificó la calificación HR doble A ; más para Hidalgo y elevó su perspectiva de estable a positiva al reconocer avances en disciplina financiera y fortalecimiento fiscal durante la actual administración estatal.De acuerdo con el reporte del ejercicio dos mil veinticinco la agencia destacó el factor de gobernanza como superior al señalar que la entidad supera los estándares en generación de información financiera y mantiene políticas públicas que fortalecen sus finanzas. Asimismo, resaltó el alto nivel de inversión en los ochenta y cuatro municipios, con una tendencia creciente al gasto en infraestructura hídrica, carretera, movilidad, seguridad, y urbanización. HR ratings también subrayó la reducción del endeudamiento, incluyendo el pago anticipado en dos mil veinticinco de un crédito por doscientos cuarenta y nueve millones de pesos contratado en administraciones anteriores. Con estos indicadores, Hidalgo consolida su posición financiera sólida y con perspectiva favorable. Esto de acuerdo con la evaluadora para enfoque regional, informó Joselyn Sánchez.</t>
  </si>
  <si>
    <t>Entrevista Marco Antonio Orozco, director de la Orquesta Filarmónica de Pachuca y Alicia Sanchéz corista ,con la invitación a concierto “Misa de Coronación” (KV 317) de Wolfgang Amadeus Mozart, este 22 de abril a las 18:00 horas al evento que se llevara acabo en la Parroquia Basílica de Santa María de Guadalupe. El concierto será interpretado por la Orquesta Filarmónica de Pachuca, en conjunto con el Coro de Pachuca y el Coro del Estado de Hidalgo, reuniendo a más de 50 voces en escena, recordando igual que este recinto contará con acceso gratuito al público.</t>
  </si>
  <si>
    <t>Concierto Sinfónico</t>
  </si>
  <si>
    <t>Boletín : Hidalgo impulsa modelo de partería centrado en las mujeres</t>
  </si>
  <si>
    <t>Cooperación UNFPA</t>
  </si>
  <si>
    <t>Radioescucha reporta drenaje tapado en Ampliación el Palmar , esto en avenida Rojo Gómez por la vulcanizadora rumbo a la Loma</t>
  </si>
  <si>
    <t>Un hombre identificado como Irvin N fue asesinado a balazos tras salir del Cerezo de la Lima en Jaltocán el ataque ocurrió al interior de un autobús en la central de autobuses de Pánuco donde fue agredido con arma de fuego.</t>
  </si>
  <si>
    <t>Ejecuciones</t>
  </si>
  <si>
    <t>Boletín 1622: Invierte Hidalgo 2 mdp en equipamiento tecnológico para la UPE, AUDIO APOYO</t>
  </si>
  <si>
    <t>Amigos y familiares de Iván se congregaron afuera del poder judicial del estado de Hidalgo en Pachuca para llevar a cabo una manifestación pacífica la consigna principal exigir justicia y celeridad en las investigaciones por el homicidio del joven Iván Salvador quien desapareció en Ciudad Sahagún y días después lo encontraron muerto. Durante la protesta los manifestantes portaron pancartas y exigieron a las autoridades judiciales que el caso no quede en la impunidad pidiendo que se aplique todo el peso de la ley contra quien o quienes resulten responsables de este crimen. AUDIO APOYO MANIFESTANTE.</t>
  </si>
  <si>
    <t>Familiares de Iván Salvador un joven de 24 años de edad localizado sin vida el pasado 6 de febrero en la comunidad de Tepetates, en Ciudad Sahagún, se manifestaron pacíficamente en las instalaciones de la Procuraduría General de Justicia del Estado de Hidalgo, para pedir a las autoridades avances en la investigación del caso.De acuerdo con los familiares se reportó la desaparición de Ivan el 4 de febrero y dos días después su cuerpo fue hallado en un camino de terracería con huellas de violencia por lo exigen detener a los responsables de su fallecimiento.Los manifestantes fueron atendidos por Juan Manuel Santander León, director de investigación poniente de la Procuraduría General de Justicia del Estado de Hidalgo, quien informó que la carpeta de investigación del caso ya se encuentra judicializada y presenta avances relevantes en su integración.</t>
  </si>
  <si>
    <t>Hidalgo recuperó ciento setenta empleos formales durante marzo, cifra que representa apenas siete por ciento más, luego de que en febrero se perdieron dos mil puestos laborales, destacó un comunicado del Instituto Mexicano del Seguro Social.</t>
  </si>
  <si>
    <t>Generación De Empleo</t>
  </si>
  <si>
    <t>Boletín 31: Hidalgo refuerza acciones de atención y control del Gusano Barrenador del Ganado</t>
  </si>
  <si>
    <t>El más reciente informe del Secretariado Ejecutivo del Sistema Nacional de Seguridad Pública que reporta una baja nacional en este delito en este contexto Hidalgo se ubica en el lugar 20 a nivel nacional un número de homicidios dolosos con 18 registrados lo que representa el 1.1% del total nacional en cuanto a la tasa de víctimas por homicidio doloso durante 2025 Hidalgo se posicionó en el lugar 21 a nivel nacional con una tasa de 9.4 cifra que refleja una incidencia menor res´pecto a otros estados</t>
  </si>
  <si>
    <t>Homicidios</t>
  </si>
  <si>
    <t>Una iniciativa de reforma al Código Electoral del Estado de Hidalgo, presentada por la diputada de Morena, Cynthia Citlali Delgado Mendoza, plantea una reconfiguración de los ayuntamientos que prevé una reducción de casi 300 regidores, seis síndicos y un ahorro económico de 266 millones de pesos.El proyecto propone disminuir el número de integrantes de los cabildos en los 84 municipios, lo que implicaría la eliminación de alrededor de 300 regidurías a nivel estatal al pasar de mil 50 a 756 y un rediseño estructural de los gobiernos municipales.</t>
  </si>
  <si>
    <t>La tarde de este miércoles fue localizado el cuerpo sin vida de una persona en avanzado estado de descomposición al interior de un arroyo seco en la comunidad de Santiago Acayutlán, en territorio del municipio de Tezontepec de Aldama, lo que provocó la movilización de cuerpos de seguridad en la zona.Pobladores de la zona fueron quienes realizaron el hallazgo. De acuerdo con el reporte policial, el hallazgo se realizó entre las piedras del cauce, donde únicamente eran visibles algunas prendas, entre ellas un cinturón y ropa interior de color negro.Debido al avanzado estado de putrefacción del cadáver, no fue posible establecer en el sitio características físicas que permitan su identificación</t>
  </si>
  <si>
    <t>Localización de cuerpo</t>
  </si>
  <si>
    <t>Una riña ocurrida en un taller de hojalatería dejó como saldo una persona sin vida y un individuo detenido, la tarde-noche del martes 14 de abril en la cabecera municipal.De acuerdo con los primeros reportes, los hechos se registraron en un inmueble ubicado a la orilla de la carretera federal México–Tampico, en la salida con dirección a Huejutla de Reyes. En ese lugar, dos hombres que presuntamente se encontraban ingiriendo bebidas alcohólicas iniciaron una discusión que derivó en una agresión física. La víctima fue identificada como Bartolo B. T., de 30 años de edad, originario de la localidad de Tlacomul, quien fue trasladado de emergencia al Hospital Ilusión por elementos de Protección Civil Municipal. Sin embargo, perdió la vida a consecuencia de una grave lesión en la cabeza.</t>
  </si>
  <si>
    <t>Boletín : Refuerzan acciones de salud pública en Hidalgo ante el Mundial FIFA 2026</t>
  </si>
  <si>
    <t>Como parte del proyecto mundial social intervención y modernización de infraestructura deportiva comunitaria rumbo al mundial FIFA 2026, impulsado por la Sedatu en coordinación con la Conade , Tula de Allende será uno de los 29 municipios beneficiados con la construcción de una cancha de fútbol 5.En la unidad deportiva ayer en la ciudad de Pachuca se llevó a cabo la firma de este importante convenio en el que participó el presidente municipal Cristian Martínez quien reafirmó el compromiso de la actual administración con el desarrollo integral del municipio. AUDIO APOYO.</t>
  </si>
  <si>
    <t>La doctora Claudia Sheinbaum, habló de Hidalgo, lo puso como ejemplo, y es que fue eh cuestionada sobre el trabajo con las comunidades. La presidenta aseveró que se trabaja de manera directa con las comunidades para todos los proyectos de energía y no se realizará nada en su contra. AUDIO DE APOYO</t>
  </si>
  <si>
    <t>Parque Ecológico Tula</t>
  </si>
  <si>
    <t>Boletín 569: “Ciudad Policía” impulsa la cultura de la prevención y la legalidad en niñas y niños del Valle del Mezquital</t>
  </si>
  <si>
    <t>Sobre el boletín de prevención del delito en Ixmiquilpan, comenta conductor Eulalio Larrieta: “Para en lo personal tendria que ser para todo el estado de Hidalgo, no solo para Ixmiquilpan”</t>
  </si>
  <si>
    <t>Boletín : Inicia en Tepetitlán cuarta etapa de “Esferas de vida”</t>
  </si>
  <si>
    <t>Boletín 38 : Reconstrucción de la carretera estatal Ajacuba–San Agustín Tlaxiaca fortalece la conectividad regional</t>
  </si>
  <si>
    <t>Reloj De Pachuca</t>
  </si>
  <si>
    <t>Con el objetivo de prevenir situaciones de riesgo y fortalecer la toma de decisiones informadas, se realizan jornadas informativas en diversas comunidades del municipio de Tianguistengo, dirigidas a familias asentadas en zonas vulnerables, el Gobernador informó que servidores públicos con notario público ya entregan notificaciones de reubicación en comunidades de Tianguistengo, donde fueron declaradas inhabitables tras la vaguada monzónica de octubre de dos mil veinticinco. Así lo dijo el gobernador de Hidalgo, Julio Menchaca Salazar. AUDIO APOYO ENTREVISTA.</t>
  </si>
  <si>
    <t>Personal de la Secretaría de Salud de Hidalgo apoyará las labores de credencialización de salud que realiza la delegación de bienestar en el estado, afuera de las clínicas y en distintos municipios, así lo informó la titular de la Secretaría Vanesa Escalante.</t>
  </si>
  <si>
    <t>Salud universal</t>
  </si>
  <si>
    <t>Radioescucha Sr. Juan reporta que los semáforos de Prismas y Nuevo Hidalgo con dirección a Tulipanes, ya que no funcionan bien</t>
  </si>
  <si>
    <t>Radioescucha reporta que los semáforos de San Javier no funcionan</t>
  </si>
  <si>
    <t>Radioescucha reporta que los semáforos de San Javier y Colosio no funcionan completamente y eso puede ocasionar un gran accidente.</t>
  </si>
  <si>
    <t>Boletín : Más de 2.4 millones de visitantes llegan a Hidalgo en el periodo vacacional de Semana Santa</t>
  </si>
  <si>
    <t>El alcalde de Pachuca informó sobre la corrida de toros programada para este sábado 18 de abril en la plaza de toros Vicente Segura, la cual hasta ese momento no contaba con los permisos correspondientes por parte de la dirección de reglamentos y espectáculos de ese municipio, Pachuca. Hoy el escenario ha evolucionado en medio del debate público en torno a la tauromaquia. Incluso el diputado Abelino Tobar Iglesias ha replanteado su postura inicial que contempla la prohibición de las corridas de toros.La autoridad municipal dio luz verde a la corrida de toros programada, el director de reglamentos y espectáculos del municipio de Pachuca confirmó que el permiso fue otorgado tras la revisión de la solicitud presentada por los organizadores, quienes según la autoridad cumplieron con los requisitos establecidos.</t>
  </si>
  <si>
    <t>Siguiendo en este mismo tenor, ante las inconformidades presentadas por defensores de los derechos de los animales que se oponen a las corridas de toros, el diputado Andrés Velázquez informó que buscan tomar en cuenta a todas las partes involucradas. Toda vez que la comunidad taurina pide una consulta popular indígena, pues existen localidades en Hidalgo en donde la fiesta brava está presente.</t>
  </si>
  <si>
    <t>Hay que comentar que Caxuxi es, una de las comunidades donde está más arraigada esta fiesta taurina. De hecho, desde el año pasado han realizado diversas convocatorias, conferencias, informativas, diálogo con los ciudadanos de esa región para informar y compartir su apego a las corridas de toros. Participaron ganaderos, toreros, peñas y aficionados en esta convocatoria quienes señalaron que esta movilización busca destacar que la tauromaquia es una expresión cultural histórica y de tradición.El llamado ocurre mientras en Pachuca continúa la discusión sobre la realización de las corridas ya que autoridades municipales han informado que hasta el momento no se han otorgado permisos, lo que mantiene posturas divididas entre distintos sectores de la sociedad. AUDIO DE APYO MANIFESTANTES</t>
  </si>
  <si>
    <t>Para proteger la salud de niñas y niños y prevenir enfermedades, el DIF Pachuca, en coordinación con IMSS Bienestar, anunció la instalación de un macro centro de vacunación contra el sarampión para proteger la salud de la niñez. La jornada se llevará a cabo el jueves 16 de abril, de 9:00 a 14:00 horas, en las instalaciones del DIF Municipal, ubicadas en Parque Hidalgo, en la colonia Centro.Durante esta campaña se aplicará la dosis cero a bebés de 6 a 11 meses, se completarán esquemas para menores de 12 y 18 meses, y también se iniciará o reforzará la vacunación en niñas y niños de 1 a 9 años.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</si>
</sst>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43" tableType="queryTable" totalsRowShown="0">
  <autoFilter ref="A1:M243" xr:uid="{717AF3FA-E95C-4D17-A1C9-B8D7CBE34EF0}"/>
  <sortState xmlns:xlrd2="http://schemas.microsoft.com/office/spreadsheetml/2017/richdata2" ref="A2:M243">
    <sortCondition ref="B1:B243"/>
  </sortState>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43"/>
  <sheetViews>
    <sheetView tabSelected="1" topLeftCell="A208" workbookViewId="0">
      <selection activeCell="B243" sqref="B243"/>
    </sheetView>
  </sheetViews>
  <sheetFormatPr baseColWidth="10" defaultRowHeight="15" x14ac:dyDescent="0.25"/>
  <cols>
    <col min="1" max="1" width="10.42578125" bestFit="1" customWidth="1"/>
    <col min="2" max="2" width="11.42578125" bestFit="1" customWidth="1"/>
    <col min="3" max="3" width="27.28515625" bestFit="1" customWidth="1"/>
    <col min="4" max="4" width="35.5703125" bestFit="1" customWidth="1"/>
    <col min="5" max="5" width="81.140625" bestFit="1" customWidth="1"/>
    <col min="6" max="6" width="15.28515625" bestFit="1" customWidth="1"/>
    <col min="7" max="7" width="34.425781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78</v>
      </c>
      <c r="C1" t="s">
        <v>79</v>
      </c>
      <c r="D1" t="s">
        <v>80</v>
      </c>
      <c r="E1" t="s">
        <v>1</v>
      </c>
      <c r="F1" t="s">
        <v>2</v>
      </c>
      <c r="G1" t="s">
        <v>4</v>
      </c>
      <c r="H1" t="s">
        <v>3</v>
      </c>
      <c r="I1" t="s">
        <v>5</v>
      </c>
      <c r="J1" t="s">
        <v>81</v>
      </c>
      <c r="K1" t="s">
        <v>82</v>
      </c>
      <c r="L1" t="s">
        <v>83</v>
      </c>
      <c r="M1" t="s">
        <v>91</v>
      </c>
    </row>
    <row r="2" spans="1:13" x14ac:dyDescent="0.25">
      <c r="A2" s="1">
        <v>46128</v>
      </c>
      <c r="B2" s="1" t="str">
        <f ca="1">IF(Información1[[#This Row],[Fecha]]='Ajuste de fechas'!$A$2,"Día actual","Día anterior")</f>
        <v>Día actual</v>
      </c>
      <c r="C2" s="3" t="s">
        <v>62</v>
      </c>
      <c r="D2" t="s">
        <v>63</v>
      </c>
      <c r="E2" s="3" t="s">
        <v>273</v>
      </c>
      <c r="F2" s="3" t="s">
        <v>19</v>
      </c>
      <c r="G2" s="3" t="s">
        <v>274</v>
      </c>
      <c r="H2" s="3" t="s">
        <v>11</v>
      </c>
      <c r="I2" s="3" t="s">
        <v>7</v>
      </c>
      <c r="J2" s="3" t="s">
        <v>88</v>
      </c>
      <c r="K2" s="3" t="s">
        <v>64</v>
      </c>
      <c r="L2" s="3" t="s">
        <v>85</v>
      </c>
      <c r="M2">
        <v>1</v>
      </c>
    </row>
    <row r="3" spans="1:13" x14ac:dyDescent="0.25">
      <c r="A3" s="1">
        <v>46128</v>
      </c>
      <c r="B3" s="1" t="str">
        <f ca="1">IF(Información1[[#This Row],[Fecha]]='Ajuste de fechas'!$A$2,"Día actual","Día anterior")</f>
        <v>Día actual</v>
      </c>
      <c r="C3" s="3" t="s">
        <v>62</v>
      </c>
      <c r="D3" t="s">
        <v>63</v>
      </c>
      <c r="E3" s="3" t="s">
        <v>275</v>
      </c>
      <c r="F3" s="3" t="s">
        <v>52</v>
      </c>
      <c r="G3" s="3" t="s">
        <v>96</v>
      </c>
      <c r="H3" s="3" t="s">
        <v>11</v>
      </c>
      <c r="I3" s="3" t="s">
        <v>27</v>
      </c>
      <c r="J3" s="3" t="s">
        <v>84</v>
      </c>
      <c r="K3" s="3" t="s">
        <v>64</v>
      </c>
      <c r="L3" s="3" t="s">
        <v>85</v>
      </c>
      <c r="M3">
        <v>1</v>
      </c>
    </row>
    <row r="4" spans="1:13" x14ac:dyDescent="0.25">
      <c r="A4" s="1">
        <v>46128</v>
      </c>
      <c r="B4" s="1" t="str">
        <f ca="1">IF(Información1[[#This Row],[Fecha]]='Ajuste de fechas'!$A$2,"Día actual","Día anterior")</f>
        <v>Día actual</v>
      </c>
      <c r="C4" s="3" t="s">
        <v>62</v>
      </c>
      <c r="D4" t="s">
        <v>63</v>
      </c>
      <c r="E4" s="3" t="s">
        <v>276</v>
      </c>
      <c r="F4" s="3" t="s">
        <v>22</v>
      </c>
      <c r="G4" s="3" t="s">
        <v>101</v>
      </c>
      <c r="H4" s="3" t="s">
        <v>11</v>
      </c>
      <c r="I4" s="3" t="s">
        <v>7</v>
      </c>
      <c r="J4" s="3" t="s">
        <v>26</v>
      </c>
      <c r="K4" s="3" t="s">
        <v>64</v>
      </c>
      <c r="L4" s="3" t="s">
        <v>85</v>
      </c>
      <c r="M4">
        <v>1</v>
      </c>
    </row>
    <row r="5" spans="1:13" x14ac:dyDescent="0.25">
      <c r="A5" s="1">
        <v>46128</v>
      </c>
      <c r="B5" s="1" t="str">
        <f ca="1">IF(Información1[[#This Row],[Fecha]]='Ajuste de fechas'!$A$2,"Día actual","Día anterior")</f>
        <v>Día actual</v>
      </c>
      <c r="C5" s="3" t="s">
        <v>62</v>
      </c>
      <c r="D5" t="s">
        <v>63</v>
      </c>
      <c r="E5" s="3" t="s">
        <v>277</v>
      </c>
      <c r="F5" s="3" t="s">
        <v>22</v>
      </c>
      <c r="G5" s="3" t="s">
        <v>101</v>
      </c>
      <c r="H5" s="3" t="s">
        <v>11</v>
      </c>
      <c r="I5" s="3" t="s">
        <v>7</v>
      </c>
      <c r="J5" s="3" t="s">
        <v>26</v>
      </c>
      <c r="K5" s="3" t="s">
        <v>64</v>
      </c>
      <c r="L5" s="3" t="s">
        <v>85</v>
      </c>
      <c r="M5">
        <v>1</v>
      </c>
    </row>
    <row r="6" spans="1:13" x14ac:dyDescent="0.25">
      <c r="A6" s="1">
        <v>46128</v>
      </c>
      <c r="B6" s="1" t="str">
        <f ca="1">IF(Información1[[#This Row],[Fecha]]='Ajuste de fechas'!$A$2,"Día actual","Día anterior")</f>
        <v>Día actual</v>
      </c>
      <c r="C6" s="3" t="s">
        <v>62</v>
      </c>
      <c r="D6" t="s">
        <v>63</v>
      </c>
      <c r="E6" s="3" t="s">
        <v>278</v>
      </c>
      <c r="F6" s="3" t="s">
        <v>21</v>
      </c>
      <c r="G6" s="3" t="s">
        <v>279</v>
      </c>
      <c r="H6" s="3" t="s">
        <v>11</v>
      </c>
      <c r="I6" s="3" t="s">
        <v>7</v>
      </c>
      <c r="J6" s="3" t="s">
        <v>84</v>
      </c>
      <c r="K6" s="3" t="s">
        <v>64</v>
      </c>
      <c r="L6" s="3" t="s">
        <v>87</v>
      </c>
      <c r="M6">
        <v>1</v>
      </c>
    </row>
    <row r="7" spans="1:13" x14ac:dyDescent="0.25">
      <c r="A7" s="1">
        <v>46128</v>
      </c>
      <c r="B7" s="1" t="str">
        <f ca="1">IF(Información1[[#This Row],[Fecha]]='Ajuste de fechas'!$A$2,"Día actual","Día anterior")</f>
        <v>Día actual</v>
      </c>
      <c r="C7" s="3" t="s">
        <v>62</v>
      </c>
      <c r="D7" t="s">
        <v>63</v>
      </c>
      <c r="E7" s="3" t="s">
        <v>280</v>
      </c>
      <c r="F7" s="3" t="s">
        <v>49</v>
      </c>
      <c r="G7" s="3" t="s">
        <v>281</v>
      </c>
      <c r="H7" s="3" t="s">
        <v>11</v>
      </c>
      <c r="I7" s="3" t="s">
        <v>7</v>
      </c>
      <c r="J7" s="3" t="s">
        <v>84</v>
      </c>
      <c r="K7" s="3" t="s">
        <v>64</v>
      </c>
      <c r="L7" s="3" t="s">
        <v>85</v>
      </c>
      <c r="M7">
        <v>1</v>
      </c>
    </row>
    <row r="8" spans="1:13" x14ac:dyDescent="0.25">
      <c r="A8" s="1">
        <v>46128</v>
      </c>
      <c r="B8" s="1" t="str">
        <f ca="1">IF(Información1[[#This Row],[Fecha]]='Ajuste de fechas'!$A$2,"Día actual","Día anterior")</f>
        <v>Día actual</v>
      </c>
      <c r="C8" s="3" t="s">
        <v>62</v>
      </c>
      <c r="D8" t="s">
        <v>63</v>
      </c>
      <c r="E8" s="3" t="s">
        <v>282</v>
      </c>
      <c r="F8" s="3" t="s">
        <v>48</v>
      </c>
      <c r="G8" s="3" t="s">
        <v>139</v>
      </c>
      <c r="H8" s="3" t="s">
        <v>11</v>
      </c>
      <c r="I8" s="3" t="s">
        <v>7</v>
      </c>
      <c r="J8" s="3" t="s">
        <v>84</v>
      </c>
      <c r="K8" s="3" t="s">
        <v>64</v>
      </c>
      <c r="L8" s="3" t="s">
        <v>85</v>
      </c>
      <c r="M8">
        <v>1</v>
      </c>
    </row>
    <row r="9" spans="1:13" x14ac:dyDescent="0.25">
      <c r="A9" s="1">
        <v>46128</v>
      </c>
      <c r="B9" s="1" t="str">
        <f ca="1">IF(Información1[[#This Row],[Fecha]]='Ajuste de fechas'!$A$2,"Día actual","Día anterior")</f>
        <v>Día actual</v>
      </c>
      <c r="C9" s="3" t="s">
        <v>62</v>
      </c>
      <c r="D9" t="s">
        <v>63</v>
      </c>
      <c r="E9" s="3" t="s">
        <v>146</v>
      </c>
      <c r="F9" s="3" t="s">
        <v>22</v>
      </c>
      <c r="G9" s="3" t="s">
        <v>69</v>
      </c>
      <c r="H9" s="3" t="s">
        <v>11</v>
      </c>
      <c r="I9" s="3" t="s">
        <v>7</v>
      </c>
      <c r="J9" s="3" t="s">
        <v>26</v>
      </c>
      <c r="K9" s="3" t="s">
        <v>64</v>
      </c>
      <c r="L9" s="3" t="s">
        <v>85</v>
      </c>
      <c r="M9">
        <v>1</v>
      </c>
    </row>
    <row r="10" spans="1:13" x14ac:dyDescent="0.25">
      <c r="A10" s="1">
        <v>46128</v>
      </c>
      <c r="B10" s="1" t="str">
        <f ca="1">IF(Información1[[#This Row],[Fecha]]='Ajuste de fechas'!$A$2,"Día actual","Día anterior")</f>
        <v>Día actual</v>
      </c>
      <c r="C10" s="3" t="s">
        <v>62</v>
      </c>
      <c r="D10" t="s">
        <v>63</v>
      </c>
      <c r="E10" s="3" t="s">
        <v>283</v>
      </c>
      <c r="F10" s="3" t="s">
        <v>25</v>
      </c>
      <c r="G10" s="3" t="s">
        <v>284</v>
      </c>
      <c r="H10" s="3" t="s">
        <v>11</v>
      </c>
      <c r="I10" s="3" t="s">
        <v>7</v>
      </c>
      <c r="J10" s="3" t="s">
        <v>84</v>
      </c>
      <c r="K10" s="3" t="s">
        <v>64</v>
      </c>
      <c r="L10" s="3" t="s">
        <v>85</v>
      </c>
      <c r="M10">
        <v>1</v>
      </c>
    </row>
    <row r="11" spans="1:13" x14ac:dyDescent="0.25">
      <c r="A11" s="1">
        <v>46128</v>
      </c>
      <c r="B11" s="1" t="str">
        <f ca="1">IF(Información1[[#This Row],[Fecha]]='Ajuste de fechas'!$A$2,"Día actual","Día anterior")</f>
        <v>Día actual</v>
      </c>
      <c r="C11" s="3" t="s">
        <v>62</v>
      </c>
      <c r="D11" t="s">
        <v>63</v>
      </c>
      <c r="E11" s="3" t="s">
        <v>285</v>
      </c>
      <c r="F11" s="3" t="s">
        <v>19</v>
      </c>
      <c r="G11" s="3" t="s">
        <v>102</v>
      </c>
      <c r="H11" s="3" t="s">
        <v>11</v>
      </c>
      <c r="I11" s="3" t="s">
        <v>7</v>
      </c>
      <c r="J11" s="3" t="s">
        <v>88</v>
      </c>
      <c r="K11" s="3" t="s">
        <v>64</v>
      </c>
      <c r="L11" s="3" t="s">
        <v>85</v>
      </c>
      <c r="M11">
        <v>1</v>
      </c>
    </row>
    <row r="12" spans="1:13" x14ac:dyDescent="0.25">
      <c r="A12" s="1">
        <v>46128</v>
      </c>
      <c r="B12" s="1" t="str">
        <f ca="1">IF(Información1[[#This Row],[Fecha]]='Ajuste de fechas'!$A$2,"Día actual","Día anterior")</f>
        <v>Día actual</v>
      </c>
      <c r="C12" s="3" t="s">
        <v>62</v>
      </c>
      <c r="D12" t="s">
        <v>63</v>
      </c>
      <c r="E12" s="3" t="s">
        <v>233</v>
      </c>
      <c r="F12" s="3" t="s">
        <v>19</v>
      </c>
      <c r="G12" s="3" t="s">
        <v>47</v>
      </c>
      <c r="H12" s="3" t="s">
        <v>11</v>
      </c>
      <c r="I12" s="3" t="s">
        <v>7</v>
      </c>
      <c r="J12" s="3" t="s">
        <v>88</v>
      </c>
      <c r="K12" s="3" t="s">
        <v>64</v>
      </c>
      <c r="L12" s="3" t="s">
        <v>85</v>
      </c>
      <c r="M12">
        <v>1</v>
      </c>
    </row>
    <row r="13" spans="1:13" x14ac:dyDescent="0.25">
      <c r="A13" s="1">
        <v>46128</v>
      </c>
      <c r="B13" s="1" t="str">
        <f ca="1">IF(Información1[[#This Row],[Fecha]]='Ajuste de fechas'!$A$2,"Día actual","Día anterior")</f>
        <v>Día actual</v>
      </c>
      <c r="C13" s="3" t="s">
        <v>62</v>
      </c>
      <c r="D13" t="s">
        <v>63</v>
      </c>
      <c r="E13" s="3" t="s">
        <v>286</v>
      </c>
      <c r="F13" s="3" t="s">
        <v>19</v>
      </c>
      <c r="G13" s="3" t="s">
        <v>287</v>
      </c>
      <c r="H13" s="3" t="s">
        <v>11</v>
      </c>
      <c r="I13" s="3" t="s">
        <v>7</v>
      </c>
      <c r="J13" s="3" t="s">
        <v>88</v>
      </c>
      <c r="K13" s="3" t="s">
        <v>64</v>
      </c>
      <c r="L13" s="3" t="s">
        <v>85</v>
      </c>
      <c r="M13">
        <v>1</v>
      </c>
    </row>
    <row r="14" spans="1:13" x14ac:dyDescent="0.25">
      <c r="A14" s="1">
        <v>46128</v>
      </c>
      <c r="B14" s="1" t="str">
        <f ca="1">IF(Información1[[#This Row],[Fecha]]='Ajuste de fechas'!$A$2,"Día actual","Día anterior")</f>
        <v>Día actual</v>
      </c>
      <c r="C14" s="3" t="s">
        <v>62</v>
      </c>
      <c r="D14" t="s">
        <v>63</v>
      </c>
      <c r="E14" s="3" t="s">
        <v>288</v>
      </c>
      <c r="F14" s="3" t="s">
        <v>265</v>
      </c>
      <c r="G14" s="3" t="s">
        <v>289</v>
      </c>
      <c r="H14" s="3" t="s">
        <v>11</v>
      </c>
      <c r="I14" s="3" t="s">
        <v>7</v>
      </c>
      <c r="J14" s="3" t="s">
        <v>84</v>
      </c>
      <c r="K14" s="3" t="s">
        <v>64</v>
      </c>
      <c r="L14" s="3" t="s">
        <v>87</v>
      </c>
      <c r="M14">
        <v>1</v>
      </c>
    </row>
    <row r="15" spans="1:13" x14ac:dyDescent="0.25">
      <c r="A15" s="1">
        <v>46128</v>
      </c>
      <c r="B15" s="1" t="str">
        <f ca="1">IF(Información1[[#This Row],[Fecha]]='Ajuste de fechas'!$A$2,"Día actual","Día anterior")</f>
        <v>Día actual</v>
      </c>
      <c r="C15" s="3" t="s">
        <v>62</v>
      </c>
      <c r="D15" t="s">
        <v>63</v>
      </c>
      <c r="E15" s="3" t="s">
        <v>290</v>
      </c>
      <c r="F15" s="3" t="s">
        <v>23</v>
      </c>
      <c r="G15" s="3" t="s">
        <v>291</v>
      </c>
      <c r="H15" s="3" t="s">
        <v>11</v>
      </c>
      <c r="I15" s="3" t="s">
        <v>7</v>
      </c>
      <c r="J15" s="3" t="s">
        <v>89</v>
      </c>
      <c r="K15" s="3" t="s">
        <v>64</v>
      </c>
      <c r="L15" s="3" t="s">
        <v>85</v>
      </c>
      <c r="M15">
        <v>1</v>
      </c>
    </row>
    <row r="16" spans="1:13" x14ac:dyDescent="0.25">
      <c r="A16" s="1">
        <v>46128</v>
      </c>
      <c r="B16" s="1" t="str">
        <f ca="1">IF(Información1[[#This Row],[Fecha]]='Ajuste de fechas'!$A$2,"Día actual","Día anterior")</f>
        <v>Día actual</v>
      </c>
      <c r="C16" s="3" t="s">
        <v>62</v>
      </c>
      <c r="D16" t="s">
        <v>63</v>
      </c>
      <c r="E16" s="3" t="s">
        <v>292</v>
      </c>
      <c r="F16" s="3" t="s">
        <v>6</v>
      </c>
      <c r="G16" s="3" t="s">
        <v>293</v>
      </c>
      <c r="H16" s="3" t="s">
        <v>11</v>
      </c>
      <c r="I16" s="3" t="s">
        <v>7</v>
      </c>
      <c r="J16" s="3" t="s">
        <v>84</v>
      </c>
      <c r="K16" s="3" t="s">
        <v>64</v>
      </c>
      <c r="L16" s="3" t="s">
        <v>87</v>
      </c>
      <c r="M16">
        <v>1</v>
      </c>
    </row>
    <row r="17" spans="1:13" x14ac:dyDescent="0.25">
      <c r="A17" s="1">
        <v>46128</v>
      </c>
      <c r="B17" s="1" t="str">
        <f ca="1">IF(Información1[[#This Row],[Fecha]]='Ajuste de fechas'!$A$2,"Día actual","Día anterior")</f>
        <v>Día actual</v>
      </c>
      <c r="C17" s="3" t="s">
        <v>62</v>
      </c>
      <c r="D17" t="s">
        <v>63</v>
      </c>
      <c r="E17" s="3" t="s">
        <v>294</v>
      </c>
      <c r="F17" s="3" t="s">
        <v>28</v>
      </c>
      <c r="G17" s="3" t="s">
        <v>115</v>
      </c>
      <c r="H17" s="3" t="s">
        <v>11</v>
      </c>
      <c r="I17" s="3" t="s">
        <v>7</v>
      </c>
      <c r="J17" s="3" t="s">
        <v>84</v>
      </c>
      <c r="K17" s="3" t="s">
        <v>64</v>
      </c>
      <c r="L17" s="3" t="s">
        <v>85</v>
      </c>
      <c r="M17">
        <v>1</v>
      </c>
    </row>
    <row r="18" spans="1:13" x14ac:dyDescent="0.25">
      <c r="A18" s="1">
        <v>46128</v>
      </c>
      <c r="B18" s="1" t="str">
        <f ca="1">IF(Información1[[#This Row],[Fecha]]='Ajuste de fechas'!$A$2,"Día actual","Día anterior")</f>
        <v>Día actual</v>
      </c>
      <c r="C18" s="3" t="s">
        <v>50</v>
      </c>
      <c r="D18" t="s">
        <v>51</v>
      </c>
      <c r="E18" s="3" t="s">
        <v>295</v>
      </c>
      <c r="F18" s="3" t="s">
        <v>19</v>
      </c>
      <c r="G18" s="3" t="s">
        <v>151</v>
      </c>
      <c r="H18" s="3" t="s">
        <v>46</v>
      </c>
      <c r="I18" s="3" t="s">
        <v>12</v>
      </c>
      <c r="J18" s="3" t="s">
        <v>88</v>
      </c>
      <c r="K18" s="3" t="s">
        <v>31</v>
      </c>
      <c r="L18" s="3" t="s">
        <v>85</v>
      </c>
      <c r="M18">
        <v>1</v>
      </c>
    </row>
    <row r="19" spans="1:13" x14ac:dyDescent="0.25">
      <c r="A19" s="1">
        <v>46128</v>
      </c>
      <c r="B19" s="1" t="str">
        <f ca="1">IF(Información1[[#This Row],[Fecha]]='Ajuste de fechas'!$A$2,"Día actual","Día anterior")</f>
        <v>Día actual</v>
      </c>
      <c r="C19" s="3" t="s">
        <v>50</v>
      </c>
      <c r="D19" t="s">
        <v>51</v>
      </c>
      <c r="E19" s="3" t="s">
        <v>296</v>
      </c>
      <c r="F19" s="3" t="s">
        <v>19</v>
      </c>
      <c r="G19" s="3" t="s">
        <v>297</v>
      </c>
      <c r="H19" s="3" t="s">
        <v>46</v>
      </c>
      <c r="I19" s="3" t="s">
        <v>12</v>
      </c>
      <c r="J19" s="3" t="s">
        <v>88</v>
      </c>
      <c r="K19" s="3" t="s">
        <v>31</v>
      </c>
      <c r="L19" s="3" t="s">
        <v>85</v>
      </c>
      <c r="M19">
        <v>1</v>
      </c>
    </row>
    <row r="20" spans="1:13" x14ac:dyDescent="0.25">
      <c r="A20" s="1">
        <v>46128</v>
      </c>
      <c r="B20" s="1" t="str">
        <f ca="1">IF(Información1[[#This Row],[Fecha]]='Ajuste de fechas'!$A$2,"Día actual","Día anterior")</f>
        <v>Día actual</v>
      </c>
      <c r="C20" s="3" t="s">
        <v>50</v>
      </c>
      <c r="D20" t="s">
        <v>51</v>
      </c>
      <c r="E20" s="3" t="s">
        <v>298</v>
      </c>
      <c r="F20" s="3" t="s">
        <v>19</v>
      </c>
      <c r="G20" s="3" t="s">
        <v>299</v>
      </c>
      <c r="H20" s="3" t="s">
        <v>46</v>
      </c>
      <c r="I20" s="3" t="s">
        <v>12</v>
      </c>
      <c r="J20" s="3" t="s">
        <v>88</v>
      </c>
      <c r="K20" s="3" t="s">
        <v>31</v>
      </c>
      <c r="L20" s="3" t="s">
        <v>85</v>
      </c>
      <c r="M20">
        <v>1</v>
      </c>
    </row>
    <row r="21" spans="1:13" x14ac:dyDescent="0.25">
      <c r="A21" s="1">
        <v>46128</v>
      </c>
      <c r="B21" s="1" t="str">
        <f ca="1">IF(Información1[[#This Row],[Fecha]]='Ajuste de fechas'!$A$2,"Día actual","Día anterior")</f>
        <v>Día actual</v>
      </c>
      <c r="C21" s="3" t="s">
        <v>50</v>
      </c>
      <c r="D21" t="s">
        <v>51</v>
      </c>
      <c r="E21" s="3" t="s">
        <v>300</v>
      </c>
      <c r="F21" s="3" t="s">
        <v>28</v>
      </c>
      <c r="G21" s="3" t="s">
        <v>301</v>
      </c>
      <c r="H21" s="3" t="s">
        <v>46</v>
      </c>
      <c r="I21" s="3" t="s">
        <v>12</v>
      </c>
      <c r="J21" s="3" t="s">
        <v>84</v>
      </c>
      <c r="K21" s="3" t="s">
        <v>31</v>
      </c>
      <c r="L21" s="3" t="s">
        <v>85</v>
      </c>
      <c r="M21">
        <v>1</v>
      </c>
    </row>
    <row r="22" spans="1:13" x14ac:dyDescent="0.25">
      <c r="A22" s="1">
        <v>46128</v>
      </c>
      <c r="B22" s="1" t="str">
        <f ca="1">IF(Información1[[#This Row],[Fecha]]='Ajuste de fechas'!$A$2,"Día actual","Día anterior")</f>
        <v>Día actual</v>
      </c>
      <c r="C22" s="3" t="s">
        <v>50</v>
      </c>
      <c r="D22" t="s">
        <v>51</v>
      </c>
      <c r="E22" s="3" t="s">
        <v>302</v>
      </c>
      <c r="F22" s="3" t="s">
        <v>22</v>
      </c>
      <c r="G22" s="3" t="s">
        <v>303</v>
      </c>
      <c r="H22" s="3" t="s">
        <v>46</v>
      </c>
      <c r="I22" s="3" t="s">
        <v>7</v>
      </c>
      <c r="J22" s="3" t="s">
        <v>26</v>
      </c>
      <c r="K22" s="3" t="s">
        <v>31</v>
      </c>
      <c r="L22" s="3" t="s">
        <v>85</v>
      </c>
      <c r="M22">
        <v>1</v>
      </c>
    </row>
    <row r="23" spans="1:13" x14ac:dyDescent="0.25">
      <c r="A23" s="1">
        <v>46128</v>
      </c>
      <c r="B23" s="1" t="str">
        <f ca="1">IF(Información1[[#This Row],[Fecha]]='Ajuste de fechas'!$A$2,"Día actual","Día anterior")</f>
        <v>Día actual</v>
      </c>
      <c r="C23" s="3" t="s">
        <v>50</v>
      </c>
      <c r="D23" t="s">
        <v>51</v>
      </c>
      <c r="E23" s="3" t="s">
        <v>304</v>
      </c>
      <c r="F23" s="3" t="s">
        <v>22</v>
      </c>
      <c r="G23" s="3" t="s">
        <v>101</v>
      </c>
      <c r="H23" s="3" t="s">
        <v>46</v>
      </c>
      <c r="I23" s="3" t="s">
        <v>7</v>
      </c>
      <c r="J23" s="3" t="s">
        <v>26</v>
      </c>
      <c r="K23" s="3" t="s">
        <v>305</v>
      </c>
      <c r="L23" s="3" t="s">
        <v>85</v>
      </c>
      <c r="M23">
        <v>1</v>
      </c>
    </row>
    <row r="24" spans="1:13" x14ac:dyDescent="0.25">
      <c r="A24" s="1">
        <v>46128</v>
      </c>
      <c r="B24" s="1" t="str">
        <f ca="1">IF(Información1[[#This Row],[Fecha]]='Ajuste de fechas'!$A$2,"Día actual","Día anterior")</f>
        <v>Día actual</v>
      </c>
      <c r="C24" s="3" t="s">
        <v>50</v>
      </c>
      <c r="D24" t="s">
        <v>51</v>
      </c>
      <c r="E24" s="3" t="s">
        <v>306</v>
      </c>
      <c r="F24" s="3" t="s">
        <v>19</v>
      </c>
      <c r="G24" s="3" t="s">
        <v>287</v>
      </c>
      <c r="H24" s="3" t="s">
        <v>46</v>
      </c>
      <c r="I24" s="3" t="s">
        <v>7</v>
      </c>
      <c r="J24" s="3" t="s">
        <v>88</v>
      </c>
      <c r="K24" s="3" t="s">
        <v>305</v>
      </c>
      <c r="L24" s="3" t="s">
        <v>85</v>
      </c>
      <c r="M24">
        <v>1</v>
      </c>
    </row>
    <row r="25" spans="1:13" x14ac:dyDescent="0.25">
      <c r="A25" s="1">
        <v>46128</v>
      </c>
      <c r="B25" s="1" t="str">
        <f ca="1">IF(Información1[[#This Row],[Fecha]]='Ajuste de fechas'!$A$2,"Día actual","Día anterior")</f>
        <v>Día actual</v>
      </c>
      <c r="C25" s="3" t="s">
        <v>50</v>
      </c>
      <c r="D25" t="s">
        <v>51</v>
      </c>
      <c r="E25" s="3" t="s">
        <v>307</v>
      </c>
      <c r="F25" s="3" t="s">
        <v>19</v>
      </c>
      <c r="G25" s="3" t="s">
        <v>287</v>
      </c>
      <c r="H25" s="3" t="s">
        <v>46</v>
      </c>
      <c r="I25" s="3" t="s">
        <v>7</v>
      </c>
      <c r="J25" s="3" t="s">
        <v>88</v>
      </c>
      <c r="K25" s="3" t="s">
        <v>31</v>
      </c>
      <c r="L25" s="3" t="s">
        <v>85</v>
      </c>
      <c r="M25">
        <v>1</v>
      </c>
    </row>
    <row r="26" spans="1:13" x14ac:dyDescent="0.25">
      <c r="A26" s="1">
        <v>46128</v>
      </c>
      <c r="B26" s="1" t="str">
        <f ca="1">IF(Información1[[#This Row],[Fecha]]='Ajuste de fechas'!$A$2,"Día actual","Día anterior")</f>
        <v>Día actual</v>
      </c>
      <c r="C26" s="3" t="s">
        <v>50</v>
      </c>
      <c r="D26" t="s">
        <v>51</v>
      </c>
      <c r="E26" s="3" t="s">
        <v>308</v>
      </c>
      <c r="F26" s="3" t="s">
        <v>21</v>
      </c>
      <c r="G26" s="3" t="s">
        <v>309</v>
      </c>
      <c r="H26" s="3" t="s">
        <v>46</v>
      </c>
      <c r="I26" s="3" t="s">
        <v>7</v>
      </c>
      <c r="J26" s="3" t="s">
        <v>84</v>
      </c>
      <c r="K26" s="3" t="s">
        <v>31</v>
      </c>
      <c r="L26" s="3" t="s">
        <v>87</v>
      </c>
      <c r="M26">
        <v>1</v>
      </c>
    </row>
    <row r="27" spans="1:13" x14ac:dyDescent="0.25">
      <c r="A27" s="1">
        <v>46128</v>
      </c>
      <c r="B27" s="1" t="str">
        <f ca="1">IF(Información1[[#This Row],[Fecha]]='Ajuste de fechas'!$A$2,"Día actual","Día anterior")</f>
        <v>Día actual</v>
      </c>
      <c r="C27" s="3" t="s">
        <v>50</v>
      </c>
      <c r="D27" t="s">
        <v>51</v>
      </c>
      <c r="E27" s="3" t="s">
        <v>310</v>
      </c>
      <c r="F27" s="3" t="s">
        <v>311</v>
      </c>
      <c r="G27" s="3" t="s">
        <v>312</v>
      </c>
      <c r="H27" s="3" t="s">
        <v>46</v>
      </c>
      <c r="I27" s="3" t="s">
        <v>7</v>
      </c>
      <c r="J27" s="3" t="s">
        <v>84</v>
      </c>
      <c r="K27" s="3" t="s">
        <v>31</v>
      </c>
      <c r="L27" s="3" t="s">
        <v>87</v>
      </c>
      <c r="M27">
        <v>1</v>
      </c>
    </row>
    <row r="28" spans="1:13" x14ac:dyDescent="0.25">
      <c r="A28" s="1">
        <v>46128</v>
      </c>
      <c r="B28" s="1" t="str">
        <f ca="1">IF(Información1[[#This Row],[Fecha]]='Ajuste de fechas'!$A$2,"Día actual","Día anterior")</f>
        <v>Día actual</v>
      </c>
      <c r="C28" s="3" t="s">
        <v>50</v>
      </c>
      <c r="D28" t="s">
        <v>51</v>
      </c>
      <c r="E28" s="3" t="s">
        <v>292</v>
      </c>
      <c r="F28" s="3" t="s">
        <v>6</v>
      </c>
      <c r="G28" s="3" t="s">
        <v>293</v>
      </c>
      <c r="H28" s="3" t="s">
        <v>46</v>
      </c>
      <c r="I28" s="3" t="s">
        <v>7</v>
      </c>
      <c r="J28" s="3" t="s">
        <v>84</v>
      </c>
      <c r="K28" s="3" t="s">
        <v>31</v>
      </c>
      <c r="L28" s="3" t="s">
        <v>87</v>
      </c>
      <c r="M28">
        <v>1</v>
      </c>
    </row>
    <row r="29" spans="1:13" x14ac:dyDescent="0.25">
      <c r="A29" s="1">
        <v>46128</v>
      </c>
      <c r="B29" s="1" t="str">
        <f ca="1">IF(Información1[[#This Row],[Fecha]]='Ajuste de fechas'!$A$2,"Día actual","Día anterior")</f>
        <v>Día actual</v>
      </c>
      <c r="C29" s="3" t="s">
        <v>50</v>
      </c>
      <c r="D29" t="s">
        <v>51</v>
      </c>
      <c r="E29" s="3" t="s">
        <v>313</v>
      </c>
      <c r="F29" s="3" t="s">
        <v>19</v>
      </c>
      <c r="G29" s="3" t="s">
        <v>192</v>
      </c>
      <c r="H29" s="3" t="s">
        <v>46</v>
      </c>
      <c r="I29" s="3" t="s">
        <v>27</v>
      </c>
      <c r="J29" s="3" t="s">
        <v>88</v>
      </c>
      <c r="K29" s="3" t="s">
        <v>31</v>
      </c>
      <c r="L29" s="3" t="s">
        <v>85</v>
      </c>
      <c r="M29">
        <v>1</v>
      </c>
    </row>
    <row r="30" spans="1:13" x14ac:dyDescent="0.25">
      <c r="A30" s="1">
        <v>46128</v>
      </c>
      <c r="B30" s="1" t="str">
        <f ca="1">IF(Información1[[#This Row],[Fecha]]='Ajuste de fechas'!$A$2,"Día actual","Día anterior")</f>
        <v>Día actual</v>
      </c>
      <c r="C30" s="3" t="s">
        <v>50</v>
      </c>
      <c r="D30" t="s">
        <v>51</v>
      </c>
      <c r="E30" s="3" t="s">
        <v>246</v>
      </c>
      <c r="F30" s="3" t="s">
        <v>19</v>
      </c>
      <c r="G30" s="3" t="s">
        <v>247</v>
      </c>
      <c r="H30" s="3" t="s">
        <v>46</v>
      </c>
      <c r="I30" s="3" t="s">
        <v>7</v>
      </c>
      <c r="J30" s="3" t="s">
        <v>88</v>
      </c>
      <c r="K30" s="3" t="s">
        <v>31</v>
      </c>
      <c r="L30" s="3" t="s">
        <v>85</v>
      </c>
      <c r="M30">
        <v>1</v>
      </c>
    </row>
    <row r="31" spans="1:13" x14ac:dyDescent="0.25">
      <c r="A31" s="1">
        <v>46128</v>
      </c>
      <c r="B31" s="1" t="str">
        <f ca="1">IF(Información1[[#This Row],[Fecha]]='Ajuste de fechas'!$A$2,"Día actual","Día anterior")</f>
        <v>Día actual</v>
      </c>
      <c r="C31" s="3" t="s">
        <v>54</v>
      </c>
      <c r="D31" t="s">
        <v>57</v>
      </c>
      <c r="E31" s="3" t="s">
        <v>314</v>
      </c>
      <c r="F31" s="3" t="s">
        <v>17</v>
      </c>
      <c r="G31" s="3" t="s">
        <v>315</v>
      </c>
      <c r="H31" s="3" t="s">
        <v>11</v>
      </c>
      <c r="I31" s="3" t="s">
        <v>12</v>
      </c>
      <c r="J31" s="3" t="s">
        <v>84</v>
      </c>
      <c r="K31" s="3" t="s">
        <v>55</v>
      </c>
      <c r="L31" s="3" t="s">
        <v>110</v>
      </c>
      <c r="M31">
        <v>1</v>
      </c>
    </row>
    <row r="32" spans="1:13" x14ac:dyDescent="0.25">
      <c r="A32" s="1">
        <v>46128</v>
      </c>
      <c r="B32" s="1" t="str">
        <f ca="1">IF(Información1[[#This Row],[Fecha]]='Ajuste de fechas'!$A$2,"Día actual","Día anterior")</f>
        <v>Día actual</v>
      </c>
      <c r="C32" s="3" t="s">
        <v>54</v>
      </c>
      <c r="D32" t="s">
        <v>57</v>
      </c>
      <c r="E32" s="3" t="s">
        <v>316</v>
      </c>
      <c r="F32" s="3" t="s">
        <v>23</v>
      </c>
      <c r="G32" s="3" t="s">
        <v>317</v>
      </c>
      <c r="H32" s="3" t="s">
        <v>11</v>
      </c>
      <c r="I32" s="3" t="s">
        <v>7</v>
      </c>
      <c r="J32" s="3" t="s">
        <v>89</v>
      </c>
      <c r="K32" s="3" t="s">
        <v>55</v>
      </c>
      <c r="L32" s="3" t="s">
        <v>85</v>
      </c>
      <c r="M32">
        <v>1</v>
      </c>
    </row>
    <row r="33" spans="1:13" x14ac:dyDescent="0.25">
      <c r="A33" s="1">
        <v>46128</v>
      </c>
      <c r="B33" s="1" t="str">
        <f ca="1">IF(Información1[[#This Row],[Fecha]]='Ajuste de fechas'!$A$2,"Día actual","Día anterior")</f>
        <v>Día actual</v>
      </c>
      <c r="C33" s="3" t="s">
        <v>54</v>
      </c>
      <c r="D33" t="s">
        <v>57</v>
      </c>
      <c r="E33" s="3" t="s">
        <v>318</v>
      </c>
      <c r="F33" s="3" t="s">
        <v>23</v>
      </c>
      <c r="G33" s="3" t="s">
        <v>317</v>
      </c>
      <c r="H33" s="3" t="s">
        <v>11</v>
      </c>
      <c r="I33" s="3" t="s">
        <v>7</v>
      </c>
      <c r="J33" s="3" t="s">
        <v>89</v>
      </c>
      <c r="K33" s="3" t="s">
        <v>55</v>
      </c>
      <c r="L33" s="3" t="s">
        <v>85</v>
      </c>
      <c r="M33">
        <v>1</v>
      </c>
    </row>
    <row r="34" spans="1:13" x14ac:dyDescent="0.25">
      <c r="A34" s="1">
        <v>46128</v>
      </c>
      <c r="B34" s="1" t="str">
        <f ca="1">IF(Información1[[#This Row],[Fecha]]='Ajuste de fechas'!$A$2,"Día actual","Día anterior")</f>
        <v>Día actual</v>
      </c>
      <c r="C34" s="3" t="s">
        <v>54</v>
      </c>
      <c r="D34" t="s">
        <v>57</v>
      </c>
      <c r="E34" s="3" t="s">
        <v>319</v>
      </c>
      <c r="F34" s="3" t="s">
        <v>19</v>
      </c>
      <c r="G34" s="3" t="s">
        <v>320</v>
      </c>
      <c r="H34" s="3" t="s">
        <v>11</v>
      </c>
      <c r="I34" s="3" t="s">
        <v>7</v>
      </c>
      <c r="J34" s="3" t="s">
        <v>88</v>
      </c>
      <c r="K34" s="3" t="s">
        <v>55</v>
      </c>
      <c r="L34" s="3" t="s">
        <v>85</v>
      </c>
      <c r="M34">
        <v>1</v>
      </c>
    </row>
    <row r="35" spans="1:13" x14ac:dyDescent="0.25">
      <c r="A35" s="1">
        <v>46128</v>
      </c>
      <c r="B35" s="1" t="str">
        <f ca="1">IF(Información1[[#This Row],[Fecha]]='Ajuste de fechas'!$A$2,"Día actual","Día anterior")</f>
        <v>Día actual</v>
      </c>
      <c r="C35" s="3" t="s">
        <v>54</v>
      </c>
      <c r="D35" t="s">
        <v>57</v>
      </c>
      <c r="E35" s="3" t="s">
        <v>321</v>
      </c>
      <c r="F35" s="3" t="s">
        <v>52</v>
      </c>
      <c r="G35" s="3" t="s">
        <v>105</v>
      </c>
      <c r="H35" s="3" t="s">
        <v>11</v>
      </c>
      <c r="I35" s="3" t="s">
        <v>27</v>
      </c>
      <c r="J35" s="3" t="s">
        <v>84</v>
      </c>
      <c r="K35" s="3" t="s">
        <v>9</v>
      </c>
      <c r="L35" s="3" t="s">
        <v>86</v>
      </c>
      <c r="M35">
        <v>1</v>
      </c>
    </row>
    <row r="36" spans="1:13" x14ac:dyDescent="0.25">
      <c r="A36" s="1">
        <v>46128</v>
      </c>
      <c r="B36" s="1" t="str">
        <f ca="1">IF(Información1[[#This Row],[Fecha]]='Ajuste de fechas'!$A$2,"Día actual","Día anterior")</f>
        <v>Día actual</v>
      </c>
      <c r="C36" s="3" t="s">
        <v>54</v>
      </c>
      <c r="D36" t="s">
        <v>57</v>
      </c>
      <c r="E36" s="3" t="s">
        <v>322</v>
      </c>
      <c r="F36" s="3" t="s">
        <v>17</v>
      </c>
      <c r="G36" s="3" t="s">
        <v>115</v>
      </c>
      <c r="H36" s="3" t="s">
        <v>11</v>
      </c>
      <c r="I36" s="3" t="s">
        <v>7</v>
      </c>
      <c r="J36" s="3" t="s">
        <v>84</v>
      </c>
      <c r="K36" s="3" t="s">
        <v>9</v>
      </c>
      <c r="L36" s="3" t="s">
        <v>86</v>
      </c>
      <c r="M36">
        <v>1</v>
      </c>
    </row>
    <row r="37" spans="1:13" x14ac:dyDescent="0.25">
      <c r="A37" s="1">
        <v>46128</v>
      </c>
      <c r="B37" s="1" t="str">
        <f ca="1">IF(Información1[[#This Row],[Fecha]]='Ajuste de fechas'!$A$2,"Día actual","Día anterior")</f>
        <v>Día actual</v>
      </c>
      <c r="C37" s="3" t="s">
        <v>54</v>
      </c>
      <c r="D37" t="s">
        <v>57</v>
      </c>
      <c r="E37" s="3" t="s">
        <v>323</v>
      </c>
      <c r="F37" s="3" t="s">
        <v>15</v>
      </c>
      <c r="G37" s="3" t="s">
        <v>324</v>
      </c>
      <c r="H37" s="3" t="s">
        <v>11</v>
      </c>
      <c r="I37" s="3" t="s">
        <v>7</v>
      </c>
      <c r="J37" s="3" t="s">
        <v>84</v>
      </c>
      <c r="K37" s="3" t="s">
        <v>55</v>
      </c>
      <c r="L37" s="3" t="s">
        <v>85</v>
      </c>
      <c r="M37">
        <v>1</v>
      </c>
    </row>
    <row r="38" spans="1:13" x14ac:dyDescent="0.25">
      <c r="A38" s="1">
        <v>46128</v>
      </c>
      <c r="B38" s="1" t="str">
        <f ca="1">IF(Información1[[#This Row],[Fecha]]='Ajuste de fechas'!$A$2,"Día actual","Día anterior")</f>
        <v>Día actual</v>
      </c>
      <c r="C38" s="3" t="s">
        <v>32</v>
      </c>
      <c r="D38" t="s">
        <v>34</v>
      </c>
      <c r="E38" s="3" t="s">
        <v>325</v>
      </c>
      <c r="F38" s="3" t="s">
        <v>38</v>
      </c>
      <c r="G38" s="3" t="s">
        <v>163</v>
      </c>
      <c r="H38" s="3" t="s">
        <v>11</v>
      </c>
      <c r="I38" s="3" t="s">
        <v>7</v>
      </c>
      <c r="J38" s="3" t="s">
        <v>84</v>
      </c>
      <c r="K38" s="3" t="s">
        <v>33</v>
      </c>
      <c r="L38" s="3" t="s">
        <v>85</v>
      </c>
      <c r="M38">
        <v>1</v>
      </c>
    </row>
    <row r="39" spans="1:13" x14ac:dyDescent="0.25">
      <c r="A39" s="1">
        <v>46128</v>
      </c>
      <c r="B39" s="1" t="str">
        <f ca="1">IF(Información1[[#This Row],[Fecha]]='Ajuste de fechas'!$A$2,"Día actual","Día anterior")</f>
        <v>Día actual</v>
      </c>
      <c r="C39" s="3" t="s">
        <v>32</v>
      </c>
      <c r="D39" t="s">
        <v>34</v>
      </c>
      <c r="E39" s="3" t="s">
        <v>326</v>
      </c>
      <c r="F39" s="3" t="s">
        <v>22</v>
      </c>
      <c r="G39" s="3" t="s">
        <v>303</v>
      </c>
      <c r="H39" s="3" t="s">
        <v>11</v>
      </c>
      <c r="I39" s="3" t="s">
        <v>7</v>
      </c>
      <c r="J39" s="3" t="s">
        <v>26</v>
      </c>
      <c r="K39" s="3" t="s">
        <v>33</v>
      </c>
      <c r="L39" s="3" t="s">
        <v>85</v>
      </c>
      <c r="M39">
        <v>1</v>
      </c>
    </row>
    <row r="40" spans="1:13" x14ac:dyDescent="0.25">
      <c r="A40" s="1">
        <v>46128</v>
      </c>
      <c r="B40" s="1" t="str">
        <f ca="1">IF(Información1[[#This Row],[Fecha]]='Ajuste de fechas'!$A$2,"Día actual","Día anterior")</f>
        <v>Día actual</v>
      </c>
      <c r="C40" s="3" t="s">
        <v>32</v>
      </c>
      <c r="D40" t="s">
        <v>34</v>
      </c>
      <c r="E40" s="3" t="s">
        <v>327</v>
      </c>
      <c r="F40" s="3" t="s">
        <v>22</v>
      </c>
      <c r="G40" s="3" t="s">
        <v>303</v>
      </c>
      <c r="H40" s="3" t="s">
        <v>11</v>
      </c>
      <c r="I40" s="3" t="s">
        <v>7</v>
      </c>
      <c r="J40" s="3" t="s">
        <v>26</v>
      </c>
      <c r="K40" s="3" t="s">
        <v>33</v>
      </c>
      <c r="L40" s="3" t="s">
        <v>85</v>
      </c>
      <c r="M40">
        <v>1</v>
      </c>
    </row>
    <row r="41" spans="1:13" x14ac:dyDescent="0.25">
      <c r="A41" s="1">
        <v>46128</v>
      </c>
      <c r="B41" s="1" t="str">
        <f ca="1">IF(Información1[[#This Row],[Fecha]]='Ajuste de fechas'!$A$2,"Día actual","Día anterior")</f>
        <v>Día actual</v>
      </c>
      <c r="C41" s="3" t="s">
        <v>32</v>
      </c>
      <c r="D41" t="s">
        <v>34</v>
      </c>
      <c r="E41" s="3" t="s">
        <v>328</v>
      </c>
      <c r="F41" s="3" t="s">
        <v>24</v>
      </c>
      <c r="G41" s="3" t="s">
        <v>329</v>
      </c>
      <c r="H41" s="3" t="s">
        <v>11</v>
      </c>
      <c r="I41" s="3" t="s">
        <v>7</v>
      </c>
      <c r="J41" s="3" t="s">
        <v>84</v>
      </c>
      <c r="K41" s="3" t="s">
        <v>33</v>
      </c>
      <c r="L41" s="3" t="s">
        <v>87</v>
      </c>
      <c r="M41">
        <v>1</v>
      </c>
    </row>
    <row r="42" spans="1:13" x14ac:dyDescent="0.25">
      <c r="A42" s="1">
        <v>46128</v>
      </c>
      <c r="B42" s="1" t="str">
        <f ca="1">IF(Información1[[#This Row],[Fecha]]='Ajuste de fechas'!$A$2,"Día actual","Día anterior")</f>
        <v>Día actual</v>
      </c>
      <c r="C42" s="3" t="s">
        <v>32</v>
      </c>
      <c r="D42" t="s">
        <v>34</v>
      </c>
      <c r="E42" s="3" t="s">
        <v>330</v>
      </c>
      <c r="F42" s="3" t="s">
        <v>265</v>
      </c>
      <c r="G42" s="3" t="s">
        <v>289</v>
      </c>
      <c r="H42" s="3" t="s">
        <v>11</v>
      </c>
      <c r="I42" s="3" t="s">
        <v>7</v>
      </c>
      <c r="J42" s="3" t="s">
        <v>84</v>
      </c>
      <c r="K42" s="3" t="s">
        <v>33</v>
      </c>
      <c r="L42" s="3" t="s">
        <v>87</v>
      </c>
      <c r="M42">
        <v>1</v>
      </c>
    </row>
    <row r="43" spans="1:13" x14ac:dyDescent="0.25">
      <c r="A43" s="1">
        <v>46128</v>
      </c>
      <c r="B43" s="1" t="str">
        <f ca="1">IF(Información1[[#This Row],[Fecha]]='Ajuste de fechas'!$A$2,"Día actual","Día anterior")</f>
        <v>Día actual</v>
      </c>
      <c r="C43" s="3" t="s">
        <v>32</v>
      </c>
      <c r="D43" t="s">
        <v>34</v>
      </c>
      <c r="E43" s="3" t="s">
        <v>331</v>
      </c>
      <c r="F43" s="3" t="s">
        <v>52</v>
      </c>
      <c r="G43" s="3" t="s">
        <v>332</v>
      </c>
      <c r="H43" s="3" t="s">
        <v>11</v>
      </c>
      <c r="I43" s="3" t="s">
        <v>7</v>
      </c>
      <c r="J43" s="3" t="s">
        <v>84</v>
      </c>
      <c r="K43" s="3" t="s">
        <v>33</v>
      </c>
      <c r="L43" s="3" t="s">
        <v>87</v>
      </c>
      <c r="M43">
        <v>1</v>
      </c>
    </row>
    <row r="44" spans="1:13" x14ac:dyDescent="0.25">
      <c r="A44" s="1">
        <v>46128</v>
      </c>
      <c r="B44" s="1" t="str">
        <f ca="1">IF(Información1[[#This Row],[Fecha]]='Ajuste de fechas'!$A$2,"Día actual","Día anterior")</f>
        <v>Día actual</v>
      </c>
      <c r="C44" s="3" t="s">
        <v>32</v>
      </c>
      <c r="D44" t="s">
        <v>34</v>
      </c>
      <c r="E44" s="3" t="s">
        <v>333</v>
      </c>
      <c r="F44" s="3" t="s">
        <v>25</v>
      </c>
      <c r="G44" s="3" t="s">
        <v>151</v>
      </c>
      <c r="H44" s="3" t="s">
        <v>11</v>
      </c>
      <c r="I44" s="3" t="s">
        <v>7</v>
      </c>
      <c r="J44" s="3" t="s">
        <v>84</v>
      </c>
      <c r="K44" s="3" t="s">
        <v>33</v>
      </c>
      <c r="L44" s="3" t="s">
        <v>87</v>
      </c>
      <c r="M44">
        <v>1</v>
      </c>
    </row>
    <row r="45" spans="1:13" x14ac:dyDescent="0.25">
      <c r="A45" s="1">
        <v>46128</v>
      </c>
      <c r="B45" s="1" t="str">
        <f ca="1">IF(Información1[[#This Row],[Fecha]]='Ajuste de fechas'!$A$2,"Día actual","Día anterior")</f>
        <v>Día actual</v>
      </c>
      <c r="C45" s="3" t="s">
        <v>32</v>
      </c>
      <c r="D45" t="s">
        <v>34</v>
      </c>
      <c r="E45" s="3" t="s">
        <v>334</v>
      </c>
      <c r="F45" s="3" t="s">
        <v>6</v>
      </c>
      <c r="G45" s="3" t="s">
        <v>111</v>
      </c>
      <c r="H45" s="3" t="s">
        <v>11</v>
      </c>
      <c r="I45" s="3" t="s">
        <v>7</v>
      </c>
      <c r="J45" s="3" t="s">
        <v>84</v>
      </c>
      <c r="K45" s="3" t="s">
        <v>33</v>
      </c>
      <c r="L45" s="3" t="s">
        <v>87</v>
      </c>
      <c r="M45">
        <v>1</v>
      </c>
    </row>
    <row r="46" spans="1:13" x14ac:dyDescent="0.25">
      <c r="A46" s="1">
        <v>46128</v>
      </c>
      <c r="B46" s="1" t="str">
        <f ca="1">IF(Información1[[#This Row],[Fecha]]='Ajuste de fechas'!$A$2,"Día actual","Día anterior")</f>
        <v>Día actual</v>
      </c>
      <c r="C46" s="3" t="s">
        <v>32</v>
      </c>
      <c r="D46" t="s">
        <v>34</v>
      </c>
      <c r="E46" s="3" t="s">
        <v>335</v>
      </c>
      <c r="F46" s="3" t="s">
        <v>6</v>
      </c>
      <c r="G46" s="3" t="s">
        <v>293</v>
      </c>
      <c r="H46" s="3" t="s">
        <v>11</v>
      </c>
      <c r="I46" s="3" t="s">
        <v>7</v>
      </c>
      <c r="J46" s="3" t="s">
        <v>84</v>
      </c>
      <c r="K46" s="3" t="s">
        <v>33</v>
      </c>
      <c r="L46" s="3" t="s">
        <v>87</v>
      </c>
      <c r="M46">
        <v>1</v>
      </c>
    </row>
    <row r="47" spans="1:13" x14ac:dyDescent="0.25">
      <c r="A47" s="1">
        <v>46128</v>
      </c>
      <c r="B47" s="1" t="str">
        <f ca="1">IF(Información1[[#This Row],[Fecha]]='Ajuste de fechas'!$A$2,"Día actual","Día anterior")</f>
        <v>Día actual</v>
      </c>
      <c r="C47" s="3" t="s">
        <v>32</v>
      </c>
      <c r="D47" t="s">
        <v>34</v>
      </c>
      <c r="E47" s="3" t="s">
        <v>336</v>
      </c>
      <c r="F47" s="3" t="s">
        <v>311</v>
      </c>
      <c r="G47" s="3" t="s">
        <v>337</v>
      </c>
      <c r="H47" s="3" t="s">
        <v>11</v>
      </c>
      <c r="I47" s="3" t="s">
        <v>7</v>
      </c>
      <c r="J47" s="3" t="s">
        <v>84</v>
      </c>
      <c r="K47" s="3" t="s">
        <v>33</v>
      </c>
      <c r="L47" s="3" t="s">
        <v>87</v>
      </c>
      <c r="M47">
        <v>1</v>
      </c>
    </row>
    <row r="48" spans="1:13" x14ac:dyDescent="0.25">
      <c r="A48" s="1">
        <v>46128</v>
      </c>
      <c r="B48" s="1" t="str">
        <f ca="1">IF(Información1[[#This Row],[Fecha]]='Ajuste de fechas'!$A$2,"Día actual","Día anterior")</f>
        <v>Día actual</v>
      </c>
      <c r="C48" s="3" t="s">
        <v>32</v>
      </c>
      <c r="D48" t="s">
        <v>34</v>
      </c>
      <c r="E48" s="3" t="s">
        <v>338</v>
      </c>
      <c r="F48" s="3" t="s">
        <v>103</v>
      </c>
      <c r="G48" s="3" t="s">
        <v>339</v>
      </c>
      <c r="H48" s="3" t="s">
        <v>11</v>
      </c>
      <c r="I48" s="3" t="s">
        <v>7</v>
      </c>
      <c r="J48" s="3" t="s">
        <v>84</v>
      </c>
      <c r="K48" s="3" t="s">
        <v>33</v>
      </c>
      <c r="L48" s="3" t="s">
        <v>87</v>
      </c>
      <c r="M48">
        <v>1</v>
      </c>
    </row>
    <row r="49" spans="1:13" x14ac:dyDescent="0.25">
      <c r="A49" s="1">
        <v>46128</v>
      </c>
      <c r="B49" s="1" t="str">
        <f ca="1">IF(Información1[[#This Row],[Fecha]]='Ajuste de fechas'!$A$2,"Día actual","Día anterior")</f>
        <v>Día actual</v>
      </c>
      <c r="C49" s="3" t="s">
        <v>54</v>
      </c>
      <c r="D49" t="s">
        <v>56</v>
      </c>
      <c r="E49" s="3" t="s">
        <v>340</v>
      </c>
      <c r="F49" s="3" t="s">
        <v>23</v>
      </c>
      <c r="G49" s="3" t="s">
        <v>291</v>
      </c>
      <c r="H49" s="3" t="s">
        <v>11</v>
      </c>
      <c r="I49" s="3" t="s">
        <v>7</v>
      </c>
      <c r="J49" s="3" t="s">
        <v>89</v>
      </c>
      <c r="K49" s="3" t="s">
        <v>55</v>
      </c>
      <c r="L49" s="3" t="s">
        <v>85</v>
      </c>
      <c r="M49">
        <v>1</v>
      </c>
    </row>
    <row r="50" spans="1:13" x14ac:dyDescent="0.25">
      <c r="A50" s="1">
        <v>46128</v>
      </c>
      <c r="B50" s="1" t="str">
        <f ca="1">IF(Información1[[#This Row],[Fecha]]='Ajuste de fechas'!$A$2,"Día actual","Día anterior")</f>
        <v>Día actual</v>
      </c>
      <c r="C50" s="3" t="s">
        <v>54</v>
      </c>
      <c r="D50" t="s">
        <v>56</v>
      </c>
      <c r="E50" s="3" t="s">
        <v>341</v>
      </c>
      <c r="F50" s="3" t="s">
        <v>19</v>
      </c>
      <c r="G50" s="3" t="s">
        <v>342</v>
      </c>
      <c r="H50" s="3" t="s">
        <v>11</v>
      </c>
      <c r="I50" s="3" t="s">
        <v>7</v>
      </c>
      <c r="J50" s="3" t="s">
        <v>88</v>
      </c>
      <c r="K50" s="3" t="s">
        <v>55</v>
      </c>
      <c r="L50" s="3" t="s">
        <v>85</v>
      </c>
      <c r="M50">
        <v>1</v>
      </c>
    </row>
    <row r="51" spans="1:13" x14ac:dyDescent="0.25">
      <c r="A51" s="1">
        <v>46128</v>
      </c>
      <c r="B51" s="1" t="str">
        <f ca="1">IF(Información1[[#This Row],[Fecha]]='Ajuste de fechas'!$A$2,"Día actual","Día anterior")</f>
        <v>Día actual</v>
      </c>
      <c r="C51" s="3" t="s">
        <v>54</v>
      </c>
      <c r="D51" t="s">
        <v>56</v>
      </c>
      <c r="E51" s="3" t="s">
        <v>343</v>
      </c>
      <c r="F51" s="3" t="s">
        <v>19</v>
      </c>
      <c r="G51" s="3" t="s">
        <v>29</v>
      </c>
      <c r="H51" s="3" t="s">
        <v>11</v>
      </c>
      <c r="I51" s="3" t="s">
        <v>7</v>
      </c>
      <c r="J51" s="3" t="s">
        <v>88</v>
      </c>
      <c r="K51" s="3" t="s">
        <v>55</v>
      </c>
      <c r="L51" s="3" t="s">
        <v>85</v>
      </c>
      <c r="M51">
        <v>1</v>
      </c>
    </row>
    <row r="52" spans="1:13" x14ac:dyDescent="0.25">
      <c r="A52" s="1">
        <v>46128</v>
      </c>
      <c r="B52" s="1" t="str">
        <f ca="1">IF(Información1[[#This Row],[Fecha]]='Ajuste de fechas'!$A$2,"Día actual","Día anterior")</f>
        <v>Día actual</v>
      </c>
      <c r="C52" s="3" t="s">
        <v>54</v>
      </c>
      <c r="D52" t="s">
        <v>56</v>
      </c>
      <c r="E52" s="3" t="s">
        <v>344</v>
      </c>
      <c r="F52" s="3" t="s">
        <v>21</v>
      </c>
      <c r="G52" s="3" t="s">
        <v>209</v>
      </c>
      <c r="H52" s="3" t="s">
        <v>11</v>
      </c>
      <c r="I52" s="3" t="s">
        <v>7</v>
      </c>
      <c r="J52" s="3" t="s">
        <v>84</v>
      </c>
      <c r="K52" s="3" t="s">
        <v>44</v>
      </c>
      <c r="L52" s="3" t="s">
        <v>85</v>
      </c>
      <c r="M52">
        <v>1</v>
      </c>
    </row>
    <row r="53" spans="1:13" x14ac:dyDescent="0.25">
      <c r="A53" s="1">
        <v>46128</v>
      </c>
      <c r="B53" s="1" t="str">
        <f ca="1">IF(Información1[[#This Row],[Fecha]]='Ajuste de fechas'!$A$2,"Día actual","Día anterior")</f>
        <v>Día actual</v>
      </c>
      <c r="C53" s="3" t="s">
        <v>54</v>
      </c>
      <c r="D53" t="s">
        <v>56</v>
      </c>
      <c r="E53" s="3" t="s">
        <v>345</v>
      </c>
      <c r="F53" s="3" t="s">
        <v>22</v>
      </c>
      <c r="G53" s="3" t="s">
        <v>101</v>
      </c>
      <c r="H53" s="3" t="s">
        <v>11</v>
      </c>
      <c r="I53" s="3" t="s">
        <v>7</v>
      </c>
      <c r="J53" s="3" t="s">
        <v>26</v>
      </c>
      <c r="K53" s="3" t="s">
        <v>55</v>
      </c>
      <c r="L53" s="3" t="s">
        <v>85</v>
      </c>
      <c r="M53">
        <v>1</v>
      </c>
    </row>
    <row r="54" spans="1:13" x14ac:dyDescent="0.25">
      <c r="A54" s="1">
        <v>46128</v>
      </c>
      <c r="B54" s="1" t="str">
        <f ca="1">IF(Información1[[#This Row],[Fecha]]='Ajuste de fechas'!$A$2,"Día actual","Día anterior")</f>
        <v>Día actual</v>
      </c>
      <c r="C54" s="3" t="s">
        <v>54</v>
      </c>
      <c r="D54" t="s">
        <v>56</v>
      </c>
      <c r="E54" s="3" t="s">
        <v>346</v>
      </c>
      <c r="F54" s="3" t="s">
        <v>21</v>
      </c>
      <c r="G54" s="3" t="s">
        <v>279</v>
      </c>
      <c r="H54" s="3" t="s">
        <v>11</v>
      </c>
      <c r="I54" s="3" t="s">
        <v>7</v>
      </c>
      <c r="J54" s="3" t="s">
        <v>84</v>
      </c>
      <c r="K54" s="3" t="s">
        <v>44</v>
      </c>
      <c r="L54" s="3" t="s">
        <v>87</v>
      </c>
      <c r="M54">
        <v>1</v>
      </c>
    </row>
    <row r="55" spans="1:13" x14ac:dyDescent="0.25">
      <c r="A55" s="1">
        <v>46128</v>
      </c>
      <c r="B55" s="1" t="str">
        <f ca="1">IF(Información1[[#This Row],[Fecha]]='Ajuste de fechas'!$A$2,"Día actual","Día anterior")</f>
        <v>Día actual</v>
      </c>
      <c r="C55" s="3" t="s">
        <v>54</v>
      </c>
      <c r="D55" t="s">
        <v>56</v>
      </c>
      <c r="E55" s="3" t="s">
        <v>333</v>
      </c>
      <c r="F55" s="3" t="s">
        <v>25</v>
      </c>
      <c r="G55" s="3" t="s">
        <v>151</v>
      </c>
      <c r="H55" s="3" t="s">
        <v>11</v>
      </c>
      <c r="I55" s="3" t="s">
        <v>7</v>
      </c>
      <c r="J55" s="3" t="s">
        <v>84</v>
      </c>
      <c r="K55" s="3" t="s">
        <v>44</v>
      </c>
      <c r="L55" s="3" t="s">
        <v>87</v>
      </c>
      <c r="M55">
        <v>1</v>
      </c>
    </row>
    <row r="56" spans="1:13" x14ac:dyDescent="0.25">
      <c r="A56" s="1">
        <v>46128</v>
      </c>
      <c r="B56" s="1" t="str">
        <f ca="1">IF(Información1[[#This Row],[Fecha]]='Ajuste de fechas'!$A$2,"Día actual","Día anterior")</f>
        <v>Día actual</v>
      </c>
      <c r="C56" s="3" t="s">
        <v>54</v>
      </c>
      <c r="D56" t="s">
        <v>56</v>
      </c>
      <c r="E56" s="3" t="s">
        <v>347</v>
      </c>
      <c r="F56" s="3" t="s">
        <v>61</v>
      </c>
      <c r="G56" s="3" t="s">
        <v>66</v>
      </c>
      <c r="H56" s="3" t="s">
        <v>11</v>
      </c>
      <c r="I56" s="3" t="s">
        <v>7</v>
      </c>
      <c r="J56" s="3" t="s">
        <v>84</v>
      </c>
      <c r="K56" s="3" t="s">
        <v>44</v>
      </c>
      <c r="L56" s="3" t="s">
        <v>87</v>
      </c>
      <c r="M56">
        <v>1</v>
      </c>
    </row>
    <row r="57" spans="1:13" x14ac:dyDescent="0.25">
      <c r="A57" s="1">
        <v>46128</v>
      </c>
      <c r="B57" s="1" t="str">
        <f ca="1">IF(Información1[[#This Row],[Fecha]]='Ajuste de fechas'!$A$2,"Día actual","Día anterior")</f>
        <v>Día actual</v>
      </c>
      <c r="C57" s="3" t="s">
        <v>54</v>
      </c>
      <c r="D57" t="s">
        <v>56</v>
      </c>
      <c r="E57" s="3" t="s">
        <v>336</v>
      </c>
      <c r="F57" s="3" t="s">
        <v>311</v>
      </c>
      <c r="G57" s="3" t="s">
        <v>337</v>
      </c>
      <c r="H57" s="3" t="s">
        <v>11</v>
      </c>
      <c r="I57" s="3" t="s">
        <v>7</v>
      </c>
      <c r="J57" s="3" t="s">
        <v>84</v>
      </c>
      <c r="K57" s="3" t="s">
        <v>44</v>
      </c>
      <c r="L57" s="3" t="s">
        <v>87</v>
      </c>
      <c r="M57">
        <v>1</v>
      </c>
    </row>
    <row r="58" spans="1:13" x14ac:dyDescent="0.25">
      <c r="A58" s="1">
        <v>46128</v>
      </c>
      <c r="B58" s="1" t="str">
        <f ca="1">IF(Información1[[#This Row],[Fecha]]='Ajuste de fechas'!$A$2,"Día actual","Día anterior")</f>
        <v>Día actual</v>
      </c>
      <c r="C58" s="3" t="s">
        <v>54</v>
      </c>
      <c r="D58" t="s">
        <v>56</v>
      </c>
      <c r="E58" s="3" t="s">
        <v>348</v>
      </c>
      <c r="F58" s="3" t="s">
        <v>24</v>
      </c>
      <c r="G58" s="3" t="s">
        <v>349</v>
      </c>
      <c r="H58" s="3" t="s">
        <v>11</v>
      </c>
      <c r="I58" s="3" t="s">
        <v>7</v>
      </c>
      <c r="J58" s="3" t="s">
        <v>84</v>
      </c>
      <c r="K58" s="3" t="s">
        <v>55</v>
      </c>
      <c r="L58" s="3" t="s">
        <v>85</v>
      </c>
      <c r="M58">
        <v>1</v>
      </c>
    </row>
    <row r="59" spans="1:13" x14ac:dyDescent="0.25">
      <c r="A59" s="1">
        <v>46128</v>
      </c>
      <c r="B59" s="1" t="str">
        <f ca="1">IF(Información1[[#This Row],[Fecha]]='Ajuste de fechas'!$A$2,"Día actual","Día anterior")</f>
        <v>Día actual</v>
      </c>
      <c r="C59" s="3" t="s">
        <v>54</v>
      </c>
      <c r="D59" t="s">
        <v>56</v>
      </c>
      <c r="E59" s="3" t="s">
        <v>350</v>
      </c>
      <c r="F59" s="3" t="s">
        <v>49</v>
      </c>
      <c r="G59" s="3" t="s">
        <v>351</v>
      </c>
      <c r="H59" s="3" t="s">
        <v>11</v>
      </c>
      <c r="I59" s="3" t="s">
        <v>7</v>
      </c>
      <c r="J59" s="3" t="s">
        <v>84</v>
      </c>
      <c r="K59" s="3" t="s">
        <v>44</v>
      </c>
      <c r="L59" s="3" t="s">
        <v>87</v>
      </c>
      <c r="M59">
        <v>1</v>
      </c>
    </row>
    <row r="60" spans="1:13" x14ac:dyDescent="0.25">
      <c r="A60" s="1">
        <v>46128</v>
      </c>
      <c r="B60" s="1" t="str">
        <f ca="1">IF(Información1[[#This Row],[Fecha]]='Ajuste de fechas'!$A$2,"Día actual","Día anterior")</f>
        <v>Día actual</v>
      </c>
      <c r="C60" s="3" t="s">
        <v>54</v>
      </c>
      <c r="D60" t="s">
        <v>56</v>
      </c>
      <c r="E60" s="3" t="s">
        <v>335</v>
      </c>
      <c r="F60" s="3" t="s">
        <v>6</v>
      </c>
      <c r="G60" s="3" t="s">
        <v>293</v>
      </c>
      <c r="H60" s="3" t="s">
        <v>11</v>
      </c>
      <c r="I60" s="3" t="s">
        <v>7</v>
      </c>
      <c r="J60" s="3" t="s">
        <v>84</v>
      </c>
      <c r="K60" s="3" t="s">
        <v>44</v>
      </c>
      <c r="L60" s="3" t="s">
        <v>87</v>
      </c>
      <c r="M60">
        <v>1</v>
      </c>
    </row>
    <row r="61" spans="1:13" x14ac:dyDescent="0.25">
      <c r="A61" s="1">
        <v>46128</v>
      </c>
      <c r="B61" s="1" t="str">
        <f ca="1">IF(Información1[[#This Row],[Fecha]]='Ajuste de fechas'!$A$2,"Día actual","Día anterior")</f>
        <v>Día actual</v>
      </c>
      <c r="C61" s="3" t="s">
        <v>39</v>
      </c>
      <c r="D61" t="s">
        <v>41</v>
      </c>
      <c r="E61" s="3" t="s">
        <v>352</v>
      </c>
      <c r="F61" s="3" t="s">
        <v>23</v>
      </c>
      <c r="G61" s="3" t="s">
        <v>116</v>
      </c>
      <c r="H61" s="3" t="s">
        <v>11</v>
      </c>
      <c r="I61" s="3" t="s">
        <v>27</v>
      </c>
      <c r="J61" s="3" t="s">
        <v>89</v>
      </c>
      <c r="K61" s="3" t="s">
        <v>76</v>
      </c>
      <c r="L61" s="3" t="s">
        <v>85</v>
      </c>
      <c r="M61">
        <v>1</v>
      </c>
    </row>
    <row r="62" spans="1:13" x14ac:dyDescent="0.25">
      <c r="A62" s="1">
        <v>46128</v>
      </c>
      <c r="B62" s="1" t="str">
        <f ca="1">IF(Información1[[#This Row],[Fecha]]='Ajuste de fechas'!$A$2,"Día actual","Día anterior")</f>
        <v>Día actual</v>
      </c>
      <c r="C62" s="3" t="s">
        <v>39</v>
      </c>
      <c r="D62" t="s">
        <v>41</v>
      </c>
      <c r="E62" s="3" t="s">
        <v>353</v>
      </c>
      <c r="F62" s="3" t="s">
        <v>28</v>
      </c>
      <c r="G62" s="3" t="s">
        <v>354</v>
      </c>
      <c r="H62" s="3" t="s">
        <v>11</v>
      </c>
      <c r="I62" s="3" t="s">
        <v>7</v>
      </c>
      <c r="J62" s="3" t="s">
        <v>84</v>
      </c>
      <c r="K62" s="3" t="s">
        <v>76</v>
      </c>
      <c r="L62" s="3" t="s">
        <v>85</v>
      </c>
      <c r="M62">
        <v>1</v>
      </c>
    </row>
    <row r="63" spans="1:13" x14ac:dyDescent="0.25">
      <c r="A63" s="1">
        <v>46128</v>
      </c>
      <c r="B63" s="1" t="str">
        <f ca="1">IF(Información1[[#This Row],[Fecha]]='Ajuste de fechas'!$A$2,"Día actual","Día anterior")</f>
        <v>Día actual</v>
      </c>
      <c r="C63" s="3" t="s">
        <v>39</v>
      </c>
      <c r="D63" t="s">
        <v>41</v>
      </c>
      <c r="E63" s="3" t="s">
        <v>355</v>
      </c>
      <c r="F63" s="3" t="s">
        <v>15</v>
      </c>
      <c r="G63" s="3" t="s">
        <v>324</v>
      </c>
      <c r="H63" s="3" t="s">
        <v>11</v>
      </c>
      <c r="I63" s="3" t="s">
        <v>7</v>
      </c>
      <c r="J63" s="3" t="s">
        <v>84</v>
      </c>
      <c r="K63" s="3" t="s">
        <v>76</v>
      </c>
      <c r="L63" s="3" t="s">
        <v>85</v>
      </c>
      <c r="M63">
        <v>1</v>
      </c>
    </row>
    <row r="64" spans="1:13" x14ac:dyDescent="0.25">
      <c r="A64" s="1">
        <v>46128</v>
      </c>
      <c r="B64" s="1" t="str">
        <f ca="1">IF(Información1[[#This Row],[Fecha]]='Ajuste de fechas'!$A$2,"Día actual","Día anterior")</f>
        <v>Día actual</v>
      </c>
      <c r="C64" s="3" t="s">
        <v>39</v>
      </c>
      <c r="D64" t="s">
        <v>41</v>
      </c>
      <c r="E64" s="3" t="s">
        <v>356</v>
      </c>
      <c r="F64" s="3" t="s">
        <v>26</v>
      </c>
      <c r="G64" s="3" t="s">
        <v>324</v>
      </c>
      <c r="H64" s="3" t="s">
        <v>11</v>
      </c>
      <c r="I64" s="3" t="s">
        <v>7</v>
      </c>
      <c r="J64" s="3" t="s">
        <v>26</v>
      </c>
      <c r="K64" s="3" t="s">
        <v>76</v>
      </c>
      <c r="L64" s="3" t="s">
        <v>85</v>
      </c>
      <c r="M64">
        <v>1</v>
      </c>
    </row>
    <row r="65" spans="1:13" x14ac:dyDescent="0.25">
      <c r="A65" s="1">
        <v>46128</v>
      </c>
      <c r="B65" s="1" t="str">
        <f ca="1">IF(Información1[[#This Row],[Fecha]]='Ajuste de fechas'!$A$2,"Día actual","Día anterior")</f>
        <v>Día actual</v>
      </c>
      <c r="C65" s="3" t="s">
        <v>39</v>
      </c>
      <c r="D65" t="s">
        <v>42</v>
      </c>
      <c r="E65" s="3" t="s">
        <v>357</v>
      </c>
      <c r="F65" s="3" t="s">
        <v>30</v>
      </c>
      <c r="G65" s="3" t="s">
        <v>163</v>
      </c>
      <c r="H65" s="3" t="s">
        <v>11</v>
      </c>
      <c r="I65" s="3" t="s">
        <v>7</v>
      </c>
      <c r="J65" s="3" t="s">
        <v>84</v>
      </c>
      <c r="K65" s="3" t="s">
        <v>40</v>
      </c>
      <c r="L65" s="3" t="s">
        <v>86</v>
      </c>
      <c r="M65">
        <v>1</v>
      </c>
    </row>
    <row r="66" spans="1:13" x14ac:dyDescent="0.25">
      <c r="A66" s="1">
        <v>46128</v>
      </c>
      <c r="B66" s="1" t="str">
        <f ca="1">IF(Información1[[#This Row],[Fecha]]='Ajuste de fechas'!$A$2,"Día actual","Día anterior")</f>
        <v>Día actual</v>
      </c>
      <c r="C66" s="3" t="s">
        <v>8</v>
      </c>
      <c r="D66" t="s">
        <v>10</v>
      </c>
      <c r="E66" s="3" t="s">
        <v>358</v>
      </c>
      <c r="F66" s="3" t="s">
        <v>6</v>
      </c>
      <c r="G66" s="3" t="s">
        <v>72</v>
      </c>
      <c r="H66" s="3" t="s">
        <v>11</v>
      </c>
      <c r="I66" s="3" t="s">
        <v>27</v>
      </c>
      <c r="J66" s="3" t="s">
        <v>84</v>
      </c>
      <c r="K66" s="3" t="s">
        <v>9</v>
      </c>
      <c r="L66" s="3" t="s">
        <v>86</v>
      </c>
      <c r="M66">
        <v>1</v>
      </c>
    </row>
    <row r="67" spans="1:13" x14ac:dyDescent="0.25">
      <c r="A67" s="1">
        <v>46128</v>
      </c>
      <c r="B67" s="1" t="str">
        <f ca="1">IF(Información1[[#This Row],[Fecha]]='Ajuste de fechas'!$A$2,"Día actual","Día anterior")</f>
        <v>Día actual</v>
      </c>
      <c r="C67" s="3" t="s">
        <v>8</v>
      </c>
      <c r="D67" t="s">
        <v>10</v>
      </c>
      <c r="E67" s="3" t="s">
        <v>359</v>
      </c>
      <c r="F67" s="3" t="s">
        <v>6</v>
      </c>
      <c r="G67" s="3" t="s">
        <v>72</v>
      </c>
      <c r="H67" s="3" t="s">
        <v>11</v>
      </c>
      <c r="I67" s="3" t="s">
        <v>27</v>
      </c>
      <c r="J67" s="3" t="s">
        <v>84</v>
      </c>
      <c r="K67" s="3" t="s">
        <v>9</v>
      </c>
      <c r="L67" s="3" t="s">
        <v>86</v>
      </c>
      <c r="M67">
        <v>1</v>
      </c>
    </row>
    <row r="68" spans="1:13" x14ac:dyDescent="0.25">
      <c r="A68" s="1">
        <v>46128</v>
      </c>
      <c r="B68" s="1" t="str">
        <f ca="1">IF(Información1[[#This Row],[Fecha]]='Ajuste de fechas'!$A$2,"Día actual","Día anterior")</f>
        <v>Día actual</v>
      </c>
      <c r="C68" s="3" t="s">
        <v>8</v>
      </c>
      <c r="D68" t="s">
        <v>10</v>
      </c>
      <c r="E68" s="3" t="s">
        <v>360</v>
      </c>
      <c r="F68" s="3" t="s">
        <v>6</v>
      </c>
      <c r="G68" s="3" t="s">
        <v>72</v>
      </c>
      <c r="H68" s="3" t="s">
        <v>11</v>
      </c>
      <c r="I68" s="3" t="s">
        <v>27</v>
      </c>
      <c r="J68" s="3" t="s">
        <v>84</v>
      </c>
      <c r="K68" s="3" t="s">
        <v>9</v>
      </c>
      <c r="L68" s="3" t="s">
        <v>86</v>
      </c>
      <c r="M68">
        <v>1</v>
      </c>
    </row>
    <row r="69" spans="1:13" x14ac:dyDescent="0.25">
      <c r="A69" s="1">
        <v>46128</v>
      </c>
      <c r="B69" s="1" t="str">
        <f ca="1">IF(Información1[[#This Row],[Fecha]]='Ajuste de fechas'!$A$2,"Día actual","Día anterior")</f>
        <v>Día actual</v>
      </c>
      <c r="C69" s="3" t="s">
        <v>8</v>
      </c>
      <c r="D69" t="s">
        <v>10</v>
      </c>
      <c r="E69" s="3" t="s">
        <v>361</v>
      </c>
      <c r="F69" s="3" t="s">
        <v>19</v>
      </c>
      <c r="G69" s="3" t="s">
        <v>287</v>
      </c>
      <c r="H69" s="3" t="s">
        <v>11</v>
      </c>
      <c r="I69" s="3" t="s">
        <v>7</v>
      </c>
      <c r="J69" s="3" t="s">
        <v>88</v>
      </c>
      <c r="K69" s="3" t="s">
        <v>14</v>
      </c>
      <c r="L69" s="3" t="s">
        <v>86</v>
      </c>
      <c r="M69">
        <v>1</v>
      </c>
    </row>
    <row r="70" spans="1:13" x14ac:dyDescent="0.25">
      <c r="A70" s="1">
        <v>46128</v>
      </c>
      <c r="B70" s="1" t="str">
        <f ca="1">IF(Información1[[#This Row],[Fecha]]='Ajuste de fechas'!$A$2,"Día actual","Día anterior")</f>
        <v>Día actual</v>
      </c>
      <c r="C70" s="3" t="s">
        <v>8</v>
      </c>
      <c r="D70" t="s">
        <v>10</v>
      </c>
      <c r="E70" s="3" t="s">
        <v>362</v>
      </c>
      <c r="F70" s="3" t="s">
        <v>19</v>
      </c>
      <c r="G70" s="3" t="s">
        <v>287</v>
      </c>
      <c r="H70" s="3" t="s">
        <v>11</v>
      </c>
      <c r="I70" s="3" t="s">
        <v>7</v>
      </c>
      <c r="J70" s="3" t="s">
        <v>88</v>
      </c>
      <c r="K70" s="3" t="s">
        <v>14</v>
      </c>
      <c r="L70" s="3" t="s">
        <v>90</v>
      </c>
      <c r="M70">
        <v>1</v>
      </c>
    </row>
    <row r="71" spans="1:13" x14ac:dyDescent="0.25">
      <c r="A71" s="1">
        <v>46128</v>
      </c>
      <c r="B71" s="1" t="str">
        <f ca="1">IF(Información1[[#This Row],[Fecha]]='Ajuste de fechas'!$A$2,"Día actual","Día anterior")</f>
        <v>Día actual</v>
      </c>
      <c r="C71" s="3" t="s">
        <v>39</v>
      </c>
      <c r="D71" t="s">
        <v>42</v>
      </c>
      <c r="E71" s="3" t="s">
        <v>365</v>
      </c>
      <c r="F71" s="3" t="s">
        <v>265</v>
      </c>
      <c r="G71" s="3" t="s">
        <v>366</v>
      </c>
      <c r="H71" s="3" t="s">
        <v>11</v>
      </c>
      <c r="I71" s="3" t="s">
        <v>7</v>
      </c>
      <c r="J71" s="3" t="s">
        <v>84</v>
      </c>
      <c r="K71" s="3" t="s">
        <v>40</v>
      </c>
      <c r="L71" s="3" t="s">
        <v>87</v>
      </c>
      <c r="M71">
        <v>1</v>
      </c>
    </row>
    <row r="72" spans="1:13" x14ac:dyDescent="0.25">
      <c r="A72" s="1">
        <v>46128</v>
      </c>
      <c r="B72" s="1" t="str">
        <f ca="1">IF(Información1[[#This Row],[Fecha]]='Ajuste de fechas'!$A$2,"Día actual","Día anterior")</f>
        <v>Día actual</v>
      </c>
      <c r="C72" s="3" t="s">
        <v>8</v>
      </c>
      <c r="D72" t="s">
        <v>10</v>
      </c>
      <c r="E72" s="3" t="s">
        <v>20</v>
      </c>
      <c r="F72" s="3" t="s">
        <v>19</v>
      </c>
      <c r="G72" s="3" t="s">
        <v>74</v>
      </c>
      <c r="H72" s="3" t="s">
        <v>11</v>
      </c>
      <c r="I72" s="3" t="s">
        <v>12</v>
      </c>
      <c r="J72" s="3" t="s">
        <v>88</v>
      </c>
      <c r="K72" s="3" t="s">
        <v>14</v>
      </c>
      <c r="L72" s="3" t="s">
        <v>86</v>
      </c>
      <c r="M72">
        <v>1</v>
      </c>
    </row>
    <row r="73" spans="1:13" x14ac:dyDescent="0.25">
      <c r="A73" s="1">
        <v>46128</v>
      </c>
      <c r="B73" s="1" t="str">
        <f ca="1">IF(Información1[[#This Row],[Fecha]]='Ajuste de fechas'!$A$2,"Día actual","Día anterior")</f>
        <v>Día actual</v>
      </c>
      <c r="C73" s="3" t="s">
        <v>8</v>
      </c>
      <c r="D73" t="s">
        <v>10</v>
      </c>
      <c r="E73" s="3" t="s">
        <v>18</v>
      </c>
      <c r="F73" s="3" t="s">
        <v>19</v>
      </c>
      <c r="G73" s="3" t="s">
        <v>74</v>
      </c>
      <c r="H73" s="3" t="s">
        <v>11</v>
      </c>
      <c r="I73" s="3" t="s">
        <v>12</v>
      </c>
      <c r="J73" s="3" t="s">
        <v>88</v>
      </c>
      <c r="K73" s="3" t="s">
        <v>14</v>
      </c>
      <c r="L73" s="3" t="s">
        <v>86</v>
      </c>
      <c r="M73">
        <v>1</v>
      </c>
    </row>
    <row r="74" spans="1:13" x14ac:dyDescent="0.25">
      <c r="A74" s="1">
        <v>46128</v>
      </c>
      <c r="B74" s="1" t="str">
        <f ca="1">IF(Información1[[#This Row],[Fecha]]='Ajuste de fechas'!$A$2,"Día actual","Día anterior")</f>
        <v>Día actual</v>
      </c>
      <c r="C74" s="3" t="s">
        <v>8</v>
      </c>
      <c r="D74" t="s">
        <v>10</v>
      </c>
      <c r="E74" s="3" t="s">
        <v>68</v>
      </c>
      <c r="F74" s="3" t="s">
        <v>22</v>
      </c>
      <c r="G74" s="3" t="s">
        <v>74</v>
      </c>
      <c r="H74" s="3" t="s">
        <v>11</v>
      </c>
      <c r="I74" s="3" t="s">
        <v>12</v>
      </c>
      <c r="J74" s="3" t="s">
        <v>26</v>
      </c>
      <c r="K74" s="3" t="s">
        <v>14</v>
      </c>
      <c r="L74" s="3" t="s">
        <v>86</v>
      </c>
      <c r="M74">
        <v>1</v>
      </c>
    </row>
    <row r="75" spans="1:13" x14ac:dyDescent="0.25">
      <c r="A75" s="1">
        <v>46128</v>
      </c>
      <c r="B75" s="1" t="str">
        <f ca="1">IF(Información1[[#This Row],[Fecha]]='Ajuste de fechas'!$A$2,"Día actual","Día anterior")</f>
        <v>Día actual</v>
      </c>
      <c r="C75" s="3" t="s">
        <v>8</v>
      </c>
      <c r="D75" t="s">
        <v>10</v>
      </c>
      <c r="E75" s="3" t="s">
        <v>367</v>
      </c>
      <c r="F75" s="3" t="s">
        <v>21</v>
      </c>
      <c r="G75" s="3" t="s">
        <v>74</v>
      </c>
      <c r="H75" s="3" t="s">
        <v>11</v>
      </c>
      <c r="I75" s="3" t="s">
        <v>12</v>
      </c>
      <c r="J75" s="3" t="s">
        <v>84</v>
      </c>
      <c r="K75" s="3" t="s">
        <v>14</v>
      </c>
      <c r="L75" s="3" t="s">
        <v>86</v>
      </c>
      <c r="M75">
        <v>1</v>
      </c>
    </row>
    <row r="76" spans="1:13" x14ac:dyDescent="0.25">
      <c r="A76" s="1">
        <v>46128</v>
      </c>
      <c r="B76" s="1" t="str">
        <f ca="1">IF(Información1[[#This Row],[Fecha]]='Ajuste de fechas'!$A$2,"Día actual","Día anterior")</f>
        <v>Día actual</v>
      </c>
      <c r="C76" s="3" t="s">
        <v>8</v>
      </c>
      <c r="D76" t="s">
        <v>10</v>
      </c>
      <c r="E76" s="3" t="s">
        <v>368</v>
      </c>
      <c r="F76" s="3" t="s">
        <v>15</v>
      </c>
      <c r="G76" s="3" t="s">
        <v>74</v>
      </c>
      <c r="H76" s="3" t="s">
        <v>11</v>
      </c>
      <c r="I76" s="3" t="s">
        <v>12</v>
      </c>
      <c r="J76" s="3" t="s">
        <v>84</v>
      </c>
      <c r="K76" s="3" t="s">
        <v>14</v>
      </c>
      <c r="L76" s="3" t="s">
        <v>86</v>
      </c>
      <c r="M76">
        <v>1</v>
      </c>
    </row>
    <row r="77" spans="1:13" x14ac:dyDescent="0.25">
      <c r="A77" s="1">
        <v>46128</v>
      </c>
      <c r="B77" s="1" t="str">
        <f ca="1">IF(Información1[[#This Row],[Fecha]]='Ajuste de fechas'!$A$2,"Día actual","Día anterior")</f>
        <v>Día actual</v>
      </c>
      <c r="C77" s="3" t="s">
        <v>8</v>
      </c>
      <c r="D77" t="s">
        <v>10</v>
      </c>
      <c r="E77" s="3" t="s">
        <v>16</v>
      </c>
      <c r="F77" s="3" t="s">
        <v>17</v>
      </c>
      <c r="G77" s="3" t="s">
        <v>74</v>
      </c>
      <c r="H77" s="3" t="s">
        <v>11</v>
      </c>
      <c r="I77" s="3" t="s">
        <v>12</v>
      </c>
      <c r="J77" s="3" t="s">
        <v>84</v>
      </c>
      <c r="K77" s="3" t="s">
        <v>14</v>
      </c>
      <c r="L77" s="3" t="s">
        <v>86</v>
      </c>
      <c r="M77">
        <v>1</v>
      </c>
    </row>
    <row r="78" spans="1:13" x14ac:dyDescent="0.25">
      <c r="A78" s="1">
        <v>46128</v>
      </c>
      <c r="B78" s="1" t="str">
        <f ca="1">IF(Información1[[#This Row],[Fecha]]='Ajuste de fechas'!$A$2,"Día actual","Día anterior")</f>
        <v>Día actual</v>
      </c>
      <c r="C78" s="3" t="s">
        <v>8</v>
      </c>
      <c r="D78" t="s">
        <v>10</v>
      </c>
      <c r="E78" s="3" t="s">
        <v>77</v>
      </c>
      <c r="F78" s="3" t="s">
        <v>6</v>
      </c>
      <c r="G78" s="3" t="s">
        <v>74</v>
      </c>
      <c r="H78" s="3" t="s">
        <v>11</v>
      </c>
      <c r="I78" s="3" t="s">
        <v>12</v>
      </c>
      <c r="J78" s="3" t="s">
        <v>84</v>
      </c>
      <c r="K78" s="3" t="s">
        <v>14</v>
      </c>
      <c r="L78" s="3" t="s">
        <v>86</v>
      </c>
      <c r="M78">
        <v>1</v>
      </c>
    </row>
    <row r="79" spans="1:13" x14ac:dyDescent="0.25">
      <c r="A79" s="1">
        <v>46128</v>
      </c>
      <c r="B79" s="1" t="str">
        <f ca="1">IF(Información1[[#This Row],[Fecha]]='Ajuste de fechas'!$A$2,"Día actual","Día anterior")</f>
        <v>Día actual</v>
      </c>
      <c r="C79" s="3" t="s">
        <v>39</v>
      </c>
      <c r="D79" t="s">
        <v>42</v>
      </c>
      <c r="E79" s="3" t="s">
        <v>369</v>
      </c>
      <c r="F79" s="3" t="s">
        <v>17</v>
      </c>
      <c r="G79" s="3" t="s">
        <v>115</v>
      </c>
      <c r="H79" s="3" t="s">
        <v>11</v>
      </c>
      <c r="I79" s="3" t="s">
        <v>7</v>
      </c>
      <c r="J79" s="3" t="s">
        <v>84</v>
      </c>
      <c r="K79" s="3" t="s">
        <v>40</v>
      </c>
      <c r="L79" s="3" t="s">
        <v>86</v>
      </c>
      <c r="M79">
        <v>1</v>
      </c>
    </row>
    <row r="80" spans="1:13" x14ac:dyDescent="0.25">
      <c r="A80" s="1">
        <v>46128</v>
      </c>
      <c r="B80" s="1" t="str">
        <f ca="1">IF(Información1[[#This Row],[Fecha]]='Ajuste de fechas'!$A$2,"Día actual","Día anterior")</f>
        <v>Día actual</v>
      </c>
      <c r="C80" s="3" t="s">
        <v>39</v>
      </c>
      <c r="D80" t="s">
        <v>42</v>
      </c>
      <c r="E80" s="3" t="s">
        <v>370</v>
      </c>
      <c r="F80" s="3" t="s">
        <v>22</v>
      </c>
      <c r="G80" s="3" t="s">
        <v>371</v>
      </c>
      <c r="H80" s="3" t="s">
        <v>11</v>
      </c>
      <c r="I80" s="3" t="s">
        <v>7</v>
      </c>
      <c r="J80" s="3" t="s">
        <v>26</v>
      </c>
      <c r="K80" s="3" t="s">
        <v>40</v>
      </c>
      <c r="L80" s="3" t="s">
        <v>85</v>
      </c>
      <c r="M80">
        <v>1</v>
      </c>
    </row>
    <row r="81" spans="1:13" x14ac:dyDescent="0.25">
      <c r="A81" s="1">
        <v>46128</v>
      </c>
      <c r="B81" s="1" t="str">
        <f ca="1">IF(Información1[[#This Row],[Fecha]]='Ajuste de fechas'!$A$2,"Día actual","Día anterior")</f>
        <v>Día actual</v>
      </c>
      <c r="C81" s="3" t="s">
        <v>39</v>
      </c>
      <c r="D81" t="s">
        <v>42</v>
      </c>
      <c r="E81" s="3" t="s">
        <v>372</v>
      </c>
      <c r="F81" s="3" t="s">
        <v>311</v>
      </c>
      <c r="G81" s="3" t="s">
        <v>337</v>
      </c>
      <c r="H81" s="3" t="s">
        <v>11</v>
      </c>
      <c r="I81" s="3" t="s">
        <v>7</v>
      </c>
      <c r="J81" s="3" t="s">
        <v>84</v>
      </c>
      <c r="K81" s="3" t="s">
        <v>40</v>
      </c>
      <c r="L81" s="3" t="s">
        <v>85</v>
      </c>
      <c r="M81">
        <v>1</v>
      </c>
    </row>
    <row r="82" spans="1:13" x14ac:dyDescent="0.25">
      <c r="A82" s="1">
        <v>46128</v>
      </c>
      <c r="B82" s="1" t="str">
        <f ca="1">IF(Información1[[#This Row],[Fecha]]='Ajuste de fechas'!$A$2,"Día actual","Día anterior")</f>
        <v>Día actual</v>
      </c>
      <c r="C82" s="3" t="s">
        <v>8</v>
      </c>
      <c r="D82" t="s">
        <v>10</v>
      </c>
      <c r="E82" s="3" t="s">
        <v>373</v>
      </c>
      <c r="F82" s="3" t="s">
        <v>19</v>
      </c>
      <c r="G82" s="3" t="s">
        <v>374</v>
      </c>
      <c r="H82" s="3" t="s">
        <v>11</v>
      </c>
      <c r="I82" s="3" t="s">
        <v>7</v>
      </c>
      <c r="J82" s="3" t="s">
        <v>88</v>
      </c>
      <c r="K82" s="3" t="s">
        <v>14</v>
      </c>
      <c r="L82" s="3" t="s">
        <v>90</v>
      </c>
      <c r="M82">
        <v>1</v>
      </c>
    </row>
    <row r="83" spans="1:13" x14ac:dyDescent="0.25">
      <c r="A83" s="1">
        <v>46128</v>
      </c>
      <c r="B83" s="1" t="str">
        <f ca="1">IF(Información1[[#This Row],[Fecha]]='Ajuste de fechas'!$A$2,"Día actual","Día anterior")</f>
        <v>Día actual</v>
      </c>
      <c r="C83" s="3" t="s">
        <v>39</v>
      </c>
      <c r="D83" t="s">
        <v>41</v>
      </c>
      <c r="E83" s="3" t="s">
        <v>375</v>
      </c>
      <c r="F83" s="3" t="s">
        <v>15</v>
      </c>
      <c r="G83" s="3" t="s">
        <v>376</v>
      </c>
      <c r="H83" s="3" t="s">
        <v>11</v>
      </c>
      <c r="I83" s="3" t="s">
        <v>7</v>
      </c>
      <c r="J83" s="3" t="s">
        <v>84</v>
      </c>
      <c r="K83" s="3" t="s">
        <v>76</v>
      </c>
      <c r="L83" s="3" t="s">
        <v>87</v>
      </c>
      <c r="M83">
        <v>1</v>
      </c>
    </row>
    <row r="84" spans="1:13" x14ac:dyDescent="0.25">
      <c r="A84" s="1">
        <v>46128</v>
      </c>
      <c r="B84" s="1" t="str">
        <f ca="1">IF(Información1[[#This Row],[Fecha]]='Ajuste de fechas'!$A$2,"Día actual","Día anterior")</f>
        <v>Día actual</v>
      </c>
      <c r="C84" s="3" t="s">
        <v>8</v>
      </c>
      <c r="D84" t="s">
        <v>10</v>
      </c>
      <c r="E84" s="3" t="s">
        <v>377</v>
      </c>
      <c r="F84" s="3" t="s">
        <v>6</v>
      </c>
      <c r="G84" s="3" t="s">
        <v>95</v>
      </c>
      <c r="H84" s="3" t="s">
        <v>11</v>
      </c>
      <c r="I84" s="3" t="s">
        <v>27</v>
      </c>
      <c r="J84" s="3" t="s">
        <v>84</v>
      </c>
      <c r="K84" s="3" t="s">
        <v>9</v>
      </c>
      <c r="L84" s="3" t="s">
        <v>86</v>
      </c>
      <c r="M84">
        <v>1</v>
      </c>
    </row>
    <row r="85" spans="1:13" x14ac:dyDescent="0.25">
      <c r="A85" s="1">
        <v>46128</v>
      </c>
      <c r="B85" s="1" t="str">
        <f ca="1">IF(Información1[[#This Row],[Fecha]]='Ajuste de fechas'!$A$2,"Día actual","Día anterior")</f>
        <v>Día actual</v>
      </c>
      <c r="C85" s="3" t="s">
        <v>39</v>
      </c>
      <c r="D85" t="s">
        <v>42</v>
      </c>
      <c r="E85" s="3" t="s">
        <v>378</v>
      </c>
      <c r="F85" s="3" t="s">
        <v>19</v>
      </c>
      <c r="G85" s="3" t="s">
        <v>379</v>
      </c>
      <c r="H85" s="3" t="s">
        <v>11</v>
      </c>
      <c r="I85" s="3" t="s">
        <v>27</v>
      </c>
      <c r="J85" s="3" t="s">
        <v>88</v>
      </c>
      <c r="K85" s="3" t="s">
        <v>40</v>
      </c>
      <c r="L85" s="3" t="s">
        <v>85</v>
      </c>
      <c r="M85">
        <v>1</v>
      </c>
    </row>
    <row r="86" spans="1:13" x14ac:dyDescent="0.25">
      <c r="A86" s="1">
        <v>46128</v>
      </c>
      <c r="B86" s="1" t="str">
        <f ca="1">IF(Información1[[#This Row],[Fecha]]='Ajuste de fechas'!$A$2,"Día actual","Día anterior")</f>
        <v>Día actual</v>
      </c>
      <c r="C86" s="3" t="s">
        <v>35</v>
      </c>
      <c r="D86" t="s">
        <v>37</v>
      </c>
      <c r="E86" s="3" t="s">
        <v>380</v>
      </c>
      <c r="F86" s="3" t="s">
        <v>21</v>
      </c>
      <c r="G86" s="3" t="s">
        <v>279</v>
      </c>
      <c r="H86" s="3" t="s">
        <v>11</v>
      </c>
      <c r="I86" s="3" t="s">
        <v>7</v>
      </c>
      <c r="J86" s="3" t="s">
        <v>84</v>
      </c>
      <c r="K86" s="3" t="s">
        <v>36</v>
      </c>
      <c r="L86" s="3" t="s">
        <v>87</v>
      </c>
      <c r="M86">
        <v>1</v>
      </c>
    </row>
    <row r="87" spans="1:13" x14ac:dyDescent="0.25">
      <c r="A87" s="1">
        <v>46128</v>
      </c>
      <c r="B87" s="1" t="str">
        <f ca="1">IF(Información1[[#This Row],[Fecha]]='Ajuste de fechas'!$A$2,"Día actual","Día anterior")</f>
        <v>Día actual</v>
      </c>
      <c r="C87" s="3" t="s">
        <v>39</v>
      </c>
      <c r="D87" t="s">
        <v>41</v>
      </c>
      <c r="E87" s="3" t="s">
        <v>381</v>
      </c>
      <c r="F87" s="3" t="s">
        <v>48</v>
      </c>
      <c r="G87" s="3" t="s">
        <v>139</v>
      </c>
      <c r="H87" s="3" t="s">
        <v>11</v>
      </c>
      <c r="I87" s="3" t="s">
        <v>27</v>
      </c>
      <c r="J87" s="3" t="s">
        <v>84</v>
      </c>
      <c r="K87" s="3" t="s">
        <v>76</v>
      </c>
      <c r="L87" s="3" t="s">
        <v>85</v>
      </c>
      <c r="M87">
        <v>1</v>
      </c>
    </row>
    <row r="88" spans="1:13" x14ac:dyDescent="0.25">
      <c r="A88" s="1">
        <v>46128</v>
      </c>
      <c r="B88" s="1" t="str">
        <f ca="1">IF(Información1[[#This Row],[Fecha]]='Ajuste de fechas'!$A$2,"Día actual","Día anterior")</f>
        <v>Día actual</v>
      </c>
      <c r="C88" s="3" t="s">
        <v>39</v>
      </c>
      <c r="D88" t="s">
        <v>42</v>
      </c>
      <c r="E88" s="3" t="s">
        <v>381</v>
      </c>
      <c r="F88" s="3" t="s">
        <v>48</v>
      </c>
      <c r="G88" s="3" t="s">
        <v>139</v>
      </c>
      <c r="H88" s="3" t="s">
        <v>11</v>
      </c>
      <c r="I88" s="3" t="s">
        <v>27</v>
      </c>
      <c r="J88" s="3" t="s">
        <v>84</v>
      </c>
      <c r="K88" s="3" t="s">
        <v>40</v>
      </c>
      <c r="L88" s="3" t="s">
        <v>85</v>
      </c>
      <c r="M88">
        <v>1</v>
      </c>
    </row>
    <row r="89" spans="1:13" x14ac:dyDescent="0.25">
      <c r="A89" s="1">
        <v>46128</v>
      </c>
      <c r="B89" s="1" t="str">
        <f ca="1">IF(Información1[[#This Row],[Fecha]]='Ajuste de fechas'!$A$2,"Día actual","Día anterior")</f>
        <v>Día actual</v>
      </c>
      <c r="C89" s="3" t="s">
        <v>8</v>
      </c>
      <c r="D89" t="s">
        <v>10</v>
      </c>
      <c r="E89" s="3" t="s">
        <v>382</v>
      </c>
      <c r="F89" s="3" t="s">
        <v>48</v>
      </c>
      <c r="G89" s="3" t="s">
        <v>139</v>
      </c>
      <c r="H89" s="3" t="s">
        <v>11</v>
      </c>
      <c r="I89" s="3" t="s">
        <v>7</v>
      </c>
      <c r="J89" s="3" t="s">
        <v>84</v>
      </c>
      <c r="K89" s="3" t="s">
        <v>14</v>
      </c>
      <c r="L89" s="3" t="s">
        <v>85</v>
      </c>
      <c r="M89">
        <v>1</v>
      </c>
    </row>
    <row r="90" spans="1:13" x14ac:dyDescent="0.25">
      <c r="A90" s="1">
        <v>46128</v>
      </c>
      <c r="B90" s="1" t="str">
        <f ca="1">IF(Información1[[#This Row],[Fecha]]='Ajuste de fechas'!$A$2,"Día actual","Día anterior")</f>
        <v>Día actual</v>
      </c>
      <c r="C90" s="3" t="s">
        <v>39</v>
      </c>
      <c r="D90" t="s">
        <v>42</v>
      </c>
      <c r="E90" s="3" t="s">
        <v>383</v>
      </c>
      <c r="F90" s="3" t="s">
        <v>53</v>
      </c>
      <c r="G90" s="3" t="s">
        <v>384</v>
      </c>
      <c r="H90" s="3" t="s">
        <v>11</v>
      </c>
      <c r="I90" s="3" t="s">
        <v>7</v>
      </c>
      <c r="J90" s="3" t="s">
        <v>84</v>
      </c>
      <c r="K90" s="3" t="s">
        <v>40</v>
      </c>
      <c r="L90" s="3" t="s">
        <v>85</v>
      </c>
      <c r="M90">
        <v>1</v>
      </c>
    </row>
    <row r="91" spans="1:13" x14ac:dyDescent="0.25">
      <c r="A91" s="1">
        <v>46128</v>
      </c>
      <c r="B91" s="1" t="str">
        <f ca="1">IF(Información1[[#This Row],[Fecha]]='Ajuste de fechas'!$A$2,"Día actual","Día anterior")</f>
        <v>Día actual</v>
      </c>
      <c r="C91" s="3" t="s">
        <v>39</v>
      </c>
      <c r="D91" t="s">
        <v>42</v>
      </c>
      <c r="E91" s="3" t="s">
        <v>386</v>
      </c>
      <c r="F91" s="3" t="s">
        <v>48</v>
      </c>
      <c r="G91" s="3" t="s">
        <v>387</v>
      </c>
      <c r="H91" s="3" t="s">
        <v>11</v>
      </c>
      <c r="I91" s="3" t="s">
        <v>7</v>
      </c>
      <c r="J91" s="3" t="s">
        <v>84</v>
      </c>
      <c r="K91" s="3" t="s">
        <v>40</v>
      </c>
      <c r="L91" s="3" t="s">
        <v>85</v>
      </c>
      <c r="M91">
        <v>1</v>
      </c>
    </row>
    <row r="92" spans="1:13" x14ac:dyDescent="0.25">
      <c r="A92" s="1">
        <v>46128</v>
      </c>
      <c r="B92" s="1" t="str">
        <f ca="1">IF(Información1[[#This Row],[Fecha]]='Ajuste de fechas'!$A$2,"Día actual","Día anterior")</f>
        <v>Día actual</v>
      </c>
      <c r="C92" s="3" t="s">
        <v>39</v>
      </c>
      <c r="D92" t="s">
        <v>41</v>
      </c>
      <c r="E92" s="3" t="s">
        <v>388</v>
      </c>
      <c r="F92" s="3" t="s">
        <v>22</v>
      </c>
      <c r="G92" s="3" t="s">
        <v>69</v>
      </c>
      <c r="H92" s="3" t="s">
        <v>11</v>
      </c>
      <c r="I92" s="3" t="s">
        <v>7</v>
      </c>
      <c r="J92" s="3" t="s">
        <v>26</v>
      </c>
      <c r="K92" s="3" t="s">
        <v>76</v>
      </c>
      <c r="L92" s="3" t="s">
        <v>85</v>
      </c>
      <c r="M92">
        <v>1</v>
      </c>
    </row>
    <row r="93" spans="1:13" x14ac:dyDescent="0.25">
      <c r="A93" s="1">
        <v>46128</v>
      </c>
      <c r="B93" s="1" t="str">
        <f ca="1">IF(Información1[[#This Row],[Fecha]]='Ajuste de fechas'!$A$2,"Día actual","Día anterior")</f>
        <v>Día actual</v>
      </c>
      <c r="C93" s="3" t="s">
        <v>35</v>
      </c>
      <c r="D93" t="s">
        <v>37</v>
      </c>
      <c r="E93" s="3" t="s">
        <v>147</v>
      </c>
      <c r="F93" s="3" t="s">
        <v>28</v>
      </c>
      <c r="G93" s="3" t="s">
        <v>70</v>
      </c>
      <c r="H93" s="3" t="s">
        <v>11</v>
      </c>
      <c r="I93" s="3" t="s">
        <v>7</v>
      </c>
      <c r="J93" s="3" t="s">
        <v>84</v>
      </c>
      <c r="K93" s="3" t="s">
        <v>36</v>
      </c>
      <c r="L93" s="3" t="s">
        <v>87</v>
      </c>
      <c r="M93">
        <v>1</v>
      </c>
    </row>
    <row r="94" spans="1:13" x14ac:dyDescent="0.25">
      <c r="A94" s="1">
        <v>46128</v>
      </c>
      <c r="B94" s="1" t="str">
        <f ca="1">IF(Información1[[#This Row],[Fecha]]='Ajuste de fechas'!$A$2,"Día actual","Día anterior")</f>
        <v>Día actual</v>
      </c>
      <c r="C94" s="3" t="s">
        <v>39</v>
      </c>
      <c r="D94" t="s">
        <v>41</v>
      </c>
      <c r="E94" s="3" t="s">
        <v>389</v>
      </c>
      <c r="F94" s="3" t="s">
        <v>19</v>
      </c>
      <c r="G94" s="3" t="s">
        <v>390</v>
      </c>
      <c r="H94" s="3" t="s">
        <v>11</v>
      </c>
      <c r="I94" s="3" t="s">
        <v>27</v>
      </c>
      <c r="J94" s="3" t="s">
        <v>88</v>
      </c>
      <c r="K94" s="3" t="s">
        <v>76</v>
      </c>
      <c r="L94" s="3" t="s">
        <v>85</v>
      </c>
      <c r="M94">
        <v>1</v>
      </c>
    </row>
    <row r="95" spans="1:13" x14ac:dyDescent="0.25">
      <c r="A95" s="1">
        <v>46128</v>
      </c>
      <c r="B95" s="1" t="str">
        <f ca="1">IF(Información1[[#This Row],[Fecha]]='Ajuste de fechas'!$A$2,"Día actual","Día anterior")</f>
        <v>Día actual</v>
      </c>
      <c r="C95" s="3" t="s">
        <v>39</v>
      </c>
      <c r="D95" t="s">
        <v>41</v>
      </c>
      <c r="E95" s="3" t="s">
        <v>391</v>
      </c>
      <c r="F95" s="3" t="s">
        <v>26</v>
      </c>
      <c r="G95" s="3" t="s">
        <v>342</v>
      </c>
      <c r="H95" s="3" t="s">
        <v>11</v>
      </c>
      <c r="I95" s="3" t="s">
        <v>7</v>
      </c>
      <c r="J95" s="3" t="s">
        <v>26</v>
      </c>
      <c r="K95" s="3" t="s">
        <v>76</v>
      </c>
      <c r="L95" s="3" t="s">
        <v>85</v>
      </c>
      <c r="M95">
        <v>1</v>
      </c>
    </row>
    <row r="96" spans="1:13" x14ac:dyDescent="0.25">
      <c r="A96" s="1">
        <v>46128</v>
      </c>
      <c r="B96" s="1" t="str">
        <f ca="1">IF(Información1[[#This Row],[Fecha]]='Ajuste de fechas'!$A$2,"Día actual","Día anterior")</f>
        <v>Día actual</v>
      </c>
      <c r="C96" s="3" t="s">
        <v>39</v>
      </c>
      <c r="D96" t="s">
        <v>42</v>
      </c>
      <c r="E96" s="3" t="s">
        <v>392</v>
      </c>
      <c r="F96" s="3" t="s">
        <v>25</v>
      </c>
      <c r="G96" s="3" t="s">
        <v>151</v>
      </c>
      <c r="H96" s="3" t="s">
        <v>11</v>
      </c>
      <c r="I96" s="3" t="s">
        <v>7</v>
      </c>
      <c r="J96" s="3" t="s">
        <v>84</v>
      </c>
      <c r="K96" s="3" t="s">
        <v>40</v>
      </c>
      <c r="L96" s="3" t="s">
        <v>87</v>
      </c>
      <c r="M96">
        <v>1</v>
      </c>
    </row>
    <row r="97" spans="1:13" x14ac:dyDescent="0.25">
      <c r="A97" s="1">
        <v>46128</v>
      </c>
      <c r="B97" s="1" t="str">
        <f ca="1">IF(Información1[[#This Row],[Fecha]]='Ajuste de fechas'!$A$2,"Día actual","Día anterior")</f>
        <v>Día actual</v>
      </c>
      <c r="C97" s="3" t="s">
        <v>39</v>
      </c>
      <c r="D97" t="s">
        <v>42</v>
      </c>
      <c r="E97" s="3" t="s">
        <v>393</v>
      </c>
      <c r="F97" s="3" t="s">
        <v>19</v>
      </c>
      <c r="G97" s="3" t="s">
        <v>151</v>
      </c>
      <c r="H97" s="3" t="s">
        <v>11</v>
      </c>
      <c r="I97" s="3" t="s">
        <v>7</v>
      </c>
      <c r="J97" s="3" t="s">
        <v>88</v>
      </c>
      <c r="K97" s="3" t="s">
        <v>40</v>
      </c>
      <c r="L97" s="3" t="s">
        <v>85</v>
      </c>
      <c r="M97">
        <v>1</v>
      </c>
    </row>
    <row r="98" spans="1:13" x14ac:dyDescent="0.25">
      <c r="A98" s="1">
        <v>46128</v>
      </c>
      <c r="B98" s="1" t="str">
        <f ca="1">IF(Información1[[#This Row],[Fecha]]='Ajuste de fechas'!$A$2,"Día actual","Día anterior")</f>
        <v>Día actual</v>
      </c>
      <c r="C98" s="3" t="s">
        <v>39</v>
      </c>
      <c r="D98" t="s">
        <v>42</v>
      </c>
      <c r="E98" s="3" t="s">
        <v>394</v>
      </c>
      <c r="F98" s="3" t="s">
        <v>23</v>
      </c>
      <c r="G98" s="3" t="s">
        <v>395</v>
      </c>
      <c r="H98" s="3" t="s">
        <v>11</v>
      </c>
      <c r="I98" s="3" t="s">
        <v>7</v>
      </c>
      <c r="J98" s="3" t="s">
        <v>89</v>
      </c>
      <c r="K98" s="3" t="s">
        <v>40</v>
      </c>
      <c r="L98" s="3" t="s">
        <v>85</v>
      </c>
      <c r="M98">
        <v>1</v>
      </c>
    </row>
    <row r="99" spans="1:13" x14ac:dyDescent="0.25">
      <c r="A99" s="1">
        <v>46128</v>
      </c>
      <c r="B99" s="1" t="str">
        <f ca="1">IF(Información1[[#This Row],[Fecha]]='Ajuste de fechas'!$A$2,"Día actual","Día anterior")</f>
        <v>Día actual</v>
      </c>
      <c r="C99" s="3" t="s">
        <v>8</v>
      </c>
      <c r="D99" t="s">
        <v>10</v>
      </c>
      <c r="E99" s="3" t="s">
        <v>153</v>
      </c>
      <c r="F99" s="3" t="s">
        <v>15</v>
      </c>
      <c r="G99" s="3" t="s">
        <v>154</v>
      </c>
      <c r="H99" s="3" t="s">
        <v>11</v>
      </c>
      <c r="I99" s="3" t="s">
        <v>7</v>
      </c>
      <c r="J99" s="3" t="s">
        <v>84</v>
      </c>
      <c r="K99" s="3" t="s">
        <v>14</v>
      </c>
      <c r="L99" s="3" t="s">
        <v>87</v>
      </c>
      <c r="M99">
        <v>1</v>
      </c>
    </row>
    <row r="100" spans="1:13" x14ac:dyDescent="0.25">
      <c r="A100" s="1">
        <v>46128</v>
      </c>
      <c r="B100" s="1" t="str">
        <f ca="1">IF(Información1[[#This Row],[Fecha]]='Ajuste de fechas'!$A$2,"Día actual","Día anterior")</f>
        <v>Día actual</v>
      </c>
      <c r="C100" s="3" t="s">
        <v>39</v>
      </c>
      <c r="D100" t="s">
        <v>42</v>
      </c>
      <c r="E100" s="3" t="s">
        <v>396</v>
      </c>
      <c r="F100" s="3" t="s">
        <v>24</v>
      </c>
      <c r="G100" s="3" t="s">
        <v>329</v>
      </c>
      <c r="H100" s="3" t="s">
        <v>11</v>
      </c>
      <c r="I100" s="3" t="s">
        <v>7</v>
      </c>
      <c r="J100" s="3" t="s">
        <v>84</v>
      </c>
      <c r="K100" s="3" t="s">
        <v>40</v>
      </c>
      <c r="L100" s="3" t="s">
        <v>87</v>
      </c>
      <c r="M100">
        <v>1</v>
      </c>
    </row>
    <row r="101" spans="1:13" x14ac:dyDescent="0.25">
      <c r="A101" s="1">
        <v>46128</v>
      </c>
      <c r="B101" s="1" t="str">
        <f ca="1">IF(Información1[[#This Row],[Fecha]]='Ajuste de fechas'!$A$2,"Día actual","Día anterior")</f>
        <v>Día actual</v>
      </c>
      <c r="C101" s="3" t="s">
        <v>8</v>
      </c>
      <c r="D101" t="s">
        <v>10</v>
      </c>
      <c r="E101" s="3" t="s">
        <v>397</v>
      </c>
      <c r="F101" s="3" t="s">
        <v>24</v>
      </c>
      <c r="G101" s="3" t="s">
        <v>329</v>
      </c>
      <c r="H101" s="3" t="s">
        <v>11</v>
      </c>
      <c r="I101" s="3" t="s">
        <v>7</v>
      </c>
      <c r="J101" s="3" t="s">
        <v>84</v>
      </c>
      <c r="K101" s="3" t="s">
        <v>14</v>
      </c>
      <c r="L101" s="3" t="s">
        <v>86</v>
      </c>
      <c r="M101">
        <v>1</v>
      </c>
    </row>
    <row r="102" spans="1:13" x14ac:dyDescent="0.25">
      <c r="A102" s="1">
        <v>46128</v>
      </c>
      <c r="B102" s="1" t="str">
        <f ca="1">IF(Información1[[#This Row],[Fecha]]='Ajuste de fechas'!$A$2,"Día actual","Día anterior")</f>
        <v>Día actual</v>
      </c>
      <c r="C102" s="3" t="s">
        <v>8</v>
      </c>
      <c r="D102" t="s">
        <v>10</v>
      </c>
      <c r="E102" s="3" t="s">
        <v>328</v>
      </c>
      <c r="F102" s="3" t="s">
        <v>24</v>
      </c>
      <c r="G102" s="3" t="s">
        <v>329</v>
      </c>
      <c r="H102" s="3" t="s">
        <v>11</v>
      </c>
      <c r="I102" s="3" t="s">
        <v>7</v>
      </c>
      <c r="J102" s="3" t="s">
        <v>84</v>
      </c>
      <c r="K102" s="3" t="s">
        <v>14</v>
      </c>
      <c r="L102" s="3" t="s">
        <v>87</v>
      </c>
      <c r="M102">
        <v>1</v>
      </c>
    </row>
    <row r="103" spans="1:13" x14ac:dyDescent="0.25">
      <c r="A103" s="1">
        <v>46128</v>
      </c>
      <c r="B103" s="1" t="str">
        <f ca="1">IF(Información1[[#This Row],[Fecha]]='Ajuste de fechas'!$A$2,"Día actual","Día anterior")</f>
        <v>Día actual</v>
      </c>
      <c r="C103" s="3" t="s">
        <v>39</v>
      </c>
      <c r="D103" t="s">
        <v>41</v>
      </c>
      <c r="E103" s="3" t="s">
        <v>398</v>
      </c>
      <c r="F103" s="3" t="s">
        <v>52</v>
      </c>
      <c r="G103" s="3" t="s">
        <v>332</v>
      </c>
      <c r="H103" s="3" t="s">
        <v>11</v>
      </c>
      <c r="I103" s="3" t="s">
        <v>7</v>
      </c>
      <c r="J103" s="3" t="s">
        <v>84</v>
      </c>
      <c r="K103" s="3" t="s">
        <v>76</v>
      </c>
      <c r="L103" s="3" t="s">
        <v>87</v>
      </c>
      <c r="M103">
        <v>1</v>
      </c>
    </row>
    <row r="104" spans="1:13" x14ac:dyDescent="0.25">
      <c r="A104" s="1">
        <v>46128</v>
      </c>
      <c r="B104" s="1" t="str">
        <f ca="1">IF(Información1[[#This Row],[Fecha]]='Ajuste de fechas'!$A$2,"Día actual","Día anterior")</f>
        <v>Día actual</v>
      </c>
      <c r="C104" s="3" t="s">
        <v>39</v>
      </c>
      <c r="D104" t="s">
        <v>42</v>
      </c>
      <c r="E104" s="3" t="s">
        <v>398</v>
      </c>
      <c r="F104" s="3" t="s">
        <v>52</v>
      </c>
      <c r="G104" s="3" t="s">
        <v>332</v>
      </c>
      <c r="H104" s="3" t="s">
        <v>11</v>
      </c>
      <c r="I104" s="3" t="s">
        <v>7</v>
      </c>
      <c r="J104" s="3" t="s">
        <v>84</v>
      </c>
      <c r="K104" s="3" t="s">
        <v>40</v>
      </c>
      <c r="L104" s="3" t="s">
        <v>87</v>
      </c>
      <c r="M104">
        <v>1</v>
      </c>
    </row>
    <row r="105" spans="1:13" x14ac:dyDescent="0.25">
      <c r="A105" s="1">
        <v>46128</v>
      </c>
      <c r="B105" s="1" t="str">
        <f ca="1">IF(Información1[[#This Row],[Fecha]]='Ajuste de fechas'!$A$2,"Día actual","Día anterior")</f>
        <v>Día actual</v>
      </c>
      <c r="C105" s="3" t="s">
        <v>39</v>
      </c>
      <c r="D105" t="s">
        <v>41</v>
      </c>
      <c r="E105" s="3" t="s">
        <v>399</v>
      </c>
      <c r="F105" s="3" t="s">
        <v>6</v>
      </c>
      <c r="G105" s="3" t="s">
        <v>111</v>
      </c>
      <c r="H105" s="3" t="s">
        <v>11</v>
      </c>
      <c r="I105" s="3" t="s">
        <v>7</v>
      </c>
      <c r="J105" s="3" t="s">
        <v>84</v>
      </c>
      <c r="K105" s="3" t="s">
        <v>76</v>
      </c>
      <c r="L105" s="3" t="s">
        <v>87</v>
      </c>
      <c r="M105">
        <v>1</v>
      </c>
    </row>
    <row r="106" spans="1:13" x14ac:dyDescent="0.25">
      <c r="A106" s="1">
        <v>46128</v>
      </c>
      <c r="B106" s="1" t="str">
        <f ca="1">IF(Información1[[#This Row],[Fecha]]='Ajuste de fechas'!$A$2,"Día actual","Día anterior")</f>
        <v>Día actual</v>
      </c>
      <c r="C106" s="3" t="s">
        <v>8</v>
      </c>
      <c r="D106" t="s">
        <v>10</v>
      </c>
      <c r="E106" s="3" t="s">
        <v>362</v>
      </c>
      <c r="F106" s="3" t="s">
        <v>19</v>
      </c>
      <c r="G106" s="3" t="s">
        <v>400</v>
      </c>
      <c r="H106" s="3" t="s">
        <v>11</v>
      </c>
      <c r="I106" s="3" t="s">
        <v>7</v>
      </c>
      <c r="J106" s="3" t="s">
        <v>88</v>
      </c>
      <c r="K106" s="3" t="s">
        <v>14</v>
      </c>
      <c r="L106" s="3" t="s">
        <v>90</v>
      </c>
      <c r="M106">
        <v>1</v>
      </c>
    </row>
    <row r="107" spans="1:13" x14ac:dyDescent="0.25">
      <c r="A107" s="1">
        <v>46128</v>
      </c>
      <c r="B107" s="1" t="str">
        <f ca="1">IF(Información1[[#This Row],[Fecha]]='Ajuste de fechas'!$A$2,"Día actual","Día anterior")</f>
        <v>Día actual</v>
      </c>
      <c r="C107" s="3" t="s">
        <v>39</v>
      </c>
      <c r="D107" t="s">
        <v>42</v>
      </c>
      <c r="E107" s="3" t="s">
        <v>401</v>
      </c>
      <c r="F107" s="3" t="s">
        <v>28</v>
      </c>
      <c r="G107" s="3" t="s">
        <v>212</v>
      </c>
      <c r="H107" s="3" t="s">
        <v>11</v>
      </c>
      <c r="I107" s="3" t="s">
        <v>7</v>
      </c>
      <c r="J107" s="3" t="s">
        <v>84</v>
      </c>
      <c r="K107" s="3" t="s">
        <v>40</v>
      </c>
      <c r="L107" s="3" t="s">
        <v>85</v>
      </c>
      <c r="M107">
        <v>1</v>
      </c>
    </row>
    <row r="108" spans="1:13" x14ac:dyDescent="0.25">
      <c r="A108" s="1">
        <v>46128</v>
      </c>
      <c r="B108" s="1" t="str">
        <f ca="1">IF(Información1[[#This Row],[Fecha]]='Ajuste de fechas'!$A$2,"Día actual","Día anterior")</f>
        <v>Día actual</v>
      </c>
      <c r="C108" s="3" t="s">
        <v>39</v>
      </c>
      <c r="D108" t="s">
        <v>42</v>
      </c>
      <c r="E108" s="3" t="s">
        <v>402</v>
      </c>
      <c r="F108" s="3" t="s">
        <v>25</v>
      </c>
      <c r="G108" s="3" t="s">
        <v>403</v>
      </c>
      <c r="H108" s="3" t="s">
        <v>11</v>
      </c>
      <c r="I108" s="3" t="s">
        <v>7</v>
      </c>
      <c r="J108" s="3" t="s">
        <v>84</v>
      </c>
      <c r="K108" s="3" t="s">
        <v>40</v>
      </c>
      <c r="L108" s="3" t="s">
        <v>85</v>
      </c>
      <c r="M108">
        <v>1</v>
      </c>
    </row>
    <row r="109" spans="1:13" x14ac:dyDescent="0.25">
      <c r="A109" s="1">
        <v>46128</v>
      </c>
      <c r="B109" s="1" t="str">
        <f ca="1">IF(Información1[[#This Row],[Fecha]]='Ajuste de fechas'!$A$2,"Día actual","Día anterior")</f>
        <v>Día actual</v>
      </c>
      <c r="C109" s="3" t="s">
        <v>8</v>
      </c>
      <c r="D109" t="s">
        <v>10</v>
      </c>
      <c r="E109" s="3" t="s">
        <v>404</v>
      </c>
      <c r="F109" s="3" t="s">
        <v>19</v>
      </c>
      <c r="G109" s="3" t="s">
        <v>112</v>
      </c>
      <c r="H109" s="3" t="s">
        <v>11</v>
      </c>
      <c r="I109" s="3" t="s">
        <v>27</v>
      </c>
      <c r="J109" s="3" t="s">
        <v>88</v>
      </c>
      <c r="K109" s="3" t="s">
        <v>9</v>
      </c>
      <c r="L109" s="3" t="s">
        <v>86</v>
      </c>
      <c r="M109">
        <v>1</v>
      </c>
    </row>
    <row r="110" spans="1:13" x14ac:dyDescent="0.25">
      <c r="A110" s="1">
        <v>46128</v>
      </c>
      <c r="B110" s="1" t="str">
        <f ca="1">IF(Información1[[#This Row],[Fecha]]='Ajuste de fechas'!$A$2,"Día actual","Día anterior")</f>
        <v>Día actual</v>
      </c>
      <c r="C110" s="3" t="s">
        <v>8</v>
      </c>
      <c r="D110" t="s">
        <v>10</v>
      </c>
      <c r="E110" s="3" t="s">
        <v>405</v>
      </c>
      <c r="F110" s="3" t="s">
        <v>19</v>
      </c>
      <c r="G110" s="3" t="s">
        <v>112</v>
      </c>
      <c r="H110" s="3" t="s">
        <v>11</v>
      </c>
      <c r="I110" s="3" t="s">
        <v>27</v>
      </c>
      <c r="J110" s="3" t="s">
        <v>88</v>
      </c>
      <c r="K110" s="3" t="s">
        <v>9</v>
      </c>
      <c r="L110" s="3" t="s">
        <v>86</v>
      </c>
      <c r="M110">
        <v>1</v>
      </c>
    </row>
    <row r="111" spans="1:13" x14ac:dyDescent="0.25">
      <c r="A111" s="1">
        <v>46128</v>
      </c>
      <c r="B111" s="1" t="str">
        <f ca="1">IF(Información1[[#This Row],[Fecha]]='Ajuste de fechas'!$A$2,"Día actual","Día anterior")</f>
        <v>Día actual</v>
      </c>
      <c r="C111" s="3" t="s">
        <v>8</v>
      </c>
      <c r="D111" t="s">
        <v>10</v>
      </c>
      <c r="E111" s="3" t="s">
        <v>406</v>
      </c>
      <c r="F111" s="3" t="s">
        <v>19</v>
      </c>
      <c r="G111" s="3" t="s">
        <v>112</v>
      </c>
      <c r="H111" s="3" t="s">
        <v>11</v>
      </c>
      <c r="I111" s="3" t="s">
        <v>27</v>
      </c>
      <c r="J111" s="3" t="s">
        <v>88</v>
      </c>
      <c r="K111" s="3" t="s">
        <v>9</v>
      </c>
      <c r="L111" s="3" t="s">
        <v>86</v>
      </c>
      <c r="M111">
        <v>1</v>
      </c>
    </row>
    <row r="112" spans="1:13" x14ac:dyDescent="0.25">
      <c r="A112" s="1">
        <v>46128</v>
      </c>
      <c r="B112" s="1" t="str">
        <f ca="1">IF(Información1[[#This Row],[Fecha]]='Ajuste de fechas'!$A$2,"Día actual","Día anterior")</f>
        <v>Día actual</v>
      </c>
      <c r="C112" s="3" t="s">
        <v>39</v>
      </c>
      <c r="D112" t="s">
        <v>42</v>
      </c>
      <c r="E112" s="3" t="s">
        <v>164</v>
      </c>
      <c r="F112" s="3" t="s">
        <v>38</v>
      </c>
      <c r="G112" s="3" t="s">
        <v>163</v>
      </c>
      <c r="H112" s="3" t="s">
        <v>11</v>
      </c>
      <c r="I112" s="3" t="s">
        <v>7</v>
      </c>
      <c r="J112" s="3" t="s">
        <v>84</v>
      </c>
      <c r="K112" s="3" t="s">
        <v>40</v>
      </c>
      <c r="L112" s="3" t="s">
        <v>87</v>
      </c>
      <c r="M112">
        <v>1</v>
      </c>
    </row>
    <row r="113" spans="1:13" x14ac:dyDescent="0.25">
      <c r="A113" s="1">
        <v>46128</v>
      </c>
      <c r="B113" s="1" t="str">
        <f ca="1">IF(Información1[[#This Row],[Fecha]]='Ajuste de fechas'!$A$2,"Día actual","Día anterior")</f>
        <v>Día actual</v>
      </c>
      <c r="C113" s="3" t="s">
        <v>8</v>
      </c>
      <c r="D113" t="s">
        <v>10</v>
      </c>
      <c r="E113" s="3" t="s">
        <v>164</v>
      </c>
      <c r="F113" s="3" t="s">
        <v>38</v>
      </c>
      <c r="G113" s="3" t="s">
        <v>163</v>
      </c>
      <c r="H113" s="3" t="s">
        <v>11</v>
      </c>
      <c r="I113" s="3" t="s">
        <v>7</v>
      </c>
      <c r="J113" s="3" t="s">
        <v>84</v>
      </c>
      <c r="K113" s="3" t="s">
        <v>14</v>
      </c>
      <c r="L113" s="3" t="s">
        <v>87</v>
      </c>
      <c r="M113">
        <v>1</v>
      </c>
    </row>
    <row r="114" spans="1:13" x14ac:dyDescent="0.25">
      <c r="A114" s="1">
        <v>46128</v>
      </c>
      <c r="B114" s="1" t="str">
        <f ca="1">IF(Información1[[#This Row],[Fecha]]='Ajuste de fechas'!$A$2,"Día actual","Día anterior")</f>
        <v>Día actual</v>
      </c>
      <c r="C114" s="3" t="s">
        <v>39</v>
      </c>
      <c r="D114" t="s">
        <v>41</v>
      </c>
      <c r="E114" s="3" t="s">
        <v>408</v>
      </c>
      <c r="F114" s="3" t="s">
        <v>19</v>
      </c>
      <c r="G114" s="3" t="s">
        <v>101</v>
      </c>
      <c r="H114" s="3" t="s">
        <v>11</v>
      </c>
      <c r="I114" s="3" t="s">
        <v>7</v>
      </c>
      <c r="J114" s="3" t="s">
        <v>88</v>
      </c>
      <c r="K114" s="3" t="s">
        <v>76</v>
      </c>
      <c r="L114" s="3" t="s">
        <v>85</v>
      </c>
      <c r="M114">
        <v>1</v>
      </c>
    </row>
    <row r="115" spans="1:13" x14ac:dyDescent="0.25">
      <c r="A115" s="1">
        <v>46128</v>
      </c>
      <c r="B115" s="1" t="str">
        <f ca="1">IF(Información1[[#This Row],[Fecha]]='Ajuste de fechas'!$A$2,"Día actual","Día anterior")</f>
        <v>Día actual</v>
      </c>
      <c r="C115" s="3" t="s">
        <v>39</v>
      </c>
      <c r="D115" t="s">
        <v>42</v>
      </c>
      <c r="E115" s="3" t="s">
        <v>409</v>
      </c>
      <c r="F115" s="3" t="s">
        <v>22</v>
      </c>
      <c r="G115" s="3" t="s">
        <v>101</v>
      </c>
      <c r="H115" s="3" t="s">
        <v>11</v>
      </c>
      <c r="I115" s="3" t="s">
        <v>7</v>
      </c>
      <c r="J115" s="3" t="s">
        <v>26</v>
      </c>
      <c r="K115" s="3" t="s">
        <v>40</v>
      </c>
      <c r="L115" s="3" t="s">
        <v>85</v>
      </c>
      <c r="M115">
        <v>1</v>
      </c>
    </row>
    <row r="116" spans="1:13" x14ac:dyDescent="0.25">
      <c r="A116" s="1">
        <v>46128</v>
      </c>
      <c r="B116" s="1" t="str">
        <f ca="1">IF(Información1[[#This Row],[Fecha]]='Ajuste de fechas'!$A$2,"Día actual","Día anterior")</f>
        <v>Día actual</v>
      </c>
      <c r="C116" s="3" t="s">
        <v>39</v>
      </c>
      <c r="D116" t="s">
        <v>42</v>
      </c>
      <c r="E116" s="3" t="s">
        <v>410</v>
      </c>
      <c r="F116" s="3" t="s">
        <v>26</v>
      </c>
      <c r="G116" s="3" t="s">
        <v>101</v>
      </c>
      <c r="H116" s="3" t="s">
        <v>11</v>
      </c>
      <c r="I116" s="3" t="s">
        <v>7</v>
      </c>
      <c r="J116" s="3" t="s">
        <v>26</v>
      </c>
      <c r="K116" s="3" t="s">
        <v>40</v>
      </c>
      <c r="L116" s="3" t="s">
        <v>85</v>
      </c>
      <c r="M116">
        <v>1</v>
      </c>
    </row>
    <row r="117" spans="1:13" x14ac:dyDescent="0.25">
      <c r="A117" s="1">
        <v>46128</v>
      </c>
      <c r="B117" s="1" t="str">
        <f ca="1">IF(Información1[[#This Row],[Fecha]]='Ajuste de fechas'!$A$2,"Día actual","Día anterior")</f>
        <v>Día actual</v>
      </c>
      <c r="C117" s="3" t="s">
        <v>8</v>
      </c>
      <c r="D117" t="s">
        <v>10</v>
      </c>
      <c r="E117" s="3" t="s">
        <v>411</v>
      </c>
      <c r="F117" s="3" t="s">
        <v>19</v>
      </c>
      <c r="G117" s="3" t="s">
        <v>247</v>
      </c>
      <c r="H117" s="3" t="s">
        <v>11</v>
      </c>
      <c r="I117" s="3" t="s">
        <v>7</v>
      </c>
      <c r="J117" s="3" t="s">
        <v>88</v>
      </c>
      <c r="K117" s="3" t="s">
        <v>14</v>
      </c>
      <c r="L117" s="3" t="s">
        <v>85</v>
      </c>
      <c r="M117">
        <v>1</v>
      </c>
    </row>
    <row r="118" spans="1:13" x14ac:dyDescent="0.25">
      <c r="A118" s="1">
        <v>46127</v>
      </c>
      <c r="B118" s="1" t="str">
        <f ca="1">IF(Información1[[#This Row],[Fecha]]='Ajuste de fechas'!$A$2,"Día actual","Día anterior")</f>
        <v>Día anterior</v>
      </c>
      <c r="C118" s="3" t="s">
        <v>8</v>
      </c>
      <c r="D118" t="s">
        <v>10</v>
      </c>
      <c r="E118" s="3" t="s">
        <v>119</v>
      </c>
      <c r="F118" s="3" t="s">
        <v>6</v>
      </c>
      <c r="G118" s="3" t="s">
        <v>72</v>
      </c>
      <c r="H118" s="3" t="s">
        <v>11</v>
      </c>
      <c r="I118" s="3" t="s">
        <v>27</v>
      </c>
      <c r="J118" s="3" t="s">
        <v>84</v>
      </c>
      <c r="K118" s="3" t="s">
        <v>9</v>
      </c>
      <c r="L118" s="3" t="s">
        <v>86</v>
      </c>
      <c r="M118">
        <v>1</v>
      </c>
    </row>
    <row r="119" spans="1:13" x14ac:dyDescent="0.25">
      <c r="A119" s="1">
        <v>46127</v>
      </c>
      <c r="B119" s="1" t="str">
        <f ca="1">IF(Información1[[#This Row],[Fecha]]='Ajuste de fechas'!$A$2,"Día actual","Día anterior")</f>
        <v>Día anterior</v>
      </c>
      <c r="C119" s="3" t="s">
        <v>8</v>
      </c>
      <c r="D119" t="s">
        <v>10</v>
      </c>
      <c r="E119" s="3" t="s">
        <v>120</v>
      </c>
      <c r="F119" s="3" t="s">
        <v>6</v>
      </c>
      <c r="G119" s="3" t="s">
        <v>72</v>
      </c>
      <c r="H119" s="3" t="s">
        <v>11</v>
      </c>
      <c r="I119" s="3" t="s">
        <v>27</v>
      </c>
      <c r="J119" s="3" t="s">
        <v>84</v>
      </c>
      <c r="K119" s="3" t="s">
        <v>9</v>
      </c>
      <c r="L119" s="3" t="s">
        <v>86</v>
      </c>
      <c r="M119">
        <v>1</v>
      </c>
    </row>
    <row r="120" spans="1:13" x14ac:dyDescent="0.25">
      <c r="A120" s="1">
        <v>46127</v>
      </c>
      <c r="B120" s="1" t="str">
        <f ca="1">IF(Información1[[#This Row],[Fecha]]='Ajuste de fechas'!$A$2,"Día actual","Día anterior")</f>
        <v>Día anterior</v>
      </c>
      <c r="C120" s="3" t="s">
        <v>8</v>
      </c>
      <c r="D120" t="s">
        <v>10</v>
      </c>
      <c r="E120" s="3" t="s">
        <v>121</v>
      </c>
      <c r="F120" s="3" t="s">
        <v>26</v>
      </c>
      <c r="G120" s="3" t="s">
        <v>122</v>
      </c>
      <c r="H120" s="3" t="s">
        <v>11</v>
      </c>
      <c r="I120" s="3" t="s">
        <v>7</v>
      </c>
      <c r="J120" s="3" t="s">
        <v>26</v>
      </c>
      <c r="K120" s="3" t="s">
        <v>14</v>
      </c>
      <c r="L120" s="3" t="s">
        <v>85</v>
      </c>
      <c r="M120">
        <v>1</v>
      </c>
    </row>
    <row r="121" spans="1:13" x14ac:dyDescent="0.25">
      <c r="A121" s="1">
        <v>46127</v>
      </c>
      <c r="B121" s="1" t="str">
        <f ca="1">IF(Información1[[#This Row],[Fecha]]='Ajuste de fechas'!$A$2,"Día actual","Día anterior")</f>
        <v>Día anterior</v>
      </c>
      <c r="C121" s="3" t="s">
        <v>8</v>
      </c>
      <c r="D121" t="s">
        <v>10</v>
      </c>
      <c r="E121" s="3" t="s">
        <v>123</v>
      </c>
      <c r="F121" s="3" t="s">
        <v>19</v>
      </c>
      <c r="G121" s="3" t="s">
        <v>74</v>
      </c>
      <c r="H121" s="3" t="s">
        <v>11</v>
      </c>
      <c r="I121" s="3" t="s">
        <v>12</v>
      </c>
      <c r="J121" s="3" t="s">
        <v>88</v>
      </c>
      <c r="K121" s="3" t="s">
        <v>14</v>
      </c>
      <c r="L121" s="3" t="s">
        <v>86</v>
      </c>
      <c r="M121">
        <v>1</v>
      </c>
    </row>
    <row r="122" spans="1:13" x14ac:dyDescent="0.25">
      <c r="A122" s="1">
        <v>46127</v>
      </c>
      <c r="B122" s="1" t="str">
        <f ca="1">IF(Información1[[#This Row],[Fecha]]='Ajuste de fechas'!$A$2,"Día actual","Día anterior")</f>
        <v>Día anterior</v>
      </c>
      <c r="C122" s="3" t="s">
        <v>8</v>
      </c>
      <c r="D122" t="s">
        <v>10</v>
      </c>
      <c r="E122" s="3" t="s">
        <v>18</v>
      </c>
      <c r="F122" s="3" t="s">
        <v>19</v>
      </c>
      <c r="G122" s="3" t="s">
        <v>74</v>
      </c>
      <c r="H122" s="3" t="s">
        <v>11</v>
      </c>
      <c r="I122" s="3" t="s">
        <v>12</v>
      </c>
      <c r="J122" s="3" t="s">
        <v>88</v>
      </c>
      <c r="K122" s="3" t="s">
        <v>14</v>
      </c>
      <c r="L122" s="3" t="s">
        <v>86</v>
      </c>
      <c r="M122">
        <v>1</v>
      </c>
    </row>
    <row r="123" spans="1:13" x14ac:dyDescent="0.25">
      <c r="A123" s="1">
        <v>46127</v>
      </c>
      <c r="B123" s="1" t="str">
        <f ca="1">IF(Información1[[#This Row],[Fecha]]='Ajuste de fechas'!$A$2,"Día actual","Día anterior")</f>
        <v>Día anterior</v>
      </c>
      <c r="C123" s="3" t="s">
        <v>8</v>
      </c>
      <c r="D123" t="s">
        <v>10</v>
      </c>
      <c r="E123" s="3" t="s">
        <v>68</v>
      </c>
      <c r="F123" s="3" t="s">
        <v>22</v>
      </c>
      <c r="G123" s="3" t="s">
        <v>74</v>
      </c>
      <c r="H123" s="3" t="s">
        <v>11</v>
      </c>
      <c r="I123" s="3" t="s">
        <v>12</v>
      </c>
      <c r="J123" s="3" t="s">
        <v>26</v>
      </c>
      <c r="K123" s="3" t="s">
        <v>14</v>
      </c>
      <c r="L123" s="3" t="s">
        <v>86</v>
      </c>
      <c r="M123">
        <v>1</v>
      </c>
    </row>
    <row r="124" spans="1:13" x14ac:dyDescent="0.25">
      <c r="A124" s="1">
        <v>46127</v>
      </c>
      <c r="B124" s="1" t="str">
        <f ca="1">IF(Información1[[#This Row],[Fecha]]='Ajuste de fechas'!$A$2,"Día actual","Día anterior")</f>
        <v>Día anterior</v>
      </c>
      <c r="C124" s="3" t="s">
        <v>8</v>
      </c>
      <c r="D124" t="s">
        <v>10</v>
      </c>
      <c r="E124" s="3" t="s">
        <v>94</v>
      </c>
      <c r="F124" s="3" t="s">
        <v>21</v>
      </c>
      <c r="G124" s="3" t="s">
        <v>74</v>
      </c>
      <c r="H124" s="3" t="s">
        <v>11</v>
      </c>
      <c r="I124" s="3" t="s">
        <v>12</v>
      </c>
      <c r="J124" s="3" t="s">
        <v>84</v>
      </c>
      <c r="K124" s="3" t="s">
        <v>14</v>
      </c>
      <c r="L124" s="3" t="s">
        <v>86</v>
      </c>
      <c r="M124">
        <v>1</v>
      </c>
    </row>
    <row r="125" spans="1:13" x14ac:dyDescent="0.25">
      <c r="A125" s="1">
        <v>46127</v>
      </c>
      <c r="B125" s="1" t="str">
        <f ca="1">IF(Información1[[#This Row],[Fecha]]='Ajuste de fechas'!$A$2,"Día actual","Día anterior")</f>
        <v>Día anterior</v>
      </c>
      <c r="C125" s="3" t="s">
        <v>8</v>
      </c>
      <c r="D125" t="s">
        <v>10</v>
      </c>
      <c r="E125" s="3" t="s">
        <v>13</v>
      </c>
      <c r="F125" s="3" t="s">
        <v>15</v>
      </c>
      <c r="G125" s="3" t="s">
        <v>74</v>
      </c>
      <c r="H125" s="3" t="s">
        <v>11</v>
      </c>
      <c r="I125" s="3" t="s">
        <v>12</v>
      </c>
      <c r="J125" s="3" t="s">
        <v>84</v>
      </c>
      <c r="K125" s="3" t="s">
        <v>14</v>
      </c>
      <c r="L125" s="3" t="s">
        <v>86</v>
      </c>
      <c r="M125">
        <v>1</v>
      </c>
    </row>
    <row r="126" spans="1:13" x14ac:dyDescent="0.25">
      <c r="A126" s="1">
        <v>46127</v>
      </c>
      <c r="B126" s="1" t="str">
        <f ca="1">IF(Información1[[#This Row],[Fecha]]='Ajuste de fechas'!$A$2,"Día actual","Día anterior")</f>
        <v>Día anterior</v>
      </c>
      <c r="C126" s="3" t="s">
        <v>8</v>
      </c>
      <c r="D126" t="s">
        <v>10</v>
      </c>
      <c r="E126" s="3" t="s">
        <v>16</v>
      </c>
      <c r="F126" s="3" t="s">
        <v>17</v>
      </c>
      <c r="G126" s="3" t="s">
        <v>74</v>
      </c>
      <c r="H126" s="3" t="s">
        <v>11</v>
      </c>
      <c r="I126" s="3" t="s">
        <v>12</v>
      </c>
      <c r="J126" s="3" t="s">
        <v>84</v>
      </c>
      <c r="K126" s="3" t="s">
        <v>14</v>
      </c>
      <c r="L126" s="3" t="s">
        <v>86</v>
      </c>
      <c r="M126">
        <v>1</v>
      </c>
    </row>
    <row r="127" spans="1:13" x14ac:dyDescent="0.25">
      <c r="A127" s="1">
        <v>46127</v>
      </c>
      <c r="B127" s="1" t="str">
        <f ca="1">IF(Información1[[#This Row],[Fecha]]='Ajuste de fechas'!$A$2,"Día actual","Día anterior")</f>
        <v>Día anterior</v>
      </c>
      <c r="C127" s="3" t="s">
        <v>8</v>
      </c>
      <c r="D127" t="s">
        <v>10</v>
      </c>
      <c r="E127" s="3" t="s">
        <v>77</v>
      </c>
      <c r="F127" s="3" t="s">
        <v>6</v>
      </c>
      <c r="G127" s="3" t="s">
        <v>74</v>
      </c>
      <c r="H127" s="3" t="s">
        <v>11</v>
      </c>
      <c r="I127" s="3" t="s">
        <v>12</v>
      </c>
      <c r="J127" s="3" t="s">
        <v>84</v>
      </c>
      <c r="K127" s="3" t="s">
        <v>14</v>
      </c>
      <c r="L127" s="3" t="s">
        <v>86</v>
      </c>
      <c r="M127">
        <v>1</v>
      </c>
    </row>
    <row r="128" spans="1:13" x14ac:dyDescent="0.25">
      <c r="A128" s="1">
        <v>46127</v>
      </c>
      <c r="B128" s="1" t="str">
        <f ca="1">IF(Información1[[#This Row],[Fecha]]='Ajuste de fechas'!$A$2,"Día actual","Día anterior")</f>
        <v>Día anterior</v>
      </c>
      <c r="C128" s="3" t="s">
        <v>39</v>
      </c>
      <c r="D128" t="s">
        <v>41</v>
      </c>
      <c r="E128" s="3" t="s">
        <v>124</v>
      </c>
      <c r="F128" s="3" t="s">
        <v>17</v>
      </c>
      <c r="G128" s="3" t="s">
        <v>115</v>
      </c>
      <c r="H128" s="3" t="s">
        <v>11</v>
      </c>
      <c r="I128" s="3" t="s">
        <v>27</v>
      </c>
      <c r="J128" s="3" t="s">
        <v>84</v>
      </c>
      <c r="K128" s="3" t="s">
        <v>76</v>
      </c>
      <c r="L128" s="3" t="s">
        <v>86</v>
      </c>
      <c r="M128">
        <v>1</v>
      </c>
    </row>
    <row r="129" spans="1:13" x14ac:dyDescent="0.25">
      <c r="A129" s="1">
        <v>46127</v>
      </c>
      <c r="B129" s="1" t="str">
        <f ca="1">IF(Información1[[#This Row],[Fecha]]='Ajuste de fechas'!$A$2,"Día actual","Día anterior")</f>
        <v>Día anterior</v>
      </c>
      <c r="C129" s="3" t="s">
        <v>39</v>
      </c>
      <c r="D129" t="s">
        <v>41</v>
      </c>
      <c r="E129" s="3" t="s">
        <v>125</v>
      </c>
      <c r="F129" s="3" t="s">
        <v>26</v>
      </c>
      <c r="G129" s="3" t="s">
        <v>115</v>
      </c>
      <c r="H129" s="3" t="s">
        <v>11</v>
      </c>
      <c r="I129" s="3" t="s">
        <v>7</v>
      </c>
      <c r="J129" s="3" t="s">
        <v>26</v>
      </c>
      <c r="K129" s="3" t="s">
        <v>76</v>
      </c>
      <c r="L129" s="3" t="s">
        <v>86</v>
      </c>
      <c r="M129">
        <v>1</v>
      </c>
    </row>
    <row r="130" spans="1:13" x14ac:dyDescent="0.25">
      <c r="A130" s="1">
        <v>46127</v>
      </c>
      <c r="B130" s="1" t="str">
        <f ca="1">IF(Información1[[#This Row],[Fecha]]='Ajuste de fechas'!$A$2,"Día actual","Día anterior")</f>
        <v>Día anterior</v>
      </c>
      <c r="C130" s="3" t="s">
        <v>39</v>
      </c>
      <c r="D130" t="s">
        <v>42</v>
      </c>
      <c r="E130" s="3" t="s">
        <v>126</v>
      </c>
      <c r="F130" s="3" t="s">
        <v>28</v>
      </c>
      <c r="G130" s="3" t="s">
        <v>115</v>
      </c>
      <c r="H130" s="3" t="s">
        <v>11</v>
      </c>
      <c r="I130" s="3" t="s">
        <v>7</v>
      </c>
      <c r="J130" s="3" t="s">
        <v>84</v>
      </c>
      <c r="K130" s="3" t="s">
        <v>40</v>
      </c>
      <c r="L130" s="3" t="s">
        <v>85</v>
      </c>
      <c r="M130">
        <v>1</v>
      </c>
    </row>
    <row r="131" spans="1:13" x14ac:dyDescent="0.25">
      <c r="A131" s="1">
        <v>46127</v>
      </c>
      <c r="B131" s="1" t="str">
        <f ca="1">IF(Información1[[#This Row],[Fecha]]='Ajuste de fechas'!$A$2,"Día actual","Día anterior")</f>
        <v>Día anterior</v>
      </c>
      <c r="C131" s="3" t="s">
        <v>8</v>
      </c>
      <c r="D131" t="s">
        <v>10</v>
      </c>
      <c r="E131" s="3" t="s">
        <v>127</v>
      </c>
      <c r="F131" s="3" t="s">
        <v>30</v>
      </c>
      <c r="G131" s="3" t="s">
        <v>115</v>
      </c>
      <c r="H131" s="3" t="s">
        <v>11</v>
      </c>
      <c r="I131" s="3" t="s">
        <v>27</v>
      </c>
      <c r="J131" s="3" t="s">
        <v>84</v>
      </c>
      <c r="K131" s="3" t="s">
        <v>9</v>
      </c>
      <c r="L131" s="3" t="s">
        <v>86</v>
      </c>
      <c r="M131">
        <v>1</v>
      </c>
    </row>
    <row r="132" spans="1:13" x14ac:dyDescent="0.25">
      <c r="A132" s="1">
        <v>46127</v>
      </c>
      <c r="B132" s="1" t="str">
        <f ca="1">IF(Información1[[#This Row],[Fecha]]='Ajuste de fechas'!$A$2,"Día actual","Día anterior")</f>
        <v>Día anterior</v>
      </c>
      <c r="C132" s="3" t="s">
        <v>8</v>
      </c>
      <c r="D132" t="s">
        <v>10</v>
      </c>
      <c r="E132" s="3" t="s">
        <v>128</v>
      </c>
      <c r="F132" s="3" t="s">
        <v>28</v>
      </c>
      <c r="G132" s="3" t="s">
        <v>115</v>
      </c>
      <c r="H132" s="3" t="s">
        <v>11</v>
      </c>
      <c r="I132" s="3" t="s">
        <v>27</v>
      </c>
      <c r="J132" s="3" t="s">
        <v>84</v>
      </c>
      <c r="K132" s="3" t="s">
        <v>9</v>
      </c>
      <c r="L132" s="3" t="s">
        <v>86</v>
      </c>
      <c r="M132">
        <v>1</v>
      </c>
    </row>
    <row r="133" spans="1:13" x14ac:dyDescent="0.25">
      <c r="A133" s="1">
        <v>46127</v>
      </c>
      <c r="B133" s="1" t="str">
        <f ca="1">IF(Información1[[#This Row],[Fecha]]='Ajuste de fechas'!$A$2,"Día actual","Día anterior")</f>
        <v>Día anterior</v>
      </c>
      <c r="C133" s="3" t="s">
        <v>8</v>
      </c>
      <c r="D133" t="s">
        <v>10</v>
      </c>
      <c r="E133" s="3" t="s">
        <v>129</v>
      </c>
      <c r="F133" s="3" t="s">
        <v>28</v>
      </c>
      <c r="G133" s="3" t="s">
        <v>115</v>
      </c>
      <c r="H133" s="3" t="s">
        <v>11</v>
      </c>
      <c r="I133" s="3" t="s">
        <v>7</v>
      </c>
      <c r="J133" s="3" t="s">
        <v>84</v>
      </c>
      <c r="K133" s="3" t="s">
        <v>14</v>
      </c>
      <c r="L133" s="3" t="s">
        <v>85</v>
      </c>
      <c r="M133">
        <v>1</v>
      </c>
    </row>
    <row r="134" spans="1:13" x14ac:dyDescent="0.25">
      <c r="A134" s="1">
        <v>46127</v>
      </c>
      <c r="B134" s="1" t="str">
        <f ca="1">IF(Información1[[#This Row],[Fecha]]='Ajuste de fechas'!$A$2,"Día actual","Día anterior")</f>
        <v>Día anterior</v>
      </c>
      <c r="C134" s="3" t="s">
        <v>8</v>
      </c>
      <c r="D134" t="s">
        <v>10</v>
      </c>
      <c r="E134" s="3" t="s">
        <v>130</v>
      </c>
      <c r="F134" s="3" t="s">
        <v>19</v>
      </c>
      <c r="G134" s="3" t="s">
        <v>131</v>
      </c>
      <c r="H134" s="3" t="s">
        <v>11</v>
      </c>
      <c r="I134" s="3" t="s">
        <v>7</v>
      </c>
      <c r="J134" s="3" t="s">
        <v>88</v>
      </c>
      <c r="K134" s="3" t="s">
        <v>14</v>
      </c>
      <c r="L134" s="3" t="s">
        <v>85</v>
      </c>
      <c r="M134">
        <v>1</v>
      </c>
    </row>
    <row r="135" spans="1:13" x14ac:dyDescent="0.25">
      <c r="A135" s="1">
        <v>46127</v>
      </c>
      <c r="B135" s="1" t="str">
        <f ca="1">IF(Información1[[#This Row],[Fecha]]='Ajuste de fechas'!$A$2,"Día actual","Día anterior")</f>
        <v>Día anterior</v>
      </c>
      <c r="C135" s="3" t="s">
        <v>8</v>
      </c>
      <c r="D135" t="s">
        <v>10</v>
      </c>
      <c r="E135" s="3" t="s">
        <v>132</v>
      </c>
      <c r="F135" s="3" t="s">
        <v>24</v>
      </c>
      <c r="G135" s="3" t="s">
        <v>107</v>
      </c>
      <c r="H135" s="3" t="s">
        <v>11</v>
      </c>
      <c r="I135" s="3" t="s">
        <v>7</v>
      </c>
      <c r="J135" s="3" t="s">
        <v>84</v>
      </c>
      <c r="K135" s="3" t="s">
        <v>14</v>
      </c>
      <c r="L135" s="3" t="s">
        <v>87</v>
      </c>
      <c r="M135">
        <v>1</v>
      </c>
    </row>
    <row r="136" spans="1:13" x14ac:dyDescent="0.25">
      <c r="A136" s="1">
        <v>46127</v>
      </c>
      <c r="B136" s="1" t="str">
        <f ca="1">IF(Información1[[#This Row],[Fecha]]='Ajuste de fechas'!$A$2,"Día actual","Día anterior")</f>
        <v>Día anterior</v>
      </c>
      <c r="C136" s="3" t="s">
        <v>35</v>
      </c>
      <c r="D136" t="s">
        <v>37</v>
      </c>
      <c r="E136" s="3" t="s">
        <v>133</v>
      </c>
      <c r="F136" s="3" t="s">
        <v>65</v>
      </c>
      <c r="G136" s="3" t="s">
        <v>117</v>
      </c>
      <c r="H136" s="3" t="s">
        <v>11</v>
      </c>
      <c r="I136" s="3" t="s">
        <v>7</v>
      </c>
      <c r="J136" s="3" t="s">
        <v>84</v>
      </c>
      <c r="K136" s="3" t="s">
        <v>36</v>
      </c>
      <c r="L136" s="3" t="s">
        <v>87</v>
      </c>
      <c r="M136">
        <v>1</v>
      </c>
    </row>
    <row r="137" spans="1:13" x14ac:dyDescent="0.25">
      <c r="A137" s="1">
        <v>46127</v>
      </c>
      <c r="B137" s="1" t="str">
        <f ca="1">IF(Información1[[#This Row],[Fecha]]='Ajuste de fechas'!$A$2,"Día actual","Día anterior")</f>
        <v>Día anterior</v>
      </c>
      <c r="C137" s="3" t="s">
        <v>8</v>
      </c>
      <c r="D137" t="s">
        <v>10</v>
      </c>
      <c r="E137" s="3" t="s">
        <v>134</v>
      </c>
      <c r="F137" s="3" t="s">
        <v>17</v>
      </c>
      <c r="G137" s="3" t="s">
        <v>135</v>
      </c>
      <c r="H137" s="3" t="s">
        <v>11</v>
      </c>
      <c r="I137" s="3" t="s">
        <v>27</v>
      </c>
      <c r="J137" s="3" t="s">
        <v>84</v>
      </c>
      <c r="K137" s="3" t="s">
        <v>14</v>
      </c>
      <c r="L137" s="3" t="s">
        <v>86</v>
      </c>
      <c r="M137">
        <v>1</v>
      </c>
    </row>
    <row r="138" spans="1:13" x14ac:dyDescent="0.25">
      <c r="A138" s="1">
        <v>46127</v>
      </c>
      <c r="B138" s="1" t="str">
        <f ca="1">IF(Información1[[#This Row],[Fecha]]='Ajuste de fechas'!$A$2,"Día actual","Día anterior")</f>
        <v>Día anterior</v>
      </c>
      <c r="C138" s="3" t="s">
        <v>8</v>
      </c>
      <c r="D138" t="s">
        <v>10</v>
      </c>
      <c r="E138" s="3" t="s">
        <v>136</v>
      </c>
      <c r="F138" s="3" t="s">
        <v>17</v>
      </c>
      <c r="G138" s="3" t="s">
        <v>135</v>
      </c>
      <c r="H138" s="3" t="s">
        <v>11</v>
      </c>
      <c r="I138" s="3" t="s">
        <v>27</v>
      </c>
      <c r="J138" s="3" t="s">
        <v>84</v>
      </c>
      <c r="K138" s="3" t="s">
        <v>9</v>
      </c>
      <c r="L138" s="3" t="s">
        <v>86</v>
      </c>
      <c r="M138">
        <v>1</v>
      </c>
    </row>
    <row r="139" spans="1:13" x14ac:dyDescent="0.25">
      <c r="A139" s="1">
        <v>46127</v>
      </c>
      <c r="B139" s="1" t="str">
        <f ca="1">IF(Información1[[#This Row],[Fecha]]='Ajuste de fechas'!$A$2,"Día actual","Día anterior")</f>
        <v>Día anterior</v>
      </c>
      <c r="C139" s="3" t="s">
        <v>35</v>
      </c>
      <c r="D139" t="s">
        <v>37</v>
      </c>
      <c r="E139" s="3" t="s">
        <v>137</v>
      </c>
      <c r="F139" s="3" t="s">
        <v>61</v>
      </c>
      <c r="G139" s="3" t="s">
        <v>106</v>
      </c>
      <c r="H139" s="3" t="s">
        <v>11</v>
      </c>
      <c r="I139" s="3" t="s">
        <v>7</v>
      </c>
      <c r="J139" s="3" t="s">
        <v>84</v>
      </c>
      <c r="K139" s="3" t="s">
        <v>36</v>
      </c>
      <c r="L139" s="3" t="s">
        <v>87</v>
      </c>
      <c r="M139">
        <v>1</v>
      </c>
    </row>
    <row r="140" spans="1:13" x14ac:dyDescent="0.25">
      <c r="A140" s="1">
        <v>46127</v>
      </c>
      <c r="B140" s="1" t="str">
        <f ca="1">IF(Información1[[#This Row],[Fecha]]='Ajuste de fechas'!$A$2,"Día actual","Día anterior")</f>
        <v>Día anterior</v>
      </c>
      <c r="C140" s="3" t="s">
        <v>8</v>
      </c>
      <c r="D140" t="s">
        <v>10</v>
      </c>
      <c r="E140" s="3" t="s">
        <v>138</v>
      </c>
      <c r="F140" s="3" t="s">
        <v>48</v>
      </c>
      <c r="G140" s="3" t="s">
        <v>139</v>
      </c>
      <c r="H140" s="3" t="s">
        <v>11</v>
      </c>
      <c r="I140" s="3" t="s">
        <v>27</v>
      </c>
      <c r="J140" s="3" t="s">
        <v>84</v>
      </c>
      <c r="K140" s="3" t="s">
        <v>9</v>
      </c>
      <c r="L140" s="3" t="s">
        <v>85</v>
      </c>
      <c r="M140">
        <v>1</v>
      </c>
    </row>
    <row r="141" spans="1:13" x14ac:dyDescent="0.25">
      <c r="A141" s="1">
        <v>46127</v>
      </c>
      <c r="B141" s="1" t="str">
        <f ca="1">IF(Información1[[#This Row],[Fecha]]='Ajuste de fechas'!$A$2,"Día actual","Día anterior")</f>
        <v>Día anterior</v>
      </c>
      <c r="C141" s="3" t="s">
        <v>39</v>
      </c>
      <c r="D141" t="s">
        <v>42</v>
      </c>
      <c r="E141" s="3" t="s">
        <v>142</v>
      </c>
      <c r="F141" s="3" t="s">
        <v>103</v>
      </c>
      <c r="G141" s="3" t="s">
        <v>143</v>
      </c>
      <c r="H141" s="3" t="s">
        <v>11</v>
      </c>
      <c r="I141" s="3" t="s">
        <v>7</v>
      </c>
      <c r="J141" s="3" t="s">
        <v>84</v>
      </c>
      <c r="K141" s="3" t="s">
        <v>40</v>
      </c>
      <c r="L141" s="3" t="s">
        <v>85</v>
      </c>
      <c r="M141">
        <v>1</v>
      </c>
    </row>
    <row r="142" spans="1:13" x14ac:dyDescent="0.25">
      <c r="A142" s="1">
        <v>46127</v>
      </c>
      <c r="B142" s="1" t="str">
        <f ca="1">IF(Información1[[#This Row],[Fecha]]='Ajuste de fechas'!$A$2,"Día actual","Día anterior")</f>
        <v>Día anterior</v>
      </c>
      <c r="C142" s="3" t="s">
        <v>39</v>
      </c>
      <c r="D142" t="s">
        <v>42</v>
      </c>
      <c r="E142" s="3" t="s">
        <v>144</v>
      </c>
      <c r="F142" s="3" t="s">
        <v>25</v>
      </c>
      <c r="G142" s="3" t="s">
        <v>145</v>
      </c>
      <c r="H142" s="3" t="s">
        <v>11</v>
      </c>
      <c r="I142" s="3" t="s">
        <v>7</v>
      </c>
      <c r="J142" s="3" t="s">
        <v>84</v>
      </c>
      <c r="K142" s="3" t="s">
        <v>40</v>
      </c>
      <c r="L142" s="3" t="s">
        <v>85</v>
      </c>
      <c r="M142">
        <v>1</v>
      </c>
    </row>
    <row r="143" spans="1:13" x14ac:dyDescent="0.25">
      <c r="A143" s="1">
        <v>46127</v>
      </c>
      <c r="B143" s="1" t="str">
        <f ca="1">IF(Información1[[#This Row],[Fecha]]='Ajuste de fechas'!$A$2,"Día actual","Día anterior")</f>
        <v>Día anterior</v>
      </c>
      <c r="C143" s="3" t="s">
        <v>8</v>
      </c>
      <c r="D143" t="s">
        <v>10</v>
      </c>
      <c r="E143" s="3" t="s">
        <v>146</v>
      </c>
      <c r="F143" s="3" t="s">
        <v>22</v>
      </c>
      <c r="G143" s="3" t="s">
        <v>69</v>
      </c>
      <c r="H143" s="3" t="s">
        <v>11</v>
      </c>
      <c r="I143" s="3" t="s">
        <v>7</v>
      </c>
      <c r="J143" s="3" t="s">
        <v>26</v>
      </c>
      <c r="K143" s="3" t="s">
        <v>14</v>
      </c>
      <c r="L143" s="3" t="s">
        <v>85</v>
      </c>
      <c r="M143">
        <v>1</v>
      </c>
    </row>
    <row r="144" spans="1:13" x14ac:dyDescent="0.25">
      <c r="A144" s="1">
        <v>46127</v>
      </c>
      <c r="B144" s="1" t="str">
        <f ca="1">IF(Información1[[#This Row],[Fecha]]='Ajuste de fechas'!$A$2,"Día actual","Día anterior")</f>
        <v>Día anterior</v>
      </c>
      <c r="C144" s="3" t="s">
        <v>39</v>
      </c>
      <c r="D144" t="s">
        <v>41</v>
      </c>
      <c r="E144" s="3" t="s">
        <v>147</v>
      </c>
      <c r="F144" s="3" t="s">
        <v>28</v>
      </c>
      <c r="G144" s="3" t="s">
        <v>70</v>
      </c>
      <c r="H144" s="3" t="s">
        <v>11</v>
      </c>
      <c r="I144" s="3" t="s">
        <v>7</v>
      </c>
      <c r="J144" s="3" t="s">
        <v>84</v>
      </c>
      <c r="K144" s="3" t="s">
        <v>76</v>
      </c>
      <c r="L144" s="3" t="s">
        <v>87</v>
      </c>
      <c r="M144">
        <v>1</v>
      </c>
    </row>
    <row r="145" spans="1:13" x14ac:dyDescent="0.25">
      <c r="A145" s="1">
        <v>46127</v>
      </c>
      <c r="B145" s="1" t="str">
        <f ca="1">IF(Información1[[#This Row],[Fecha]]='Ajuste de fechas'!$A$2,"Día actual","Día anterior")</f>
        <v>Día anterior</v>
      </c>
      <c r="C145" s="3" t="s">
        <v>39</v>
      </c>
      <c r="D145" t="s">
        <v>42</v>
      </c>
      <c r="E145" s="3" t="s">
        <v>147</v>
      </c>
      <c r="F145" s="3" t="s">
        <v>28</v>
      </c>
      <c r="G145" s="3" t="s">
        <v>70</v>
      </c>
      <c r="H145" s="3" t="s">
        <v>11</v>
      </c>
      <c r="I145" s="3" t="s">
        <v>7</v>
      </c>
      <c r="J145" s="3" t="s">
        <v>84</v>
      </c>
      <c r="K145" s="3" t="s">
        <v>40</v>
      </c>
      <c r="L145" s="3" t="s">
        <v>87</v>
      </c>
      <c r="M145">
        <v>1</v>
      </c>
    </row>
    <row r="146" spans="1:13" x14ac:dyDescent="0.25">
      <c r="A146" s="1">
        <v>46127</v>
      </c>
      <c r="B146" s="1" t="str">
        <f ca="1">IF(Información1[[#This Row],[Fecha]]='Ajuste de fechas'!$A$2,"Día actual","Día anterior")</f>
        <v>Día anterior</v>
      </c>
      <c r="C146" s="3" t="s">
        <v>8</v>
      </c>
      <c r="D146" t="s">
        <v>10</v>
      </c>
      <c r="E146" s="3" t="s">
        <v>148</v>
      </c>
      <c r="F146" s="3" t="s">
        <v>28</v>
      </c>
      <c r="G146" s="3" t="s">
        <v>70</v>
      </c>
      <c r="H146" s="3" t="s">
        <v>11</v>
      </c>
      <c r="I146" s="3" t="s">
        <v>7</v>
      </c>
      <c r="J146" s="3" t="s">
        <v>84</v>
      </c>
      <c r="K146" s="3" t="s">
        <v>14</v>
      </c>
      <c r="L146" s="3" t="s">
        <v>87</v>
      </c>
      <c r="M146">
        <v>1</v>
      </c>
    </row>
    <row r="147" spans="1:13" x14ac:dyDescent="0.25">
      <c r="A147" s="1">
        <v>46127</v>
      </c>
      <c r="B147" s="1" t="str">
        <f ca="1">IF(Información1[[#This Row],[Fecha]]='Ajuste de fechas'!$A$2,"Día actual","Día anterior")</f>
        <v>Día anterior</v>
      </c>
      <c r="C147" s="3" t="s">
        <v>35</v>
      </c>
      <c r="D147" t="s">
        <v>37</v>
      </c>
      <c r="E147" s="3" t="s">
        <v>149</v>
      </c>
      <c r="F147" s="3" t="s">
        <v>98</v>
      </c>
      <c r="G147" s="3" t="s">
        <v>97</v>
      </c>
      <c r="H147" s="3" t="s">
        <v>11</v>
      </c>
      <c r="I147" s="3" t="s">
        <v>7</v>
      </c>
      <c r="J147" s="3" t="s">
        <v>84</v>
      </c>
      <c r="K147" s="3" t="s">
        <v>36</v>
      </c>
      <c r="L147" s="3" t="s">
        <v>87</v>
      </c>
      <c r="M147">
        <v>1</v>
      </c>
    </row>
    <row r="148" spans="1:13" x14ac:dyDescent="0.25">
      <c r="A148" s="1">
        <v>46127</v>
      </c>
      <c r="B148" s="1" t="str">
        <f ca="1">IF(Información1[[#This Row],[Fecha]]='Ajuste de fechas'!$A$2,"Día actual","Día anterior")</f>
        <v>Día anterior</v>
      </c>
      <c r="C148" s="3" t="s">
        <v>39</v>
      </c>
      <c r="D148" t="s">
        <v>41</v>
      </c>
      <c r="E148" s="3" t="s">
        <v>150</v>
      </c>
      <c r="F148" s="3" t="s">
        <v>28</v>
      </c>
      <c r="G148" s="3" t="s">
        <v>151</v>
      </c>
      <c r="H148" s="3" t="s">
        <v>11</v>
      </c>
      <c r="I148" s="3" t="s">
        <v>7</v>
      </c>
      <c r="J148" s="3" t="s">
        <v>84</v>
      </c>
      <c r="K148" s="3" t="s">
        <v>76</v>
      </c>
      <c r="L148" s="3" t="s">
        <v>85</v>
      </c>
      <c r="M148">
        <v>1</v>
      </c>
    </row>
    <row r="149" spans="1:13" x14ac:dyDescent="0.25">
      <c r="A149" s="1">
        <v>46127</v>
      </c>
      <c r="B149" s="1" t="str">
        <f ca="1">IF(Información1[[#This Row],[Fecha]]='Ajuste de fechas'!$A$2,"Día actual","Día anterior")</f>
        <v>Día anterior</v>
      </c>
      <c r="C149" s="3" t="s">
        <v>39</v>
      </c>
      <c r="D149" t="s">
        <v>41</v>
      </c>
      <c r="E149" s="3" t="s">
        <v>150</v>
      </c>
      <c r="F149" s="3" t="s">
        <v>28</v>
      </c>
      <c r="G149" s="3" t="s">
        <v>151</v>
      </c>
      <c r="H149" s="3" t="s">
        <v>11</v>
      </c>
      <c r="I149" s="3" t="s">
        <v>7</v>
      </c>
      <c r="J149" s="3" t="s">
        <v>84</v>
      </c>
      <c r="K149" s="3" t="s">
        <v>76</v>
      </c>
      <c r="L149" s="3" t="s">
        <v>86</v>
      </c>
      <c r="M149">
        <v>1</v>
      </c>
    </row>
    <row r="150" spans="1:13" x14ac:dyDescent="0.25">
      <c r="A150" s="1">
        <v>46127</v>
      </c>
      <c r="B150" s="1" t="str">
        <f ca="1">IF(Información1[[#This Row],[Fecha]]='Ajuste de fechas'!$A$2,"Día actual","Día anterior")</f>
        <v>Día anterior</v>
      </c>
      <c r="C150" s="3" t="s">
        <v>39</v>
      </c>
      <c r="D150" t="s">
        <v>41</v>
      </c>
      <c r="E150" s="3" t="s">
        <v>152</v>
      </c>
      <c r="F150" s="3" t="s">
        <v>26</v>
      </c>
      <c r="G150" s="3" t="s">
        <v>151</v>
      </c>
      <c r="H150" s="3" t="s">
        <v>11</v>
      </c>
      <c r="I150" s="3" t="s">
        <v>7</v>
      </c>
      <c r="J150" s="3" t="s">
        <v>26</v>
      </c>
      <c r="K150" s="3" t="s">
        <v>76</v>
      </c>
      <c r="L150" s="3" t="s">
        <v>90</v>
      </c>
      <c r="M150">
        <v>1</v>
      </c>
    </row>
    <row r="151" spans="1:13" x14ac:dyDescent="0.25">
      <c r="A151" s="1">
        <v>46127</v>
      </c>
      <c r="B151" s="1" t="str">
        <f ca="1">IF(Información1[[#This Row],[Fecha]]='Ajuste de fechas'!$A$2,"Día actual","Día anterior")</f>
        <v>Día anterior</v>
      </c>
      <c r="C151" s="3" t="s">
        <v>39</v>
      </c>
      <c r="D151" t="s">
        <v>42</v>
      </c>
      <c r="E151" s="3" t="s">
        <v>108</v>
      </c>
      <c r="F151" s="3" t="s">
        <v>23</v>
      </c>
      <c r="G151" s="3" t="s">
        <v>109</v>
      </c>
      <c r="H151" s="3" t="s">
        <v>11</v>
      </c>
      <c r="I151" s="3" t="s">
        <v>7</v>
      </c>
      <c r="J151" s="3" t="s">
        <v>89</v>
      </c>
      <c r="K151" s="3" t="s">
        <v>40</v>
      </c>
      <c r="L151" s="3" t="s">
        <v>85</v>
      </c>
      <c r="M151">
        <v>1</v>
      </c>
    </row>
    <row r="152" spans="1:13" x14ac:dyDescent="0.25">
      <c r="A152" s="1">
        <v>46127</v>
      </c>
      <c r="B152" s="1" t="str">
        <f ca="1">IF(Información1[[#This Row],[Fecha]]='Ajuste de fechas'!$A$2,"Día actual","Día anterior")</f>
        <v>Día anterior</v>
      </c>
      <c r="C152" s="3" t="s">
        <v>39</v>
      </c>
      <c r="D152" t="s">
        <v>42</v>
      </c>
      <c r="E152" s="3" t="s">
        <v>153</v>
      </c>
      <c r="F152" s="3" t="s">
        <v>15</v>
      </c>
      <c r="G152" s="3" t="s">
        <v>154</v>
      </c>
      <c r="H152" s="3" t="s">
        <v>11</v>
      </c>
      <c r="I152" s="3" t="s">
        <v>7</v>
      </c>
      <c r="J152" s="3" t="s">
        <v>84</v>
      </c>
      <c r="K152" s="3" t="s">
        <v>40</v>
      </c>
      <c r="L152" s="3" t="s">
        <v>87</v>
      </c>
      <c r="M152">
        <v>1</v>
      </c>
    </row>
    <row r="153" spans="1:13" x14ac:dyDescent="0.25">
      <c r="A153" s="1">
        <v>46127</v>
      </c>
      <c r="B153" s="1" t="str">
        <f ca="1">IF(Información1[[#This Row],[Fecha]]='Ajuste de fechas'!$A$2,"Día actual","Día anterior")</f>
        <v>Día anterior</v>
      </c>
      <c r="C153" s="3" t="s">
        <v>8</v>
      </c>
      <c r="D153" t="s">
        <v>10</v>
      </c>
      <c r="E153" s="3" t="s">
        <v>155</v>
      </c>
      <c r="F153" s="3" t="s">
        <v>17</v>
      </c>
      <c r="G153" s="3" t="s">
        <v>99</v>
      </c>
      <c r="H153" s="3" t="s">
        <v>11</v>
      </c>
      <c r="I153" s="3" t="s">
        <v>27</v>
      </c>
      <c r="J153" s="3" t="s">
        <v>84</v>
      </c>
      <c r="K153" s="3" t="s">
        <v>9</v>
      </c>
      <c r="L153" s="3" t="s">
        <v>86</v>
      </c>
      <c r="M153">
        <v>1</v>
      </c>
    </row>
    <row r="154" spans="1:13" x14ac:dyDescent="0.25">
      <c r="A154" s="1">
        <v>46127</v>
      </c>
      <c r="B154" s="1" t="str">
        <f ca="1">IF(Información1[[#This Row],[Fecha]]='Ajuste de fechas'!$A$2,"Día actual","Día anterior")</f>
        <v>Día anterior</v>
      </c>
      <c r="C154" s="3" t="s">
        <v>39</v>
      </c>
      <c r="D154" t="s">
        <v>42</v>
      </c>
      <c r="E154" s="3" t="s">
        <v>156</v>
      </c>
      <c r="F154" s="3" t="s">
        <v>23</v>
      </c>
      <c r="G154" s="3" t="s">
        <v>157</v>
      </c>
      <c r="H154" s="3" t="s">
        <v>11</v>
      </c>
      <c r="I154" s="3" t="s">
        <v>7</v>
      </c>
      <c r="J154" s="3" t="s">
        <v>89</v>
      </c>
      <c r="K154" s="3" t="s">
        <v>40</v>
      </c>
      <c r="L154" s="3" t="s">
        <v>85</v>
      </c>
      <c r="M154">
        <v>1</v>
      </c>
    </row>
    <row r="155" spans="1:13" x14ac:dyDescent="0.25">
      <c r="A155" s="1">
        <v>46127</v>
      </c>
      <c r="B155" s="1" t="str">
        <f ca="1">IF(Información1[[#This Row],[Fecha]]='Ajuste de fechas'!$A$2,"Día actual","Día anterior")</f>
        <v>Día anterior</v>
      </c>
      <c r="C155" s="3" t="s">
        <v>8</v>
      </c>
      <c r="D155" t="s">
        <v>10</v>
      </c>
      <c r="E155" s="3" t="s">
        <v>158</v>
      </c>
      <c r="F155" s="3" t="s">
        <v>19</v>
      </c>
      <c r="G155" s="3" t="s">
        <v>159</v>
      </c>
      <c r="H155" s="3" t="s">
        <v>11</v>
      </c>
      <c r="I155" s="3" t="s">
        <v>7</v>
      </c>
      <c r="J155" s="3" t="s">
        <v>88</v>
      </c>
      <c r="K155" s="3" t="s">
        <v>14</v>
      </c>
      <c r="L155" s="3" t="s">
        <v>85</v>
      </c>
      <c r="M155">
        <v>1</v>
      </c>
    </row>
    <row r="156" spans="1:13" x14ac:dyDescent="0.25">
      <c r="A156" s="1">
        <v>46127</v>
      </c>
      <c r="B156" s="1" t="str">
        <f ca="1">IF(Información1[[#This Row],[Fecha]]='Ajuste de fechas'!$A$2,"Día actual","Día anterior")</f>
        <v>Día anterior</v>
      </c>
      <c r="C156" s="3" t="s">
        <v>39</v>
      </c>
      <c r="D156" t="s">
        <v>41</v>
      </c>
      <c r="E156" s="3" t="s">
        <v>160</v>
      </c>
      <c r="F156" s="3" t="s">
        <v>19</v>
      </c>
      <c r="G156" s="3" t="s">
        <v>100</v>
      </c>
      <c r="H156" s="3" t="s">
        <v>11</v>
      </c>
      <c r="I156" s="3" t="s">
        <v>27</v>
      </c>
      <c r="J156" s="3" t="s">
        <v>88</v>
      </c>
      <c r="K156" s="3" t="s">
        <v>76</v>
      </c>
      <c r="L156" s="3" t="s">
        <v>85</v>
      </c>
      <c r="M156">
        <v>1</v>
      </c>
    </row>
    <row r="157" spans="1:13" x14ac:dyDescent="0.25">
      <c r="A157" s="1">
        <v>46127</v>
      </c>
      <c r="B157" s="1" t="str">
        <f ca="1">IF(Información1[[#This Row],[Fecha]]='Ajuste de fechas'!$A$2,"Día actual","Día anterior")</f>
        <v>Día anterior</v>
      </c>
      <c r="C157" s="3" t="s">
        <v>39</v>
      </c>
      <c r="D157" t="s">
        <v>42</v>
      </c>
      <c r="E157" s="3" t="s">
        <v>113</v>
      </c>
      <c r="F157" s="3" t="s">
        <v>15</v>
      </c>
      <c r="G157" s="3" t="s">
        <v>161</v>
      </c>
      <c r="H157" s="3" t="s">
        <v>11</v>
      </c>
      <c r="I157" s="3" t="s">
        <v>7</v>
      </c>
      <c r="J157" s="3" t="s">
        <v>84</v>
      </c>
      <c r="K157" s="3" t="s">
        <v>40</v>
      </c>
      <c r="L157" s="3" t="s">
        <v>85</v>
      </c>
      <c r="M157">
        <v>1</v>
      </c>
    </row>
    <row r="158" spans="1:13" x14ac:dyDescent="0.25">
      <c r="A158" s="1">
        <v>46127</v>
      </c>
      <c r="B158" s="1" t="str">
        <f ca="1">IF(Información1[[#This Row],[Fecha]]='Ajuste de fechas'!$A$2,"Día actual","Día anterior")</f>
        <v>Día anterior</v>
      </c>
      <c r="C158" s="3" t="s">
        <v>58</v>
      </c>
      <c r="D158" t="s">
        <v>60</v>
      </c>
      <c r="E158" s="3" t="s">
        <v>162</v>
      </c>
      <c r="F158" s="3" t="s">
        <v>38</v>
      </c>
      <c r="G158" s="3" t="s">
        <v>163</v>
      </c>
      <c r="H158" s="3" t="s">
        <v>11</v>
      </c>
      <c r="I158" s="3" t="s">
        <v>7</v>
      </c>
      <c r="J158" s="3" t="s">
        <v>84</v>
      </c>
      <c r="K158" s="3" t="s">
        <v>59</v>
      </c>
      <c r="L158" s="3" t="s">
        <v>87</v>
      </c>
      <c r="M158">
        <v>1</v>
      </c>
    </row>
    <row r="159" spans="1:13" x14ac:dyDescent="0.25">
      <c r="A159" s="1">
        <v>46127</v>
      </c>
      <c r="B159" s="1" t="str">
        <f ca="1">IF(Información1[[#This Row],[Fecha]]='Ajuste de fechas'!$A$2,"Día actual","Día anterior")</f>
        <v>Día anterior</v>
      </c>
      <c r="C159" s="3" t="s">
        <v>39</v>
      </c>
      <c r="D159" t="s">
        <v>42</v>
      </c>
      <c r="E159" s="3" t="s">
        <v>164</v>
      </c>
      <c r="F159" s="3" t="s">
        <v>38</v>
      </c>
      <c r="G159" s="3" t="s">
        <v>163</v>
      </c>
      <c r="H159" s="3" t="s">
        <v>11</v>
      </c>
      <c r="I159" s="3" t="s">
        <v>7</v>
      </c>
      <c r="J159" s="3" t="s">
        <v>84</v>
      </c>
      <c r="K159" s="3" t="s">
        <v>40</v>
      </c>
      <c r="L159" s="3" t="s">
        <v>87</v>
      </c>
      <c r="M159">
        <v>1</v>
      </c>
    </row>
    <row r="160" spans="1:13" x14ac:dyDescent="0.25">
      <c r="A160" s="1">
        <v>46127</v>
      </c>
      <c r="B160" s="1" t="str">
        <f ca="1">IF(Información1[[#This Row],[Fecha]]='Ajuste de fechas'!$A$2,"Día actual","Día anterior")</f>
        <v>Día anterior</v>
      </c>
      <c r="C160" s="3" t="s">
        <v>39</v>
      </c>
      <c r="D160" t="s">
        <v>41</v>
      </c>
      <c r="E160" s="3" t="s">
        <v>165</v>
      </c>
      <c r="F160" s="3" t="s">
        <v>26</v>
      </c>
      <c r="G160" s="3" t="s">
        <v>101</v>
      </c>
      <c r="H160" s="3" t="s">
        <v>11</v>
      </c>
      <c r="I160" s="3" t="s">
        <v>7</v>
      </c>
      <c r="J160" s="3" t="s">
        <v>26</v>
      </c>
      <c r="K160" s="3" t="s">
        <v>76</v>
      </c>
      <c r="L160" s="3" t="s">
        <v>85</v>
      </c>
      <c r="M160">
        <v>1</v>
      </c>
    </row>
    <row r="161" spans="1:13" x14ac:dyDescent="0.25">
      <c r="A161" s="1">
        <v>46127</v>
      </c>
      <c r="B161" s="1" t="str">
        <f ca="1">IF(Información1[[#This Row],[Fecha]]='Ajuste de fechas'!$A$2,"Día actual","Día anterior")</f>
        <v>Día anterior</v>
      </c>
      <c r="C161" s="3" t="s">
        <v>39</v>
      </c>
      <c r="D161" t="s">
        <v>41</v>
      </c>
      <c r="E161" s="3" t="s">
        <v>166</v>
      </c>
      <c r="F161" s="3" t="s">
        <v>22</v>
      </c>
      <c r="G161" s="3" t="s">
        <v>101</v>
      </c>
      <c r="H161" s="3" t="s">
        <v>11</v>
      </c>
      <c r="I161" s="3" t="s">
        <v>7</v>
      </c>
      <c r="J161" s="3" t="s">
        <v>26</v>
      </c>
      <c r="K161" s="3" t="s">
        <v>76</v>
      </c>
      <c r="L161" s="3" t="s">
        <v>85</v>
      </c>
      <c r="M161">
        <v>1</v>
      </c>
    </row>
    <row r="162" spans="1:13" x14ac:dyDescent="0.25">
      <c r="A162" s="1">
        <v>46127</v>
      </c>
      <c r="B162" s="1" t="str">
        <f ca="1">IF(Información1[[#This Row],[Fecha]]='Ajuste de fechas'!$A$2,"Día actual","Día anterior")</f>
        <v>Día anterior</v>
      </c>
      <c r="C162" s="3" t="s">
        <v>39</v>
      </c>
      <c r="D162" t="s">
        <v>41</v>
      </c>
      <c r="E162" s="3" t="s">
        <v>167</v>
      </c>
      <c r="F162" s="3" t="s">
        <v>19</v>
      </c>
      <c r="G162" s="3" t="s">
        <v>101</v>
      </c>
      <c r="H162" s="3" t="s">
        <v>11</v>
      </c>
      <c r="I162" s="3" t="s">
        <v>7</v>
      </c>
      <c r="J162" s="3" t="s">
        <v>88</v>
      </c>
      <c r="K162" s="3" t="s">
        <v>76</v>
      </c>
      <c r="L162" s="3" t="s">
        <v>85</v>
      </c>
      <c r="M162">
        <v>1</v>
      </c>
    </row>
    <row r="163" spans="1:13" x14ac:dyDescent="0.25">
      <c r="A163" s="1">
        <v>46127</v>
      </c>
      <c r="B163" s="1" t="str">
        <f ca="1">IF(Información1[[#This Row],[Fecha]]='Ajuste de fechas'!$A$2,"Día actual","Día anterior")</f>
        <v>Día anterior</v>
      </c>
      <c r="C163" s="3" t="s">
        <v>39</v>
      </c>
      <c r="D163" t="s">
        <v>42</v>
      </c>
      <c r="E163" s="3" t="s">
        <v>168</v>
      </c>
      <c r="F163" s="3" t="s">
        <v>22</v>
      </c>
      <c r="G163" s="3" t="s">
        <v>101</v>
      </c>
      <c r="H163" s="3" t="s">
        <v>11</v>
      </c>
      <c r="I163" s="3" t="s">
        <v>7</v>
      </c>
      <c r="J163" s="3" t="s">
        <v>26</v>
      </c>
      <c r="K163" s="3" t="s">
        <v>40</v>
      </c>
      <c r="L163" s="3" t="s">
        <v>85</v>
      </c>
      <c r="M163">
        <v>1</v>
      </c>
    </row>
    <row r="164" spans="1:13" x14ac:dyDescent="0.25">
      <c r="A164" s="1">
        <v>46127</v>
      </c>
      <c r="B164" s="1" t="str">
        <f ca="1">IF(Información1[[#This Row],[Fecha]]='Ajuste de fechas'!$A$2,"Día actual","Día anterior")</f>
        <v>Día anterior</v>
      </c>
      <c r="C164" s="3" t="s">
        <v>39</v>
      </c>
      <c r="D164" t="s">
        <v>42</v>
      </c>
      <c r="E164" s="3" t="s">
        <v>169</v>
      </c>
      <c r="F164" s="3" t="s">
        <v>25</v>
      </c>
      <c r="G164" s="3" t="s">
        <v>170</v>
      </c>
      <c r="H164" s="3" t="s">
        <v>11</v>
      </c>
      <c r="I164" s="3" t="s">
        <v>7</v>
      </c>
      <c r="J164" s="3" t="s">
        <v>84</v>
      </c>
      <c r="K164" s="3" t="s">
        <v>40</v>
      </c>
      <c r="L164" s="3" t="s">
        <v>85</v>
      </c>
      <c r="M164">
        <v>1</v>
      </c>
    </row>
    <row r="165" spans="1:13" x14ac:dyDescent="0.25">
      <c r="A165" s="1">
        <v>46127</v>
      </c>
      <c r="B165" s="1" t="str">
        <f ca="1">IF(Información1[[#This Row],[Fecha]]='Ajuste de fechas'!$A$2,"Día actual","Día anterior")</f>
        <v>Día anterior</v>
      </c>
      <c r="C165" s="3" t="s">
        <v>39</v>
      </c>
      <c r="D165" t="s">
        <v>42</v>
      </c>
      <c r="E165" s="3" t="s">
        <v>171</v>
      </c>
      <c r="F165" s="3" t="s">
        <v>23</v>
      </c>
      <c r="G165" s="3" t="s">
        <v>114</v>
      </c>
      <c r="H165" s="3" t="s">
        <v>11</v>
      </c>
      <c r="I165" s="3" t="s">
        <v>7</v>
      </c>
      <c r="J165" s="3" t="s">
        <v>89</v>
      </c>
      <c r="K165" s="3" t="s">
        <v>40</v>
      </c>
      <c r="L165" s="3" t="s">
        <v>85</v>
      </c>
      <c r="M165">
        <v>1</v>
      </c>
    </row>
    <row r="166" spans="1:13" x14ac:dyDescent="0.25">
      <c r="A166" s="1">
        <v>46127</v>
      </c>
      <c r="B166" s="1" t="str">
        <f ca="1">IF(Información1[[#This Row],[Fecha]]='Ajuste de fechas'!$A$2,"Día actual","Día anterior")</f>
        <v>Día anterior</v>
      </c>
      <c r="C166" s="3" t="s">
        <v>54</v>
      </c>
      <c r="D166" t="s">
        <v>57</v>
      </c>
      <c r="E166" s="3" t="s">
        <v>172</v>
      </c>
      <c r="F166" s="3" t="s">
        <v>23</v>
      </c>
      <c r="G166" s="3" t="s">
        <v>122</v>
      </c>
      <c r="H166" s="3" t="s">
        <v>11</v>
      </c>
      <c r="I166" s="3" t="s">
        <v>7</v>
      </c>
      <c r="J166" s="3" t="s">
        <v>89</v>
      </c>
      <c r="K166" s="3" t="s">
        <v>55</v>
      </c>
      <c r="L166" s="3" t="s">
        <v>85</v>
      </c>
      <c r="M166">
        <v>1</v>
      </c>
    </row>
    <row r="167" spans="1:13" x14ac:dyDescent="0.25">
      <c r="A167" s="1">
        <v>46127</v>
      </c>
      <c r="B167" s="1" t="str">
        <f ca="1">IF(Información1[[#This Row],[Fecha]]='Ajuste de fechas'!$A$2,"Día actual","Día anterior")</f>
        <v>Día anterior</v>
      </c>
      <c r="C167" s="3" t="s">
        <v>54</v>
      </c>
      <c r="D167" t="s">
        <v>57</v>
      </c>
      <c r="E167" s="3" t="s">
        <v>173</v>
      </c>
      <c r="F167" s="3" t="s">
        <v>19</v>
      </c>
      <c r="G167" s="3" t="s">
        <v>174</v>
      </c>
      <c r="H167" s="3" t="s">
        <v>11</v>
      </c>
      <c r="I167" s="3" t="s">
        <v>7</v>
      </c>
      <c r="J167" s="3" t="s">
        <v>88</v>
      </c>
      <c r="K167" s="3" t="s">
        <v>55</v>
      </c>
      <c r="L167" s="3" t="s">
        <v>85</v>
      </c>
      <c r="M167">
        <v>1</v>
      </c>
    </row>
    <row r="168" spans="1:13" x14ac:dyDescent="0.25">
      <c r="A168" s="1">
        <v>46127</v>
      </c>
      <c r="B168" s="1" t="str">
        <f ca="1">IF(Información1[[#This Row],[Fecha]]='Ajuste de fechas'!$A$2,"Día actual","Día anterior")</f>
        <v>Día anterior</v>
      </c>
      <c r="C168" s="3" t="s">
        <v>54</v>
      </c>
      <c r="D168" t="s">
        <v>57</v>
      </c>
      <c r="E168" s="3" t="s">
        <v>175</v>
      </c>
      <c r="F168" s="3" t="s">
        <v>19</v>
      </c>
      <c r="G168" s="3" t="s">
        <v>176</v>
      </c>
      <c r="H168" s="3" t="s">
        <v>11</v>
      </c>
      <c r="I168" s="3" t="s">
        <v>7</v>
      </c>
      <c r="J168" s="3" t="s">
        <v>88</v>
      </c>
      <c r="K168" s="3" t="s">
        <v>55</v>
      </c>
      <c r="L168" s="3" t="s">
        <v>85</v>
      </c>
      <c r="M168">
        <v>1</v>
      </c>
    </row>
    <row r="169" spans="1:13" x14ac:dyDescent="0.25">
      <c r="A169" s="1">
        <v>46127</v>
      </c>
      <c r="B169" s="1" t="str">
        <f ca="1">IF(Información1[[#This Row],[Fecha]]='Ajuste de fechas'!$A$2,"Día actual","Día anterior")</f>
        <v>Día anterior</v>
      </c>
      <c r="C169" s="3" t="s">
        <v>54</v>
      </c>
      <c r="D169" t="s">
        <v>57</v>
      </c>
      <c r="E169" s="3" t="s">
        <v>177</v>
      </c>
      <c r="F169" s="3" t="s">
        <v>22</v>
      </c>
      <c r="G169" s="3" t="s">
        <v>101</v>
      </c>
      <c r="H169" s="3" t="s">
        <v>11</v>
      </c>
      <c r="I169" s="3" t="s">
        <v>7</v>
      </c>
      <c r="J169" s="3" t="s">
        <v>26</v>
      </c>
      <c r="K169" s="3" t="s">
        <v>55</v>
      </c>
      <c r="L169" s="3" t="s">
        <v>85</v>
      </c>
      <c r="M169">
        <v>1</v>
      </c>
    </row>
    <row r="170" spans="1:13" x14ac:dyDescent="0.25">
      <c r="A170" s="1">
        <v>46127</v>
      </c>
      <c r="B170" s="1" t="str">
        <f ca="1">IF(Información1[[#This Row],[Fecha]]='Ajuste de fechas'!$A$2,"Día actual","Día anterior")</f>
        <v>Día anterior</v>
      </c>
      <c r="C170" s="3" t="s">
        <v>54</v>
      </c>
      <c r="D170" t="s">
        <v>57</v>
      </c>
      <c r="E170" s="3" t="s">
        <v>178</v>
      </c>
      <c r="F170" s="3" t="s">
        <v>22</v>
      </c>
      <c r="G170" s="3" t="s">
        <v>101</v>
      </c>
      <c r="H170" s="3" t="s">
        <v>11</v>
      </c>
      <c r="I170" s="3" t="s">
        <v>7</v>
      </c>
      <c r="J170" s="3" t="s">
        <v>26</v>
      </c>
      <c r="K170" s="3" t="s">
        <v>55</v>
      </c>
      <c r="L170" s="3" t="s">
        <v>85</v>
      </c>
      <c r="M170">
        <v>1</v>
      </c>
    </row>
    <row r="171" spans="1:13" x14ac:dyDescent="0.25">
      <c r="A171" s="1">
        <v>46127</v>
      </c>
      <c r="B171" s="1" t="str">
        <f ca="1">IF(Información1[[#This Row],[Fecha]]='Ajuste de fechas'!$A$2,"Día actual","Día anterior")</f>
        <v>Día anterior</v>
      </c>
      <c r="C171" s="3" t="s">
        <v>32</v>
      </c>
      <c r="D171" t="s">
        <v>34</v>
      </c>
      <c r="E171" s="3" t="s">
        <v>179</v>
      </c>
      <c r="F171" s="3" t="s">
        <v>23</v>
      </c>
      <c r="G171" s="3" t="s">
        <v>122</v>
      </c>
      <c r="H171" s="3" t="s">
        <v>11</v>
      </c>
      <c r="I171" s="3" t="s">
        <v>7</v>
      </c>
      <c r="J171" s="3" t="s">
        <v>89</v>
      </c>
      <c r="K171" s="3" t="s">
        <v>33</v>
      </c>
      <c r="L171" s="3" t="s">
        <v>85</v>
      </c>
      <c r="M171">
        <v>1</v>
      </c>
    </row>
    <row r="172" spans="1:13" x14ac:dyDescent="0.25">
      <c r="A172" s="1">
        <v>46127</v>
      </c>
      <c r="B172" s="1" t="str">
        <f ca="1">IF(Información1[[#This Row],[Fecha]]='Ajuste de fechas'!$A$2,"Día actual","Día anterior")</f>
        <v>Día anterior</v>
      </c>
      <c r="C172" s="3" t="s">
        <v>32</v>
      </c>
      <c r="D172" t="s">
        <v>34</v>
      </c>
      <c r="E172" s="3" t="s">
        <v>180</v>
      </c>
      <c r="F172" s="3" t="s">
        <v>19</v>
      </c>
      <c r="G172" s="3" t="s">
        <v>75</v>
      </c>
      <c r="H172" s="3" t="s">
        <v>11</v>
      </c>
      <c r="I172" s="3" t="s">
        <v>7</v>
      </c>
      <c r="J172" s="3" t="s">
        <v>88</v>
      </c>
      <c r="K172" s="3" t="s">
        <v>33</v>
      </c>
      <c r="L172" s="3" t="s">
        <v>85</v>
      </c>
      <c r="M172">
        <v>1</v>
      </c>
    </row>
    <row r="173" spans="1:13" x14ac:dyDescent="0.25">
      <c r="A173" s="1">
        <v>46127</v>
      </c>
      <c r="B173" s="1" t="str">
        <f ca="1">IF(Información1[[#This Row],[Fecha]]='Ajuste de fechas'!$A$2,"Día actual","Día anterior")</f>
        <v>Día anterior</v>
      </c>
      <c r="C173" s="3" t="s">
        <v>32</v>
      </c>
      <c r="D173" t="s">
        <v>34</v>
      </c>
      <c r="E173" s="3" t="s">
        <v>181</v>
      </c>
      <c r="F173" s="3" t="s">
        <v>19</v>
      </c>
      <c r="G173" s="3" t="s">
        <v>182</v>
      </c>
      <c r="H173" s="3" t="s">
        <v>11</v>
      </c>
      <c r="I173" s="3" t="s">
        <v>27</v>
      </c>
      <c r="J173" s="3" t="s">
        <v>88</v>
      </c>
      <c r="K173" s="3" t="s">
        <v>33</v>
      </c>
      <c r="L173" s="3" t="s">
        <v>85</v>
      </c>
      <c r="M173">
        <v>1</v>
      </c>
    </row>
    <row r="174" spans="1:13" x14ac:dyDescent="0.25">
      <c r="A174" s="1">
        <v>46127</v>
      </c>
      <c r="B174" s="1" t="str">
        <f ca="1">IF(Información1[[#This Row],[Fecha]]='Ajuste de fechas'!$A$2,"Día actual","Día anterior")</f>
        <v>Día anterior</v>
      </c>
      <c r="C174" s="3" t="s">
        <v>32</v>
      </c>
      <c r="D174" t="s">
        <v>34</v>
      </c>
      <c r="E174" s="3" t="s">
        <v>183</v>
      </c>
      <c r="F174" s="3" t="s">
        <v>22</v>
      </c>
      <c r="G174" s="3" t="s">
        <v>184</v>
      </c>
      <c r="H174" s="3" t="s">
        <v>11</v>
      </c>
      <c r="I174" s="3" t="s">
        <v>7</v>
      </c>
      <c r="J174" s="3" t="s">
        <v>26</v>
      </c>
      <c r="K174" s="3" t="s">
        <v>33</v>
      </c>
      <c r="L174" s="3" t="s">
        <v>85</v>
      </c>
      <c r="M174">
        <v>1</v>
      </c>
    </row>
    <row r="175" spans="1:13" x14ac:dyDescent="0.25">
      <c r="A175" s="1">
        <v>46127</v>
      </c>
      <c r="B175" s="1" t="str">
        <f ca="1">IF(Información1[[#This Row],[Fecha]]='Ajuste de fechas'!$A$2,"Día actual","Día anterior")</f>
        <v>Día anterior</v>
      </c>
      <c r="C175" s="3" t="s">
        <v>32</v>
      </c>
      <c r="D175" t="s">
        <v>34</v>
      </c>
      <c r="E175" s="3" t="s">
        <v>185</v>
      </c>
      <c r="F175" s="3" t="s">
        <v>61</v>
      </c>
      <c r="G175" s="3" t="s">
        <v>186</v>
      </c>
      <c r="H175" s="3" t="s">
        <v>11</v>
      </c>
      <c r="I175" s="3" t="s">
        <v>7</v>
      </c>
      <c r="J175" s="3" t="s">
        <v>84</v>
      </c>
      <c r="K175" s="3" t="s">
        <v>33</v>
      </c>
      <c r="L175" s="3" t="s">
        <v>87</v>
      </c>
      <c r="M175">
        <v>1</v>
      </c>
    </row>
    <row r="176" spans="1:13" x14ac:dyDescent="0.25">
      <c r="A176" s="1">
        <v>46127</v>
      </c>
      <c r="B176" s="1" t="str">
        <f ca="1">IF(Información1[[#This Row],[Fecha]]='Ajuste de fechas'!$A$2,"Día actual","Día anterior")</f>
        <v>Día anterior</v>
      </c>
      <c r="C176" s="3" t="s">
        <v>32</v>
      </c>
      <c r="D176" t="s">
        <v>34</v>
      </c>
      <c r="E176" s="3" t="s">
        <v>132</v>
      </c>
      <c r="F176" s="3" t="s">
        <v>24</v>
      </c>
      <c r="G176" s="3" t="s">
        <v>107</v>
      </c>
      <c r="H176" s="3" t="s">
        <v>11</v>
      </c>
      <c r="I176" s="3" t="s">
        <v>7</v>
      </c>
      <c r="J176" s="3" t="s">
        <v>84</v>
      </c>
      <c r="K176" s="3" t="s">
        <v>33</v>
      </c>
      <c r="L176" s="3" t="s">
        <v>87</v>
      </c>
      <c r="M176">
        <v>1</v>
      </c>
    </row>
    <row r="177" spans="1:13" x14ac:dyDescent="0.25">
      <c r="A177" s="1">
        <v>46127</v>
      </c>
      <c r="B177" s="1" t="str">
        <f ca="1">IF(Información1[[#This Row],[Fecha]]='Ajuste de fechas'!$A$2,"Día actual","Día anterior")</f>
        <v>Día anterior</v>
      </c>
      <c r="C177" s="3" t="s">
        <v>32</v>
      </c>
      <c r="D177" t="s">
        <v>34</v>
      </c>
      <c r="E177" s="3" t="s">
        <v>187</v>
      </c>
      <c r="F177" s="3" t="s">
        <v>15</v>
      </c>
      <c r="G177" s="3" t="s">
        <v>102</v>
      </c>
      <c r="H177" s="3" t="s">
        <v>11</v>
      </c>
      <c r="I177" s="3" t="s">
        <v>12</v>
      </c>
      <c r="J177" s="3" t="s">
        <v>84</v>
      </c>
      <c r="K177" s="3" t="s">
        <v>33</v>
      </c>
      <c r="L177" s="3" t="s">
        <v>110</v>
      </c>
      <c r="M177">
        <v>1</v>
      </c>
    </row>
    <row r="178" spans="1:13" x14ac:dyDescent="0.25">
      <c r="A178" s="1">
        <v>46127</v>
      </c>
      <c r="B178" s="1" t="str">
        <f ca="1">IF(Información1[[#This Row],[Fecha]]='Ajuste de fechas'!$A$2,"Día actual","Día anterior")</f>
        <v>Día anterior</v>
      </c>
      <c r="C178" s="3" t="s">
        <v>32</v>
      </c>
      <c r="D178" t="s">
        <v>34</v>
      </c>
      <c r="E178" s="3" t="s">
        <v>188</v>
      </c>
      <c r="F178" s="3" t="s">
        <v>53</v>
      </c>
      <c r="G178" s="3" t="s">
        <v>118</v>
      </c>
      <c r="H178" s="3" t="s">
        <v>11</v>
      </c>
      <c r="I178" s="3" t="s">
        <v>7</v>
      </c>
      <c r="J178" s="3" t="s">
        <v>84</v>
      </c>
      <c r="K178" s="3" t="s">
        <v>33</v>
      </c>
      <c r="L178" s="3" t="s">
        <v>87</v>
      </c>
      <c r="M178">
        <v>1</v>
      </c>
    </row>
    <row r="179" spans="1:13" x14ac:dyDescent="0.25">
      <c r="A179" s="1">
        <v>46127</v>
      </c>
      <c r="B179" s="1" t="str">
        <f ca="1">IF(Información1[[#This Row],[Fecha]]='Ajuste de fechas'!$A$2,"Día actual","Día anterior")</f>
        <v>Día anterior</v>
      </c>
      <c r="C179" s="3" t="s">
        <v>32</v>
      </c>
      <c r="D179" t="s">
        <v>34</v>
      </c>
      <c r="E179" s="3" t="s">
        <v>189</v>
      </c>
      <c r="F179" s="3" t="s">
        <v>28</v>
      </c>
      <c r="G179" s="3" t="s">
        <v>70</v>
      </c>
      <c r="H179" s="3" t="s">
        <v>11</v>
      </c>
      <c r="I179" s="3" t="s">
        <v>7</v>
      </c>
      <c r="J179" s="3" t="s">
        <v>84</v>
      </c>
      <c r="K179" s="3" t="s">
        <v>33</v>
      </c>
      <c r="L179" s="3" t="s">
        <v>87</v>
      </c>
      <c r="M179">
        <v>1</v>
      </c>
    </row>
    <row r="180" spans="1:13" x14ac:dyDescent="0.25">
      <c r="A180" s="1">
        <v>46127</v>
      </c>
      <c r="B180" s="1" t="str">
        <f ca="1">IF(Información1[[#This Row],[Fecha]]='Ajuste de fechas'!$A$2,"Día actual","Día anterior")</f>
        <v>Día anterior</v>
      </c>
      <c r="C180" s="3" t="s">
        <v>54</v>
      </c>
      <c r="D180" t="s">
        <v>190</v>
      </c>
      <c r="E180" s="3" t="s">
        <v>191</v>
      </c>
      <c r="F180" s="3" t="s">
        <v>23</v>
      </c>
      <c r="G180" s="3" t="s">
        <v>192</v>
      </c>
      <c r="H180" s="3" t="s">
        <v>11</v>
      </c>
      <c r="I180" s="3" t="s">
        <v>7</v>
      </c>
      <c r="J180" s="3" t="s">
        <v>89</v>
      </c>
      <c r="K180" s="3" t="s">
        <v>193</v>
      </c>
      <c r="L180" s="3" t="s">
        <v>86</v>
      </c>
      <c r="M180">
        <v>1</v>
      </c>
    </row>
    <row r="181" spans="1:13" x14ac:dyDescent="0.25">
      <c r="A181" s="1">
        <v>46127</v>
      </c>
      <c r="B181" s="1" t="str">
        <f ca="1">IF(Información1[[#This Row],[Fecha]]='Ajuste de fechas'!$A$2,"Día actual","Día anterior")</f>
        <v>Día anterior</v>
      </c>
      <c r="C181" s="3" t="s">
        <v>54</v>
      </c>
      <c r="D181" t="s">
        <v>190</v>
      </c>
      <c r="E181" s="3" t="s">
        <v>194</v>
      </c>
      <c r="F181" s="3" t="s">
        <v>23</v>
      </c>
      <c r="G181" s="3" t="s">
        <v>114</v>
      </c>
      <c r="H181" s="3" t="s">
        <v>11</v>
      </c>
      <c r="I181" s="3" t="s">
        <v>7</v>
      </c>
      <c r="J181" s="3" t="s">
        <v>89</v>
      </c>
      <c r="K181" s="3" t="s">
        <v>193</v>
      </c>
      <c r="L181" s="3" t="s">
        <v>86</v>
      </c>
      <c r="M181">
        <v>1</v>
      </c>
    </row>
    <row r="182" spans="1:13" x14ac:dyDescent="0.25">
      <c r="A182" s="1">
        <v>46127</v>
      </c>
      <c r="B182" s="1" t="str">
        <f ca="1">IF(Información1[[#This Row],[Fecha]]='Ajuste de fechas'!$A$2,"Día actual","Día anterior")</f>
        <v>Día anterior</v>
      </c>
      <c r="C182" s="3" t="s">
        <v>54</v>
      </c>
      <c r="D182" t="s">
        <v>190</v>
      </c>
      <c r="E182" s="3" t="s">
        <v>195</v>
      </c>
      <c r="F182" s="3" t="s">
        <v>23</v>
      </c>
      <c r="G182" s="3" t="s">
        <v>196</v>
      </c>
      <c r="H182" s="3" t="s">
        <v>11</v>
      </c>
      <c r="I182" s="3" t="s">
        <v>12</v>
      </c>
      <c r="J182" s="3" t="s">
        <v>89</v>
      </c>
      <c r="K182" s="3" t="s">
        <v>193</v>
      </c>
      <c r="L182" s="3" t="s">
        <v>86</v>
      </c>
      <c r="M182">
        <v>1</v>
      </c>
    </row>
    <row r="183" spans="1:13" x14ac:dyDescent="0.25">
      <c r="A183" s="1">
        <v>46127</v>
      </c>
      <c r="B183" s="1" t="str">
        <f ca="1">IF(Información1[[#This Row],[Fecha]]='Ajuste de fechas'!$A$2,"Día actual","Día anterior")</f>
        <v>Día anterior</v>
      </c>
      <c r="C183" s="3" t="s">
        <v>54</v>
      </c>
      <c r="D183" t="s">
        <v>190</v>
      </c>
      <c r="E183" s="3" t="s">
        <v>197</v>
      </c>
      <c r="F183" s="3" t="s">
        <v>19</v>
      </c>
      <c r="G183" s="3" t="s">
        <v>192</v>
      </c>
      <c r="H183" s="3" t="s">
        <v>11</v>
      </c>
      <c r="I183" s="3" t="s">
        <v>7</v>
      </c>
      <c r="J183" s="3" t="s">
        <v>88</v>
      </c>
      <c r="K183" s="3" t="s">
        <v>55</v>
      </c>
      <c r="L183" s="3" t="s">
        <v>85</v>
      </c>
      <c r="M183">
        <v>1</v>
      </c>
    </row>
    <row r="184" spans="1:13" x14ac:dyDescent="0.25">
      <c r="A184" s="1">
        <v>46127</v>
      </c>
      <c r="B184" s="1" t="str">
        <f ca="1">IF(Información1[[#This Row],[Fecha]]='Ajuste de fechas'!$A$2,"Día actual","Día anterior")</f>
        <v>Día anterior</v>
      </c>
      <c r="C184" s="3" t="s">
        <v>54</v>
      </c>
      <c r="D184" t="s">
        <v>190</v>
      </c>
      <c r="E184" s="3" t="s">
        <v>198</v>
      </c>
      <c r="F184" s="3" t="s">
        <v>19</v>
      </c>
      <c r="G184" s="3" t="s">
        <v>192</v>
      </c>
      <c r="H184" s="3" t="s">
        <v>11</v>
      </c>
      <c r="I184" s="3" t="s">
        <v>27</v>
      </c>
      <c r="J184" s="3" t="s">
        <v>88</v>
      </c>
      <c r="K184" s="3" t="s">
        <v>55</v>
      </c>
      <c r="L184" s="3" t="s">
        <v>85</v>
      </c>
      <c r="M184">
        <v>1</v>
      </c>
    </row>
    <row r="185" spans="1:13" x14ac:dyDescent="0.25">
      <c r="A185" s="1">
        <v>46127</v>
      </c>
      <c r="B185" s="1" t="str">
        <f ca="1">IF(Información1[[#This Row],[Fecha]]='Ajuste de fechas'!$A$2,"Día actual","Día anterior")</f>
        <v>Día anterior</v>
      </c>
      <c r="C185" s="3" t="s">
        <v>54</v>
      </c>
      <c r="D185" t="s">
        <v>190</v>
      </c>
      <c r="E185" s="3" t="s">
        <v>199</v>
      </c>
      <c r="F185" s="3" t="s">
        <v>19</v>
      </c>
      <c r="G185" s="3" t="s">
        <v>102</v>
      </c>
      <c r="H185" s="3" t="s">
        <v>11</v>
      </c>
      <c r="I185" s="3" t="s">
        <v>7</v>
      </c>
      <c r="J185" s="3" t="s">
        <v>88</v>
      </c>
      <c r="K185" s="3" t="s">
        <v>55</v>
      </c>
      <c r="L185" s="3" t="s">
        <v>85</v>
      </c>
      <c r="M185">
        <v>1</v>
      </c>
    </row>
    <row r="186" spans="1:13" x14ac:dyDescent="0.25">
      <c r="A186" s="1">
        <v>46127</v>
      </c>
      <c r="B186" s="1" t="str">
        <f ca="1">IF(Información1[[#This Row],[Fecha]]='Ajuste de fechas'!$A$2,"Día actual","Día anterior")</f>
        <v>Día anterior</v>
      </c>
      <c r="C186" s="3" t="s">
        <v>54</v>
      </c>
      <c r="D186" t="s">
        <v>190</v>
      </c>
      <c r="E186" s="3" t="s">
        <v>200</v>
      </c>
      <c r="F186" s="3" t="s">
        <v>19</v>
      </c>
      <c r="G186" s="3" t="s">
        <v>107</v>
      </c>
      <c r="H186" s="3" t="s">
        <v>11</v>
      </c>
      <c r="I186" s="3" t="s">
        <v>7</v>
      </c>
      <c r="J186" s="3" t="s">
        <v>88</v>
      </c>
      <c r="K186" s="3" t="s">
        <v>44</v>
      </c>
      <c r="L186" s="3" t="s">
        <v>85</v>
      </c>
      <c r="M186">
        <v>1</v>
      </c>
    </row>
    <row r="187" spans="1:13" x14ac:dyDescent="0.25">
      <c r="A187" s="1">
        <v>46127</v>
      </c>
      <c r="B187" s="1" t="str">
        <f ca="1">IF(Información1[[#This Row],[Fecha]]='Ajuste de fechas'!$A$2,"Día actual","Día anterior")</f>
        <v>Día anterior</v>
      </c>
      <c r="C187" s="3" t="s">
        <v>54</v>
      </c>
      <c r="D187" t="s">
        <v>190</v>
      </c>
      <c r="E187" s="3" t="s">
        <v>201</v>
      </c>
      <c r="F187" s="3" t="s">
        <v>21</v>
      </c>
      <c r="G187" s="3" t="s">
        <v>104</v>
      </c>
      <c r="H187" s="3" t="s">
        <v>11</v>
      </c>
      <c r="I187" s="3" t="s">
        <v>27</v>
      </c>
      <c r="J187" s="3" t="s">
        <v>84</v>
      </c>
      <c r="K187" s="3" t="s">
        <v>193</v>
      </c>
      <c r="L187" s="3" t="s">
        <v>86</v>
      </c>
      <c r="M187">
        <v>1</v>
      </c>
    </row>
    <row r="188" spans="1:13" x14ac:dyDescent="0.25">
      <c r="A188" s="1">
        <v>46127</v>
      </c>
      <c r="B188" s="1" t="str">
        <f ca="1">IF(Información1[[#This Row],[Fecha]]='Ajuste de fechas'!$A$2,"Día actual","Día anterior")</f>
        <v>Día anterior</v>
      </c>
      <c r="C188" s="3" t="s">
        <v>54</v>
      </c>
      <c r="D188" t="s">
        <v>190</v>
      </c>
      <c r="E188" s="3" t="s">
        <v>187</v>
      </c>
      <c r="F188" s="3" t="s">
        <v>15</v>
      </c>
      <c r="G188" s="3" t="s">
        <v>102</v>
      </c>
      <c r="H188" s="3" t="s">
        <v>11</v>
      </c>
      <c r="I188" s="3" t="s">
        <v>12</v>
      </c>
      <c r="J188" s="3" t="s">
        <v>84</v>
      </c>
      <c r="K188" s="3" t="s">
        <v>44</v>
      </c>
      <c r="L188" s="3" t="s">
        <v>110</v>
      </c>
      <c r="M188">
        <v>1</v>
      </c>
    </row>
    <row r="189" spans="1:13" x14ac:dyDescent="0.25">
      <c r="A189" s="1">
        <v>46127</v>
      </c>
      <c r="B189" s="1" t="str">
        <f ca="1">IF(Información1[[#This Row],[Fecha]]='Ajuste de fechas'!$A$2,"Día actual","Día anterior")</f>
        <v>Día anterior</v>
      </c>
      <c r="C189" s="3" t="s">
        <v>54</v>
      </c>
      <c r="D189" t="s">
        <v>190</v>
      </c>
      <c r="E189" s="3" t="s">
        <v>202</v>
      </c>
      <c r="F189" s="3" t="s">
        <v>21</v>
      </c>
      <c r="G189" s="3" t="s">
        <v>203</v>
      </c>
      <c r="H189" s="3" t="s">
        <v>11</v>
      </c>
      <c r="I189" s="3" t="s">
        <v>7</v>
      </c>
      <c r="J189" s="3" t="s">
        <v>84</v>
      </c>
      <c r="K189" s="3" t="s">
        <v>204</v>
      </c>
      <c r="L189" s="3" t="s">
        <v>86</v>
      </c>
      <c r="M189">
        <v>1</v>
      </c>
    </row>
    <row r="190" spans="1:13" x14ac:dyDescent="0.25">
      <c r="A190" s="1">
        <v>46127</v>
      </c>
      <c r="B190" s="1" t="str">
        <f ca="1">IF(Información1[[#This Row],[Fecha]]='Ajuste de fechas'!$A$2,"Día actual","Día anterior")</f>
        <v>Día anterior</v>
      </c>
      <c r="C190" s="3" t="s">
        <v>54</v>
      </c>
      <c r="D190" t="s">
        <v>190</v>
      </c>
      <c r="E190" s="3" t="s">
        <v>195</v>
      </c>
      <c r="F190" s="3" t="s">
        <v>30</v>
      </c>
      <c r="G190" s="3" t="s">
        <v>196</v>
      </c>
      <c r="H190" s="3" t="s">
        <v>11</v>
      </c>
      <c r="I190" s="3" t="s">
        <v>12</v>
      </c>
      <c r="J190" s="3" t="s">
        <v>84</v>
      </c>
      <c r="K190" s="3" t="s">
        <v>193</v>
      </c>
      <c r="L190" s="3" t="s">
        <v>86</v>
      </c>
      <c r="M190">
        <v>1</v>
      </c>
    </row>
    <row r="191" spans="1:13" x14ac:dyDescent="0.25">
      <c r="A191" s="1">
        <v>46127</v>
      </c>
      <c r="B191" s="1" t="str">
        <f ca="1">IF(Información1[[#This Row],[Fecha]]='Ajuste de fechas'!$A$2,"Día actual","Día anterior")</f>
        <v>Día anterior</v>
      </c>
      <c r="C191" s="3" t="s">
        <v>54</v>
      </c>
      <c r="D191" t="s">
        <v>190</v>
      </c>
      <c r="E191" s="3" t="s">
        <v>132</v>
      </c>
      <c r="F191" s="3" t="s">
        <v>24</v>
      </c>
      <c r="G191" s="3" t="s">
        <v>107</v>
      </c>
      <c r="H191" s="3" t="s">
        <v>11</v>
      </c>
      <c r="I191" s="3" t="s">
        <v>7</v>
      </c>
      <c r="J191" s="3" t="s">
        <v>84</v>
      </c>
      <c r="K191" s="3" t="s">
        <v>44</v>
      </c>
      <c r="L191" s="3" t="s">
        <v>87</v>
      </c>
      <c r="M191">
        <v>1</v>
      </c>
    </row>
    <row r="192" spans="1:13" x14ac:dyDescent="0.25">
      <c r="A192" s="1">
        <v>46127</v>
      </c>
      <c r="B192" s="1" t="str">
        <f ca="1">IF(Información1[[#This Row],[Fecha]]='Ajuste de fechas'!$A$2,"Día actual","Día anterior")</f>
        <v>Día anterior</v>
      </c>
      <c r="C192" s="3" t="s">
        <v>54</v>
      </c>
      <c r="D192" t="s">
        <v>190</v>
      </c>
      <c r="E192" s="3" t="s">
        <v>162</v>
      </c>
      <c r="F192" s="3" t="s">
        <v>38</v>
      </c>
      <c r="G192" s="3" t="s">
        <v>163</v>
      </c>
      <c r="H192" s="3" t="s">
        <v>11</v>
      </c>
      <c r="I192" s="3" t="s">
        <v>7</v>
      </c>
      <c r="J192" s="3" t="s">
        <v>84</v>
      </c>
      <c r="K192" s="3" t="s">
        <v>44</v>
      </c>
      <c r="L192" s="3" t="s">
        <v>87</v>
      </c>
      <c r="M192">
        <v>1</v>
      </c>
    </row>
    <row r="193" spans="1:13" x14ac:dyDescent="0.25">
      <c r="A193" s="1">
        <v>46127</v>
      </c>
      <c r="B193" s="1" t="str">
        <f ca="1">IF(Información1[[#This Row],[Fecha]]='Ajuste de fechas'!$A$2,"Día actual","Día anterior")</f>
        <v>Día anterior</v>
      </c>
      <c r="C193" s="3" t="s">
        <v>54</v>
      </c>
      <c r="D193" t="s">
        <v>190</v>
      </c>
      <c r="E193" s="3" t="s">
        <v>189</v>
      </c>
      <c r="F193" s="3" t="s">
        <v>28</v>
      </c>
      <c r="G193" s="3" t="s">
        <v>70</v>
      </c>
      <c r="H193" s="3" t="s">
        <v>11</v>
      </c>
      <c r="I193" s="3" t="s">
        <v>7</v>
      </c>
      <c r="J193" s="3" t="s">
        <v>84</v>
      </c>
      <c r="K193" s="3" t="s">
        <v>44</v>
      </c>
      <c r="L193" s="3" t="s">
        <v>87</v>
      </c>
      <c r="M193">
        <v>1</v>
      </c>
    </row>
    <row r="194" spans="1:13" x14ac:dyDescent="0.25">
      <c r="A194" s="1">
        <v>46127</v>
      </c>
      <c r="B194" s="1" t="str">
        <f ca="1">IF(Información1[[#This Row],[Fecha]]='Ajuste de fechas'!$A$2,"Día actual","Día anterior")</f>
        <v>Día anterior</v>
      </c>
      <c r="C194" s="3" t="s">
        <v>205</v>
      </c>
      <c r="D194" t="s">
        <v>206</v>
      </c>
      <c r="E194" s="3" t="s">
        <v>207</v>
      </c>
      <c r="F194" s="3" t="s">
        <v>15</v>
      </c>
      <c r="G194" s="3" t="s">
        <v>102</v>
      </c>
      <c r="H194" s="3" t="s">
        <v>46</v>
      </c>
      <c r="I194" s="3" t="s">
        <v>7</v>
      </c>
      <c r="J194" s="3" t="s">
        <v>84</v>
      </c>
      <c r="K194" s="3" t="s">
        <v>208</v>
      </c>
      <c r="L194" s="3" t="s">
        <v>110</v>
      </c>
      <c r="M194">
        <v>1</v>
      </c>
    </row>
    <row r="195" spans="1:13" x14ac:dyDescent="0.25">
      <c r="A195" s="1">
        <v>46127</v>
      </c>
      <c r="B195" s="1" t="str">
        <f ca="1">IF(Información1[[#This Row],[Fecha]]='Ajuste de fechas'!$A$2,"Día actual","Día anterior")</f>
        <v>Día anterior</v>
      </c>
      <c r="C195" s="3" t="s">
        <v>62</v>
      </c>
      <c r="D195" t="s">
        <v>63</v>
      </c>
      <c r="E195" s="3" t="s">
        <v>213</v>
      </c>
      <c r="F195" s="3" t="s">
        <v>19</v>
      </c>
      <c r="G195" s="3" t="s">
        <v>71</v>
      </c>
      <c r="H195" s="3" t="s">
        <v>11</v>
      </c>
      <c r="I195" s="3" t="s">
        <v>7</v>
      </c>
      <c r="J195" s="3" t="s">
        <v>88</v>
      </c>
      <c r="K195" s="3" t="s">
        <v>64</v>
      </c>
      <c r="L195" s="3" t="s">
        <v>85</v>
      </c>
      <c r="M195">
        <v>1</v>
      </c>
    </row>
    <row r="196" spans="1:13" x14ac:dyDescent="0.25">
      <c r="A196" s="1">
        <v>46127</v>
      </c>
      <c r="B196" s="1" t="str">
        <f ca="1">IF(Información1[[#This Row],[Fecha]]='Ajuste de fechas'!$A$2,"Día actual","Día anterior")</f>
        <v>Día anterior</v>
      </c>
      <c r="C196" s="3" t="s">
        <v>62</v>
      </c>
      <c r="D196" t="s">
        <v>63</v>
      </c>
      <c r="E196" s="3" t="s">
        <v>211</v>
      </c>
      <c r="F196" s="3" t="s">
        <v>19</v>
      </c>
      <c r="G196" s="3" t="s">
        <v>73</v>
      </c>
      <c r="H196" s="3" t="s">
        <v>11</v>
      </c>
      <c r="I196" s="3" t="s">
        <v>7</v>
      </c>
      <c r="J196" s="3" t="s">
        <v>88</v>
      </c>
      <c r="K196" s="3" t="s">
        <v>64</v>
      </c>
      <c r="L196" s="3" t="s">
        <v>85</v>
      </c>
      <c r="M196">
        <v>1</v>
      </c>
    </row>
    <row r="197" spans="1:13" x14ac:dyDescent="0.25">
      <c r="A197" s="1">
        <v>46127</v>
      </c>
      <c r="B197" s="1" t="str">
        <f ca="1">IF(Información1[[#This Row],[Fecha]]='Ajuste de fechas'!$A$2,"Día actual","Día anterior")</f>
        <v>Día anterior</v>
      </c>
      <c r="C197" s="3" t="s">
        <v>62</v>
      </c>
      <c r="D197" t="s">
        <v>63</v>
      </c>
      <c r="E197" s="3" t="s">
        <v>214</v>
      </c>
      <c r="F197" s="3" t="s">
        <v>215</v>
      </c>
      <c r="G197" s="3" t="s">
        <v>216</v>
      </c>
      <c r="H197" s="3" t="s">
        <v>11</v>
      </c>
      <c r="I197" s="3" t="s">
        <v>7</v>
      </c>
      <c r="J197" s="3" t="s">
        <v>217</v>
      </c>
      <c r="K197" s="3" t="s">
        <v>64</v>
      </c>
      <c r="L197" s="3" t="s">
        <v>85</v>
      </c>
      <c r="M197">
        <v>1</v>
      </c>
    </row>
    <row r="198" spans="1:13" x14ac:dyDescent="0.25">
      <c r="A198" s="1">
        <v>46127</v>
      </c>
      <c r="B198" s="1" t="str">
        <f ca="1">IF(Información1[[#This Row],[Fecha]]='Ajuste de fechas'!$A$2,"Día actual","Día anterior")</f>
        <v>Día anterior</v>
      </c>
      <c r="C198" s="3" t="s">
        <v>62</v>
      </c>
      <c r="D198" t="s">
        <v>63</v>
      </c>
      <c r="E198" s="3" t="s">
        <v>218</v>
      </c>
      <c r="F198" s="3" t="s">
        <v>21</v>
      </c>
      <c r="G198" s="3" t="s">
        <v>219</v>
      </c>
      <c r="H198" s="3" t="s">
        <v>11</v>
      </c>
      <c r="I198" s="3" t="s">
        <v>7</v>
      </c>
      <c r="J198" s="3" t="s">
        <v>84</v>
      </c>
      <c r="K198" s="3" t="s">
        <v>64</v>
      </c>
      <c r="L198" s="3" t="s">
        <v>87</v>
      </c>
      <c r="M198">
        <v>1</v>
      </c>
    </row>
    <row r="199" spans="1:13" x14ac:dyDescent="0.25">
      <c r="A199" s="1">
        <v>46127</v>
      </c>
      <c r="B199" s="1" t="str">
        <f ca="1">IF(Información1[[#This Row],[Fecha]]='Ajuste de fechas'!$A$2,"Día actual","Día anterior")</f>
        <v>Día anterior</v>
      </c>
      <c r="C199" s="3" t="s">
        <v>62</v>
      </c>
      <c r="D199" t="s">
        <v>63</v>
      </c>
      <c r="E199" s="3" t="s">
        <v>220</v>
      </c>
      <c r="F199" s="3" t="s">
        <v>19</v>
      </c>
      <c r="G199" s="3" t="s">
        <v>176</v>
      </c>
      <c r="H199" s="3" t="s">
        <v>11</v>
      </c>
      <c r="I199" s="3" t="s">
        <v>7</v>
      </c>
      <c r="J199" s="3" t="s">
        <v>88</v>
      </c>
      <c r="K199" s="3" t="s">
        <v>64</v>
      </c>
      <c r="L199" s="3" t="s">
        <v>85</v>
      </c>
      <c r="M199">
        <v>1</v>
      </c>
    </row>
    <row r="200" spans="1:13" x14ac:dyDescent="0.25">
      <c r="A200" s="1">
        <v>46127</v>
      </c>
      <c r="B200" s="1" t="str">
        <f ca="1">IF(Información1[[#This Row],[Fecha]]='Ajuste de fechas'!$A$2,"Día actual","Día anterior")</f>
        <v>Día anterior</v>
      </c>
      <c r="C200" s="3" t="s">
        <v>62</v>
      </c>
      <c r="D200" t="s">
        <v>63</v>
      </c>
      <c r="E200" s="3" t="s">
        <v>221</v>
      </c>
      <c r="F200" s="3" t="s">
        <v>19</v>
      </c>
      <c r="G200" s="3" t="s">
        <v>106</v>
      </c>
      <c r="H200" s="3" t="s">
        <v>11</v>
      </c>
      <c r="I200" s="3" t="s">
        <v>7</v>
      </c>
      <c r="J200" s="3" t="s">
        <v>88</v>
      </c>
      <c r="K200" s="3" t="s">
        <v>64</v>
      </c>
      <c r="L200" s="3" t="s">
        <v>85</v>
      </c>
      <c r="M200">
        <v>1</v>
      </c>
    </row>
    <row r="201" spans="1:13" x14ac:dyDescent="0.25">
      <c r="A201" s="1">
        <v>46127</v>
      </c>
      <c r="B201" s="1" t="str">
        <f ca="1">IF(Información1[[#This Row],[Fecha]]='Ajuste de fechas'!$A$2,"Día actual","Día anterior")</f>
        <v>Día anterior</v>
      </c>
      <c r="C201" s="3" t="s">
        <v>62</v>
      </c>
      <c r="D201" t="s">
        <v>63</v>
      </c>
      <c r="E201" s="3" t="s">
        <v>222</v>
      </c>
      <c r="F201" s="3" t="s">
        <v>15</v>
      </c>
      <c r="G201" s="3" t="s">
        <v>223</v>
      </c>
      <c r="H201" s="3" t="s">
        <v>11</v>
      </c>
      <c r="I201" s="3" t="s">
        <v>7</v>
      </c>
      <c r="J201" s="3" t="s">
        <v>84</v>
      </c>
      <c r="K201" s="3" t="s">
        <v>64</v>
      </c>
      <c r="L201" s="3" t="s">
        <v>85</v>
      </c>
      <c r="M201">
        <v>1</v>
      </c>
    </row>
    <row r="202" spans="1:13" x14ac:dyDescent="0.25">
      <c r="A202" s="1">
        <v>46127</v>
      </c>
      <c r="B202" s="1" t="str">
        <f ca="1">IF(Información1[[#This Row],[Fecha]]='Ajuste de fechas'!$A$2,"Día actual","Día anterior")</f>
        <v>Día anterior</v>
      </c>
      <c r="C202" s="3" t="s">
        <v>62</v>
      </c>
      <c r="D202" t="s">
        <v>63</v>
      </c>
      <c r="E202" s="3" t="s">
        <v>224</v>
      </c>
      <c r="F202" s="3" t="s">
        <v>19</v>
      </c>
      <c r="G202" s="3" t="s">
        <v>163</v>
      </c>
      <c r="H202" s="3" t="s">
        <v>11</v>
      </c>
      <c r="I202" s="3" t="s">
        <v>7</v>
      </c>
      <c r="J202" s="3" t="s">
        <v>88</v>
      </c>
      <c r="K202" s="3" t="s">
        <v>64</v>
      </c>
      <c r="L202" s="3" t="s">
        <v>85</v>
      </c>
      <c r="M202">
        <v>1</v>
      </c>
    </row>
    <row r="203" spans="1:13" x14ac:dyDescent="0.25">
      <c r="A203" s="1">
        <v>46127</v>
      </c>
      <c r="B203" s="1" t="str">
        <f ca="1">IF(Información1[[#This Row],[Fecha]]='Ajuste de fechas'!$A$2,"Día actual","Día anterior")</f>
        <v>Día anterior</v>
      </c>
      <c r="C203" s="3" t="s">
        <v>62</v>
      </c>
      <c r="D203" t="s">
        <v>63</v>
      </c>
      <c r="E203" s="3" t="s">
        <v>225</v>
      </c>
      <c r="F203" s="3" t="s">
        <v>226</v>
      </c>
      <c r="G203" s="3" t="s">
        <v>227</v>
      </c>
      <c r="H203" s="3" t="s">
        <v>11</v>
      </c>
      <c r="I203" s="3" t="s">
        <v>7</v>
      </c>
      <c r="J203" s="3" t="s">
        <v>84</v>
      </c>
      <c r="K203" s="3" t="s">
        <v>64</v>
      </c>
      <c r="L203" s="3" t="s">
        <v>87</v>
      </c>
      <c r="M203">
        <v>1</v>
      </c>
    </row>
    <row r="204" spans="1:13" x14ac:dyDescent="0.25">
      <c r="A204" s="1">
        <v>46127</v>
      </c>
      <c r="B204" s="1" t="str">
        <f ca="1">IF(Información1[[#This Row],[Fecha]]='Ajuste de fechas'!$A$2,"Día actual","Día anterior")</f>
        <v>Día anterior</v>
      </c>
      <c r="C204" s="3" t="s">
        <v>62</v>
      </c>
      <c r="D204" t="s">
        <v>63</v>
      </c>
      <c r="E204" s="3" t="s">
        <v>228</v>
      </c>
      <c r="F204" s="3" t="s">
        <v>25</v>
      </c>
      <c r="G204" s="3" t="s">
        <v>67</v>
      </c>
      <c r="H204" s="3" t="s">
        <v>11</v>
      </c>
      <c r="I204" s="3" t="s">
        <v>7</v>
      </c>
      <c r="J204" s="3" t="s">
        <v>84</v>
      </c>
      <c r="K204" s="3" t="s">
        <v>64</v>
      </c>
      <c r="L204" s="3" t="s">
        <v>85</v>
      </c>
      <c r="M204">
        <v>1</v>
      </c>
    </row>
    <row r="205" spans="1:13" x14ac:dyDescent="0.25">
      <c r="A205" s="1">
        <v>46127</v>
      </c>
      <c r="B205" s="1" t="str">
        <f ca="1">IF(Información1[[#This Row],[Fecha]]='Ajuste de fechas'!$A$2,"Día actual","Día anterior")</f>
        <v>Día anterior</v>
      </c>
      <c r="C205" s="3" t="s">
        <v>62</v>
      </c>
      <c r="D205" t="s">
        <v>63</v>
      </c>
      <c r="E205" s="3" t="s">
        <v>229</v>
      </c>
      <c r="F205" s="3" t="s">
        <v>26</v>
      </c>
      <c r="G205" s="3" t="s">
        <v>230</v>
      </c>
      <c r="H205" s="3" t="s">
        <v>11</v>
      </c>
      <c r="I205" s="3" t="s">
        <v>7</v>
      </c>
      <c r="J205" s="3" t="s">
        <v>26</v>
      </c>
      <c r="K205" s="3" t="s">
        <v>64</v>
      </c>
      <c r="L205" s="3" t="s">
        <v>85</v>
      </c>
      <c r="M205">
        <v>1</v>
      </c>
    </row>
    <row r="206" spans="1:13" x14ac:dyDescent="0.25">
      <c r="A206" s="1">
        <v>46127</v>
      </c>
      <c r="B206" s="1" t="str">
        <f ca="1">IF(Información1[[#This Row],[Fecha]]='Ajuste de fechas'!$A$2,"Día actual","Día anterior")</f>
        <v>Día anterior</v>
      </c>
      <c r="C206" s="3" t="s">
        <v>62</v>
      </c>
      <c r="D206" t="s">
        <v>63</v>
      </c>
      <c r="E206" s="3" t="s">
        <v>231</v>
      </c>
      <c r="F206" s="3" t="s">
        <v>38</v>
      </c>
      <c r="G206" s="3" t="s">
        <v>163</v>
      </c>
      <c r="H206" s="3" t="s">
        <v>11</v>
      </c>
      <c r="I206" s="3" t="s">
        <v>7</v>
      </c>
      <c r="J206" s="3" t="s">
        <v>84</v>
      </c>
      <c r="K206" s="3" t="s">
        <v>64</v>
      </c>
      <c r="L206" s="3" t="s">
        <v>85</v>
      </c>
      <c r="M206">
        <v>1</v>
      </c>
    </row>
    <row r="207" spans="1:13" x14ac:dyDescent="0.25">
      <c r="A207" s="1">
        <v>46127</v>
      </c>
      <c r="B207" s="1" t="str">
        <f ca="1">IF(Información1[[#This Row],[Fecha]]='Ajuste de fechas'!$A$2,"Día actual","Día anterior")</f>
        <v>Día anterior</v>
      </c>
      <c r="C207" s="3" t="s">
        <v>62</v>
      </c>
      <c r="D207" t="s">
        <v>63</v>
      </c>
      <c r="E207" s="3" t="s">
        <v>232</v>
      </c>
      <c r="F207" s="3" t="s">
        <v>19</v>
      </c>
      <c r="G207" s="3" t="s">
        <v>192</v>
      </c>
      <c r="H207" s="3" t="s">
        <v>11</v>
      </c>
      <c r="I207" s="3" t="s">
        <v>7</v>
      </c>
      <c r="J207" s="3" t="s">
        <v>88</v>
      </c>
      <c r="K207" s="3" t="s">
        <v>64</v>
      </c>
      <c r="L207" s="3" t="s">
        <v>90</v>
      </c>
      <c r="M207">
        <v>1</v>
      </c>
    </row>
    <row r="208" spans="1:13" x14ac:dyDescent="0.25">
      <c r="A208" s="1">
        <v>46127</v>
      </c>
      <c r="B208" s="1" t="str">
        <f ca="1">IF(Información1[[#This Row],[Fecha]]='Ajuste de fechas'!$A$2,"Día actual","Día anterior")</f>
        <v>Día anterior</v>
      </c>
      <c r="C208" s="3" t="s">
        <v>62</v>
      </c>
      <c r="D208" t="s">
        <v>63</v>
      </c>
      <c r="E208" s="3" t="s">
        <v>233</v>
      </c>
      <c r="F208" s="3" t="s">
        <v>19</v>
      </c>
      <c r="G208" s="3" t="s">
        <v>47</v>
      </c>
      <c r="H208" s="3" t="s">
        <v>11</v>
      </c>
      <c r="I208" s="3" t="s">
        <v>7</v>
      </c>
      <c r="J208" s="3" t="s">
        <v>88</v>
      </c>
      <c r="K208" s="3" t="s">
        <v>64</v>
      </c>
      <c r="L208" s="3" t="s">
        <v>85</v>
      </c>
      <c r="M208">
        <v>1</v>
      </c>
    </row>
    <row r="209" spans="1:13" x14ac:dyDescent="0.25">
      <c r="A209" s="1">
        <v>46127</v>
      </c>
      <c r="B209" s="1" t="str">
        <f ca="1">IF(Información1[[#This Row],[Fecha]]='Ajuste de fechas'!$A$2,"Día actual","Día anterior")</f>
        <v>Día anterior</v>
      </c>
      <c r="C209" s="3" t="s">
        <v>62</v>
      </c>
      <c r="D209" t="s">
        <v>63</v>
      </c>
      <c r="E209" s="3" t="s">
        <v>234</v>
      </c>
      <c r="F209" s="3" t="s">
        <v>48</v>
      </c>
      <c r="G209" s="3" t="s">
        <v>235</v>
      </c>
      <c r="H209" s="3" t="s">
        <v>11</v>
      </c>
      <c r="I209" s="3" t="s">
        <v>7</v>
      </c>
      <c r="J209" s="3" t="s">
        <v>84</v>
      </c>
      <c r="K209" s="3" t="s">
        <v>64</v>
      </c>
      <c r="L209" s="3" t="s">
        <v>85</v>
      </c>
      <c r="M209">
        <v>1</v>
      </c>
    </row>
    <row r="210" spans="1:13" x14ac:dyDescent="0.25">
      <c r="A210" s="1">
        <v>46127</v>
      </c>
      <c r="B210" s="1" t="str">
        <f ca="1">IF(Información1[[#This Row],[Fecha]]='Ajuste de fechas'!$A$2,"Día actual","Día anterior")</f>
        <v>Día anterior</v>
      </c>
      <c r="C210" s="3" t="s">
        <v>62</v>
      </c>
      <c r="D210" t="s">
        <v>63</v>
      </c>
      <c r="E210" s="3" t="s">
        <v>236</v>
      </c>
      <c r="F210" s="3" t="s">
        <v>19</v>
      </c>
      <c r="G210" s="3" t="s">
        <v>72</v>
      </c>
      <c r="H210" s="3" t="s">
        <v>11</v>
      </c>
      <c r="I210" s="3" t="s">
        <v>27</v>
      </c>
      <c r="J210" s="3" t="s">
        <v>88</v>
      </c>
      <c r="K210" s="3" t="s">
        <v>64</v>
      </c>
      <c r="L210" s="3" t="s">
        <v>85</v>
      </c>
      <c r="M210">
        <v>1</v>
      </c>
    </row>
    <row r="211" spans="1:13" x14ac:dyDescent="0.25">
      <c r="A211" s="1">
        <v>46127</v>
      </c>
      <c r="B211" s="1" t="str">
        <f ca="1">IF(Información1[[#This Row],[Fecha]]='Ajuste de fechas'!$A$2,"Día actual","Día anterior")</f>
        <v>Día anterior</v>
      </c>
      <c r="C211" s="3" t="s">
        <v>62</v>
      </c>
      <c r="D211" t="s">
        <v>63</v>
      </c>
      <c r="E211" s="3" t="s">
        <v>237</v>
      </c>
      <c r="F211" s="3" t="s">
        <v>48</v>
      </c>
      <c r="G211" s="3" t="s">
        <v>139</v>
      </c>
      <c r="H211" s="3" t="s">
        <v>11</v>
      </c>
      <c r="I211" s="3" t="s">
        <v>27</v>
      </c>
      <c r="J211" s="3" t="s">
        <v>84</v>
      </c>
      <c r="K211" s="3" t="s">
        <v>64</v>
      </c>
      <c r="L211" s="3" t="s">
        <v>85</v>
      </c>
      <c r="M211">
        <v>1</v>
      </c>
    </row>
    <row r="212" spans="1:13" x14ac:dyDescent="0.25">
      <c r="A212" s="1">
        <v>46127</v>
      </c>
      <c r="B212" s="1" t="str">
        <f ca="1">IF(Información1[[#This Row],[Fecha]]='Ajuste de fechas'!$A$2,"Día actual","Día anterior")</f>
        <v>Día anterior</v>
      </c>
      <c r="C212" s="3" t="s">
        <v>62</v>
      </c>
      <c r="D212" t="s">
        <v>63</v>
      </c>
      <c r="E212" s="3" t="s">
        <v>238</v>
      </c>
      <c r="F212" s="3" t="s">
        <v>26</v>
      </c>
      <c r="G212" s="3" t="s">
        <v>101</v>
      </c>
      <c r="H212" s="3" t="s">
        <v>11</v>
      </c>
      <c r="I212" s="3" t="s">
        <v>7</v>
      </c>
      <c r="J212" s="3" t="s">
        <v>26</v>
      </c>
      <c r="K212" s="3" t="s">
        <v>64</v>
      </c>
      <c r="L212" s="3" t="s">
        <v>85</v>
      </c>
      <c r="M212">
        <v>1</v>
      </c>
    </row>
    <row r="213" spans="1:13" x14ac:dyDescent="0.25">
      <c r="A213" s="1">
        <v>46127</v>
      </c>
      <c r="B213" s="1" t="str">
        <f ca="1">IF(Información1[[#This Row],[Fecha]]='Ajuste de fechas'!$A$2,"Día actual","Día anterior")</f>
        <v>Día anterior</v>
      </c>
      <c r="C213" s="3" t="s">
        <v>62</v>
      </c>
      <c r="D213" t="s">
        <v>63</v>
      </c>
      <c r="E213" s="3" t="s">
        <v>239</v>
      </c>
      <c r="F213" s="3" t="s">
        <v>28</v>
      </c>
      <c r="G213" s="3" t="s">
        <v>212</v>
      </c>
      <c r="H213" s="3" t="s">
        <v>11</v>
      </c>
      <c r="I213" s="3" t="s">
        <v>7</v>
      </c>
      <c r="J213" s="3" t="s">
        <v>84</v>
      </c>
      <c r="K213" s="3" t="s">
        <v>64</v>
      </c>
      <c r="L213" s="3" t="s">
        <v>85</v>
      </c>
      <c r="M213">
        <v>1</v>
      </c>
    </row>
    <row r="214" spans="1:13" x14ac:dyDescent="0.25">
      <c r="A214" s="1">
        <v>46127</v>
      </c>
      <c r="B214" s="1" t="str">
        <f ca="1">IF(Información1[[#This Row],[Fecha]]='Ajuste de fechas'!$A$2,"Día actual","Día anterior")</f>
        <v>Día anterior</v>
      </c>
      <c r="C214" s="3" t="s">
        <v>62</v>
      </c>
      <c r="D214" t="s">
        <v>63</v>
      </c>
      <c r="E214" s="3" t="s">
        <v>240</v>
      </c>
      <c r="F214" s="3" t="s">
        <v>19</v>
      </c>
      <c r="G214" s="3" t="s">
        <v>241</v>
      </c>
      <c r="H214" s="3" t="s">
        <v>11</v>
      </c>
      <c r="I214" s="3" t="s">
        <v>7</v>
      </c>
      <c r="J214" s="3" t="s">
        <v>88</v>
      </c>
      <c r="K214" s="3" t="s">
        <v>64</v>
      </c>
      <c r="L214" s="3" t="s">
        <v>85</v>
      </c>
      <c r="M214">
        <v>1</v>
      </c>
    </row>
    <row r="215" spans="1:13" x14ac:dyDescent="0.25">
      <c r="A215" s="1">
        <v>46127</v>
      </c>
      <c r="B215" s="1" t="str">
        <f ca="1">IF(Información1[[#This Row],[Fecha]]='Ajuste de fechas'!$A$2,"Día actual","Día anterior")</f>
        <v>Día anterior</v>
      </c>
      <c r="C215" s="3" t="s">
        <v>50</v>
      </c>
      <c r="D215" t="s">
        <v>51</v>
      </c>
      <c r="E215" s="3" t="s">
        <v>242</v>
      </c>
      <c r="F215" s="3" t="s">
        <v>19</v>
      </c>
      <c r="G215" s="3" t="s">
        <v>243</v>
      </c>
      <c r="H215" s="3" t="s">
        <v>46</v>
      </c>
      <c r="I215" s="3" t="s">
        <v>7</v>
      </c>
      <c r="J215" s="3" t="s">
        <v>88</v>
      </c>
      <c r="K215" s="3" t="s">
        <v>31</v>
      </c>
      <c r="L215" s="3" t="s">
        <v>85</v>
      </c>
      <c r="M215">
        <v>1</v>
      </c>
    </row>
    <row r="216" spans="1:13" x14ac:dyDescent="0.25">
      <c r="A216" s="1">
        <v>46127</v>
      </c>
      <c r="B216" s="1" t="str">
        <f ca="1">IF(Información1[[#This Row],[Fecha]]='Ajuste de fechas'!$A$2,"Día actual","Día anterior")</f>
        <v>Día anterior</v>
      </c>
      <c r="C216" s="3" t="s">
        <v>50</v>
      </c>
      <c r="D216" t="s">
        <v>51</v>
      </c>
      <c r="E216" s="3" t="s">
        <v>129</v>
      </c>
      <c r="F216" s="3" t="s">
        <v>28</v>
      </c>
      <c r="G216" s="3" t="s">
        <v>115</v>
      </c>
      <c r="H216" s="3" t="s">
        <v>46</v>
      </c>
      <c r="I216" s="3" t="s">
        <v>7</v>
      </c>
      <c r="J216" s="3" t="s">
        <v>84</v>
      </c>
      <c r="K216" s="3" t="s">
        <v>31</v>
      </c>
      <c r="L216" s="3" t="s">
        <v>85</v>
      </c>
      <c r="M216">
        <v>1</v>
      </c>
    </row>
    <row r="217" spans="1:13" x14ac:dyDescent="0.25">
      <c r="A217" s="1">
        <v>46127</v>
      </c>
      <c r="B217" s="1" t="str">
        <f ca="1">IF(Información1[[#This Row],[Fecha]]='Ajuste de fechas'!$A$2,"Día actual","Día anterior")</f>
        <v>Día anterior</v>
      </c>
      <c r="C217" s="3" t="s">
        <v>50</v>
      </c>
      <c r="D217" t="s">
        <v>51</v>
      </c>
      <c r="E217" s="3" t="s">
        <v>244</v>
      </c>
      <c r="F217" s="3" t="s">
        <v>19</v>
      </c>
      <c r="G217" s="3" t="s">
        <v>245</v>
      </c>
      <c r="H217" s="3" t="s">
        <v>46</v>
      </c>
      <c r="I217" s="3" t="s">
        <v>7</v>
      </c>
      <c r="J217" s="3" t="s">
        <v>88</v>
      </c>
      <c r="K217" s="3" t="s">
        <v>31</v>
      </c>
      <c r="L217" s="3" t="s">
        <v>85</v>
      </c>
      <c r="M217">
        <v>1</v>
      </c>
    </row>
    <row r="218" spans="1:13" x14ac:dyDescent="0.25">
      <c r="A218" s="1">
        <v>46127</v>
      </c>
      <c r="B218" s="1" t="str">
        <f ca="1">IF(Información1[[#This Row],[Fecha]]='Ajuste de fechas'!$A$2,"Día actual","Día anterior")</f>
        <v>Día anterior</v>
      </c>
      <c r="C218" s="3" t="s">
        <v>50</v>
      </c>
      <c r="D218" t="s">
        <v>51</v>
      </c>
      <c r="E218" s="3" t="s">
        <v>246</v>
      </c>
      <c r="F218" s="3" t="s">
        <v>19</v>
      </c>
      <c r="G218" s="3" t="s">
        <v>247</v>
      </c>
      <c r="H218" s="3" t="s">
        <v>46</v>
      </c>
      <c r="I218" s="3" t="s">
        <v>7</v>
      </c>
      <c r="J218" s="3" t="s">
        <v>88</v>
      </c>
      <c r="K218" s="3" t="s">
        <v>31</v>
      </c>
      <c r="L218" s="3" t="s">
        <v>85</v>
      </c>
      <c r="M218">
        <v>1</v>
      </c>
    </row>
    <row r="219" spans="1:13" x14ac:dyDescent="0.25">
      <c r="A219" s="1">
        <v>46127</v>
      </c>
      <c r="B219" s="1" t="str">
        <f ca="1">IF(Información1[[#This Row],[Fecha]]='Ajuste de fechas'!$A$2,"Día actual","Día anterior")</f>
        <v>Día anterior</v>
      </c>
      <c r="C219" s="3" t="s">
        <v>50</v>
      </c>
      <c r="D219" t="s">
        <v>51</v>
      </c>
      <c r="E219" s="3" t="s">
        <v>248</v>
      </c>
      <c r="F219" s="3" t="s">
        <v>21</v>
      </c>
      <c r="G219" s="3" t="s">
        <v>209</v>
      </c>
      <c r="H219" s="3" t="s">
        <v>46</v>
      </c>
      <c r="I219" s="3" t="s">
        <v>7</v>
      </c>
      <c r="J219" s="3" t="s">
        <v>84</v>
      </c>
      <c r="K219" s="3" t="s">
        <v>31</v>
      </c>
      <c r="L219" s="3" t="s">
        <v>85</v>
      </c>
      <c r="M219">
        <v>1</v>
      </c>
    </row>
    <row r="220" spans="1:13" x14ac:dyDescent="0.25">
      <c r="A220" s="1">
        <v>46127</v>
      </c>
      <c r="B220" s="1" t="str">
        <f ca="1">IF(Información1[[#This Row],[Fecha]]='Ajuste de fechas'!$A$2,"Día actual","Día anterior")</f>
        <v>Día anterior</v>
      </c>
      <c r="C220" s="3" t="s">
        <v>50</v>
      </c>
      <c r="D220" t="s">
        <v>51</v>
      </c>
      <c r="E220" s="3" t="s">
        <v>249</v>
      </c>
      <c r="F220" s="3" t="s">
        <v>23</v>
      </c>
      <c r="G220" s="3" t="s">
        <v>250</v>
      </c>
      <c r="H220" s="3" t="s">
        <v>46</v>
      </c>
      <c r="I220" s="3" t="s">
        <v>7</v>
      </c>
      <c r="J220" s="3" t="s">
        <v>89</v>
      </c>
      <c r="K220" s="3" t="s">
        <v>31</v>
      </c>
      <c r="L220" s="3" t="s">
        <v>85</v>
      </c>
      <c r="M220">
        <v>1</v>
      </c>
    </row>
    <row r="221" spans="1:13" x14ac:dyDescent="0.25">
      <c r="A221" s="1">
        <v>46127</v>
      </c>
      <c r="B221" s="1" t="str">
        <f ca="1">IF(Información1[[#This Row],[Fecha]]='Ajuste de fechas'!$A$2,"Día actual","Día anterior")</f>
        <v>Día anterior</v>
      </c>
      <c r="C221" s="3" t="s">
        <v>50</v>
      </c>
      <c r="D221" t="s">
        <v>51</v>
      </c>
      <c r="E221" s="3" t="s">
        <v>251</v>
      </c>
      <c r="F221" s="3" t="s">
        <v>19</v>
      </c>
      <c r="G221" s="3" t="s">
        <v>245</v>
      </c>
      <c r="H221" s="3" t="s">
        <v>46</v>
      </c>
      <c r="I221" s="3" t="s">
        <v>7</v>
      </c>
      <c r="J221" s="3" t="s">
        <v>88</v>
      </c>
      <c r="K221" s="3" t="s">
        <v>31</v>
      </c>
      <c r="L221" s="3" t="s">
        <v>85</v>
      </c>
      <c r="M221">
        <v>1</v>
      </c>
    </row>
    <row r="222" spans="1:13" x14ac:dyDescent="0.25">
      <c r="A222" s="1">
        <v>46127</v>
      </c>
      <c r="B222" s="1" t="str">
        <f ca="1">IF(Información1[[#This Row],[Fecha]]='Ajuste de fechas'!$A$2,"Día actual","Día anterior")</f>
        <v>Día anterior</v>
      </c>
      <c r="C222" s="3" t="s">
        <v>50</v>
      </c>
      <c r="D222" t="s">
        <v>51</v>
      </c>
      <c r="E222" s="3" t="s">
        <v>252</v>
      </c>
      <c r="F222" s="3" t="s">
        <v>19</v>
      </c>
      <c r="G222" s="3" t="s">
        <v>47</v>
      </c>
      <c r="H222" s="3" t="s">
        <v>46</v>
      </c>
      <c r="I222" s="3" t="s">
        <v>7</v>
      </c>
      <c r="J222" s="3" t="s">
        <v>88</v>
      </c>
      <c r="K222" s="3" t="s">
        <v>31</v>
      </c>
      <c r="L222" s="3" t="s">
        <v>85</v>
      </c>
      <c r="M222">
        <v>1</v>
      </c>
    </row>
    <row r="223" spans="1:13" x14ac:dyDescent="0.25">
      <c r="A223" s="1">
        <v>46127</v>
      </c>
      <c r="B223" s="1" t="str">
        <f ca="1">IF(Información1[[#This Row],[Fecha]]='Ajuste de fechas'!$A$2,"Día actual","Día anterior")</f>
        <v>Día anterior</v>
      </c>
      <c r="C223" s="3" t="s">
        <v>50</v>
      </c>
      <c r="D223" t="s">
        <v>51</v>
      </c>
      <c r="E223" s="3" t="s">
        <v>210</v>
      </c>
      <c r="F223" s="3" t="s">
        <v>19</v>
      </c>
      <c r="G223" s="3" t="s">
        <v>131</v>
      </c>
      <c r="H223" s="3" t="s">
        <v>46</v>
      </c>
      <c r="I223" s="3" t="s">
        <v>7</v>
      </c>
      <c r="J223" s="3" t="s">
        <v>88</v>
      </c>
      <c r="K223" s="3" t="s">
        <v>31</v>
      </c>
      <c r="L223" s="3" t="s">
        <v>85</v>
      </c>
      <c r="M223">
        <v>1</v>
      </c>
    </row>
    <row r="224" spans="1:13" x14ac:dyDescent="0.25">
      <c r="A224" s="1">
        <v>46127</v>
      </c>
      <c r="B224" s="1" t="str">
        <f ca="1">IF(Información1[[#This Row],[Fecha]]='Ajuste de fechas'!$A$2,"Día actual","Día anterior")</f>
        <v>Día anterior</v>
      </c>
      <c r="C224" s="3" t="s">
        <v>50</v>
      </c>
      <c r="D224" t="s">
        <v>51</v>
      </c>
      <c r="E224" s="3" t="s">
        <v>253</v>
      </c>
      <c r="F224" s="3" t="s">
        <v>19</v>
      </c>
      <c r="G224" s="3" t="s">
        <v>254</v>
      </c>
      <c r="H224" s="3" t="s">
        <v>46</v>
      </c>
      <c r="I224" s="3" t="s">
        <v>7</v>
      </c>
      <c r="J224" s="3" t="s">
        <v>88</v>
      </c>
      <c r="K224" s="3" t="s">
        <v>31</v>
      </c>
      <c r="L224" s="3" t="s">
        <v>85</v>
      </c>
      <c r="M224">
        <v>1</v>
      </c>
    </row>
    <row r="225" spans="1:13" x14ac:dyDescent="0.25">
      <c r="A225" s="1">
        <v>46127</v>
      </c>
      <c r="B225" s="1" t="str">
        <f ca="1">IF(Información1[[#This Row],[Fecha]]='Ajuste de fechas'!$A$2,"Día actual","Día anterior")</f>
        <v>Día anterior</v>
      </c>
      <c r="C225" s="3" t="s">
        <v>50</v>
      </c>
      <c r="D225" t="s">
        <v>51</v>
      </c>
      <c r="E225" s="3" t="s">
        <v>255</v>
      </c>
      <c r="F225" s="3" t="s">
        <v>19</v>
      </c>
      <c r="G225" s="3" t="s">
        <v>159</v>
      </c>
      <c r="H225" s="3" t="s">
        <v>46</v>
      </c>
      <c r="I225" s="3" t="s">
        <v>7</v>
      </c>
      <c r="J225" s="3" t="s">
        <v>88</v>
      </c>
      <c r="K225" s="3" t="s">
        <v>31</v>
      </c>
      <c r="L225" s="3" t="s">
        <v>85</v>
      </c>
      <c r="M225">
        <v>1</v>
      </c>
    </row>
    <row r="226" spans="1:13" x14ac:dyDescent="0.25">
      <c r="A226" s="1">
        <v>46127</v>
      </c>
      <c r="B226" s="1" t="str">
        <f ca="1">IF(Información1[[#This Row],[Fecha]]='Ajuste de fechas'!$A$2,"Día actual","Día anterior")</f>
        <v>Día anterior</v>
      </c>
      <c r="C226" s="3" t="s">
        <v>50</v>
      </c>
      <c r="D226" t="s">
        <v>51</v>
      </c>
      <c r="E226" s="3" t="s">
        <v>256</v>
      </c>
      <c r="F226" s="3" t="s">
        <v>22</v>
      </c>
      <c r="G226" s="3" t="s">
        <v>257</v>
      </c>
      <c r="H226" s="3" t="s">
        <v>46</v>
      </c>
      <c r="I226" s="3" t="s">
        <v>7</v>
      </c>
      <c r="J226" s="3" t="s">
        <v>26</v>
      </c>
      <c r="K226" s="3" t="s">
        <v>31</v>
      </c>
      <c r="L226" s="3" t="s">
        <v>85</v>
      </c>
      <c r="M226">
        <v>1</v>
      </c>
    </row>
    <row r="227" spans="1:13" x14ac:dyDescent="0.25">
      <c r="A227" s="1">
        <v>46127</v>
      </c>
      <c r="B227" s="1" t="str">
        <f ca="1">IF(Información1[[#This Row],[Fecha]]='Ajuste de fechas'!$A$2,"Día actual","Día anterior")</f>
        <v>Día anterior</v>
      </c>
      <c r="C227" s="3" t="s">
        <v>50</v>
      </c>
      <c r="D227" t="s">
        <v>51</v>
      </c>
      <c r="E227" s="3" t="s">
        <v>258</v>
      </c>
      <c r="F227" s="3" t="s">
        <v>22</v>
      </c>
      <c r="G227" s="3" t="s">
        <v>69</v>
      </c>
      <c r="H227" s="3" t="s">
        <v>46</v>
      </c>
      <c r="I227" s="3" t="s">
        <v>7</v>
      </c>
      <c r="J227" s="3" t="s">
        <v>26</v>
      </c>
      <c r="K227" s="3" t="s">
        <v>31</v>
      </c>
      <c r="L227" s="3" t="s">
        <v>85</v>
      </c>
      <c r="M227">
        <v>1</v>
      </c>
    </row>
    <row r="228" spans="1:13" x14ac:dyDescent="0.25">
      <c r="A228" s="1">
        <v>46127</v>
      </c>
      <c r="B228" s="1" t="str">
        <f ca="1">IF(Información1[[#This Row],[Fecha]]='Ajuste de fechas'!$A$2,"Día actual","Día anterior")</f>
        <v>Día anterior</v>
      </c>
      <c r="C228" s="3" t="s">
        <v>50</v>
      </c>
      <c r="D228" t="s">
        <v>51</v>
      </c>
      <c r="E228" s="3" t="s">
        <v>259</v>
      </c>
      <c r="F228" s="3" t="s">
        <v>28</v>
      </c>
      <c r="G228" s="3" t="s">
        <v>70</v>
      </c>
      <c r="H228" s="3" t="s">
        <v>46</v>
      </c>
      <c r="I228" s="3" t="s">
        <v>7</v>
      </c>
      <c r="J228" s="3" t="s">
        <v>84</v>
      </c>
      <c r="K228" s="3" t="s">
        <v>31</v>
      </c>
      <c r="L228" s="3" t="s">
        <v>87</v>
      </c>
      <c r="M228">
        <v>1</v>
      </c>
    </row>
    <row r="229" spans="1:13" x14ac:dyDescent="0.25">
      <c r="A229" s="1">
        <v>46127</v>
      </c>
      <c r="B229" s="1" t="str">
        <f ca="1">IF(Información1[[#This Row],[Fecha]]='Ajuste de fechas'!$A$2,"Día actual","Día anterior")</f>
        <v>Día anterior</v>
      </c>
      <c r="C229" s="3" t="s">
        <v>43</v>
      </c>
      <c r="D229" t="s">
        <v>45</v>
      </c>
      <c r="E229" s="3" t="s">
        <v>260</v>
      </c>
      <c r="F229" s="3" t="s">
        <v>24</v>
      </c>
      <c r="G229" s="3" t="s">
        <v>107</v>
      </c>
      <c r="H229" s="3" t="s">
        <v>46</v>
      </c>
      <c r="I229" s="3" t="s">
        <v>7</v>
      </c>
      <c r="J229" s="3" t="s">
        <v>84</v>
      </c>
      <c r="K229" s="3" t="s">
        <v>44</v>
      </c>
      <c r="L229" s="3" t="s">
        <v>87</v>
      </c>
      <c r="M229">
        <v>1</v>
      </c>
    </row>
    <row r="230" spans="1:13" x14ac:dyDescent="0.25">
      <c r="A230" s="1">
        <v>46127</v>
      </c>
      <c r="B230" s="1" t="str">
        <f ca="1">IF(Información1[[#This Row],[Fecha]]='Ajuste de fechas'!$A$2,"Día actual","Día anterior")</f>
        <v>Día anterior</v>
      </c>
      <c r="C230" s="3" t="s">
        <v>43</v>
      </c>
      <c r="D230" t="s">
        <v>45</v>
      </c>
      <c r="E230" s="3" t="s">
        <v>261</v>
      </c>
      <c r="F230" s="3" t="s">
        <v>6</v>
      </c>
      <c r="G230" s="3" t="s">
        <v>111</v>
      </c>
      <c r="H230" s="3" t="s">
        <v>46</v>
      </c>
      <c r="I230" s="3" t="s">
        <v>7</v>
      </c>
      <c r="J230" s="3" t="s">
        <v>84</v>
      </c>
      <c r="K230" s="3" t="s">
        <v>44</v>
      </c>
      <c r="L230" s="3" t="s">
        <v>87</v>
      </c>
      <c r="M230">
        <v>1</v>
      </c>
    </row>
    <row r="231" spans="1:13" x14ac:dyDescent="0.25">
      <c r="A231" s="1">
        <v>46127</v>
      </c>
      <c r="B231" s="1" t="str">
        <f ca="1">IF(Información1[[#This Row],[Fecha]]='Ajuste de fechas'!$A$2,"Día actual","Día anterior")</f>
        <v>Día anterior</v>
      </c>
      <c r="C231" s="3" t="s">
        <v>43</v>
      </c>
      <c r="D231" t="s">
        <v>45</v>
      </c>
      <c r="E231" s="3" t="s">
        <v>218</v>
      </c>
      <c r="F231" s="3" t="s">
        <v>21</v>
      </c>
      <c r="G231" s="3" t="s">
        <v>219</v>
      </c>
      <c r="H231" s="3" t="s">
        <v>46</v>
      </c>
      <c r="I231" s="3" t="s">
        <v>7</v>
      </c>
      <c r="J231" s="3" t="s">
        <v>84</v>
      </c>
      <c r="K231" s="3" t="s">
        <v>44</v>
      </c>
      <c r="L231" s="3" t="s">
        <v>87</v>
      </c>
      <c r="M231">
        <v>1</v>
      </c>
    </row>
    <row r="232" spans="1:13" x14ac:dyDescent="0.25">
      <c r="A232" s="1">
        <v>46127</v>
      </c>
      <c r="B232" s="1" t="str">
        <f ca="1">IF(Información1[[#This Row],[Fecha]]='Ajuste de fechas'!$A$2,"Día actual","Día anterior")</f>
        <v>Día anterior</v>
      </c>
      <c r="C232" s="3" t="s">
        <v>43</v>
      </c>
      <c r="D232" t="s">
        <v>45</v>
      </c>
      <c r="E232" s="3" t="s">
        <v>262</v>
      </c>
      <c r="F232" s="3" t="s">
        <v>61</v>
      </c>
      <c r="G232" s="3" t="s">
        <v>186</v>
      </c>
      <c r="H232" s="3" t="s">
        <v>46</v>
      </c>
      <c r="I232" s="3" t="s">
        <v>7</v>
      </c>
      <c r="J232" s="3" t="s">
        <v>84</v>
      </c>
      <c r="K232" s="3" t="s">
        <v>44</v>
      </c>
      <c r="L232" s="3" t="s">
        <v>87</v>
      </c>
      <c r="M232">
        <v>1</v>
      </c>
    </row>
    <row r="233" spans="1:13" x14ac:dyDescent="0.25">
      <c r="A233" s="1">
        <v>46127</v>
      </c>
      <c r="B233" s="1" t="str">
        <f ca="1">IF(Información1[[#This Row],[Fecha]]='Ajuste de fechas'!$A$2,"Día actual","Día anterior")</f>
        <v>Día anterior</v>
      </c>
      <c r="C233" s="3" t="s">
        <v>43</v>
      </c>
      <c r="D233" t="s">
        <v>45</v>
      </c>
      <c r="E233" s="3" t="s">
        <v>263</v>
      </c>
      <c r="F233" s="3" t="s">
        <v>21</v>
      </c>
      <c r="G233" s="3" t="s">
        <v>209</v>
      </c>
      <c r="H233" s="3" t="s">
        <v>46</v>
      </c>
      <c r="I233" s="3" t="s">
        <v>7</v>
      </c>
      <c r="J233" s="3" t="s">
        <v>84</v>
      </c>
      <c r="K233" s="3" t="s">
        <v>44</v>
      </c>
      <c r="L233" s="3" t="s">
        <v>87</v>
      </c>
      <c r="M233">
        <v>1</v>
      </c>
    </row>
    <row r="234" spans="1:13" x14ac:dyDescent="0.25">
      <c r="A234" s="1">
        <v>46127</v>
      </c>
      <c r="B234" s="1" t="str">
        <f ca="1">IF(Información1[[#This Row],[Fecha]]='Ajuste de fechas'!$A$2,"Día actual","Día anterior")</f>
        <v>Día anterior</v>
      </c>
      <c r="C234" s="3" t="s">
        <v>43</v>
      </c>
      <c r="D234" t="s">
        <v>45</v>
      </c>
      <c r="E234" s="3" t="s">
        <v>264</v>
      </c>
      <c r="F234" s="3" t="s">
        <v>265</v>
      </c>
      <c r="G234" s="3" t="s">
        <v>266</v>
      </c>
      <c r="H234" s="3" t="s">
        <v>46</v>
      </c>
      <c r="I234" s="3" t="s">
        <v>7</v>
      </c>
      <c r="J234" s="3" t="s">
        <v>84</v>
      </c>
      <c r="K234" s="3" t="s">
        <v>44</v>
      </c>
      <c r="L234" s="3" t="s">
        <v>87</v>
      </c>
      <c r="M234">
        <v>1</v>
      </c>
    </row>
    <row r="235" spans="1:13" x14ac:dyDescent="0.25">
      <c r="A235" s="1">
        <v>46127</v>
      </c>
      <c r="B235" s="1" t="str">
        <f ca="1">IF(Información1[[#This Row],[Fecha]]='Ajuste de fechas'!$A$2,"Día actual","Día anterior")</f>
        <v>Día anterior</v>
      </c>
      <c r="C235" s="3" t="s">
        <v>43</v>
      </c>
      <c r="D235" t="s">
        <v>45</v>
      </c>
      <c r="E235" s="3" t="s">
        <v>225</v>
      </c>
      <c r="F235" s="3" t="s">
        <v>226</v>
      </c>
      <c r="G235" s="3" t="s">
        <v>227</v>
      </c>
      <c r="H235" s="3" t="s">
        <v>46</v>
      </c>
      <c r="I235" s="3" t="s">
        <v>7</v>
      </c>
      <c r="J235" s="3" t="s">
        <v>84</v>
      </c>
      <c r="K235" s="3" t="s">
        <v>44</v>
      </c>
      <c r="L235" s="3" t="s">
        <v>87</v>
      </c>
      <c r="M235">
        <v>1</v>
      </c>
    </row>
    <row r="236" spans="1:13" x14ac:dyDescent="0.25">
      <c r="A236" s="1">
        <v>46127</v>
      </c>
      <c r="B236" s="1" t="str">
        <f ca="1">IF(Información1[[#This Row],[Fecha]]='Ajuste de fechas'!$A$2,"Día actual","Día anterior")</f>
        <v>Día anterior</v>
      </c>
      <c r="C236" s="3" t="s">
        <v>43</v>
      </c>
      <c r="D236" t="s">
        <v>45</v>
      </c>
      <c r="E236" s="3" t="s">
        <v>267</v>
      </c>
      <c r="F236" s="3" t="s">
        <v>26</v>
      </c>
      <c r="G236" s="3" t="s">
        <v>268</v>
      </c>
      <c r="H236" s="3" t="s">
        <v>46</v>
      </c>
      <c r="I236" s="3" t="s">
        <v>7</v>
      </c>
      <c r="J236" s="3" t="s">
        <v>26</v>
      </c>
      <c r="K236" s="3" t="s">
        <v>44</v>
      </c>
      <c r="L236" s="3" t="s">
        <v>90</v>
      </c>
      <c r="M236">
        <v>1</v>
      </c>
    </row>
    <row r="237" spans="1:13" x14ac:dyDescent="0.25">
      <c r="A237" s="1">
        <v>46127</v>
      </c>
      <c r="B237" s="1" t="str">
        <f ca="1">IF(Información1[[#This Row],[Fecha]]='Ajuste de fechas'!$A$2,"Día actual","Día anterior")</f>
        <v>Día anterior</v>
      </c>
      <c r="C237" s="3" t="s">
        <v>43</v>
      </c>
      <c r="D237" t="s">
        <v>45</v>
      </c>
      <c r="E237" s="3" t="s">
        <v>269</v>
      </c>
      <c r="F237" s="3" t="s">
        <v>15</v>
      </c>
      <c r="G237" s="3" t="s">
        <v>154</v>
      </c>
      <c r="H237" s="3" t="s">
        <v>46</v>
      </c>
      <c r="I237" s="3" t="s">
        <v>7</v>
      </c>
      <c r="J237" s="3" t="s">
        <v>84</v>
      </c>
      <c r="K237" s="3" t="s">
        <v>44</v>
      </c>
      <c r="L237" s="3" t="s">
        <v>87</v>
      </c>
      <c r="M237">
        <v>1</v>
      </c>
    </row>
    <row r="238" spans="1:13" x14ac:dyDescent="0.25">
      <c r="A238" s="1">
        <v>46127</v>
      </c>
      <c r="B238" s="1" t="str">
        <f ca="1">IF(Información1[[#This Row],[Fecha]]='Ajuste de fechas'!$A$2,"Día actual","Día anterior")</f>
        <v>Día anterior</v>
      </c>
      <c r="C238" s="3" t="s">
        <v>43</v>
      </c>
      <c r="D238" t="s">
        <v>45</v>
      </c>
      <c r="E238" s="3" t="s">
        <v>255</v>
      </c>
      <c r="F238" s="3" t="s">
        <v>19</v>
      </c>
      <c r="G238" s="3" t="s">
        <v>159</v>
      </c>
      <c r="H238" s="3" t="s">
        <v>46</v>
      </c>
      <c r="I238" s="3" t="s">
        <v>7</v>
      </c>
      <c r="J238" s="3" t="s">
        <v>88</v>
      </c>
      <c r="K238" s="3" t="s">
        <v>44</v>
      </c>
      <c r="L238" s="3" t="s">
        <v>85</v>
      </c>
      <c r="M238">
        <v>1</v>
      </c>
    </row>
    <row r="239" spans="1:13" x14ac:dyDescent="0.25">
      <c r="A239" s="1">
        <v>46127</v>
      </c>
      <c r="B239" s="1" t="str">
        <f ca="1">IF(Información1[[#This Row],[Fecha]]='Ajuste de fechas'!$A$2,"Día actual","Día anterior")</f>
        <v>Día anterior</v>
      </c>
      <c r="C239" s="3" t="s">
        <v>43</v>
      </c>
      <c r="D239" t="s">
        <v>45</v>
      </c>
      <c r="E239" s="3" t="s">
        <v>270</v>
      </c>
      <c r="F239" s="3" t="s">
        <v>38</v>
      </c>
      <c r="G239" s="3" t="s">
        <v>163</v>
      </c>
      <c r="H239" s="3" t="s">
        <v>46</v>
      </c>
      <c r="I239" s="3" t="s">
        <v>7</v>
      </c>
      <c r="J239" s="3" t="s">
        <v>84</v>
      </c>
      <c r="K239" s="3" t="s">
        <v>44</v>
      </c>
      <c r="L239" s="3" t="s">
        <v>87</v>
      </c>
      <c r="M239">
        <v>1</v>
      </c>
    </row>
    <row r="240" spans="1:13" x14ac:dyDescent="0.25">
      <c r="A240" s="1">
        <v>46127</v>
      </c>
      <c r="B240" s="1" t="str">
        <f ca="1">IF(Información1[[#This Row],[Fecha]]='Ajuste de fechas'!$A$2,"Día actual","Día anterior")</f>
        <v>Día anterior</v>
      </c>
      <c r="C240" s="3" t="s">
        <v>43</v>
      </c>
      <c r="D240" t="s">
        <v>45</v>
      </c>
      <c r="E240" s="3" t="s">
        <v>271</v>
      </c>
      <c r="F240" s="3" t="s">
        <v>38</v>
      </c>
      <c r="G240" s="3" t="s">
        <v>272</v>
      </c>
      <c r="H240" s="3" t="s">
        <v>46</v>
      </c>
      <c r="I240" s="3" t="s">
        <v>7</v>
      </c>
      <c r="J240" s="3" t="s">
        <v>84</v>
      </c>
      <c r="K240" s="3" t="s">
        <v>44</v>
      </c>
      <c r="L240" s="3" t="s">
        <v>85</v>
      </c>
      <c r="M240">
        <v>1</v>
      </c>
    </row>
    <row r="241" spans="1:13" x14ac:dyDescent="0.25">
      <c r="A241" s="1">
        <v>46127</v>
      </c>
      <c r="B241" s="1" t="str">
        <f ca="1">IF(Información1[[#This Row],[Fecha]]='Ajuste de fechas'!$A$2,"Día actual","Día anterior")</f>
        <v>Día anterior</v>
      </c>
      <c r="C241" s="3" t="s">
        <v>35</v>
      </c>
      <c r="D241" t="s">
        <v>140</v>
      </c>
      <c r="E241" s="3" t="s">
        <v>363</v>
      </c>
      <c r="F241" s="3" t="s">
        <v>226</v>
      </c>
      <c r="G241" s="3" t="s">
        <v>364</v>
      </c>
      <c r="H241" s="3" t="s">
        <v>11</v>
      </c>
      <c r="I241" s="3" t="s">
        <v>7</v>
      </c>
      <c r="J241" s="3" t="s">
        <v>84</v>
      </c>
      <c r="K241" s="3" t="s">
        <v>141</v>
      </c>
      <c r="L241" s="3" t="s">
        <v>87</v>
      </c>
      <c r="M241">
        <v>1</v>
      </c>
    </row>
    <row r="242" spans="1:13" x14ac:dyDescent="0.25">
      <c r="A242" s="1">
        <v>46127</v>
      </c>
      <c r="B242" s="1" t="str">
        <f ca="1">IF(Información1[[#This Row],[Fecha]]='Ajuste de fechas'!$A$2,"Día actual","Día anterior")</f>
        <v>Día anterior</v>
      </c>
      <c r="C242" s="3" t="s">
        <v>35</v>
      </c>
      <c r="D242" t="s">
        <v>140</v>
      </c>
      <c r="E242" s="3" t="s">
        <v>385</v>
      </c>
      <c r="F242" s="3" t="s">
        <v>226</v>
      </c>
      <c r="G242" s="3" t="s">
        <v>227</v>
      </c>
      <c r="H242" s="3" t="s">
        <v>11</v>
      </c>
      <c r="I242" s="3" t="s">
        <v>7</v>
      </c>
      <c r="J242" s="3" t="s">
        <v>84</v>
      </c>
      <c r="K242" s="3" t="s">
        <v>141</v>
      </c>
      <c r="L242" s="3" t="s">
        <v>87</v>
      </c>
      <c r="M242">
        <v>1</v>
      </c>
    </row>
    <row r="243" spans="1:13" x14ac:dyDescent="0.25">
      <c r="A243" s="1">
        <v>46127</v>
      </c>
      <c r="B243" s="1" t="str">
        <f ca="1">IF(Información1[[#This Row],[Fecha]]='Ajuste de fechas'!$A$2,"Día actual","Día anterior")</f>
        <v>Día anterior</v>
      </c>
      <c r="C243" s="3" t="s">
        <v>35</v>
      </c>
      <c r="D243" t="s">
        <v>140</v>
      </c>
      <c r="E243" s="3" t="s">
        <v>407</v>
      </c>
      <c r="F243" s="3" t="s">
        <v>38</v>
      </c>
      <c r="G243" s="3" t="s">
        <v>163</v>
      </c>
      <c r="H243" s="3" t="s">
        <v>11</v>
      </c>
      <c r="I243" s="3" t="s">
        <v>7</v>
      </c>
      <c r="J243" s="3" t="s">
        <v>84</v>
      </c>
      <c r="K243" s="3" t="s">
        <v>141</v>
      </c>
      <c r="L243" s="3" t="s">
        <v>87</v>
      </c>
      <c r="M243">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92</v>
      </c>
      <c r="B1" t="s">
        <v>93</v>
      </c>
    </row>
    <row r="2" spans="1:2" x14ac:dyDescent="0.25">
      <c r="A2" s="2">
        <f ca="1">TODAY()</f>
        <v>46128</v>
      </c>
      <c r="B2" s="2">
        <f ca="1">A2-1</f>
        <v>46127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2026-04-17T00:17:02Z</dcterms:modified>
</cp:coreProperties>
</file>